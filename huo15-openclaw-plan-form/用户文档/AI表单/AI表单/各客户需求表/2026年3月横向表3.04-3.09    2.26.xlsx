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80025590\Desktop\AI表单\各客户需求表\"/>
    </mc:Choice>
  </mc:AlternateContent>
  <xr:revisionPtr revIDLastSave="0" documentId="13_ncr:1_{AA77C27A-5DEE-4342-B85C-4286302E5CF6}" xr6:coauthVersionLast="47" xr6:coauthVersionMax="47" xr10:uidLastSave="{00000000-0000-0000-0000-000000000000}"/>
  <bookViews>
    <workbookView xWindow="-110" yWindow="-110" windowWidth="19420" windowHeight="11620" tabRatio="741" firstSheet="1" activeTab="8" xr2:uid="{00000000-000D-0000-FFFF-FFFF00000000}"/>
  </bookViews>
  <sheets>
    <sheet name="Kangatang" sheetId="55" state="veryHidden" r:id="rId1"/>
    <sheet name="3月" sheetId="5" r:id="rId2"/>
    <sheet name="到线体产能" sheetId="38" state="hidden" r:id="rId3"/>
    <sheet name="大盘规划" sheetId="58" state="hidden" r:id="rId4"/>
    <sheet name="两器短板能力" sheetId="59" state="hidden" r:id="rId5"/>
    <sheet name="两器到机台产能匹配" sheetId="62" state="hidden" r:id="rId6"/>
    <sheet name="小单型号分析" sheetId="67" state="hidden" r:id="rId7"/>
    <sheet name="半成品消化" sheetId="69" state="hidden" r:id="rId8"/>
    <sheet name="Sheet1" sheetId="78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</externalReferences>
  <definedNames>
    <definedName name="______">#REF!</definedName>
    <definedName name="___act2">#REF!</definedName>
    <definedName name="___act3">#REF!</definedName>
    <definedName name="___act4">#REF!</definedName>
    <definedName name="___all22">[1]PLALL!$A$1:$BM$137</definedName>
    <definedName name="___AWEW1212">#REF!</definedName>
    <definedName name="___Col3">[2]Tables!$S$7</definedName>
    <definedName name="___Col6">[2]Tables!$S$12</definedName>
    <definedName name="___CSD3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Qtr1">#REF!</definedName>
    <definedName name="___wd6">[3]tables!$A$1:$B$29</definedName>
    <definedName name="__112" hidden="1">#REF!</definedName>
    <definedName name="__1211">#REF!</definedName>
    <definedName name="__act2">#REF!</definedName>
    <definedName name="__act3">#REF!</definedName>
    <definedName name="__act31">#REF!</definedName>
    <definedName name="__act4">#REF!</definedName>
    <definedName name="__all22">[1]PLALL!$A$1:$BM$137</definedName>
    <definedName name="__Col3">[2]Tables!$S$7</definedName>
    <definedName name="__Col6">[2]Tables!$S$12</definedName>
    <definedName name="__CSD3">#REF!</definedName>
    <definedName name="__DAT1">#REF!</definedName>
    <definedName name="__DAT10">#REF!</definedName>
    <definedName name="__DAT11">#REF!</definedName>
    <definedName name="__DAT110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Qtr1">#REF!</definedName>
    <definedName name="__wd6">[3]tables!$A$1:$B$29</definedName>
    <definedName name="_1、青岛园区布局地图">#REF!</definedName>
    <definedName name="_1、青岛园区布局地图1">#REF!</definedName>
    <definedName name="_111" hidden="1">#REF!</definedName>
    <definedName name="_1169渠道">#REF!</definedName>
    <definedName name="_1169渠道1">#REF!</definedName>
    <definedName name="_1A5_">#REF!</definedName>
    <definedName name="_23">#REF!</definedName>
    <definedName name="_2A5_">#REF!</definedName>
    <definedName name="_2GO_TO">'[4]Total Financials'!#REF!</definedName>
    <definedName name="_2GO_TO1">'[4]Total Financials'!#REF!</definedName>
    <definedName name="_4A5_">#REF!</definedName>
    <definedName name="_4A5_1">#REF!</definedName>
    <definedName name="_4GO_TO">'[4]Total Financials'!#REF!</definedName>
    <definedName name="_4GO_TO1">'[4]Total Financials'!#REF!</definedName>
    <definedName name="_690渠道">#REF!</definedName>
    <definedName name="_690渠道1">#REF!</definedName>
    <definedName name="_8GO_TO">'[4]Total Financials'!#REF!</definedName>
    <definedName name="_ACT123">#REF!</definedName>
    <definedName name="_act2">#REF!</definedName>
    <definedName name="_act3">#REF!</definedName>
    <definedName name="_ACT31">#REF!</definedName>
    <definedName name="_ACT32">#REF!</definedName>
    <definedName name="_act4">#REF!</definedName>
    <definedName name="_all22">[5]PLALL!$A$1:$BM$137</definedName>
    <definedName name="_BQ4.1" hidden="1">'[6]MP2006 data'!$A$1:$L$1402</definedName>
    <definedName name="_Col3">[7]Tables!$S$7</definedName>
    <definedName name="_Col6">[7]Tables!$S$12</definedName>
    <definedName name="_CSD22">#REF!</definedName>
    <definedName name="_CSD3">#REF!</definedName>
    <definedName name="_DAT1">#REF!</definedName>
    <definedName name="_DAT10">#REF!</definedName>
    <definedName name="_DAT101">#REF!</definedName>
    <definedName name="_DAT11">#REF!</definedName>
    <definedName name="_DAT12">#REF!</definedName>
    <definedName name="_DAT124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CSC" hidden="1">#REF!</definedName>
    <definedName name="_Dist_Values" hidden="1">#REF!</definedName>
    <definedName name="_Fill" hidden="1">#REF!</definedName>
    <definedName name="_xlnm._FilterDatabase" localSheetId="1" hidden="1">'3月'!$A$6:$BK$579</definedName>
    <definedName name="_xlnm._FilterDatabase" localSheetId="2" hidden="1">到线体产能!$53:$72</definedName>
    <definedName name="_Key1" hidden="1">#REF!</definedName>
    <definedName name="_Key1.1" hidden="1">#REF!</definedName>
    <definedName name="_Key1.2" hidden="1">#REF!</definedName>
    <definedName name="_Key1.3" hidden="1">#REF!</definedName>
    <definedName name="_Key123" hidden="1">#REF!</definedName>
    <definedName name="_Key2" hidden="1">#REF!</definedName>
    <definedName name="_Order1" hidden="1">255</definedName>
    <definedName name="_Order2" hidden="1">255</definedName>
    <definedName name="_Parse_In" hidden="1">#REF!</definedName>
    <definedName name="_Parse_In1" hidden="1">#REF!</definedName>
    <definedName name="_Parse_Out" hidden="1">#REF!</definedName>
    <definedName name="_Qtr1">#REF!</definedName>
    <definedName name="_Sort" hidden="1">#REF!</definedName>
    <definedName name="_Sort1.1" hidden="1">#REF!</definedName>
    <definedName name="_Sort1.2" hidden="1">#REF!</definedName>
    <definedName name="_Sort1.3" hidden="1">#REF!</definedName>
    <definedName name="_wd6">[8]tables!$A$1:$B$29</definedName>
    <definedName name="——8GO_TO">'[4]Total Financials'!#REF!</definedName>
    <definedName name="Actdata">#REF!</definedName>
    <definedName name="actuals">'[9]FY01 Actuals'!$A$2:$P$48</definedName>
    <definedName name="actuals2">'[9]FY01 Actuals'!$E$3:$N$13</definedName>
    <definedName name="ADJUSTMENTS">#REF!</definedName>
    <definedName name="adsfa" hidden="1">#REF!</definedName>
    <definedName name="Agilent">'[10]Pull HP Wide'!#REF!</definedName>
    <definedName name="all">[5]PLALL!$A$1:$BM$137</definedName>
    <definedName name="AME">#REF!</definedName>
    <definedName name="AmeCI">#REF!</definedName>
    <definedName name="AmeCS">#REF!</definedName>
    <definedName name="AmeGBUHq">#REF!</definedName>
    <definedName name="AmeMS">#REF!</definedName>
    <definedName name="AmeOSS">#REF!</definedName>
    <definedName name="Amer">#REF!</definedName>
    <definedName name="Americas">#REF!</definedName>
    <definedName name="anscount" hidden="1">1</definedName>
    <definedName name="AP">#REF!</definedName>
    <definedName name="ApCI">#REF!</definedName>
    <definedName name="ApCS">#REF!</definedName>
    <definedName name="ApGBUHq">#REF!</definedName>
    <definedName name="ApMS">#REF!</definedName>
    <definedName name="ApOSS">#REF!</definedName>
    <definedName name="asdad" hidden="1">#REF!</definedName>
    <definedName name="asdhaskjf" hidden="1">#REF!</definedName>
    <definedName name="AsiaPacific">#REF!</definedName>
    <definedName name="aspire">'[11]Comet ASPIRE'!$A:$IV</definedName>
    <definedName name="aspire_col_match">'[11]Comet ASPIRE'!$A$2:$IV$2</definedName>
    <definedName name="Aspire_Pull">#REF!</definedName>
    <definedName name="aspire_row_match">'[11]Comet ASPIRE'!$A$1:$A$65536</definedName>
    <definedName name="Aspireh2">#REF!</definedName>
    <definedName name="ASSESSMENT">#REF!</definedName>
    <definedName name="BadDebt">#REF!</definedName>
    <definedName name="BCO">#REF!</definedName>
    <definedName name="BCS">#REF!</definedName>
    <definedName name="BCS.New">#REF!</definedName>
    <definedName name="BCSa">[12]APJSum!$A$1007</definedName>
    <definedName name="BCSame">[12]AmeSum!$A$1007</definedName>
    <definedName name="BCSe">[12]EMEASum!$A$1007</definedName>
    <definedName name="BCSh">[12]HPCoSum!$A$1007</definedName>
    <definedName name="BCSo">[12]OGSum!$A$1007</definedName>
    <definedName name="BCSw">#REF!</definedName>
    <definedName name="Blah">#REF!</definedName>
    <definedName name="BOM成本">#REF!</definedName>
    <definedName name="BPOa">#REF!</definedName>
    <definedName name="BPOame">#REF!</definedName>
    <definedName name="BPOAP">[13]AmeSum!#REF!</definedName>
    <definedName name="BPOe">#REF!</definedName>
    <definedName name="BPOEMEA">[13]AmeSum!#REF!</definedName>
    <definedName name="BPOh">#REF!</definedName>
    <definedName name="BPOHPCo">[13]AmeSum!#REF!</definedName>
    <definedName name="BPOJP">[13]AmeSum!#REF!</definedName>
    <definedName name="BPOo">#REF!</definedName>
    <definedName name="BPOOG">[13]AmeSum!#REF!</definedName>
    <definedName name="BPOww">[12]WWSum!$A$707</definedName>
    <definedName name="BU">#REF!</definedName>
    <definedName name="C_S">#REF!</definedName>
    <definedName name="CI">#REF!</definedName>
    <definedName name="CI_Enterprise_Business">[14]LOV!#REF!</definedName>
    <definedName name="CIa">[12]APJSum!$A$607</definedName>
    <definedName name="CIame">[12]AmeSum!$A$607</definedName>
    <definedName name="CIAP">[13]AmeSum!#REF!</definedName>
    <definedName name="ciasp">#REF!</definedName>
    <definedName name="CIe">[12]EMEASum!$A$607</definedName>
    <definedName name="CIEMEA">[13]AmeSum!#REF!</definedName>
    <definedName name="CIh">[12]HPCoSum!$A$607</definedName>
    <definedName name="CIHPCo">[13]AmeSum!#REF!</definedName>
    <definedName name="CIJP">[13]AmeSum!#REF!</definedName>
    <definedName name="CIo">[12]OGSum!$A$607</definedName>
    <definedName name="CIOG">[13]AmeSum!#REF!</definedName>
    <definedName name="cirestat">#REF!</definedName>
    <definedName name="CIw">#REF!</definedName>
    <definedName name="CMI">#REF!</definedName>
    <definedName name="Co_Code_in_CoNo">#REF!</definedName>
    <definedName name="CometASPIRETable">'[15]3D ASPIRE Table'!$E$2:$P$182</definedName>
    <definedName name="CometPull">#REF!</definedName>
    <definedName name="Company_Code">#REF!</definedName>
    <definedName name="Consol_Time">[16]FP!$F$17</definedName>
    <definedName name="Corporate_Reporting">#REF!</definedName>
    <definedName name="COS">[16]COS1!$A$10:$L$40</definedName>
    <definedName name="CostStruPull">[17]FY03CostStructure!#REF!</definedName>
    <definedName name="Countries">[14]LOV!$A$10:$M$10</definedName>
    <definedName name="Country_Name">#REF!</definedName>
    <definedName name="CountryList">[14]LOV!$A$9</definedName>
    <definedName name="CPBaug">#REF!</definedName>
    <definedName name="CPBQ4">#REF!</definedName>
    <definedName name="_xlnm.Criteria">[18]MCS!#REF!</definedName>
    <definedName name="CS_Customer_Services">[14]LOV!#REF!</definedName>
    <definedName name="CS_PlatformList">[14]LOV!$A$22</definedName>
    <definedName name="CS_Platforms">[14]LOV!$A$23:$G$23</definedName>
    <definedName name="CS_TypeList">[14]LOV!$A$19</definedName>
    <definedName name="CS_Types">[14]LOV!$A$20:$C$20</definedName>
    <definedName name="CSa">[12]APJSum!$A$407</definedName>
    <definedName name="CSame">[12]AmeSum!$A$407</definedName>
    <definedName name="CSAP">[13]AmeSum!#REF!</definedName>
    <definedName name="csaspir">#REF!</definedName>
    <definedName name="CSe">[12]EMEASum!$A$407</definedName>
    <definedName name="CSEMEA">[13]AmeSum!#REF!</definedName>
    <definedName name="CSh">[12]HPCoSum!$A$407</definedName>
    <definedName name="CSHPCo">[13]AmeSum!#REF!</definedName>
    <definedName name="CSJP">[13]AmeSum!#REF!</definedName>
    <definedName name="CSo">[12]OGSum!$A$407</definedName>
    <definedName name="CSOG">[13]AmeSum!#REF!</definedName>
    <definedName name="csresta">#REF!</definedName>
    <definedName name="CSw">#REF!</definedName>
    <definedName name="Curr_Flash">[19]FP!$D$30</definedName>
    <definedName name="Curr_Half">'[19]Time Dimension Lookup'!$H$3</definedName>
    <definedName name="Curr_Qtr_a">'[19]Time Dimension Lookup'!$F$3</definedName>
    <definedName name="Curr_Qtr_b">'[19]Time Dimension Lookup'!$G$3</definedName>
    <definedName name="Curr_Yr">[19]FP!$D$28</definedName>
    <definedName name="data">#REF!</definedName>
    <definedName name="_xlnm.Database">[18]MCS!#REF!</definedName>
    <definedName name="ddd" hidden="1">#REF!</definedName>
    <definedName name="dkdkdk" hidden="1">#REF!</definedName>
    <definedName name="dkdkdk1" hidden="1">#REF!</definedName>
    <definedName name="dsds" hidden="1">#REF!</definedName>
    <definedName name="Duration">#REF!</definedName>
    <definedName name="duration2">#REF!</definedName>
    <definedName name="E">#REF!</definedName>
    <definedName name="eieio">'[20]Q4 CURRENCY'!$B$47:$C$51</definedName>
    <definedName name="EightMonthsBack">#REF!</definedName>
    <definedName name="ElevenMonthsBack">#REF!</definedName>
    <definedName name="EMEA">#REF!</definedName>
    <definedName name="EmeaCI">#REF!</definedName>
    <definedName name="EmeaCS">#REF!</definedName>
    <definedName name="EmeaGBUHq">#REF!</definedName>
    <definedName name="EmeaMS">#REF!</definedName>
    <definedName name="EmeaOSS">#REF!</definedName>
    <definedName name="er">[21]Funnel!$B$32</definedName>
    <definedName name="ESGgroup">#REF!</definedName>
    <definedName name="ESGgroupEFR">#REF!</definedName>
    <definedName name="ESS.Amer">#REF!</definedName>
    <definedName name="ESS.AP">#REF!</definedName>
    <definedName name="ESS.EMEA">#REF!</definedName>
    <definedName name="ESS.GBU">#REF!</definedName>
    <definedName name="ESS.Reg">#REF!</definedName>
    <definedName name="ESSa">#REF!</definedName>
    <definedName name="EssAliasTable">"Default"</definedName>
    <definedName name="ESSame">#REF!</definedName>
    <definedName name="ESSe">#REF!</definedName>
    <definedName name="EssOptions">"110010000001000_0"</definedName>
    <definedName name="ESSw">#REF!</definedName>
    <definedName name="EXPS" hidden="1">#REF!</definedName>
    <definedName name="Extract_1">#REF!</definedName>
    <definedName name="Extract_2">#REF!</definedName>
    <definedName name="Extract_Business_Unit_Abbrev.">#REF!</definedName>
    <definedName name="Extract_Cons">#REF!</definedName>
    <definedName name="Extract_CPCG">#REF!</definedName>
    <definedName name="Extract_ESSG">#REF!</definedName>
    <definedName name="EXTRACT2">#REF!</definedName>
    <definedName name="FCG">[22]FCG!$A$1:$BM$8</definedName>
    <definedName name="FiveMonthsBack">#REF!</definedName>
    <definedName name="flash">#REF!</definedName>
    <definedName name="flash_col_match">#REF!</definedName>
    <definedName name="FLASH_pull">#REF!</definedName>
    <definedName name="Flash_Qtr">'[19]Time Dimension Lookup'!$I$3</definedName>
    <definedName name="flash_row_match">#REF!</definedName>
    <definedName name="FourMonthsBack">#REF!</definedName>
    <definedName name="FU">#REF!</definedName>
    <definedName name="Fully_Loaded">[16]PL1!$A$1:$H$55</definedName>
    <definedName name="FY00ORD">#REF!</definedName>
    <definedName name="FY02_APCOS_Pull">#REF!</definedName>
    <definedName name="FY02_APHQCOS_Pull">#REF!</definedName>
    <definedName name="FY02_Order_Pull">#REF!</definedName>
    <definedName name="FY02_pull">#REF!</definedName>
    <definedName name="FY02_Subregion_Pull">#REF!</definedName>
    <definedName name="FY03_APCOS_Pull">#REF!</definedName>
    <definedName name="FY03_APHQCOS_Pull">#REF!</definedName>
    <definedName name="FY03_Forecast">#REF!</definedName>
    <definedName name="FY03_Metrics">#REF!</definedName>
    <definedName name="FY03_Pull">#REF!</definedName>
    <definedName name="FY03_Subregion_Pull">#REF!</definedName>
    <definedName name="FY03Plan">#REF!</definedName>
    <definedName name="GBU">#REF!</definedName>
    <definedName name="GBUEFR">#REF!</definedName>
    <definedName name="GETCOLOR">"：“=GET.CELL(63,INDIRECT(""R""&amp;ROW()&amp;""C""&amp;COLUMN()-1,FALSE))”"</definedName>
    <definedName name="GF">#REF!</definedName>
    <definedName name="GFEFR">#REF!</definedName>
    <definedName name="GM_imp">#REF!</definedName>
    <definedName name="GO行政">#REF!</definedName>
    <definedName name="HPCO">#REF!</definedName>
    <definedName name="HPS.Amer">#REF!</definedName>
    <definedName name="HPS.AP">#REF!</definedName>
    <definedName name="HPS.EMEA">#REF!</definedName>
    <definedName name="HPS.GBU">#REF!</definedName>
    <definedName name="HPS.Reg">#REF!</definedName>
    <definedName name="HPSa">#REF!</definedName>
    <definedName name="HPSame">#REF!</definedName>
    <definedName name="HPSe">#REF!</definedName>
    <definedName name="HPSw">#REF!</definedName>
    <definedName name="HPWW">#REF!</definedName>
    <definedName name="HTML1_1" hidden="1">"[第1段階実施会社.XLS]実施会社!$A$1:$R$299"</definedName>
    <definedName name="HTML1_10" hidden="1">""</definedName>
    <definedName name="HTML1_11" hidden="1">1</definedName>
    <definedName name="HTML1_12" hidden="1">"C:\My Documents\kaisya.htm"</definedName>
    <definedName name="HTML1_2" hidden="1">1</definedName>
    <definedName name="HTML1_3" hidden="1">"第1段階実施会社"</definedName>
    <definedName name="HTML1_4" hidden="1">""</definedName>
    <definedName name="HTML1_5" hidden="1">""</definedName>
    <definedName name="HTML1_6" hidden="1">1</definedName>
    <definedName name="HTML1_7" hidden="1">1</definedName>
    <definedName name="HTML1_8" hidden="1">"96/09/26"</definedName>
    <definedName name="HTML1_9" hidden="1">"渡辺　学"</definedName>
    <definedName name="HTML2_1" hidden="1">"[決算項目.XLS]ＢＳ分解!$A$1:$L$49"</definedName>
    <definedName name="HTML2_10" hidden="1">""</definedName>
    <definedName name="HTML2_11" hidden="1">1</definedName>
    <definedName name="HTML2_12" hidden="1">"\\Zs-03\net\GRP\Bs.htm"</definedName>
    <definedName name="HTML2_2" hidden="1">1</definedName>
    <definedName name="HTML2_3" hidden="1">"ＢＳ"</definedName>
    <definedName name="HTML2_4" hidden="1">""</definedName>
    <definedName name="HTML2_5" hidden="1">""</definedName>
    <definedName name="HTML2_6" hidden="1">1</definedName>
    <definedName name="HTML2_7" hidden="1">1</definedName>
    <definedName name="HTML2_8" hidden="1">"96/09/27"</definedName>
    <definedName name="HTML2_9" hidden="1">"渡辺　学"</definedName>
    <definedName name="HTML3_1" hidden="1">"[決算項目.XLS]ＰＬ分解!$A$1:$H$35"</definedName>
    <definedName name="HTML3_10" hidden="1">""</definedName>
    <definedName name="HTML3_11" hidden="1">1</definedName>
    <definedName name="HTML3_12" hidden="1">"\\Zs-03\net\GRP\PL.htm"</definedName>
    <definedName name="HTML3_2" hidden="1">1</definedName>
    <definedName name="HTML3_3" hidden="1">"ＰＬ"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"96/09/27"</definedName>
    <definedName name="HTML3_9" hidden="1">"渡辺　学"</definedName>
    <definedName name="HTML4_1" hidden="1">"[決算項目.XLS]製造原価!$A$1:$G$26"</definedName>
    <definedName name="HTML4_10" hidden="1">""</definedName>
    <definedName name="HTML4_11" hidden="1">1</definedName>
    <definedName name="HTML4_12" hidden="1">"\\Zs-03\net\GRP\Genka.htm"</definedName>
    <definedName name="HTML4_2" hidden="1">1</definedName>
    <definedName name="HTML4_3" hidden="1">"製造原価"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"96/09/27"</definedName>
    <definedName name="HTML4_9" hidden="1">"渡辺　学"</definedName>
    <definedName name="HTML5_1" hidden="1">"[決算項目.XLS]販管費!$A$1:$G$19"</definedName>
    <definedName name="HTML5_10" hidden="1">""</definedName>
    <definedName name="HTML5_11" hidden="1">1</definedName>
    <definedName name="HTML5_12" hidden="1">"\\Zs-03\net\GRP\Hankan.htm"</definedName>
    <definedName name="HTML5_2" hidden="1">1</definedName>
    <definedName name="HTML5_3" hidden="1">"販管費"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"96/09/27"</definedName>
    <definedName name="HTML5_9" hidden="1">"渡辺　学"</definedName>
    <definedName name="HTMLCount" hidden="1">1</definedName>
    <definedName name="Imp_Dur">#REF!</definedName>
    <definedName name="Implement">#REF!</definedName>
    <definedName name="Industries">[14]LOV!$A$17:$F$17</definedName>
    <definedName name="IndustryList">[14]LOV!$A$16</definedName>
    <definedName name="ISS">#REF!</definedName>
    <definedName name="ISSa">[12]APJSum!$A$907</definedName>
    <definedName name="ISSame">[12]AmeSum!$A$907</definedName>
    <definedName name="ISSD_APD">#REF!</definedName>
    <definedName name="ISSD_EMEA">#REF!</definedName>
    <definedName name="ISSD_GCD">#REF!</definedName>
    <definedName name="ISSD_JP">#REF!</definedName>
    <definedName name="ISSD_LA">#REF!</definedName>
    <definedName name="ISSD_NA">#REF!</definedName>
    <definedName name="ISSe">[12]EMEASum!$A$907</definedName>
    <definedName name="ISSh">[12]HPCoSum!$A$907</definedName>
    <definedName name="ISSo">[12]OGSum!$A$907</definedName>
    <definedName name="ISSUES">#REF!</definedName>
    <definedName name="ISSw">#REF!</definedName>
    <definedName name="IT费用">#REF!</definedName>
    <definedName name="JpCI">#REF!</definedName>
    <definedName name="JpCS">#REF!</definedName>
    <definedName name="JpGBUHq">#REF!</definedName>
    <definedName name="JpMS">#REF!</definedName>
    <definedName name="JpOSS">#REF!</definedName>
    <definedName name="judge">[23]假设!#REF!</definedName>
    <definedName name="judge1">[23]假设!#REF!</definedName>
    <definedName name="judge2">[23]假设!#REF!</definedName>
    <definedName name="Link_Bridge">[16]Bridge!$A$10</definedName>
    <definedName name="Link_Contents">'[16]Table of Contents'!$A$1</definedName>
    <definedName name="Link_COS1">[16]COS1!$A$1</definedName>
    <definedName name="Link_COS2">[16]COS2!$A$1</definedName>
    <definedName name="Link_COS3">[16]COS3!$A$1</definedName>
    <definedName name="Link_COS4">[16]COS4!$A$1</definedName>
    <definedName name="Link_FL1">[16]PL1!$C$56</definedName>
    <definedName name="Link_FL2">[16]PL2!$C$56</definedName>
    <definedName name="Link_FL3">[16]PL3!$C$56</definedName>
    <definedName name="Link_FL4">[16]PL4!$C$56</definedName>
    <definedName name="Link_GM">'[16]GM Trend'!$A$1</definedName>
    <definedName name="Link_GM_Percent">'[16]GM% Trend'!$A$1</definedName>
    <definedName name="Link_Linearity">[16]Linearity!$A$15</definedName>
    <definedName name="Link_Linearity_Graph">'[16]Linearity Chart'!$A$1</definedName>
    <definedName name="Link_NP">'[16]NP Trend'!$A$1</definedName>
    <definedName name="Link_Recon">[16]Recon!$A$16</definedName>
    <definedName name="Link_Rev">'[16]Rev Trend'!$A$1</definedName>
    <definedName name="Link_Rev_GM1">'[16]Rev-GM Detail 1'!$A$1</definedName>
    <definedName name="Link_Rev_GM2">'[16]Rev-GM Detail 2'!$A$1</definedName>
    <definedName name="Link_Rev_Mix">'[16]Rev Mix Trend'!$A$1</definedName>
    <definedName name="Link_Summary">[16]SUMMARY!$A$1</definedName>
    <definedName name="Link_Summary_Expd">'[16]SUMMARY (EXPD)'!$A$1</definedName>
    <definedName name="Link_Summary_Percent">'[16]SUMMARY (%)'!$A$1</definedName>
    <definedName name="Link_Togo">'[16]QTD TO GO'!$A$1</definedName>
    <definedName name="LkupTbl">#REF!</definedName>
    <definedName name="Long_title">[16]FP!$E$14</definedName>
    <definedName name="maindata">#REF!</definedName>
    <definedName name="Manager_s">#REF!</definedName>
    <definedName name="MarketList">[14]LOV!$A$13</definedName>
    <definedName name="Markets">[14]LOV!$A$14:$R$14</definedName>
    <definedName name="Mion">[24]Summary!$G$28</definedName>
    <definedName name="MIQ">#REF!</definedName>
    <definedName name="Mission_Critical">#REF!</definedName>
    <definedName name="MK" hidden="1">#REF!</definedName>
    <definedName name="MonthInPriorQuarter">#REF!</definedName>
    <definedName name="MS">#REF!</definedName>
    <definedName name="MS_Business_Continuity_and_Recovery_Service">[14]LOV!#REF!</definedName>
    <definedName name="MS_Software_Publishing">[14]LOV!#REF!</definedName>
    <definedName name="MSa">[12]APJSum!$A$507</definedName>
    <definedName name="MSame">[12]AmeSum!$A$507</definedName>
    <definedName name="MSAP">[13]AmeSum!#REF!</definedName>
    <definedName name="msaspi">#REF!</definedName>
    <definedName name="MSe">[12]EMEASum!$A$507</definedName>
    <definedName name="MSEMEA">[13]AmeSum!#REF!</definedName>
    <definedName name="MSh">[12]HPCoSum!$A$507</definedName>
    <definedName name="MSHPCo">[13]AmeSum!#REF!</definedName>
    <definedName name="MSJP">[13]AmeSum!#REF!</definedName>
    <definedName name="MSo">[12]OGSum!$A$507</definedName>
    <definedName name="MSOG">[13]AmeSum!#REF!</definedName>
    <definedName name="msrestat">#REF!</definedName>
    <definedName name="MSw">#REF!</definedName>
    <definedName name="name">[23]假设!#REF!</definedName>
    <definedName name="name2">[23]假设!#REF!</definedName>
    <definedName name="NED">#REF!</definedName>
    <definedName name="NewBrk1">[25]SPals!#REF!</definedName>
    <definedName name="NewBrk2">[25]SPals!#REF!</definedName>
    <definedName name="NewBrk3">[25]SPals!#REF!</definedName>
    <definedName name="NewBrk4">[25]SPals!#REF!</definedName>
    <definedName name="NewBrk5">[25]SPals!#REF!</definedName>
    <definedName name="Newest_Trading_Day">#REF!</definedName>
    <definedName name="NewRt1">[25]SPals!#REF!</definedName>
    <definedName name="NewRt2">[25]SPals!#REF!</definedName>
    <definedName name="NewRt3">[25]SPals!#REF!</definedName>
    <definedName name="NewRt4">[25]SPals!#REF!</definedName>
    <definedName name="NewRt5">[25]SPals!#REF!</definedName>
    <definedName name="NineMonthsBack">#REF!</definedName>
    <definedName name="NSSa">[12]APJSum!$A$1107</definedName>
    <definedName name="NSSame">[12]AmeSum!$A$1107</definedName>
    <definedName name="NSSe">[12]EMEASum!$A$1107</definedName>
    <definedName name="NSSh">[12]HPCoSum!$A$1107</definedName>
    <definedName name="NSSo">[12]OGSum!$A$1107</definedName>
    <definedName name="NSSw">#REF!</definedName>
    <definedName name="OESS">#REF!</definedName>
    <definedName name="OESSa">[12]APJSum!$A$1207</definedName>
    <definedName name="OESSame">[12]AmeSum!$A$1207</definedName>
    <definedName name="OESSe">[12]EMEASum!$A$1207</definedName>
    <definedName name="OESSh">[12]HPCoSum!$A$1207</definedName>
    <definedName name="OESSo">[12]OGSum!$A$1207</definedName>
    <definedName name="OESSw">#REF!</definedName>
    <definedName name="OG">#REF!</definedName>
    <definedName name="OgCI">#REF!</definedName>
    <definedName name="OgCS">#REF!</definedName>
    <definedName name="OgGBUHq">#REF!</definedName>
    <definedName name="OgMS">#REF!</definedName>
    <definedName name="OgOSS">#REF!</definedName>
    <definedName name="OH">#REF!</definedName>
    <definedName name="OpenPhases">[14]LOV!$D$7:$G$7</definedName>
    <definedName name="OPEX">#REF!</definedName>
    <definedName name="OSS">#REF!</definedName>
    <definedName name="OSSa">[12]APJSum!$A$807</definedName>
    <definedName name="OSSame">[12]AmeSum!$A$807</definedName>
    <definedName name="OSSAP">[13]AmeSum!#REF!</definedName>
    <definedName name="OSSe">[12]EMEASum!$A$807</definedName>
    <definedName name="OSSEMEA">[13]AmeSum!#REF!</definedName>
    <definedName name="OSSh">[12]HPCoSum!$A$807</definedName>
    <definedName name="OSSHPCo">[12]AmeSum!#REF!</definedName>
    <definedName name="OSSJP">[13]AmeSum!#REF!</definedName>
    <definedName name="OSSo">[12]OGSum!$A$807</definedName>
    <definedName name="OSSOG">[13]AmeSum!#REF!</definedName>
    <definedName name="OSSw">#REF!</definedName>
    <definedName name="OtherGeo">#REF!</definedName>
    <definedName name="PhaseList">[14]LOV!$A$6</definedName>
    <definedName name="Phases">[14]LOV!$A$7:$H$7</definedName>
    <definedName name="PL">#REF!</definedName>
    <definedName name="PLAll">#REF!</definedName>
    <definedName name="PLALL1">[26]PLALL!$A$1:$BM$137</definedName>
    <definedName name="PLALL2">[27]PLALL2!$A$1:$BH$37</definedName>
    <definedName name="PLALL3">[28]PLALL!$A$1:$BM$141</definedName>
    <definedName name="Planet_Ame">[29]Planet_Ame!$A$1:$AO$128</definedName>
    <definedName name="Planet_Ame_Q2">#REF!</definedName>
    <definedName name="Planet_AP">[29]Planet_AP!$A$1:$AO$128</definedName>
    <definedName name="Planet_AP_H1">#REF!</definedName>
    <definedName name="Planet_AP_H2">#REF!</definedName>
    <definedName name="Planet_AP_Q2">#REF!</definedName>
    <definedName name="Planet_AP_Q3">#REF!</definedName>
    <definedName name="Planet_AP_Q4">#REF!</definedName>
    <definedName name="Planet_CI">#REF!</definedName>
    <definedName name="Planet_CI_Q2">#REF!</definedName>
    <definedName name="Planet_CI_Q3">#REF!</definedName>
    <definedName name="Planet_CI_Q4">#REF!</definedName>
    <definedName name="Planet_CS">#REF!</definedName>
    <definedName name="Planet_CS_Q2">#REF!</definedName>
    <definedName name="Planet_CS_Q3">#REF!</definedName>
    <definedName name="Planet_CS_Q4">#REF!</definedName>
    <definedName name="Planet_EMEA">[29]Planet_EMEA!$A$1:$AO$128</definedName>
    <definedName name="Planet_EMEA_Q2">#REF!</definedName>
    <definedName name="Planet_EMEA_Q3">#REF!</definedName>
    <definedName name="Planet_EMEA_Q4">#REF!</definedName>
    <definedName name="Planet_JP">#REF!</definedName>
    <definedName name="Planet_JP_Q2">#REF!</definedName>
    <definedName name="Planet_JP_Q3">#REF!</definedName>
    <definedName name="Planet_JP_Q4">#REF!</definedName>
    <definedName name="Planet_MS">#REF!</definedName>
    <definedName name="Planet_MS_Q2">#REF!</definedName>
    <definedName name="Planet_MS_Q3">#REF!</definedName>
    <definedName name="Planet_MS_Q4">#REF!</definedName>
    <definedName name="Planet_OG">[29]Planet_OG!$A$1:$AO$128</definedName>
    <definedName name="Planet_OG_Q2">#REF!</definedName>
    <definedName name="Planet_OG_Q3">#REF!</definedName>
    <definedName name="Planet_OG_Q4">#REF!</definedName>
    <definedName name="Planet_WW">[29]Planet_WW!$A$1:$AO$128</definedName>
    <definedName name="Planet_WW_Q2">#REF!</definedName>
    <definedName name="Planet_WW_Q3">#REF!</definedName>
    <definedName name="Planet_WW_Q4">#REF!</definedName>
    <definedName name="PLBCO">#REF!</definedName>
    <definedName name="PracticeList">[14]LOV!$A$25</definedName>
    <definedName name="Practices">[14]LOV!$A$26:$I$26</definedName>
    <definedName name="_xlnm.Print_Area">#REF!</definedName>
    <definedName name="Print_Area_MI">#REF!</definedName>
    <definedName name="Print_Tables">#REF!,#REF!,#REF!,#REF!,#REF!,#REF!</definedName>
    <definedName name="prior">'[9]FY00 Restated'!$A$2:$P$48</definedName>
    <definedName name="Prior_Flash">[19]FP!$D$31</definedName>
    <definedName name="Prior_Half">'[19]Time Dimension Lookup'!$E$3</definedName>
    <definedName name="Prior_Qtr_a">'[19]Time Dimension Lookup'!$C$3</definedName>
    <definedName name="Prior_Qtr_b">'[19]Time Dimension Lookup'!$D$3</definedName>
    <definedName name="PriorMonth">#REF!</definedName>
    <definedName name="PriorQuarter">#REF!</definedName>
    <definedName name="Probabilities">[14]LOV!$A$4:$F$4</definedName>
    <definedName name="ProbList">[14]LOV!$A$3</definedName>
    <definedName name="PSI">#REF!</definedName>
    <definedName name="pull">#REF!</definedName>
    <definedName name="q">#REF!</definedName>
    <definedName name="Q1_Rev_GM">#REF!</definedName>
    <definedName name="Q2_Rev_GM">#REF!</definedName>
    <definedName name="Q3BEGIN">#REF!</definedName>
    <definedName name="Q3R">#REF!</definedName>
    <definedName name="Q4BEG">#REF!</definedName>
    <definedName name="Q4R">#REF!</definedName>
    <definedName name="qqq">#REF!</definedName>
    <definedName name="QQQQQQQQQQ">#REF!</definedName>
    <definedName name="qtd">#REF!</definedName>
    <definedName name="qtd_col_match">#REF!</definedName>
    <definedName name="qtd_row_match">#REF!</definedName>
    <definedName name="QTRPercent">[16]FP!$E$50</definedName>
    <definedName name="Recon">[16]Recon!$A$1:$D$15</definedName>
    <definedName name="Recorder">#N/A</definedName>
    <definedName name="refno">#REF!</definedName>
    <definedName name="RegEFROct">#REF!</definedName>
    <definedName name="RegEFRSept">#REF!</definedName>
    <definedName name="RegRev">#REF!</definedName>
    <definedName name="RETRIEVAL">#REF!</definedName>
    <definedName name="RETRIEVE_REST">[30]Restate!$E$10</definedName>
    <definedName name="RMCOptions">"*110000000000000"</definedName>
    <definedName name="s" hidden="1">#REF!</definedName>
    <definedName name="SAP__Company_Code__Char_4">#REF!</definedName>
    <definedName name="SAPBEXdnldView" hidden="1">"438H1HWHLBNDYC4GPYBDG3HH0"</definedName>
    <definedName name="SAPBEXrevision" hidden="1">2</definedName>
    <definedName name="SAPBEXsysID" hidden="1">"BWP"</definedName>
    <definedName name="SAPBEXwbID" hidden="1">"3UI2QXGJXX7RQVSLMH71UA3V7"</definedName>
    <definedName name="sdf">#REF!</definedName>
    <definedName name="sencount" hidden="1">1</definedName>
    <definedName name="sequential">'[11]Comet Sequential'!$A:$IV</definedName>
    <definedName name="sequential_col_match">'[11]Comet Sequential'!$A$2:$IV$2</definedName>
    <definedName name="sequential_row_match">'[11]Comet Sequential'!$A$1:$A$65536</definedName>
    <definedName name="SevenMonthsBack">#REF!</definedName>
    <definedName name="SFALL">'[10]Pull All SFs'!#REF!</definedName>
    <definedName name="SFALLTEMP">#REF!</definedName>
    <definedName name="SGBU">#REF!</definedName>
    <definedName name="SGBU.Amer">#REF!</definedName>
    <definedName name="SGBU.AP">#REF!</definedName>
    <definedName name="SGBU.EMEA">#REF!</definedName>
    <definedName name="shour">#REF!</definedName>
    <definedName name="SixMonthsBack">#REF!</definedName>
    <definedName name="sort" hidden="1">#REF!</definedName>
    <definedName name="SPEND_TOTAL">#REF!</definedName>
    <definedName name="SPENT_TOTAL">#REF!</definedName>
    <definedName name="StartDate">[14]LOV!$A$1</definedName>
    <definedName name="Summary_Data">'[31]Summary Data'!$A$4:$B$8,'[31]Summary Data'!$A$10:$I$85</definedName>
    <definedName name="SWa">[12]APJSum!$A$307</definedName>
    <definedName name="SWame">[12]AmeSum!$A$307</definedName>
    <definedName name="SWD">#REF!</definedName>
    <definedName name="SWe">[12]EMEASum!$A$307</definedName>
    <definedName name="SWh">[12]HPCoSum!$A$307</definedName>
    <definedName name="SWo">[12]OGSum!$A$307</definedName>
    <definedName name="SWw">#REF!</definedName>
    <definedName name="T" hidden="1">#REF!</definedName>
    <definedName name="targets">'[9]FY01 Quota'!$A$2:$P$41</definedName>
    <definedName name="Tbl_Location_Sel">[7]Tables!$D$8</definedName>
    <definedName name="TenMonthsBack">#REF!</definedName>
    <definedName name="TEST0">'[32]Raw materials'!#REF!</definedName>
    <definedName name="TEST1">#REF!</definedName>
    <definedName name="TESTHKEY">#REF!</definedName>
    <definedName name="TESTKEYS">#REF!</definedName>
    <definedName name="TESTVKEY">#REF!</definedName>
    <definedName name="Time0">[16]FP!$D$60</definedName>
    <definedName name="Time1">[16]FP!$E$60</definedName>
    <definedName name="Time2">[16]FP!$F$60</definedName>
    <definedName name="Time3">[16]FP!$G$60</definedName>
    <definedName name="Time4">[16]FP!$H$60</definedName>
    <definedName name="Time5">[16]FP!$I$60</definedName>
    <definedName name="Trading_Day">#REF!</definedName>
    <definedName name="TS">#REF!</definedName>
    <definedName name="TSG">#REF!</definedName>
    <definedName name="TSG.Reg">#REF!</definedName>
    <definedName name="TSGa">#REF!</definedName>
    <definedName name="TSGame">#REF!</definedName>
    <definedName name="TSGe">#REF!</definedName>
    <definedName name="TSGo">[12]OGSum!$A$7</definedName>
    <definedName name="TSGw">#REF!</definedName>
    <definedName name="TwoMonthsBack">#REF!</definedName>
    <definedName name="vcplq302">'[33]Comet Q202 Flash'!$A:$IV</definedName>
    <definedName name="vcplq302_col_match">'[33]Comet Q202 Flash'!$A$2:$IV$2</definedName>
    <definedName name="vcplq302_row_match">'[33]Comet Q202 Flash'!$A$1:$A$65536</definedName>
    <definedName name="Version">[16]FP!$F$16</definedName>
    <definedName name="Version0">[16]FP!$F$26</definedName>
    <definedName name="Version1">[16]FP!$F$30</definedName>
    <definedName name="Version2">[16]FP!$F$32</definedName>
    <definedName name="Version3">[16]FP!$F$34</definedName>
    <definedName name="Version4">[16]FP!$F$36</definedName>
    <definedName name="vivek" hidden="1">#REF!</definedName>
    <definedName name="VIVEK1" hidden="1">#REF!</definedName>
    <definedName name="VIVEK123" hidden="1">#REF!</definedName>
    <definedName name="w" hidden="1">#REF!</definedName>
    <definedName name="web_data">#REF!</definedName>
    <definedName name="WM99_APD">#REF!</definedName>
    <definedName name="WM99_EMEA">#REF!</definedName>
    <definedName name="WM99_GCD">#REF!</definedName>
    <definedName name="WM99_JP">#REF!</definedName>
    <definedName name="WM99_LA">#REF!</definedName>
    <definedName name="WM99_NA">#REF!</definedName>
    <definedName name="WWops">#REF!</definedName>
    <definedName name="XPRESS">#REF!</definedName>
    <definedName name="XPRESSSF">#REF!</definedName>
    <definedName name="Y">'[34]Total Financials'!#REF!</definedName>
    <definedName name="YEAR">#REF!</definedName>
    <definedName name="Year_Rev_GM">#REF!</definedName>
    <definedName name="YesFormula">#REF!</definedName>
    <definedName name="yoy">'[11]Comet yoy'!$A:$IV</definedName>
    <definedName name="yoy_col_match">'[11]Comet yoy'!$A$2:$IV$2</definedName>
    <definedName name="yoy_row_match">'[11]Comet yoy'!$A$1:$A$65536</definedName>
    <definedName name="YrFnPull">#REF!</definedName>
    <definedName name="阿紫">#REF!</definedName>
    <definedName name="安装费">#REF!</definedName>
    <definedName name="保修成本">#REF!</definedName>
    <definedName name="备件费">#REF!</definedName>
    <definedName name="变动制造费用">#REF!</definedName>
    <definedName name="并购整合费用">#REF!</definedName>
    <definedName name="不良品损失">#REF!</definedName>
    <definedName name="材料成本">#REF!</definedName>
    <definedName name="材料毛利率">#REF!</definedName>
    <definedName name="财务">#REF!</definedName>
    <definedName name="财务费用">#REF!</definedName>
    <definedName name="采购服务费用">#REF!</definedName>
    <definedName name="产品">#REF!</definedName>
    <definedName name="产品质量责任保险">#REF!</definedName>
    <definedName name="产业线">[35]Sheet3!#REF!</definedName>
    <definedName name="出口退税差异">#REF!</definedName>
    <definedName name="存货跌价准备">#REF!</definedName>
    <definedName name="大多数">[36]XL4Poppy!$A$15</definedName>
    <definedName name="大盘">#REF!</definedName>
    <definedName name="电话中心代理费">#REF!</definedName>
    <definedName name="法律">#REF!</definedName>
    <definedName name="费用补贴">#REF!</definedName>
    <definedName name="费用率.">#REF!</definedName>
    <definedName name="费用总额">#REF!</definedName>
    <definedName name="否">[37]新品台帐!#REF!</definedName>
    <definedName name="工厂产成品">#REF!</definedName>
    <definedName name="工程项目管理费">#REF!</definedName>
    <definedName name="供应商返利">#REF!</definedName>
    <definedName name="固定制造费用_SG_A">#REF!</definedName>
    <definedName name="固定制造费用_折旧">#REF!</definedName>
    <definedName name="管理部门组织运营费">#REF!</definedName>
    <definedName name="管理费用">#REF!</definedName>
    <definedName name="管理类折旧摊销">#REF!</definedName>
    <definedName name="管理人员人工成本">#REF!</definedName>
    <definedName name="广告费">#REF!</definedName>
    <definedName name="国内外产成品">#REF!</definedName>
    <definedName name="海尔CCT_青岛_通讯有限公司">#REF!</definedName>
    <definedName name="海尔通讯产品2005_1到2005_7经营费用工贸费用预算完成总结汇总">#REF!</definedName>
    <definedName name="海外售后费用">#REF!</definedName>
    <definedName name="后返补差">#REF!</definedName>
    <definedName name="后返政策">#REF!</definedName>
    <definedName name="坏账准备">#REF!</definedName>
    <definedName name="汇兑损益">#REF!</definedName>
    <definedName name="集团">#REF!</definedName>
    <definedName name="家采">#REF!</definedName>
    <definedName name="家采预案">#REF!</definedName>
    <definedName name="家空采购">#REF!</definedName>
    <definedName name="家空采购预案">#REF!</definedName>
    <definedName name="家空研发">#REF!</definedName>
    <definedName name="家空研发预案">#REF!</definedName>
    <definedName name="家研">#REF!</definedName>
    <definedName name="家研预案">#REF!</definedName>
    <definedName name="间接费用">#REF!</definedName>
    <definedName name="检测试验费">#REF!</definedName>
    <definedName name="节能补贴">#REF!</definedName>
    <definedName name="进出口费用">#REF!</definedName>
    <definedName name="净利润">#REF!</definedName>
    <definedName name="净销售收入">#REF!</definedName>
    <definedName name="了">#REF!</definedName>
    <definedName name="利息费用">#REF!</definedName>
    <definedName name="模具费">#REF!</definedName>
    <definedName name="内销1">#REF!</definedName>
    <definedName name="哦婆婆">#REF!</definedName>
    <definedName name="品牌推广">#REF!</definedName>
    <definedName name="凄凄切切">#REF!</definedName>
    <definedName name="青岛园区布局地图">#REF!</definedName>
    <definedName name="渠道成本">#REF!</definedName>
    <definedName name="人力">#REF!</definedName>
    <definedName name="认证费">#REF!</definedName>
    <definedName name="日清推移1129">#REF!</definedName>
    <definedName name="商采">#REF!</definedName>
    <definedName name="商采预案">#REF!</definedName>
    <definedName name="商空采购">#REF!</definedName>
    <definedName name="商空采购预案">#REF!</definedName>
    <definedName name="商空研发">#REF!</definedName>
    <definedName name="商空研发预案">#REF!</definedName>
    <definedName name="商研">#REF!</definedName>
    <definedName name="商研预案">#REF!</definedName>
    <definedName name="商业政策">#REF!</definedName>
    <definedName name="设计开发费">#REF!</definedName>
    <definedName name="市场调研费">#REF!</definedName>
    <definedName name="手续费">#REF!</definedName>
    <definedName name="税金及附加">#REF!</definedName>
    <definedName name="税前利润">#REF!</definedName>
    <definedName name="税前利润率">#REF!</definedName>
    <definedName name="速度2222">#REF!</definedName>
    <definedName name="所得税">#REF!</definedName>
    <definedName name="他">#REF!</definedName>
    <definedName name="特殊事故费用">#REF!</definedName>
    <definedName name="_xlnm.Extract">#REF!</definedName>
    <definedName name="统筹预提">#REF!</definedName>
    <definedName name="维修费">#REF!</definedName>
    <definedName name="物流成本">#REF!</definedName>
    <definedName name="项目">#REF!</definedName>
    <definedName name="销量">#REF!</definedName>
    <definedName name="销售部门组织运营费">#REF!</definedName>
    <definedName name="销售成本">#REF!</definedName>
    <definedName name="销售费用">#REF!</definedName>
    <definedName name="销售类折旧摊销">#REF!</definedName>
    <definedName name="销售毛利">#REF!</definedName>
    <definedName name="销售毛利率">#REF!</definedName>
    <definedName name="销售毛收入">#REF!</definedName>
    <definedName name="销售人员人工成本">#REF!</definedName>
    <definedName name="销售收入">#REF!</definedName>
    <definedName name="销售退回">#REF!</definedName>
    <definedName name="销售折扣">#REF!</definedName>
    <definedName name="新">'[4]Total Financials'!#REF!</definedName>
    <definedName name="星级服务费">#REF!</definedName>
    <definedName name="研发部门组织运营费">#REF!</definedName>
    <definedName name="研发费用">#REF!</definedName>
    <definedName name="研发费用统筹">#REF!</definedName>
    <definedName name="研发类折旧摊销">#REF!</definedName>
    <definedName name="研发人员人工成本">#REF!</definedName>
    <definedName name="研发专利费">#REF!</definedName>
    <definedName name="引流及注塑预案" hidden="1">#REF!</definedName>
    <definedName name="营业利润.">#REF!</definedName>
    <definedName name="营业利润率">#REF!</definedName>
    <definedName name="预案">#REF!</definedName>
    <definedName name="预案大宗">#REF!</definedName>
    <definedName name="原材料">#REF!</definedName>
    <definedName name="运输费用">#REF!</definedName>
    <definedName name="战略性开支">#REF!</definedName>
    <definedName name="折旧额">#REF!</definedName>
    <definedName name="直扣政策">#REF!</definedName>
    <definedName name="制造费用">#REF!</definedName>
    <definedName name="重庆资源网络">#REF!</definedName>
    <definedName name="资源">#REF!</definedName>
    <definedName name="전">#REF!</definedName>
    <definedName name="주택사업본부">#REF!</definedName>
    <definedName name="철구사업본부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7" i="69" l="1"/>
  <c r="J6" i="69"/>
  <c r="F6" i="69"/>
  <c r="F5" i="69"/>
  <c r="F4" i="69"/>
  <c r="BE16" i="67"/>
  <c r="BC16" i="67"/>
  <c r="BA16" i="67"/>
  <c r="AY16" i="67"/>
  <c r="AW16" i="67"/>
  <c r="AU16" i="67"/>
  <c r="AS16" i="67"/>
  <c r="AQ16" i="67"/>
  <c r="AO16" i="67"/>
  <c r="AM16" i="67"/>
  <c r="AK16" i="67"/>
  <c r="AI16" i="67"/>
  <c r="AG16" i="67"/>
  <c r="AE16" i="67"/>
  <c r="AC16" i="67"/>
  <c r="AA16" i="67"/>
  <c r="Y16" i="67"/>
  <c r="W16" i="67"/>
  <c r="U16" i="67"/>
  <c r="S16" i="67"/>
  <c r="Q16" i="67"/>
  <c r="O16" i="67"/>
  <c r="M16" i="67"/>
  <c r="K16" i="67"/>
  <c r="I16" i="67"/>
  <c r="G16" i="67"/>
  <c r="E16" i="67"/>
  <c r="C16" i="67"/>
  <c r="BF15" i="67"/>
  <c r="BE15" i="67"/>
  <c r="BD15" i="67"/>
  <c r="BC15" i="67"/>
  <c r="BB15" i="67"/>
  <c r="BA15" i="67"/>
  <c r="AZ15" i="67"/>
  <c r="AY15" i="67"/>
  <c r="AX15" i="67"/>
  <c r="AW15" i="67"/>
  <c r="AV15" i="67"/>
  <c r="AU15" i="67"/>
  <c r="AT15" i="67"/>
  <c r="AS15" i="67"/>
  <c r="AR15" i="67"/>
  <c r="AQ15" i="67"/>
  <c r="AP15" i="67"/>
  <c r="AO15" i="67"/>
  <c r="AN15" i="67"/>
  <c r="AM15" i="67"/>
  <c r="AL15" i="67"/>
  <c r="AK15" i="67"/>
  <c r="AJ15" i="67"/>
  <c r="AI15" i="67"/>
  <c r="AH15" i="67"/>
  <c r="AG15" i="67"/>
  <c r="AF15" i="67"/>
  <c r="AE15" i="67"/>
  <c r="AD15" i="67"/>
  <c r="AC15" i="67"/>
  <c r="AB15" i="67"/>
  <c r="AA15" i="67"/>
  <c r="Z15" i="67"/>
  <c r="Y15" i="67"/>
  <c r="X15" i="67"/>
  <c r="W15" i="67"/>
  <c r="V15" i="67"/>
  <c r="U15" i="67"/>
  <c r="T15" i="67"/>
  <c r="S15" i="67"/>
  <c r="R15" i="67"/>
  <c r="Q15" i="67"/>
  <c r="P15" i="67"/>
  <c r="O15" i="67"/>
  <c r="N15" i="67"/>
  <c r="M15" i="67"/>
  <c r="L15" i="67"/>
  <c r="K15" i="67"/>
  <c r="J15" i="67"/>
  <c r="I15" i="67"/>
  <c r="H15" i="67"/>
  <c r="G15" i="67"/>
  <c r="F15" i="67"/>
  <c r="E15" i="67"/>
  <c r="D15" i="67"/>
  <c r="C15" i="67"/>
  <c r="BE14" i="67"/>
  <c r="BC14" i="67"/>
  <c r="BA14" i="67"/>
  <c r="AY14" i="67"/>
  <c r="AW14" i="67"/>
  <c r="AU14" i="67"/>
  <c r="AS14" i="67"/>
  <c r="AQ14" i="67"/>
  <c r="AO14" i="67"/>
  <c r="AM14" i="67"/>
  <c r="AK14" i="67"/>
  <c r="AI14" i="67"/>
  <c r="AG14" i="67"/>
  <c r="AE14" i="67"/>
  <c r="AC14" i="67"/>
  <c r="AA14" i="67"/>
  <c r="Y14" i="67"/>
  <c r="W14" i="67"/>
  <c r="U14" i="67"/>
  <c r="S14" i="67"/>
  <c r="Q14" i="67"/>
  <c r="O14" i="67"/>
  <c r="M14" i="67"/>
  <c r="K14" i="67"/>
  <c r="I14" i="67"/>
  <c r="G14" i="67"/>
  <c r="E14" i="67"/>
  <c r="C14" i="67"/>
  <c r="BF13" i="67"/>
  <c r="BD13" i="67"/>
  <c r="BB13" i="67"/>
  <c r="AZ13" i="67"/>
  <c r="AX13" i="67"/>
  <c r="AV13" i="67"/>
  <c r="AT13" i="67"/>
  <c r="AR13" i="67"/>
  <c r="AP13" i="67"/>
  <c r="AN13" i="67"/>
  <c r="AL13" i="67"/>
  <c r="AJ13" i="67"/>
  <c r="AH13" i="67"/>
  <c r="AF13" i="67"/>
  <c r="AD13" i="67"/>
  <c r="AB13" i="67"/>
  <c r="Z13" i="67"/>
  <c r="X13" i="67"/>
  <c r="V13" i="67"/>
  <c r="T13" i="67"/>
  <c r="R13" i="67"/>
  <c r="P13" i="67"/>
  <c r="N13" i="67"/>
  <c r="L13" i="67"/>
  <c r="J13" i="67"/>
  <c r="H13" i="67"/>
  <c r="F13" i="67"/>
  <c r="D13" i="67"/>
  <c r="BF12" i="67"/>
  <c r="BD12" i="67"/>
  <c r="BB12" i="67"/>
  <c r="AZ12" i="67"/>
  <c r="AX12" i="67"/>
  <c r="AV12" i="67"/>
  <c r="AT12" i="67"/>
  <c r="AR12" i="67"/>
  <c r="AP12" i="67"/>
  <c r="AN12" i="67"/>
  <c r="AL12" i="67"/>
  <c r="AJ12" i="67"/>
  <c r="AH12" i="67"/>
  <c r="AF12" i="67"/>
  <c r="AD12" i="67"/>
  <c r="AB12" i="67"/>
  <c r="Z12" i="67"/>
  <c r="X12" i="67"/>
  <c r="V12" i="67"/>
  <c r="T12" i="67"/>
  <c r="R12" i="67"/>
  <c r="P12" i="67"/>
  <c r="N12" i="67"/>
  <c r="L12" i="67"/>
  <c r="J12" i="67"/>
  <c r="H12" i="67"/>
  <c r="F12" i="67"/>
  <c r="D12" i="67"/>
  <c r="BE11" i="67"/>
  <c r="BC11" i="67"/>
  <c r="BA11" i="67"/>
  <c r="AY11" i="67"/>
  <c r="AW11" i="67"/>
  <c r="AU11" i="67"/>
  <c r="AS11" i="67"/>
  <c r="AQ11" i="67"/>
  <c r="AO11" i="67"/>
  <c r="AM11" i="67"/>
  <c r="AK11" i="67"/>
  <c r="AI11" i="67"/>
  <c r="AG11" i="67"/>
  <c r="AE11" i="67"/>
  <c r="AC11" i="67"/>
  <c r="AA11" i="67"/>
  <c r="Y11" i="67"/>
  <c r="W11" i="67"/>
  <c r="U11" i="67"/>
  <c r="S11" i="67"/>
  <c r="Q11" i="67"/>
  <c r="O11" i="67"/>
  <c r="M11" i="67"/>
  <c r="K11" i="67"/>
  <c r="I11" i="67"/>
  <c r="G11" i="67"/>
  <c r="E11" i="67"/>
  <c r="C11" i="67"/>
  <c r="BF10" i="67"/>
  <c r="BD10" i="67"/>
  <c r="BB10" i="67"/>
  <c r="AZ10" i="67"/>
  <c r="AX10" i="67"/>
  <c r="AV10" i="67"/>
  <c r="AT10" i="67"/>
  <c r="AR10" i="67"/>
  <c r="AP10" i="67"/>
  <c r="AN10" i="67"/>
  <c r="AL10" i="67"/>
  <c r="AJ10" i="67"/>
  <c r="AH10" i="67"/>
  <c r="AF10" i="67"/>
  <c r="AD10" i="67"/>
  <c r="AB10" i="67"/>
  <c r="Z10" i="67"/>
  <c r="X10" i="67"/>
  <c r="V10" i="67"/>
  <c r="T10" i="67"/>
  <c r="R10" i="67"/>
  <c r="P10" i="67"/>
  <c r="N10" i="67"/>
  <c r="L10" i="67"/>
  <c r="J10" i="67"/>
  <c r="H10" i="67"/>
  <c r="F10" i="67"/>
  <c r="D10" i="67"/>
  <c r="BF9" i="67"/>
  <c r="BD9" i="67"/>
  <c r="BB9" i="67"/>
  <c r="AZ9" i="67"/>
  <c r="AX9" i="67"/>
  <c r="AV9" i="67"/>
  <c r="AT9" i="67"/>
  <c r="AR9" i="67"/>
  <c r="AP9" i="67"/>
  <c r="AN9" i="67"/>
  <c r="AL9" i="67"/>
  <c r="AJ9" i="67"/>
  <c r="AH9" i="67"/>
  <c r="AF9" i="67"/>
  <c r="AD9" i="67"/>
  <c r="AB9" i="67"/>
  <c r="Z9" i="67"/>
  <c r="X9" i="67"/>
  <c r="V9" i="67"/>
  <c r="T9" i="67"/>
  <c r="R9" i="67"/>
  <c r="P9" i="67"/>
  <c r="N9" i="67"/>
  <c r="L9" i="67"/>
  <c r="J9" i="67"/>
  <c r="H9" i="67"/>
  <c r="F9" i="67"/>
  <c r="D9" i="67"/>
  <c r="BE8" i="67"/>
  <c r="BC8" i="67"/>
  <c r="BA8" i="67"/>
  <c r="AY8" i="67"/>
  <c r="AW8" i="67"/>
  <c r="AU8" i="67"/>
  <c r="AS8" i="67"/>
  <c r="AQ8" i="67"/>
  <c r="AO8" i="67"/>
  <c r="AM8" i="67"/>
  <c r="AK8" i="67"/>
  <c r="AI8" i="67"/>
  <c r="AG8" i="67"/>
  <c r="AE8" i="67"/>
  <c r="AC8" i="67"/>
  <c r="AA8" i="67"/>
  <c r="Y8" i="67"/>
  <c r="W8" i="67"/>
  <c r="U8" i="67"/>
  <c r="S8" i="67"/>
  <c r="Q8" i="67"/>
  <c r="O8" i="67"/>
  <c r="M8" i="67"/>
  <c r="K8" i="67"/>
  <c r="I8" i="67"/>
  <c r="G8" i="67"/>
  <c r="E8" i="67"/>
  <c r="C8" i="67"/>
  <c r="BF7" i="67"/>
  <c r="BD7" i="67"/>
  <c r="BB7" i="67"/>
  <c r="AZ7" i="67"/>
  <c r="AX7" i="67"/>
  <c r="AV7" i="67"/>
  <c r="AT7" i="67"/>
  <c r="AR7" i="67"/>
  <c r="AP7" i="67"/>
  <c r="AN7" i="67"/>
  <c r="AL7" i="67"/>
  <c r="AJ7" i="67"/>
  <c r="AH7" i="67"/>
  <c r="AF7" i="67"/>
  <c r="AD7" i="67"/>
  <c r="AB7" i="67"/>
  <c r="Z7" i="67"/>
  <c r="X7" i="67"/>
  <c r="V7" i="67"/>
  <c r="T7" i="67"/>
  <c r="R7" i="67"/>
  <c r="P7" i="67"/>
  <c r="N7" i="67"/>
  <c r="L7" i="67"/>
  <c r="J7" i="67"/>
  <c r="H7" i="67"/>
  <c r="F7" i="67"/>
  <c r="D7" i="67"/>
  <c r="BF6" i="67"/>
  <c r="BD6" i="67"/>
  <c r="BB6" i="67"/>
  <c r="AZ6" i="67"/>
  <c r="AX6" i="67"/>
  <c r="AV6" i="67"/>
  <c r="AT6" i="67"/>
  <c r="AR6" i="67"/>
  <c r="AP6" i="67"/>
  <c r="AN6" i="67"/>
  <c r="AL6" i="67"/>
  <c r="AJ6" i="67"/>
  <c r="AH6" i="67"/>
  <c r="AF6" i="67"/>
  <c r="AD6" i="67"/>
  <c r="AB6" i="67"/>
  <c r="Z6" i="67"/>
  <c r="X6" i="67"/>
  <c r="V6" i="67"/>
  <c r="T6" i="67"/>
  <c r="R6" i="67"/>
  <c r="P6" i="67"/>
  <c r="N6" i="67"/>
  <c r="L6" i="67"/>
  <c r="J6" i="67"/>
  <c r="H6" i="67"/>
  <c r="F6" i="67"/>
  <c r="D6" i="67"/>
  <c r="Z30" i="62"/>
  <c r="Y30" i="62"/>
  <c r="X30" i="62"/>
  <c r="W30" i="62"/>
  <c r="V30" i="62"/>
  <c r="U30" i="62"/>
  <c r="T30" i="62"/>
  <c r="S30" i="62"/>
  <c r="R30" i="62"/>
  <c r="Q30" i="62"/>
  <c r="P30" i="62"/>
  <c r="O30" i="62"/>
  <c r="N30" i="62"/>
  <c r="M30" i="62"/>
  <c r="L30" i="62"/>
  <c r="K30" i="62"/>
  <c r="J30" i="62"/>
  <c r="I30" i="62"/>
  <c r="H30" i="62"/>
  <c r="G30" i="62"/>
  <c r="F30" i="62"/>
  <c r="E30" i="62"/>
  <c r="Z29" i="62"/>
  <c r="Y29" i="62"/>
  <c r="X29" i="62"/>
  <c r="W29" i="62"/>
  <c r="V29" i="62"/>
  <c r="U29" i="62"/>
  <c r="T29" i="62"/>
  <c r="S29" i="62"/>
  <c r="R29" i="62"/>
  <c r="Q29" i="62"/>
  <c r="P29" i="62"/>
  <c r="O29" i="62"/>
  <c r="N29" i="62"/>
  <c r="M29" i="62"/>
  <c r="L29" i="62"/>
  <c r="K29" i="62"/>
  <c r="J29" i="62"/>
  <c r="I29" i="62"/>
  <c r="H29" i="62"/>
  <c r="G29" i="62"/>
  <c r="F29" i="62"/>
  <c r="E29" i="62"/>
  <c r="C28" i="62"/>
  <c r="S27" i="62"/>
  <c r="C27" i="62"/>
  <c r="Z24" i="62"/>
  <c r="Y24" i="62"/>
  <c r="X24" i="62"/>
  <c r="W24" i="62"/>
  <c r="V24" i="62"/>
  <c r="U24" i="62"/>
  <c r="T24" i="62"/>
  <c r="S24" i="62"/>
  <c r="R24" i="62"/>
  <c r="Q24" i="62"/>
  <c r="P24" i="62"/>
  <c r="O24" i="62"/>
  <c r="N24" i="62"/>
  <c r="M24" i="62"/>
  <c r="L24" i="62"/>
  <c r="K24" i="62"/>
  <c r="J24" i="62"/>
  <c r="I24" i="62"/>
  <c r="H24" i="62"/>
  <c r="G24" i="62"/>
  <c r="F24" i="62"/>
  <c r="E24" i="62"/>
  <c r="Z23" i="62"/>
  <c r="Y23" i="62"/>
  <c r="X23" i="62"/>
  <c r="W23" i="62"/>
  <c r="V23" i="62"/>
  <c r="U23" i="62"/>
  <c r="T23" i="62"/>
  <c r="S23" i="62"/>
  <c r="R23" i="62"/>
  <c r="Q23" i="62"/>
  <c r="P23" i="62"/>
  <c r="O23" i="62"/>
  <c r="N23" i="62"/>
  <c r="M23" i="62"/>
  <c r="L23" i="62"/>
  <c r="K23" i="62"/>
  <c r="J23" i="62"/>
  <c r="I23" i="62"/>
  <c r="H23" i="62"/>
  <c r="G23" i="62"/>
  <c r="F23" i="62"/>
  <c r="E23" i="62"/>
  <c r="C22" i="62"/>
  <c r="S21" i="62"/>
  <c r="C21" i="62"/>
  <c r="Z18" i="62"/>
  <c r="Y18" i="62"/>
  <c r="X18" i="62"/>
  <c r="W18" i="62"/>
  <c r="V18" i="62"/>
  <c r="U18" i="62"/>
  <c r="T18" i="62"/>
  <c r="S18" i="62"/>
  <c r="R18" i="62"/>
  <c r="Q18" i="62"/>
  <c r="P18" i="62"/>
  <c r="O18" i="62"/>
  <c r="N18" i="62"/>
  <c r="M18" i="62"/>
  <c r="L18" i="62"/>
  <c r="K18" i="62"/>
  <c r="J18" i="62"/>
  <c r="I18" i="62"/>
  <c r="H18" i="62"/>
  <c r="G18" i="62"/>
  <c r="F18" i="62"/>
  <c r="E18" i="62"/>
  <c r="Z17" i="62"/>
  <c r="Y17" i="62"/>
  <c r="X17" i="62"/>
  <c r="W17" i="62"/>
  <c r="V17" i="62"/>
  <c r="U17" i="62"/>
  <c r="T17" i="62"/>
  <c r="S17" i="62"/>
  <c r="R17" i="62"/>
  <c r="Q17" i="62"/>
  <c r="P17" i="62"/>
  <c r="O17" i="62"/>
  <c r="N17" i="62"/>
  <c r="M17" i="62"/>
  <c r="L17" i="62"/>
  <c r="K17" i="62"/>
  <c r="J17" i="62"/>
  <c r="I17" i="62"/>
  <c r="H17" i="62"/>
  <c r="G17" i="62"/>
  <c r="F17" i="62"/>
  <c r="E17" i="62"/>
  <c r="C16" i="62"/>
  <c r="C15" i="62"/>
  <c r="Z12" i="62"/>
  <c r="Y12" i="62"/>
  <c r="X12" i="62"/>
  <c r="W12" i="62"/>
  <c r="V12" i="62"/>
  <c r="U12" i="62"/>
  <c r="T12" i="62"/>
  <c r="S12" i="62"/>
  <c r="R12" i="62"/>
  <c r="Q12" i="62"/>
  <c r="P12" i="62"/>
  <c r="O12" i="62"/>
  <c r="N12" i="62"/>
  <c r="M12" i="62"/>
  <c r="L12" i="62"/>
  <c r="K12" i="62"/>
  <c r="J12" i="62"/>
  <c r="I12" i="62"/>
  <c r="H12" i="62"/>
  <c r="G12" i="62"/>
  <c r="F12" i="62"/>
  <c r="E12" i="62"/>
  <c r="C12" i="62"/>
  <c r="Z11" i="62"/>
  <c r="Y11" i="62"/>
  <c r="X11" i="62"/>
  <c r="W11" i="62"/>
  <c r="V11" i="62"/>
  <c r="U11" i="62"/>
  <c r="T11" i="62"/>
  <c r="S11" i="62"/>
  <c r="R11" i="62"/>
  <c r="Q11" i="62"/>
  <c r="P11" i="62"/>
  <c r="O11" i="62"/>
  <c r="N11" i="62"/>
  <c r="M11" i="62"/>
  <c r="L11" i="62"/>
  <c r="K11" i="62"/>
  <c r="J11" i="62"/>
  <c r="I11" i="62"/>
  <c r="H11" i="62"/>
  <c r="G11" i="62"/>
  <c r="F11" i="62"/>
  <c r="E11" i="62"/>
  <c r="C11" i="62"/>
  <c r="C10" i="62"/>
  <c r="C9" i="62"/>
  <c r="Z6" i="62"/>
  <c r="Y6" i="62"/>
  <c r="X6" i="62"/>
  <c r="W6" i="62"/>
  <c r="V6" i="62"/>
  <c r="U6" i="62"/>
  <c r="T6" i="62"/>
  <c r="S6" i="62"/>
  <c r="R6" i="62"/>
  <c r="Q6" i="62"/>
  <c r="P6" i="62"/>
  <c r="O6" i="62"/>
  <c r="N6" i="62"/>
  <c r="M6" i="62"/>
  <c r="L6" i="62"/>
  <c r="K6" i="62"/>
  <c r="J6" i="62"/>
  <c r="I6" i="62"/>
  <c r="H6" i="62"/>
  <c r="G6" i="62"/>
  <c r="F6" i="62"/>
  <c r="E6" i="62"/>
  <c r="Z5" i="62"/>
  <c r="Y5" i="62"/>
  <c r="X5" i="62"/>
  <c r="W5" i="62"/>
  <c r="V5" i="62"/>
  <c r="U5" i="62"/>
  <c r="T5" i="62"/>
  <c r="S5" i="62"/>
  <c r="R5" i="62"/>
  <c r="Q5" i="62"/>
  <c r="P5" i="62"/>
  <c r="O5" i="62"/>
  <c r="N5" i="62"/>
  <c r="M5" i="62"/>
  <c r="L5" i="62"/>
  <c r="K5" i="62"/>
  <c r="J5" i="62"/>
  <c r="I5" i="62"/>
  <c r="H5" i="62"/>
  <c r="G5" i="62"/>
  <c r="F5" i="62"/>
  <c r="E5" i="62"/>
  <c r="C4" i="62"/>
  <c r="C3" i="62"/>
  <c r="AV36" i="59"/>
  <c r="AU36" i="59"/>
  <c r="AT36" i="59"/>
  <c r="AS36" i="59"/>
  <c r="AR36" i="59"/>
  <c r="AQ36" i="59"/>
  <c r="AP36" i="59"/>
  <c r="AO36" i="59"/>
  <c r="AN36" i="59"/>
  <c r="AM36" i="59"/>
  <c r="AL36" i="59"/>
  <c r="AK36" i="59"/>
  <c r="AX31" i="59"/>
  <c r="AW31" i="59"/>
  <c r="AV31" i="59"/>
  <c r="AU31" i="59"/>
  <c r="AT31" i="59"/>
  <c r="AS31" i="59"/>
  <c r="AR31" i="59"/>
  <c r="AQ31" i="59"/>
  <c r="AP31" i="59"/>
  <c r="AO31" i="59"/>
  <c r="AN31" i="59"/>
  <c r="AM31" i="59"/>
  <c r="AL31" i="59"/>
  <c r="AK31" i="59"/>
  <c r="AI31" i="59"/>
  <c r="AH31" i="59"/>
  <c r="AG31" i="59"/>
  <c r="AF31" i="59"/>
  <c r="AE31" i="59"/>
  <c r="AD31" i="59"/>
  <c r="AC31" i="59"/>
  <c r="AB31" i="59"/>
  <c r="AA31" i="59"/>
  <c r="Z31" i="59"/>
  <c r="Y31" i="59"/>
  <c r="X31" i="59"/>
  <c r="W31" i="59"/>
  <c r="V31" i="59"/>
  <c r="U31" i="59"/>
  <c r="T31" i="59"/>
  <c r="S31" i="59"/>
  <c r="R31" i="59"/>
  <c r="Q31" i="59"/>
  <c r="P31" i="59"/>
  <c r="O31" i="59"/>
  <c r="N31" i="59"/>
  <c r="M31" i="59"/>
  <c r="L31" i="59"/>
  <c r="K31" i="59"/>
  <c r="J31" i="59"/>
  <c r="I31" i="59"/>
  <c r="H31" i="59"/>
  <c r="G31" i="59"/>
  <c r="F31" i="59"/>
  <c r="C31" i="59"/>
  <c r="AX30" i="59"/>
  <c r="AW30" i="59"/>
  <c r="AV30" i="59"/>
  <c r="AU30" i="59"/>
  <c r="AT30" i="59"/>
  <c r="AS30" i="59"/>
  <c r="AR30" i="59"/>
  <c r="AQ30" i="59"/>
  <c r="AP30" i="59"/>
  <c r="AO30" i="59"/>
  <c r="AN30" i="59"/>
  <c r="AM30" i="59"/>
  <c r="AL30" i="59"/>
  <c r="AK30" i="59"/>
  <c r="AI30" i="59"/>
  <c r="AH30" i="59"/>
  <c r="AG30" i="59"/>
  <c r="AF30" i="59"/>
  <c r="AE30" i="59"/>
  <c r="AD30" i="59"/>
  <c r="AC30" i="59"/>
  <c r="AB30" i="59"/>
  <c r="AA30" i="59"/>
  <c r="Z30" i="59"/>
  <c r="Y30" i="59"/>
  <c r="X30" i="59"/>
  <c r="W30" i="59"/>
  <c r="V30" i="59"/>
  <c r="U30" i="59"/>
  <c r="T30" i="59"/>
  <c r="S30" i="59"/>
  <c r="R30" i="59"/>
  <c r="Q30" i="59"/>
  <c r="P30" i="59"/>
  <c r="O30" i="59"/>
  <c r="N30" i="59"/>
  <c r="M30" i="59"/>
  <c r="L30" i="59"/>
  <c r="K30" i="59"/>
  <c r="J30" i="59"/>
  <c r="I30" i="59"/>
  <c r="H30" i="59"/>
  <c r="G30" i="59"/>
  <c r="F30" i="59"/>
  <c r="E30" i="59"/>
  <c r="C30" i="59"/>
  <c r="C29" i="59"/>
  <c r="C28" i="59"/>
  <c r="AQ25" i="59"/>
  <c r="AP25" i="59"/>
  <c r="AO25" i="59"/>
  <c r="AN25" i="59"/>
  <c r="AM25" i="59"/>
  <c r="AL25" i="59"/>
  <c r="AK25" i="59"/>
  <c r="AJ25" i="59"/>
  <c r="AI25" i="59"/>
  <c r="AH25" i="59"/>
  <c r="AG25" i="59"/>
  <c r="AF25" i="59"/>
  <c r="AE25" i="59"/>
  <c r="AD25" i="59"/>
  <c r="AC25" i="59"/>
  <c r="AB25" i="59"/>
  <c r="AA25" i="59"/>
  <c r="Z25" i="59"/>
  <c r="Y25" i="59"/>
  <c r="X25" i="59"/>
  <c r="W25" i="59"/>
  <c r="V25" i="59"/>
  <c r="U25" i="59"/>
  <c r="T25" i="59"/>
  <c r="S25" i="59"/>
  <c r="R25" i="59"/>
  <c r="Q25" i="59"/>
  <c r="P25" i="59"/>
  <c r="O25" i="59"/>
  <c r="N25" i="59"/>
  <c r="M25" i="59"/>
  <c r="L25" i="59"/>
  <c r="K25" i="59"/>
  <c r="J25" i="59"/>
  <c r="I25" i="59"/>
  <c r="H25" i="59"/>
  <c r="G25" i="59"/>
  <c r="F25" i="59"/>
  <c r="C25" i="59"/>
  <c r="AQ24" i="59"/>
  <c r="AP24" i="59"/>
  <c r="AO24" i="59"/>
  <c r="AN24" i="59"/>
  <c r="AM24" i="59"/>
  <c r="AL24" i="59"/>
  <c r="AK24" i="59"/>
  <c r="AJ24" i="59"/>
  <c r="AI24" i="59"/>
  <c r="AH24" i="59"/>
  <c r="AG24" i="59"/>
  <c r="AF24" i="59"/>
  <c r="AE24" i="59"/>
  <c r="AD24" i="59"/>
  <c r="AC24" i="59"/>
  <c r="AB24" i="59"/>
  <c r="AA24" i="59"/>
  <c r="Z24" i="59"/>
  <c r="Y24" i="59"/>
  <c r="X24" i="59"/>
  <c r="W24" i="59"/>
  <c r="V24" i="59"/>
  <c r="U24" i="59"/>
  <c r="T24" i="59"/>
  <c r="S24" i="59"/>
  <c r="R24" i="59"/>
  <c r="Q24" i="59"/>
  <c r="P24" i="59"/>
  <c r="O24" i="59"/>
  <c r="N24" i="59"/>
  <c r="M24" i="59"/>
  <c r="L24" i="59"/>
  <c r="K24" i="59"/>
  <c r="J24" i="59"/>
  <c r="I24" i="59"/>
  <c r="H24" i="59"/>
  <c r="G24" i="59"/>
  <c r="F24" i="59"/>
  <c r="D24" i="59"/>
  <c r="C24" i="59"/>
  <c r="C22" i="59"/>
  <c r="AQ21" i="59"/>
  <c r="AP21" i="59"/>
  <c r="AO21" i="59"/>
  <c r="AN21" i="59"/>
  <c r="AM21" i="59"/>
  <c r="AL21" i="59"/>
  <c r="AK21" i="59"/>
  <c r="AJ21" i="59"/>
  <c r="AI21" i="59"/>
  <c r="AH21" i="59"/>
  <c r="AG21" i="59"/>
  <c r="AF21" i="59"/>
  <c r="AE21" i="59"/>
  <c r="AD21" i="59"/>
  <c r="AC21" i="59"/>
  <c r="AB21" i="59"/>
  <c r="AA21" i="59"/>
  <c r="Z21" i="59"/>
  <c r="Y21" i="59"/>
  <c r="X21" i="59"/>
  <c r="W21" i="59"/>
  <c r="V21" i="59"/>
  <c r="U21" i="59"/>
  <c r="T21" i="59"/>
  <c r="S21" i="59"/>
  <c r="R21" i="59"/>
  <c r="Q21" i="59"/>
  <c r="P21" i="59"/>
  <c r="O21" i="59"/>
  <c r="N21" i="59"/>
  <c r="M21" i="59"/>
  <c r="L21" i="59"/>
  <c r="K21" i="59"/>
  <c r="J21" i="59"/>
  <c r="I21" i="59"/>
  <c r="H21" i="59"/>
  <c r="G21" i="59"/>
  <c r="F21" i="59"/>
  <c r="C21" i="59"/>
  <c r="C20" i="59"/>
  <c r="C19" i="59"/>
  <c r="C18" i="59"/>
  <c r="C17" i="59"/>
  <c r="C16" i="59"/>
  <c r="AQ13" i="59"/>
  <c r="AP13" i="59"/>
  <c r="AO13" i="59"/>
  <c r="AN13" i="59"/>
  <c r="AM13" i="59"/>
  <c r="AL13" i="59"/>
  <c r="AK13" i="59"/>
  <c r="AJ13" i="59"/>
  <c r="AI13" i="59"/>
  <c r="AH13" i="59"/>
  <c r="AG13" i="59"/>
  <c r="AF13" i="59"/>
  <c r="AE13" i="59"/>
  <c r="AD13" i="59"/>
  <c r="AC13" i="59"/>
  <c r="AB13" i="59"/>
  <c r="AA13" i="59"/>
  <c r="Z13" i="59"/>
  <c r="Y13" i="59"/>
  <c r="X13" i="59"/>
  <c r="W13" i="59"/>
  <c r="V13" i="59"/>
  <c r="U13" i="59"/>
  <c r="T13" i="59"/>
  <c r="S13" i="59"/>
  <c r="R13" i="59"/>
  <c r="Q13" i="59"/>
  <c r="P13" i="59"/>
  <c r="O13" i="59"/>
  <c r="N13" i="59"/>
  <c r="M13" i="59"/>
  <c r="L13" i="59"/>
  <c r="K13" i="59"/>
  <c r="J13" i="59"/>
  <c r="I13" i="59"/>
  <c r="H13" i="59"/>
  <c r="G13" i="59"/>
  <c r="F13" i="59"/>
  <c r="C13" i="59"/>
  <c r="AQ12" i="59"/>
  <c r="AP12" i="59"/>
  <c r="AO12" i="59"/>
  <c r="AN12" i="59"/>
  <c r="AM12" i="59"/>
  <c r="AL12" i="59"/>
  <c r="AK12" i="59"/>
  <c r="AJ12" i="59"/>
  <c r="AI12" i="59"/>
  <c r="AH12" i="59"/>
  <c r="AG12" i="59"/>
  <c r="AF12" i="59"/>
  <c r="AE12" i="59"/>
  <c r="AD12" i="59"/>
  <c r="AC12" i="59"/>
  <c r="AB12" i="59"/>
  <c r="AA12" i="59"/>
  <c r="Z12" i="59"/>
  <c r="Y12" i="59"/>
  <c r="X12" i="59"/>
  <c r="W12" i="59"/>
  <c r="V12" i="59"/>
  <c r="U12" i="59"/>
  <c r="T12" i="59"/>
  <c r="S12" i="59"/>
  <c r="R12" i="59"/>
  <c r="Q12" i="59"/>
  <c r="P12" i="59"/>
  <c r="O12" i="59"/>
  <c r="N12" i="59"/>
  <c r="M12" i="59"/>
  <c r="L12" i="59"/>
  <c r="K12" i="59"/>
  <c r="J12" i="59"/>
  <c r="I12" i="59"/>
  <c r="H12" i="59"/>
  <c r="G12" i="59"/>
  <c r="F12" i="59"/>
  <c r="E12" i="59"/>
  <c r="C12" i="59"/>
  <c r="C10" i="59"/>
  <c r="C9" i="59"/>
  <c r="AQ6" i="59"/>
  <c r="AP6" i="59"/>
  <c r="AO6" i="59"/>
  <c r="AN6" i="59"/>
  <c r="AM6" i="59"/>
  <c r="AL6" i="59"/>
  <c r="AK6" i="59"/>
  <c r="AJ6" i="59"/>
  <c r="AI6" i="59"/>
  <c r="AH6" i="59"/>
  <c r="AG6" i="59"/>
  <c r="AF6" i="59"/>
  <c r="AE6" i="59"/>
  <c r="AD6" i="59"/>
  <c r="AC6" i="59"/>
  <c r="AB6" i="59"/>
  <c r="AA6" i="59"/>
  <c r="Z6" i="59"/>
  <c r="Y6" i="59"/>
  <c r="X6" i="59"/>
  <c r="W6" i="59"/>
  <c r="V6" i="59"/>
  <c r="U6" i="59"/>
  <c r="T6" i="59"/>
  <c r="S6" i="59"/>
  <c r="R6" i="59"/>
  <c r="Q6" i="59"/>
  <c r="P6" i="59"/>
  <c r="O6" i="59"/>
  <c r="N6" i="59"/>
  <c r="M6" i="59"/>
  <c r="L6" i="59"/>
  <c r="K6" i="59"/>
  <c r="J6" i="59"/>
  <c r="I6" i="59"/>
  <c r="H6" i="59"/>
  <c r="G6" i="59"/>
  <c r="F6" i="59"/>
  <c r="C6" i="59"/>
  <c r="AQ5" i="59"/>
  <c r="AP5" i="59"/>
  <c r="AO5" i="59"/>
  <c r="AN5" i="59"/>
  <c r="AM5" i="59"/>
  <c r="AL5" i="59"/>
  <c r="AK5" i="59"/>
  <c r="AJ5" i="59"/>
  <c r="AI5" i="59"/>
  <c r="AH5" i="59"/>
  <c r="AG5" i="59"/>
  <c r="AF5" i="59"/>
  <c r="AE5" i="59"/>
  <c r="AD5" i="59"/>
  <c r="AC5" i="59"/>
  <c r="AB5" i="59"/>
  <c r="AA5" i="59"/>
  <c r="Z5" i="59"/>
  <c r="Y5" i="59"/>
  <c r="X5" i="59"/>
  <c r="W5" i="59"/>
  <c r="V5" i="59"/>
  <c r="U5" i="59"/>
  <c r="T5" i="59"/>
  <c r="S5" i="59"/>
  <c r="R5" i="59"/>
  <c r="Q5" i="59"/>
  <c r="P5" i="59"/>
  <c r="O5" i="59"/>
  <c r="N5" i="59"/>
  <c r="M5" i="59"/>
  <c r="L5" i="59"/>
  <c r="K5" i="59"/>
  <c r="J5" i="59"/>
  <c r="I5" i="59"/>
  <c r="H5" i="59"/>
  <c r="G5" i="59"/>
  <c r="F5" i="59"/>
  <c r="E5" i="59"/>
  <c r="C5" i="59"/>
  <c r="C4" i="59"/>
  <c r="C3" i="59"/>
  <c r="G16" i="58"/>
  <c r="F16" i="58"/>
  <c r="E16" i="58"/>
  <c r="D16" i="58"/>
  <c r="C16" i="58"/>
  <c r="B16" i="58"/>
  <c r="B15" i="58"/>
  <c r="J67" i="38"/>
  <c r="I67" i="38"/>
  <c r="H67" i="38"/>
  <c r="G67" i="38"/>
  <c r="F67" i="38"/>
  <c r="E67" i="38"/>
  <c r="D67" i="38"/>
  <c r="C67" i="38"/>
  <c r="J66" i="38"/>
  <c r="I66" i="38"/>
  <c r="H66" i="38"/>
  <c r="G66" i="38"/>
  <c r="F66" i="38"/>
  <c r="E66" i="38"/>
  <c r="D66" i="38"/>
  <c r="C66" i="38"/>
  <c r="J65" i="38"/>
  <c r="I65" i="38"/>
  <c r="H65" i="38"/>
  <c r="G65" i="38"/>
  <c r="F65" i="38"/>
  <c r="E65" i="38"/>
  <c r="D65" i="38"/>
  <c r="C65" i="38"/>
  <c r="J64" i="38"/>
  <c r="C64" i="38"/>
  <c r="J63" i="38"/>
  <c r="I63" i="38"/>
  <c r="H63" i="38"/>
  <c r="G63" i="38"/>
  <c r="F63" i="38"/>
  <c r="E63" i="38"/>
  <c r="D63" i="38"/>
  <c r="C63" i="38"/>
  <c r="J62" i="38"/>
  <c r="I62" i="38"/>
  <c r="H62" i="38"/>
  <c r="G62" i="38"/>
  <c r="F62" i="38"/>
  <c r="E62" i="38"/>
  <c r="D62" i="38"/>
  <c r="C62" i="38"/>
  <c r="J61" i="38"/>
  <c r="C61" i="38"/>
  <c r="J60" i="38"/>
  <c r="C60" i="38"/>
  <c r="J59" i="38"/>
  <c r="I59" i="38"/>
  <c r="H59" i="38"/>
  <c r="G59" i="38"/>
  <c r="F59" i="38"/>
  <c r="E59" i="38"/>
  <c r="D59" i="38"/>
  <c r="C59" i="38"/>
  <c r="J58" i="38"/>
  <c r="C58" i="38"/>
  <c r="J57" i="38"/>
  <c r="C57" i="38"/>
  <c r="J56" i="38"/>
  <c r="C56" i="38"/>
  <c r="J55" i="38"/>
  <c r="C55" i="38"/>
  <c r="H50" i="38"/>
  <c r="G50" i="38"/>
  <c r="F50" i="38"/>
  <c r="E50" i="38"/>
  <c r="D50" i="38"/>
  <c r="H49" i="38"/>
  <c r="G49" i="38"/>
  <c r="F49" i="38"/>
  <c r="E49" i="38"/>
  <c r="D49" i="38"/>
  <c r="H48" i="38"/>
  <c r="G48" i="38"/>
  <c r="F48" i="38"/>
  <c r="E48" i="38"/>
  <c r="D48" i="38"/>
  <c r="H47" i="38"/>
  <c r="G47" i="38"/>
  <c r="F47" i="38"/>
  <c r="E47" i="38"/>
  <c r="D47" i="38"/>
  <c r="H46" i="38"/>
  <c r="G46" i="38"/>
  <c r="F46" i="38"/>
  <c r="E46" i="38"/>
  <c r="D46" i="38"/>
  <c r="H45" i="38"/>
  <c r="G45" i="38"/>
  <c r="F45" i="38"/>
  <c r="E45" i="38"/>
  <c r="D45" i="38"/>
  <c r="H44" i="38"/>
  <c r="G44" i="38"/>
  <c r="F44" i="38"/>
  <c r="E44" i="38"/>
  <c r="D44" i="38"/>
  <c r="H43" i="38"/>
  <c r="G43" i="38"/>
  <c r="F43" i="38"/>
  <c r="E43" i="38"/>
  <c r="D43" i="38"/>
  <c r="H42" i="38"/>
  <c r="G42" i="38"/>
  <c r="F42" i="38"/>
  <c r="E42" i="38"/>
  <c r="D42" i="38"/>
  <c r="H41" i="38"/>
  <c r="G41" i="38"/>
  <c r="F41" i="38"/>
  <c r="E41" i="38"/>
  <c r="D41" i="38"/>
  <c r="H40" i="38"/>
  <c r="G40" i="38"/>
  <c r="F40" i="38"/>
  <c r="E40" i="38"/>
  <c r="D40" i="38"/>
  <c r="H39" i="38"/>
  <c r="G39" i="38"/>
  <c r="F39" i="38"/>
  <c r="E39" i="38"/>
  <c r="D39" i="38"/>
  <c r="H38" i="38"/>
  <c r="G38" i="38"/>
  <c r="F38" i="38"/>
  <c r="E38" i="38"/>
  <c r="D38" i="38"/>
  <c r="H37" i="38"/>
  <c r="G37" i="38"/>
  <c r="F37" i="38"/>
  <c r="E37" i="38"/>
  <c r="D37" i="38"/>
  <c r="H36" i="38"/>
  <c r="G36" i="38"/>
  <c r="F36" i="38"/>
  <c r="E36" i="38"/>
  <c r="D36" i="38"/>
  <c r="H35" i="38"/>
  <c r="G35" i="38"/>
  <c r="F35" i="38"/>
  <c r="E35" i="38"/>
  <c r="D35" i="38"/>
  <c r="H34" i="38"/>
  <c r="G34" i="38"/>
  <c r="F34" i="38"/>
  <c r="E34" i="38"/>
  <c r="D34" i="38"/>
  <c r="H33" i="38"/>
  <c r="G33" i="38"/>
  <c r="F33" i="38"/>
  <c r="E33" i="38"/>
  <c r="D33" i="38"/>
  <c r="L29" i="38"/>
  <c r="K29" i="38"/>
  <c r="J29" i="38"/>
  <c r="L28" i="38"/>
  <c r="K28" i="38"/>
  <c r="J28" i="38"/>
  <c r="L27" i="38"/>
  <c r="J27" i="38"/>
  <c r="L26" i="38"/>
  <c r="J26" i="38"/>
  <c r="L25" i="38"/>
  <c r="K25" i="38"/>
  <c r="J25" i="38"/>
  <c r="I25" i="38"/>
  <c r="H25" i="38"/>
  <c r="G25" i="38"/>
  <c r="F25" i="38"/>
  <c r="L24" i="38"/>
  <c r="J24" i="38"/>
  <c r="L23" i="38"/>
  <c r="K23" i="38"/>
  <c r="J23" i="38"/>
  <c r="L22" i="38"/>
  <c r="K22" i="38"/>
  <c r="J22" i="38"/>
  <c r="L21" i="38"/>
  <c r="K21" i="38"/>
  <c r="J21" i="38"/>
  <c r="I21" i="38"/>
  <c r="H21" i="38"/>
  <c r="G21" i="38"/>
  <c r="F21" i="38"/>
  <c r="N18" i="38"/>
  <c r="M18" i="38"/>
  <c r="L18" i="38"/>
  <c r="K18" i="38"/>
  <c r="J18" i="38"/>
  <c r="I18" i="38"/>
  <c r="H18" i="38"/>
  <c r="G18" i="38"/>
  <c r="F18" i="38"/>
  <c r="N17" i="38"/>
  <c r="M17" i="38"/>
  <c r="L17" i="38"/>
  <c r="K17" i="38"/>
  <c r="J17" i="38"/>
  <c r="I17" i="38"/>
  <c r="H17" i="38"/>
  <c r="G17" i="38"/>
  <c r="F17" i="38"/>
  <c r="N16" i="38"/>
  <c r="M16" i="38"/>
  <c r="L16" i="38"/>
  <c r="K16" i="38"/>
  <c r="J16" i="38"/>
  <c r="I16" i="38"/>
  <c r="H16" i="38"/>
  <c r="G16" i="38"/>
  <c r="F16" i="38"/>
  <c r="N15" i="38"/>
  <c r="M15" i="38"/>
  <c r="L15" i="38"/>
  <c r="K15" i="38"/>
  <c r="J15" i="38"/>
  <c r="I15" i="38"/>
  <c r="H15" i="38"/>
  <c r="G15" i="38"/>
  <c r="F15" i="38"/>
  <c r="H14" i="38"/>
  <c r="F14" i="38"/>
  <c r="H13" i="38"/>
  <c r="F13" i="38"/>
  <c r="H12" i="38"/>
  <c r="F12" i="38"/>
  <c r="H11" i="38"/>
  <c r="F11" i="38"/>
  <c r="H10" i="38"/>
  <c r="F10" i="38"/>
  <c r="H9" i="38"/>
  <c r="F9" i="38"/>
  <c r="H8" i="38"/>
  <c r="F8" i="38"/>
  <c r="H7" i="38"/>
  <c r="F7" i="38"/>
  <c r="H6" i="38"/>
  <c r="F6" i="38"/>
  <c r="H5" i="38"/>
  <c r="F5" i="38"/>
  <c r="BK579" i="5"/>
  <c r="BJ579" i="5"/>
  <c r="BI579" i="5"/>
  <c r="BH579" i="5"/>
  <c r="BG579" i="5"/>
  <c r="BF579" i="5"/>
  <c r="BE579" i="5"/>
  <c r="BD579" i="5"/>
  <c r="BC579" i="5"/>
  <c r="BB579" i="5"/>
  <c r="BA579" i="5"/>
  <c r="AZ579" i="5"/>
  <c r="AY579" i="5"/>
  <c r="AX579" i="5"/>
  <c r="AW579" i="5"/>
  <c r="AU579" i="5"/>
  <c r="AT579" i="5"/>
  <c r="AD579" i="5"/>
  <c r="Z579" i="5"/>
  <c r="BK578" i="5"/>
  <c r="BJ578" i="5"/>
  <c r="BI578" i="5"/>
  <c r="BH578" i="5"/>
  <c r="BG578" i="5"/>
  <c r="BF578" i="5"/>
  <c r="BE578" i="5"/>
  <c r="BD578" i="5"/>
  <c r="BC578" i="5"/>
  <c r="BB578" i="5"/>
  <c r="BA578" i="5"/>
  <c r="AZ578" i="5"/>
  <c r="AY578" i="5"/>
  <c r="AX578" i="5"/>
  <c r="AW578" i="5"/>
  <c r="AU578" i="5"/>
  <c r="AT578" i="5"/>
  <c r="AD578" i="5"/>
  <c r="Z578" i="5"/>
  <c r="BK577" i="5"/>
  <c r="BJ577" i="5"/>
  <c r="BI577" i="5"/>
  <c r="BH577" i="5"/>
  <c r="BG577" i="5"/>
  <c r="BF577" i="5"/>
  <c r="BE577" i="5"/>
  <c r="BD577" i="5"/>
  <c r="BC577" i="5"/>
  <c r="BB577" i="5"/>
  <c r="BA577" i="5"/>
  <c r="AZ577" i="5"/>
  <c r="AY577" i="5"/>
  <c r="AX577" i="5"/>
  <c r="AW577" i="5"/>
  <c r="AU577" i="5"/>
  <c r="AT577" i="5"/>
  <c r="AD577" i="5"/>
  <c r="Z577" i="5"/>
  <c r="BK576" i="5"/>
  <c r="BJ576" i="5"/>
  <c r="BI576" i="5"/>
  <c r="BH576" i="5"/>
  <c r="BG576" i="5"/>
  <c r="BF576" i="5"/>
  <c r="BE576" i="5"/>
  <c r="BD576" i="5"/>
  <c r="BC576" i="5"/>
  <c r="BB576" i="5"/>
  <c r="BA576" i="5"/>
  <c r="AZ576" i="5"/>
  <c r="AY576" i="5"/>
  <c r="AX576" i="5"/>
  <c r="AW576" i="5"/>
  <c r="AU576" i="5"/>
  <c r="AT576" i="5"/>
  <c r="AD576" i="5"/>
  <c r="Z576" i="5"/>
  <c r="BK575" i="5"/>
  <c r="BJ575" i="5"/>
  <c r="BI575" i="5"/>
  <c r="BH575" i="5"/>
  <c r="BG575" i="5"/>
  <c r="BF575" i="5"/>
  <c r="BE575" i="5"/>
  <c r="BD575" i="5"/>
  <c r="BC575" i="5"/>
  <c r="BB575" i="5"/>
  <c r="BA575" i="5"/>
  <c r="AZ575" i="5"/>
  <c r="AY575" i="5"/>
  <c r="AX575" i="5"/>
  <c r="AW575" i="5"/>
  <c r="AU575" i="5"/>
  <c r="AT575" i="5"/>
  <c r="AD575" i="5"/>
  <c r="Z575" i="5"/>
  <c r="BK574" i="5"/>
  <c r="BJ574" i="5"/>
  <c r="BI574" i="5"/>
  <c r="BH574" i="5"/>
  <c r="BG574" i="5"/>
  <c r="BF574" i="5"/>
  <c r="BE574" i="5"/>
  <c r="BD574" i="5"/>
  <c r="BC574" i="5"/>
  <c r="BB574" i="5"/>
  <c r="BA574" i="5"/>
  <c r="AZ574" i="5"/>
  <c r="AY574" i="5"/>
  <c r="AX574" i="5"/>
  <c r="AW574" i="5"/>
  <c r="AU574" i="5"/>
  <c r="AT574" i="5"/>
  <c r="AD574" i="5"/>
  <c r="Z574" i="5"/>
  <c r="BK573" i="5"/>
  <c r="BJ573" i="5"/>
  <c r="BI573" i="5"/>
  <c r="BH573" i="5"/>
  <c r="BG573" i="5"/>
  <c r="BF573" i="5"/>
  <c r="BE573" i="5"/>
  <c r="BD573" i="5"/>
  <c r="BC573" i="5"/>
  <c r="BB573" i="5"/>
  <c r="BA573" i="5"/>
  <c r="AZ573" i="5"/>
  <c r="AY573" i="5"/>
  <c r="AX573" i="5"/>
  <c r="AW573" i="5"/>
  <c r="AU573" i="5"/>
  <c r="AT573" i="5"/>
  <c r="AD573" i="5"/>
  <c r="Z573" i="5"/>
  <c r="BK572" i="5"/>
  <c r="BJ572" i="5"/>
  <c r="BI572" i="5"/>
  <c r="BH572" i="5"/>
  <c r="BG572" i="5"/>
  <c r="BF572" i="5"/>
  <c r="BE572" i="5"/>
  <c r="BD572" i="5"/>
  <c r="BC572" i="5"/>
  <c r="BB572" i="5"/>
  <c r="BA572" i="5"/>
  <c r="AZ572" i="5"/>
  <c r="AY572" i="5"/>
  <c r="AX572" i="5"/>
  <c r="AW572" i="5"/>
  <c r="AU572" i="5"/>
  <c r="AT572" i="5"/>
  <c r="AD572" i="5"/>
  <c r="Z572" i="5"/>
  <c r="BK571" i="5"/>
  <c r="BJ571" i="5"/>
  <c r="BI571" i="5"/>
  <c r="BH571" i="5"/>
  <c r="BG571" i="5"/>
  <c r="BF571" i="5"/>
  <c r="BE571" i="5"/>
  <c r="BD571" i="5"/>
  <c r="BC571" i="5"/>
  <c r="BB571" i="5"/>
  <c r="BA571" i="5"/>
  <c r="AZ571" i="5"/>
  <c r="AY571" i="5"/>
  <c r="AX571" i="5"/>
  <c r="AW571" i="5"/>
  <c r="AU571" i="5"/>
  <c r="AT571" i="5"/>
  <c r="AD571" i="5"/>
  <c r="Z571" i="5"/>
  <c r="BK570" i="5"/>
  <c r="BJ570" i="5"/>
  <c r="BI570" i="5"/>
  <c r="BH570" i="5"/>
  <c r="BG570" i="5"/>
  <c r="BF570" i="5"/>
  <c r="BE570" i="5"/>
  <c r="BD570" i="5"/>
  <c r="BC570" i="5"/>
  <c r="BB570" i="5"/>
  <c r="BA570" i="5"/>
  <c r="AZ570" i="5"/>
  <c r="AY570" i="5"/>
  <c r="AX570" i="5"/>
  <c r="AW570" i="5"/>
  <c r="AU570" i="5"/>
  <c r="AT570" i="5"/>
  <c r="AD570" i="5"/>
  <c r="Z570" i="5"/>
  <c r="BK569" i="5"/>
  <c r="BJ569" i="5"/>
  <c r="BI569" i="5"/>
  <c r="BH569" i="5"/>
  <c r="BG569" i="5"/>
  <c r="BF569" i="5"/>
  <c r="BE569" i="5"/>
  <c r="BD569" i="5"/>
  <c r="BC569" i="5"/>
  <c r="BB569" i="5"/>
  <c r="BA569" i="5"/>
  <c r="AZ569" i="5"/>
  <c r="AY569" i="5"/>
  <c r="AX569" i="5"/>
  <c r="AW569" i="5"/>
  <c r="AU569" i="5"/>
  <c r="AT569" i="5"/>
  <c r="AD569" i="5"/>
  <c r="Z569" i="5"/>
  <c r="BK568" i="5"/>
  <c r="BJ568" i="5"/>
  <c r="BI568" i="5"/>
  <c r="BH568" i="5"/>
  <c r="BG568" i="5"/>
  <c r="BF568" i="5"/>
  <c r="BE568" i="5"/>
  <c r="BD568" i="5"/>
  <c r="BC568" i="5"/>
  <c r="BB568" i="5"/>
  <c r="BA568" i="5"/>
  <c r="AZ568" i="5"/>
  <c r="AY568" i="5"/>
  <c r="AX568" i="5"/>
  <c r="AW568" i="5"/>
  <c r="AU568" i="5"/>
  <c r="AT568" i="5"/>
  <c r="AD568" i="5"/>
  <c r="Z568" i="5"/>
  <c r="BK567" i="5"/>
  <c r="BJ567" i="5"/>
  <c r="BI567" i="5"/>
  <c r="BH567" i="5"/>
  <c r="BG567" i="5"/>
  <c r="BF567" i="5"/>
  <c r="BE567" i="5"/>
  <c r="BD567" i="5"/>
  <c r="BC567" i="5"/>
  <c r="BB567" i="5"/>
  <c r="BA567" i="5"/>
  <c r="AZ567" i="5"/>
  <c r="AY567" i="5"/>
  <c r="AX567" i="5"/>
  <c r="AW567" i="5"/>
  <c r="AU567" i="5"/>
  <c r="AT567" i="5"/>
  <c r="AD567" i="5"/>
  <c r="Z567" i="5"/>
  <c r="BK566" i="5"/>
  <c r="BJ566" i="5"/>
  <c r="BI566" i="5"/>
  <c r="BH566" i="5"/>
  <c r="BG566" i="5"/>
  <c r="BF566" i="5"/>
  <c r="BE566" i="5"/>
  <c r="BD566" i="5"/>
  <c r="BC566" i="5"/>
  <c r="BB566" i="5"/>
  <c r="BA566" i="5"/>
  <c r="AZ566" i="5"/>
  <c r="AY566" i="5"/>
  <c r="AX566" i="5"/>
  <c r="AW566" i="5"/>
  <c r="AU566" i="5"/>
  <c r="AT566" i="5"/>
  <c r="AD566" i="5"/>
  <c r="Z566" i="5"/>
  <c r="BK565" i="5"/>
  <c r="BJ565" i="5"/>
  <c r="BI565" i="5"/>
  <c r="BH565" i="5"/>
  <c r="BG565" i="5"/>
  <c r="BF565" i="5"/>
  <c r="BE565" i="5"/>
  <c r="BD565" i="5"/>
  <c r="BC565" i="5"/>
  <c r="BB565" i="5"/>
  <c r="BA565" i="5"/>
  <c r="AZ565" i="5"/>
  <c r="AY565" i="5"/>
  <c r="AX565" i="5"/>
  <c r="AW565" i="5"/>
  <c r="AU565" i="5"/>
  <c r="AT565" i="5"/>
  <c r="AD565" i="5"/>
  <c r="Z565" i="5"/>
  <c r="BK564" i="5"/>
  <c r="BJ564" i="5"/>
  <c r="BI564" i="5"/>
  <c r="BH564" i="5"/>
  <c r="BG564" i="5"/>
  <c r="BF564" i="5"/>
  <c r="BE564" i="5"/>
  <c r="BD564" i="5"/>
  <c r="BC564" i="5"/>
  <c r="BB564" i="5"/>
  <c r="BA564" i="5"/>
  <c r="AZ564" i="5"/>
  <c r="AY564" i="5"/>
  <c r="AX564" i="5"/>
  <c r="AW564" i="5"/>
  <c r="AU564" i="5"/>
  <c r="AT564" i="5"/>
  <c r="AD564" i="5"/>
  <c r="Z564" i="5"/>
  <c r="BK563" i="5"/>
  <c r="BJ563" i="5"/>
  <c r="BI563" i="5"/>
  <c r="BH563" i="5"/>
  <c r="BG563" i="5"/>
  <c r="BF563" i="5"/>
  <c r="BE563" i="5"/>
  <c r="BD563" i="5"/>
  <c r="BC563" i="5"/>
  <c r="BB563" i="5"/>
  <c r="BA563" i="5"/>
  <c r="AZ563" i="5"/>
  <c r="AY563" i="5"/>
  <c r="AX563" i="5"/>
  <c r="AW563" i="5"/>
  <c r="AU563" i="5"/>
  <c r="AT563" i="5"/>
  <c r="AD563" i="5"/>
  <c r="Z563" i="5"/>
  <c r="BK562" i="5"/>
  <c r="BJ562" i="5"/>
  <c r="BI562" i="5"/>
  <c r="BH562" i="5"/>
  <c r="BG562" i="5"/>
  <c r="BF562" i="5"/>
  <c r="BE562" i="5"/>
  <c r="BD562" i="5"/>
  <c r="BC562" i="5"/>
  <c r="BB562" i="5"/>
  <c r="BA562" i="5"/>
  <c r="AZ562" i="5"/>
  <c r="AY562" i="5"/>
  <c r="AX562" i="5"/>
  <c r="AW562" i="5"/>
  <c r="AU562" i="5"/>
  <c r="AT562" i="5"/>
  <c r="AD562" i="5"/>
  <c r="Z562" i="5"/>
  <c r="BK561" i="5"/>
  <c r="BJ561" i="5"/>
  <c r="BI561" i="5"/>
  <c r="BH561" i="5"/>
  <c r="BG561" i="5"/>
  <c r="BF561" i="5"/>
  <c r="BE561" i="5"/>
  <c r="BD561" i="5"/>
  <c r="BC561" i="5"/>
  <c r="BB561" i="5"/>
  <c r="BA561" i="5"/>
  <c r="AZ561" i="5"/>
  <c r="AY561" i="5"/>
  <c r="AX561" i="5"/>
  <c r="AW561" i="5"/>
  <c r="AU561" i="5"/>
  <c r="AT561" i="5"/>
  <c r="AD561" i="5"/>
  <c r="Z561" i="5"/>
  <c r="BK560" i="5"/>
  <c r="BJ560" i="5"/>
  <c r="BI560" i="5"/>
  <c r="BH560" i="5"/>
  <c r="BG560" i="5"/>
  <c r="BF560" i="5"/>
  <c r="BE560" i="5"/>
  <c r="BD560" i="5"/>
  <c r="BC560" i="5"/>
  <c r="BB560" i="5"/>
  <c r="BA560" i="5"/>
  <c r="AZ560" i="5"/>
  <c r="AY560" i="5"/>
  <c r="AX560" i="5"/>
  <c r="AW560" i="5"/>
  <c r="AU560" i="5"/>
  <c r="AT560" i="5"/>
  <c r="AD560" i="5"/>
  <c r="Z560" i="5"/>
  <c r="BK559" i="5"/>
  <c r="BJ559" i="5"/>
  <c r="BI559" i="5"/>
  <c r="BH559" i="5"/>
  <c r="BG559" i="5"/>
  <c r="BF559" i="5"/>
  <c r="BE559" i="5"/>
  <c r="BD559" i="5"/>
  <c r="BC559" i="5"/>
  <c r="BB559" i="5"/>
  <c r="BA559" i="5"/>
  <c r="AZ559" i="5"/>
  <c r="AY559" i="5"/>
  <c r="AX559" i="5"/>
  <c r="AW559" i="5"/>
  <c r="AU559" i="5"/>
  <c r="AT559" i="5"/>
  <c r="AD559" i="5"/>
  <c r="Z559" i="5"/>
  <c r="BK558" i="5"/>
  <c r="BJ558" i="5"/>
  <c r="BI558" i="5"/>
  <c r="BH558" i="5"/>
  <c r="BG558" i="5"/>
  <c r="BF558" i="5"/>
  <c r="BE558" i="5"/>
  <c r="BD558" i="5"/>
  <c r="BC558" i="5"/>
  <c r="BB558" i="5"/>
  <c r="BA558" i="5"/>
  <c r="AZ558" i="5"/>
  <c r="AY558" i="5"/>
  <c r="AX558" i="5"/>
  <c r="AW558" i="5"/>
  <c r="AU558" i="5"/>
  <c r="AT558" i="5"/>
  <c r="AD558" i="5"/>
  <c r="Z558" i="5"/>
  <c r="BK557" i="5"/>
  <c r="BJ557" i="5"/>
  <c r="BI557" i="5"/>
  <c r="BH557" i="5"/>
  <c r="BG557" i="5"/>
  <c r="BF557" i="5"/>
  <c r="BE557" i="5"/>
  <c r="BD557" i="5"/>
  <c r="BC557" i="5"/>
  <c r="BB557" i="5"/>
  <c r="BA557" i="5"/>
  <c r="AZ557" i="5"/>
  <c r="AY557" i="5"/>
  <c r="AX557" i="5"/>
  <c r="AW557" i="5"/>
  <c r="AU557" i="5"/>
  <c r="AT557" i="5"/>
  <c r="AD557" i="5"/>
  <c r="Z557" i="5"/>
  <c r="BK556" i="5"/>
  <c r="BJ556" i="5"/>
  <c r="BI556" i="5"/>
  <c r="BH556" i="5"/>
  <c r="BG556" i="5"/>
  <c r="BF556" i="5"/>
  <c r="BE556" i="5"/>
  <c r="BD556" i="5"/>
  <c r="BC556" i="5"/>
  <c r="BB556" i="5"/>
  <c r="BA556" i="5"/>
  <c r="AZ556" i="5"/>
  <c r="AY556" i="5"/>
  <c r="AX556" i="5"/>
  <c r="AW556" i="5"/>
  <c r="AU556" i="5"/>
  <c r="AT556" i="5"/>
  <c r="AD556" i="5"/>
  <c r="Z556" i="5"/>
  <c r="BK555" i="5"/>
  <c r="BJ555" i="5"/>
  <c r="BI555" i="5"/>
  <c r="BH555" i="5"/>
  <c r="BG555" i="5"/>
  <c r="BF555" i="5"/>
  <c r="BE555" i="5"/>
  <c r="BD555" i="5"/>
  <c r="BC555" i="5"/>
  <c r="BB555" i="5"/>
  <c r="BA555" i="5"/>
  <c r="AZ555" i="5"/>
  <c r="AY555" i="5"/>
  <c r="AX555" i="5"/>
  <c r="AW555" i="5"/>
  <c r="AU555" i="5"/>
  <c r="AT555" i="5"/>
  <c r="AD555" i="5"/>
  <c r="Z555" i="5"/>
  <c r="BK554" i="5"/>
  <c r="BJ554" i="5"/>
  <c r="BI554" i="5"/>
  <c r="BH554" i="5"/>
  <c r="BG554" i="5"/>
  <c r="BF554" i="5"/>
  <c r="BE554" i="5"/>
  <c r="BD554" i="5"/>
  <c r="BC554" i="5"/>
  <c r="BB554" i="5"/>
  <c r="BA554" i="5"/>
  <c r="AZ554" i="5"/>
  <c r="AY554" i="5"/>
  <c r="AX554" i="5"/>
  <c r="AW554" i="5"/>
  <c r="AU554" i="5"/>
  <c r="AT554" i="5"/>
  <c r="AD554" i="5"/>
  <c r="Z554" i="5"/>
  <c r="BK553" i="5"/>
  <c r="BJ553" i="5"/>
  <c r="BI553" i="5"/>
  <c r="BH553" i="5"/>
  <c r="BG553" i="5"/>
  <c r="BF553" i="5"/>
  <c r="BE553" i="5"/>
  <c r="BD553" i="5"/>
  <c r="BC553" i="5"/>
  <c r="BB553" i="5"/>
  <c r="BA553" i="5"/>
  <c r="AZ553" i="5"/>
  <c r="AY553" i="5"/>
  <c r="AX553" i="5"/>
  <c r="AW553" i="5"/>
  <c r="AU553" i="5"/>
  <c r="AT553" i="5"/>
  <c r="AD553" i="5"/>
  <c r="Z553" i="5"/>
  <c r="BK552" i="5"/>
  <c r="BJ552" i="5"/>
  <c r="BI552" i="5"/>
  <c r="BH552" i="5"/>
  <c r="BG552" i="5"/>
  <c r="BF552" i="5"/>
  <c r="BE552" i="5"/>
  <c r="BD552" i="5"/>
  <c r="BC552" i="5"/>
  <c r="BB552" i="5"/>
  <c r="BA552" i="5"/>
  <c r="AZ552" i="5"/>
  <c r="AY552" i="5"/>
  <c r="AX552" i="5"/>
  <c r="AW552" i="5"/>
  <c r="AU552" i="5"/>
  <c r="AT552" i="5"/>
  <c r="AD552" i="5"/>
  <c r="Z552" i="5"/>
  <c r="BK551" i="5"/>
  <c r="BJ551" i="5"/>
  <c r="BI551" i="5"/>
  <c r="BH551" i="5"/>
  <c r="BG551" i="5"/>
  <c r="BF551" i="5"/>
  <c r="BE551" i="5"/>
  <c r="BD551" i="5"/>
  <c r="BC551" i="5"/>
  <c r="BB551" i="5"/>
  <c r="BA551" i="5"/>
  <c r="AZ551" i="5"/>
  <c r="AY551" i="5"/>
  <c r="AX551" i="5"/>
  <c r="AW551" i="5"/>
  <c r="AU551" i="5"/>
  <c r="AT551" i="5"/>
  <c r="AD551" i="5"/>
  <c r="Z551" i="5"/>
  <c r="BK550" i="5"/>
  <c r="BJ550" i="5"/>
  <c r="BI550" i="5"/>
  <c r="BH550" i="5"/>
  <c r="BG550" i="5"/>
  <c r="BF550" i="5"/>
  <c r="BE550" i="5"/>
  <c r="BD550" i="5"/>
  <c r="BC550" i="5"/>
  <c r="BB550" i="5"/>
  <c r="BA550" i="5"/>
  <c r="AZ550" i="5"/>
  <c r="AY550" i="5"/>
  <c r="AX550" i="5"/>
  <c r="AW550" i="5"/>
  <c r="AU550" i="5"/>
  <c r="AT550" i="5"/>
  <c r="AD550" i="5"/>
  <c r="Z550" i="5"/>
  <c r="BK549" i="5"/>
  <c r="BJ549" i="5"/>
  <c r="BI549" i="5"/>
  <c r="BH549" i="5"/>
  <c r="BG549" i="5"/>
  <c r="BF549" i="5"/>
  <c r="BE549" i="5"/>
  <c r="BD549" i="5"/>
  <c r="BC549" i="5"/>
  <c r="BB549" i="5"/>
  <c r="BA549" i="5"/>
  <c r="AZ549" i="5"/>
  <c r="AY549" i="5"/>
  <c r="AX549" i="5"/>
  <c r="AW549" i="5"/>
  <c r="AU549" i="5"/>
  <c r="AT549" i="5"/>
  <c r="AD549" i="5"/>
  <c r="Z549" i="5"/>
  <c r="BK548" i="5"/>
  <c r="BJ548" i="5"/>
  <c r="BI548" i="5"/>
  <c r="BH548" i="5"/>
  <c r="BG548" i="5"/>
  <c r="BF548" i="5"/>
  <c r="BE548" i="5"/>
  <c r="BD548" i="5"/>
  <c r="BC548" i="5"/>
  <c r="BB548" i="5"/>
  <c r="BA548" i="5"/>
  <c r="AZ548" i="5"/>
  <c r="AY548" i="5"/>
  <c r="AX548" i="5"/>
  <c r="AW548" i="5"/>
  <c r="AU548" i="5"/>
  <c r="AT548" i="5"/>
  <c r="AD548" i="5"/>
  <c r="Z548" i="5"/>
  <c r="BK547" i="5"/>
  <c r="BJ547" i="5"/>
  <c r="BI547" i="5"/>
  <c r="BH547" i="5"/>
  <c r="BG547" i="5"/>
  <c r="BF547" i="5"/>
  <c r="BE547" i="5"/>
  <c r="BD547" i="5"/>
  <c r="BC547" i="5"/>
  <c r="BB547" i="5"/>
  <c r="BA547" i="5"/>
  <c r="AZ547" i="5"/>
  <c r="AY547" i="5"/>
  <c r="AX547" i="5"/>
  <c r="AW547" i="5"/>
  <c r="AU547" i="5"/>
  <c r="AT547" i="5"/>
  <c r="AD547" i="5"/>
  <c r="Z547" i="5"/>
  <c r="BK546" i="5"/>
  <c r="BJ546" i="5"/>
  <c r="BI546" i="5"/>
  <c r="BH546" i="5"/>
  <c r="BG546" i="5"/>
  <c r="BF546" i="5"/>
  <c r="BE546" i="5"/>
  <c r="BD546" i="5"/>
  <c r="BC546" i="5"/>
  <c r="BB546" i="5"/>
  <c r="BA546" i="5"/>
  <c r="AZ546" i="5"/>
  <c r="AY546" i="5"/>
  <c r="AX546" i="5"/>
  <c r="AW546" i="5"/>
  <c r="AU546" i="5"/>
  <c r="AT546" i="5"/>
  <c r="AD546" i="5"/>
  <c r="Z546" i="5"/>
  <c r="BK545" i="5"/>
  <c r="BJ545" i="5"/>
  <c r="BI545" i="5"/>
  <c r="BH545" i="5"/>
  <c r="BG545" i="5"/>
  <c r="BF545" i="5"/>
  <c r="BE545" i="5"/>
  <c r="BD545" i="5"/>
  <c r="BC545" i="5"/>
  <c r="BB545" i="5"/>
  <c r="BA545" i="5"/>
  <c r="AZ545" i="5"/>
  <c r="AY545" i="5"/>
  <c r="AX545" i="5"/>
  <c r="AW545" i="5"/>
  <c r="AU545" i="5"/>
  <c r="AT545" i="5"/>
  <c r="AD545" i="5"/>
  <c r="Z545" i="5"/>
  <c r="BK544" i="5"/>
  <c r="BJ544" i="5"/>
  <c r="BI544" i="5"/>
  <c r="BH544" i="5"/>
  <c r="BG544" i="5"/>
  <c r="BF544" i="5"/>
  <c r="BE544" i="5"/>
  <c r="BD544" i="5"/>
  <c r="BC544" i="5"/>
  <c r="BB544" i="5"/>
  <c r="BA544" i="5"/>
  <c r="AZ544" i="5"/>
  <c r="AY544" i="5"/>
  <c r="AX544" i="5"/>
  <c r="AW544" i="5"/>
  <c r="AU544" i="5"/>
  <c r="AT544" i="5"/>
  <c r="AD544" i="5"/>
  <c r="Z544" i="5"/>
  <c r="BK543" i="5"/>
  <c r="BJ543" i="5"/>
  <c r="BI543" i="5"/>
  <c r="BH543" i="5"/>
  <c r="BG543" i="5"/>
  <c r="BF543" i="5"/>
  <c r="BE543" i="5"/>
  <c r="BD543" i="5"/>
  <c r="BC543" i="5"/>
  <c r="BB543" i="5"/>
  <c r="BA543" i="5"/>
  <c r="AZ543" i="5"/>
  <c r="AY543" i="5"/>
  <c r="AX543" i="5"/>
  <c r="AW543" i="5"/>
  <c r="AU543" i="5"/>
  <c r="AT543" i="5"/>
  <c r="AD543" i="5"/>
  <c r="Z543" i="5"/>
  <c r="BK542" i="5"/>
  <c r="BJ542" i="5"/>
  <c r="BI542" i="5"/>
  <c r="BH542" i="5"/>
  <c r="BG542" i="5"/>
  <c r="BF542" i="5"/>
  <c r="BE542" i="5"/>
  <c r="BD542" i="5"/>
  <c r="BC542" i="5"/>
  <c r="BB542" i="5"/>
  <c r="BA542" i="5"/>
  <c r="AZ542" i="5"/>
  <c r="AY542" i="5"/>
  <c r="AX542" i="5"/>
  <c r="AW542" i="5"/>
  <c r="AU542" i="5"/>
  <c r="AT542" i="5"/>
  <c r="AD542" i="5"/>
  <c r="Z542" i="5"/>
  <c r="BK541" i="5"/>
  <c r="BJ541" i="5"/>
  <c r="BI541" i="5"/>
  <c r="BH541" i="5"/>
  <c r="BG541" i="5"/>
  <c r="BF541" i="5"/>
  <c r="BE541" i="5"/>
  <c r="BD541" i="5"/>
  <c r="BC541" i="5"/>
  <c r="BB541" i="5"/>
  <c r="BA541" i="5"/>
  <c r="AZ541" i="5"/>
  <c r="AY541" i="5"/>
  <c r="AX541" i="5"/>
  <c r="AW541" i="5"/>
  <c r="AU541" i="5"/>
  <c r="AT541" i="5"/>
  <c r="AD541" i="5"/>
  <c r="Z541" i="5"/>
  <c r="BK540" i="5"/>
  <c r="BJ540" i="5"/>
  <c r="BI540" i="5"/>
  <c r="BH540" i="5"/>
  <c r="BG540" i="5"/>
  <c r="BF540" i="5"/>
  <c r="BE540" i="5"/>
  <c r="BD540" i="5"/>
  <c r="BC540" i="5"/>
  <c r="BB540" i="5"/>
  <c r="BA540" i="5"/>
  <c r="AZ540" i="5"/>
  <c r="AY540" i="5"/>
  <c r="AX540" i="5"/>
  <c r="AW540" i="5"/>
  <c r="AU540" i="5"/>
  <c r="AT540" i="5"/>
  <c r="AD540" i="5"/>
  <c r="Z540" i="5"/>
  <c r="BK539" i="5"/>
  <c r="BJ539" i="5"/>
  <c r="BI539" i="5"/>
  <c r="BH539" i="5"/>
  <c r="BG539" i="5"/>
  <c r="BF539" i="5"/>
  <c r="BE539" i="5"/>
  <c r="BD539" i="5"/>
  <c r="BC539" i="5"/>
  <c r="BB539" i="5"/>
  <c r="BA539" i="5"/>
  <c r="AZ539" i="5"/>
  <c r="AY539" i="5"/>
  <c r="AX539" i="5"/>
  <c r="AW539" i="5"/>
  <c r="AU539" i="5"/>
  <c r="AT539" i="5"/>
  <c r="AD539" i="5"/>
  <c r="Z539" i="5"/>
  <c r="BK538" i="5"/>
  <c r="BJ538" i="5"/>
  <c r="BI538" i="5"/>
  <c r="BH538" i="5"/>
  <c r="BG538" i="5"/>
  <c r="BF538" i="5"/>
  <c r="BE538" i="5"/>
  <c r="BD538" i="5"/>
  <c r="BC538" i="5"/>
  <c r="BB538" i="5"/>
  <c r="BA538" i="5"/>
  <c r="AZ538" i="5"/>
  <c r="AY538" i="5"/>
  <c r="AX538" i="5"/>
  <c r="AW538" i="5"/>
  <c r="AU538" i="5"/>
  <c r="AT538" i="5"/>
  <c r="AD538" i="5"/>
  <c r="Z538" i="5"/>
  <c r="BK537" i="5"/>
  <c r="BJ537" i="5"/>
  <c r="BI537" i="5"/>
  <c r="BH537" i="5"/>
  <c r="BG537" i="5"/>
  <c r="BF537" i="5"/>
  <c r="BE537" i="5"/>
  <c r="BD537" i="5"/>
  <c r="BC537" i="5"/>
  <c r="BB537" i="5"/>
  <c r="BA537" i="5"/>
  <c r="AZ537" i="5"/>
  <c r="AY537" i="5"/>
  <c r="AX537" i="5"/>
  <c r="AW537" i="5"/>
  <c r="AU537" i="5"/>
  <c r="AT537" i="5"/>
  <c r="AD537" i="5"/>
  <c r="Z537" i="5"/>
  <c r="BK536" i="5"/>
  <c r="BJ536" i="5"/>
  <c r="BI536" i="5"/>
  <c r="BH536" i="5"/>
  <c r="BG536" i="5"/>
  <c r="BF536" i="5"/>
  <c r="BE536" i="5"/>
  <c r="BD536" i="5"/>
  <c r="BC536" i="5"/>
  <c r="BB536" i="5"/>
  <c r="BA536" i="5"/>
  <c r="AZ536" i="5"/>
  <c r="AY536" i="5"/>
  <c r="AX536" i="5"/>
  <c r="AW536" i="5"/>
  <c r="AU536" i="5"/>
  <c r="AT536" i="5"/>
  <c r="AD536" i="5"/>
  <c r="Z536" i="5"/>
  <c r="BK535" i="5"/>
  <c r="BJ535" i="5"/>
  <c r="BI535" i="5"/>
  <c r="BH535" i="5"/>
  <c r="BG535" i="5"/>
  <c r="BF535" i="5"/>
  <c r="BE535" i="5"/>
  <c r="BD535" i="5"/>
  <c r="BC535" i="5"/>
  <c r="BB535" i="5"/>
  <c r="BA535" i="5"/>
  <c r="AZ535" i="5"/>
  <c r="AY535" i="5"/>
  <c r="AX535" i="5"/>
  <c r="AW535" i="5"/>
  <c r="AU535" i="5"/>
  <c r="AT535" i="5"/>
  <c r="AD535" i="5"/>
  <c r="Z535" i="5"/>
  <c r="BK534" i="5"/>
  <c r="BJ534" i="5"/>
  <c r="BI534" i="5"/>
  <c r="BH534" i="5"/>
  <c r="BG534" i="5"/>
  <c r="BF534" i="5"/>
  <c r="BE534" i="5"/>
  <c r="BD534" i="5"/>
  <c r="BC534" i="5"/>
  <c r="BB534" i="5"/>
  <c r="BA534" i="5"/>
  <c r="AZ534" i="5"/>
  <c r="AY534" i="5"/>
  <c r="AX534" i="5"/>
  <c r="AW534" i="5"/>
  <c r="AU534" i="5"/>
  <c r="AT534" i="5"/>
  <c r="AD534" i="5"/>
  <c r="Z534" i="5"/>
  <c r="BK533" i="5"/>
  <c r="BJ533" i="5"/>
  <c r="BI533" i="5"/>
  <c r="BH533" i="5"/>
  <c r="BG533" i="5"/>
  <c r="BF533" i="5"/>
  <c r="BE533" i="5"/>
  <c r="BD533" i="5"/>
  <c r="BC533" i="5"/>
  <c r="BB533" i="5"/>
  <c r="BA533" i="5"/>
  <c r="AZ533" i="5"/>
  <c r="AY533" i="5"/>
  <c r="AX533" i="5"/>
  <c r="AW533" i="5"/>
  <c r="AU533" i="5"/>
  <c r="AT533" i="5"/>
  <c r="AD533" i="5"/>
  <c r="Z533" i="5"/>
  <c r="BK532" i="5"/>
  <c r="BJ532" i="5"/>
  <c r="BI532" i="5"/>
  <c r="BH532" i="5"/>
  <c r="BG532" i="5"/>
  <c r="BF532" i="5"/>
  <c r="BE532" i="5"/>
  <c r="BD532" i="5"/>
  <c r="BC532" i="5"/>
  <c r="BB532" i="5"/>
  <c r="BA532" i="5"/>
  <c r="AZ532" i="5"/>
  <c r="AY532" i="5"/>
  <c r="AX532" i="5"/>
  <c r="AW532" i="5"/>
  <c r="AU532" i="5"/>
  <c r="AT532" i="5"/>
  <c r="AD532" i="5"/>
  <c r="Z532" i="5"/>
  <c r="BK531" i="5"/>
  <c r="BJ531" i="5"/>
  <c r="BI531" i="5"/>
  <c r="BH531" i="5"/>
  <c r="BG531" i="5"/>
  <c r="BF531" i="5"/>
  <c r="BE531" i="5"/>
  <c r="BD531" i="5"/>
  <c r="BC531" i="5"/>
  <c r="BB531" i="5"/>
  <c r="BA531" i="5"/>
  <c r="AZ531" i="5"/>
  <c r="AY531" i="5"/>
  <c r="AX531" i="5"/>
  <c r="AW531" i="5"/>
  <c r="AU531" i="5"/>
  <c r="AT531" i="5"/>
  <c r="AD531" i="5"/>
  <c r="Z531" i="5"/>
  <c r="BK530" i="5"/>
  <c r="BJ530" i="5"/>
  <c r="BI530" i="5"/>
  <c r="BH530" i="5"/>
  <c r="BG530" i="5"/>
  <c r="BF530" i="5"/>
  <c r="BE530" i="5"/>
  <c r="BD530" i="5"/>
  <c r="BC530" i="5"/>
  <c r="BB530" i="5"/>
  <c r="BA530" i="5"/>
  <c r="AZ530" i="5"/>
  <c r="AY530" i="5"/>
  <c r="AX530" i="5"/>
  <c r="AW530" i="5"/>
  <c r="AU530" i="5"/>
  <c r="AT530" i="5"/>
  <c r="AD530" i="5"/>
  <c r="Z530" i="5"/>
  <c r="BK529" i="5"/>
  <c r="BJ529" i="5"/>
  <c r="BI529" i="5"/>
  <c r="BH529" i="5"/>
  <c r="BG529" i="5"/>
  <c r="BF529" i="5"/>
  <c r="BE529" i="5"/>
  <c r="BD529" i="5"/>
  <c r="BC529" i="5"/>
  <c r="BB529" i="5"/>
  <c r="BA529" i="5"/>
  <c r="AZ529" i="5"/>
  <c r="AY529" i="5"/>
  <c r="AX529" i="5"/>
  <c r="AW529" i="5"/>
  <c r="AU529" i="5"/>
  <c r="AT529" i="5"/>
  <c r="AD529" i="5"/>
  <c r="Z529" i="5"/>
  <c r="BK528" i="5"/>
  <c r="BJ528" i="5"/>
  <c r="BI528" i="5"/>
  <c r="BH528" i="5"/>
  <c r="BG528" i="5"/>
  <c r="BF528" i="5"/>
  <c r="BE528" i="5"/>
  <c r="BD528" i="5"/>
  <c r="BC528" i="5"/>
  <c r="BB528" i="5"/>
  <c r="BA528" i="5"/>
  <c r="AZ528" i="5"/>
  <c r="AY528" i="5"/>
  <c r="AX528" i="5"/>
  <c r="AW528" i="5"/>
  <c r="AU528" i="5"/>
  <c r="AT528" i="5"/>
  <c r="AD528" i="5"/>
  <c r="Z528" i="5"/>
  <c r="BK527" i="5"/>
  <c r="BJ527" i="5"/>
  <c r="BI527" i="5"/>
  <c r="BH527" i="5"/>
  <c r="BG527" i="5"/>
  <c r="BF527" i="5"/>
  <c r="BE527" i="5"/>
  <c r="BD527" i="5"/>
  <c r="BC527" i="5"/>
  <c r="BB527" i="5"/>
  <c r="BA527" i="5"/>
  <c r="AZ527" i="5"/>
  <c r="AY527" i="5"/>
  <c r="AX527" i="5"/>
  <c r="AW527" i="5"/>
  <c r="AU527" i="5"/>
  <c r="AT527" i="5"/>
  <c r="AD527" i="5"/>
  <c r="Z527" i="5"/>
  <c r="BK526" i="5"/>
  <c r="BJ526" i="5"/>
  <c r="BI526" i="5"/>
  <c r="BH526" i="5"/>
  <c r="BG526" i="5"/>
  <c r="BF526" i="5"/>
  <c r="BE526" i="5"/>
  <c r="BD526" i="5"/>
  <c r="BC526" i="5"/>
  <c r="BB526" i="5"/>
  <c r="BA526" i="5"/>
  <c r="AZ526" i="5"/>
  <c r="AY526" i="5"/>
  <c r="AX526" i="5"/>
  <c r="AW526" i="5"/>
  <c r="AU526" i="5"/>
  <c r="AT526" i="5"/>
  <c r="AD526" i="5"/>
  <c r="Z526" i="5"/>
  <c r="BK525" i="5"/>
  <c r="BJ525" i="5"/>
  <c r="BI525" i="5"/>
  <c r="BH525" i="5"/>
  <c r="BG525" i="5"/>
  <c r="BF525" i="5"/>
  <c r="BE525" i="5"/>
  <c r="BD525" i="5"/>
  <c r="BC525" i="5"/>
  <c r="BB525" i="5"/>
  <c r="BA525" i="5"/>
  <c r="AZ525" i="5"/>
  <c r="AY525" i="5"/>
  <c r="AX525" i="5"/>
  <c r="AW525" i="5"/>
  <c r="AU525" i="5"/>
  <c r="AT525" i="5"/>
  <c r="AD525" i="5"/>
  <c r="Z525" i="5"/>
  <c r="BK524" i="5"/>
  <c r="BJ524" i="5"/>
  <c r="BI524" i="5"/>
  <c r="BH524" i="5"/>
  <c r="BG524" i="5"/>
  <c r="BF524" i="5"/>
  <c r="BE524" i="5"/>
  <c r="BD524" i="5"/>
  <c r="BC524" i="5"/>
  <c r="BB524" i="5"/>
  <c r="BA524" i="5"/>
  <c r="AZ524" i="5"/>
  <c r="AY524" i="5"/>
  <c r="AX524" i="5"/>
  <c r="AW524" i="5"/>
  <c r="AU524" i="5"/>
  <c r="AT524" i="5"/>
  <c r="AD524" i="5"/>
  <c r="Z524" i="5"/>
  <c r="BK523" i="5"/>
  <c r="BJ523" i="5"/>
  <c r="BI523" i="5"/>
  <c r="BH523" i="5"/>
  <c r="BG523" i="5"/>
  <c r="BF523" i="5"/>
  <c r="BE523" i="5"/>
  <c r="BD523" i="5"/>
  <c r="BC523" i="5"/>
  <c r="BB523" i="5"/>
  <c r="BA523" i="5"/>
  <c r="AZ523" i="5"/>
  <c r="AY523" i="5"/>
  <c r="AX523" i="5"/>
  <c r="AW523" i="5"/>
  <c r="AU523" i="5"/>
  <c r="AT523" i="5"/>
  <c r="AD523" i="5"/>
  <c r="Z523" i="5"/>
  <c r="BK522" i="5"/>
  <c r="BJ522" i="5"/>
  <c r="BI522" i="5"/>
  <c r="BH522" i="5"/>
  <c r="BG522" i="5"/>
  <c r="BF522" i="5"/>
  <c r="BE522" i="5"/>
  <c r="BD522" i="5"/>
  <c r="BC522" i="5"/>
  <c r="BB522" i="5"/>
  <c r="BA522" i="5"/>
  <c r="AZ522" i="5"/>
  <c r="AY522" i="5"/>
  <c r="AX522" i="5"/>
  <c r="AW522" i="5"/>
  <c r="AU522" i="5"/>
  <c r="AT522" i="5"/>
  <c r="AD522" i="5"/>
  <c r="Z522" i="5"/>
  <c r="BK521" i="5"/>
  <c r="BJ521" i="5"/>
  <c r="BI521" i="5"/>
  <c r="BH521" i="5"/>
  <c r="BG521" i="5"/>
  <c r="BF521" i="5"/>
  <c r="BE521" i="5"/>
  <c r="BD521" i="5"/>
  <c r="BC521" i="5"/>
  <c r="BB521" i="5"/>
  <c r="BA521" i="5"/>
  <c r="AZ521" i="5"/>
  <c r="AY521" i="5"/>
  <c r="AX521" i="5"/>
  <c r="AW521" i="5"/>
  <c r="AU521" i="5"/>
  <c r="AT521" i="5"/>
  <c r="AD521" i="5"/>
  <c r="Z521" i="5"/>
  <c r="BK520" i="5"/>
  <c r="BJ520" i="5"/>
  <c r="BI520" i="5"/>
  <c r="BH520" i="5"/>
  <c r="BG520" i="5"/>
  <c r="BF520" i="5"/>
  <c r="BE520" i="5"/>
  <c r="BD520" i="5"/>
  <c r="BC520" i="5"/>
  <c r="BB520" i="5"/>
  <c r="BA520" i="5"/>
  <c r="AZ520" i="5"/>
  <c r="AY520" i="5"/>
  <c r="AX520" i="5"/>
  <c r="AW520" i="5"/>
  <c r="AU520" i="5"/>
  <c r="AT520" i="5"/>
  <c r="AD520" i="5"/>
  <c r="Z520" i="5"/>
  <c r="BK519" i="5"/>
  <c r="BJ519" i="5"/>
  <c r="BI519" i="5"/>
  <c r="BH519" i="5"/>
  <c r="BG519" i="5"/>
  <c r="BF519" i="5"/>
  <c r="BE519" i="5"/>
  <c r="BD519" i="5"/>
  <c r="BC519" i="5"/>
  <c r="BB519" i="5"/>
  <c r="BA519" i="5"/>
  <c r="AZ519" i="5"/>
  <c r="AY519" i="5"/>
  <c r="AX519" i="5"/>
  <c r="AW519" i="5"/>
  <c r="AU519" i="5"/>
  <c r="AT519" i="5"/>
  <c r="AD519" i="5"/>
  <c r="Z519" i="5"/>
  <c r="BK518" i="5"/>
  <c r="BJ518" i="5"/>
  <c r="BI518" i="5"/>
  <c r="BH518" i="5"/>
  <c r="BG518" i="5"/>
  <c r="BF518" i="5"/>
  <c r="BE518" i="5"/>
  <c r="BD518" i="5"/>
  <c r="BC518" i="5"/>
  <c r="BB518" i="5"/>
  <c r="BA518" i="5"/>
  <c r="AZ518" i="5"/>
  <c r="AY518" i="5"/>
  <c r="AX518" i="5"/>
  <c r="AW518" i="5"/>
  <c r="AU518" i="5"/>
  <c r="AT518" i="5"/>
  <c r="AD518" i="5"/>
  <c r="Z518" i="5"/>
  <c r="BK517" i="5"/>
  <c r="BJ517" i="5"/>
  <c r="BI517" i="5"/>
  <c r="BH517" i="5"/>
  <c r="BG517" i="5"/>
  <c r="BF517" i="5"/>
  <c r="BE517" i="5"/>
  <c r="BD517" i="5"/>
  <c r="BC517" i="5"/>
  <c r="BB517" i="5"/>
  <c r="BA517" i="5"/>
  <c r="AZ517" i="5"/>
  <c r="AY517" i="5"/>
  <c r="AX517" i="5"/>
  <c r="AW517" i="5"/>
  <c r="AU517" i="5"/>
  <c r="AT517" i="5"/>
  <c r="AD517" i="5"/>
  <c r="Z517" i="5"/>
  <c r="BK516" i="5"/>
  <c r="BJ516" i="5"/>
  <c r="BI516" i="5"/>
  <c r="BH516" i="5"/>
  <c r="BG516" i="5"/>
  <c r="BF516" i="5"/>
  <c r="BE516" i="5"/>
  <c r="BD516" i="5"/>
  <c r="BC516" i="5"/>
  <c r="BB516" i="5"/>
  <c r="BA516" i="5"/>
  <c r="AZ516" i="5"/>
  <c r="AY516" i="5"/>
  <c r="AX516" i="5"/>
  <c r="AW516" i="5"/>
  <c r="AU516" i="5"/>
  <c r="AT516" i="5"/>
  <c r="AD516" i="5"/>
  <c r="Z516" i="5"/>
  <c r="BK515" i="5"/>
  <c r="BJ515" i="5"/>
  <c r="BI515" i="5"/>
  <c r="BH515" i="5"/>
  <c r="BG515" i="5"/>
  <c r="BF515" i="5"/>
  <c r="BE515" i="5"/>
  <c r="BD515" i="5"/>
  <c r="BC515" i="5"/>
  <c r="BB515" i="5"/>
  <c r="BA515" i="5"/>
  <c r="AZ515" i="5"/>
  <c r="AY515" i="5"/>
  <c r="AX515" i="5"/>
  <c r="AW515" i="5"/>
  <c r="AU515" i="5"/>
  <c r="AT515" i="5"/>
  <c r="AD515" i="5"/>
  <c r="Z515" i="5"/>
  <c r="BK514" i="5"/>
  <c r="BJ514" i="5"/>
  <c r="BI514" i="5"/>
  <c r="BH514" i="5"/>
  <c r="BG514" i="5"/>
  <c r="BF514" i="5"/>
  <c r="BE514" i="5"/>
  <c r="BD514" i="5"/>
  <c r="BC514" i="5"/>
  <c r="BB514" i="5"/>
  <c r="BA514" i="5"/>
  <c r="AZ514" i="5"/>
  <c r="AY514" i="5"/>
  <c r="AX514" i="5"/>
  <c r="AW514" i="5"/>
  <c r="AU514" i="5"/>
  <c r="AT514" i="5"/>
  <c r="AD514" i="5"/>
  <c r="Z514" i="5"/>
  <c r="BK513" i="5"/>
  <c r="BJ513" i="5"/>
  <c r="BI513" i="5"/>
  <c r="BH513" i="5"/>
  <c r="BG513" i="5"/>
  <c r="BF513" i="5"/>
  <c r="BE513" i="5"/>
  <c r="BD513" i="5"/>
  <c r="BC513" i="5"/>
  <c r="BB513" i="5"/>
  <c r="BA513" i="5"/>
  <c r="AZ513" i="5"/>
  <c r="AY513" i="5"/>
  <c r="AX513" i="5"/>
  <c r="AW513" i="5"/>
  <c r="AU513" i="5"/>
  <c r="AT513" i="5"/>
  <c r="AD513" i="5"/>
  <c r="Z513" i="5"/>
  <c r="BK512" i="5"/>
  <c r="BJ512" i="5"/>
  <c r="BI512" i="5"/>
  <c r="BH512" i="5"/>
  <c r="BG512" i="5"/>
  <c r="BF512" i="5"/>
  <c r="BE512" i="5"/>
  <c r="BD512" i="5"/>
  <c r="BC512" i="5"/>
  <c r="BB512" i="5"/>
  <c r="BA512" i="5"/>
  <c r="AZ512" i="5"/>
  <c r="AY512" i="5"/>
  <c r="AX512" i="5"/>
  <c r="AW512" i="5"/>
  <c r="AU512" i="5"/>
  <c r="AT512" i="5"/>
  <c r="AD512" i="5"/>
  <c r="Z512" i="5"/>
  <c r="BK511" i="5"/>
  <c r="BJ511" i="5"/>
  <c r="BI511" i="5"/>
  <c r="BH511" i="5"/>
  <c r="BG511" i="5"/>
  <c r="BF511" i="5"/>
  <c r="BE511" i="5"/>
  <c r="BD511" i="5"/>
  <c r="BC511" i="5"/>
  <c r="BB511" i="5"/>
  <c r="BA511" i="5"/>
  <c r="AZ511" i="5"/>
  <c r="AY511" i="5"/>
  <c r="AX511" i="5"/>
  <c r="AW511" i="5"/>
  <c r="AU511" i="5"/>
  <c r="AT511" i="5"/>
  <c r="AD511" i="5"/>
  <c r="Z511" i="5"/>
  <c r="BK510" i="5"/>
  <c r="BJ510" i="5"/>
  <c r="BI510" i="5"/>
  <c r="BH510" i="5"/>
  <c r="BG510" i="5"/>
  <c r="BF510" i="5"/>
  <c r="BE510" i="5"/>
  <c r="BD510" i="5"/>
  <c r="BC510" i="5"/>
  <c r="BB510" i="5"/>
  <c r="BA510" i="5"/>
  <c r="AZ510" i="5"/>
  <c r="AY510" i="5"/>
  <c r="AX510" i="5"/>
  <c r="AW510" i="5"/>
  <c r="AU510" i="5"/>
  <c r="AT510" i="5"/>
  <c r="AD510" i="5"/>
  <c r="Z510" i="5"/>
  <c r="BK509" i="5"/>
  <c r="BJ509" i="5"/>
  <c r="BI509" i="5"/>
  <c r="BH509" i="5"/>
  <c r="BG509" i="5"/>
  <c r="BF509" i="5"/>
  <c r="BE509" i="5"/>
  <c r="BD509" i="5"/>
  <c r="BC509" i="5"/>
  <c r="BB509" i="5"/>
  <c r="BA509" i="5"/>
  <c r="AZ509" i="5"/>
  <c r="AY509" i="5"/>
  <c r="AX509" i="5"/>
  <c r="AW509" i="5"/>
  <c r="AU509" i="5"/>
  <c r="AT509" i="5"/>
  <c r="AD509" i="5"/>
  <c r="Z509" i="5"/>
  <c r="BK508" i="5"/>
  <c r="BJ508" i="5"/>
  <c r="BI508" i="5"/>
  <c r="BH508" i="5"/>
  <c r="BG508" i="5"/>
  <c r="BF508" i="5"/>
  <c r="BE508" i="5"/>
  <c r="BD508" i="5"/>
  <c r="BC508" i="5"/>
  <c r="BB508" i="5"/>
  <c r="BA508" i="5"/>
  <c r="AZ508" i="5"/>
  <c r="AY508" i="5"/>
  <c r="AX508" i="5"/>
  <c r="AW508" i="5"/>
  <c r="AU508" i="5"/>
  <c r="AT508" i="5"/>
  <c r="AD508" i="5"/>
  <c r="Z508" i="5"/>
  <c r="BK507" i="5"/>
  <c r="BJ507" i="5"/>
  <c r="BI507" i="5"/>
  <c r="BH507" i="5"/>
  <c r="BG507" i="5"/>
  <c r="BF507" i="5"/>
  <c r="BE507" i="5"/>
  <c r="BD507" i="5"/>
  <c r="BC507" i="5"/>
  <c r="BB507" i="5"/>
  <c r="BA507" i="5"/>
  <c r="AZ507" i="5"/>
  <c r="AY507" i="5"/>
  <c r="AX507" i="5"/>
  <c r="AW507" i="5"/>
  <c r="AU507" i="5"/>
  <c r="AT507" i="5"/>
  <c r="AD507" i="5"/>
  <c r="Z507" i="5"/>
  <c r="BK506" i="5"/>
  <c r="BJ506" i="5"/>
  <c r="BI506" i="5"/>
  <c r="BH506" i="5"/>
  <c r="BG506" i="5"/>
  <c r="BF506" i="5"/>
  <c r="BE506" i="5"/>
  <c r="BD506" i="5"/>
  <c r="BC506" i="5"/>
  <c r="BB506" i="5"/>
  <c r="BA506" i="5"/>
  <c r="AZ506" i="5"/>
  <c r="AY506" i="5"/>
  <c r="AX506" i="5"/>
  <c r="AW506" i="5"/>
  <c r="AU506" i="5"/>
  <c r="AT506" i="5"/>
  <c r="AD506" i="5"/>
  <c r="Z506" i="5"/>
  <c r="BK505" i="5"/>
  <c r="BJ505" i="5"/>
  <c r="BI505" i="5"/>
  <c r="BH505" i="5"/>
  <c r="BG505" i="5"/>
  <c r="BF505" i="5"/>
  <c r="BE505" i="5"/>
  <c r="BD505" i="5"/>
  <c r="BC505" i="5"/>
  <c r="BB505" i="5"/>
  <c r="BA505" i="5"/>
  <c r="AZ505" i="5"/>
  <c r="AY505" i="5"/>
  <c r="AX505" i="5"/>
  <c r="AW505" i="5"/>
  <c r="AU505" i="5"/>
  <c r="AT505" i="5"/>
  <c r="AD505" i="5"/>
  <c r="Z505" i="5"/>
  <c r="BK504" i="5"/>
  <c r="BJ504" i="5"/>
  <c r="BI504" i="5"/>
  <c r="BH504" i="5"/>
  <c r="BG504" i="5"/>
  <c r="BF504" i="5"/>
  <c r="BE504" i="5"/>
  <c r="BD504" i="5"/>
  <c r="BC504" i="5"/>
  <c r="BB504" i="5"/>
  <c r="BA504" i="5"/>
  <c r="AZ504" i="5"/>
  <c r="AY504" i="5"/>
  <c r="AX504" i="5"/>
  <c r="AW504" i="5"/>
  <c r="AU504" i="5"/>
  <c r="AT504" i="5"/>
  <c r="AD504" i="5"/>
  <c r="Z504" i="5"/>
  <c r="BK503" i="5"/>
  <c r="BJ503" i="5"/>
  <c r="BI503" i="5"/>
  <c r="BH503" i="5"/>
  <c r="BG503" i="5"/>
  <c r="BF503" i="5"/>
  <c r="BE503" i="5"/>
  <c r="BD503" i="5"/>
  <c r="BC503" i="5"/>
  <c r="BB503" i="5"/>
  <c r="BA503" i="5"/>
  <c r="AZ503" i="5"/>
  <c r="AY503" i="5"/>
  <c r="AX503" i="5"/>
  <c r="AW503" i="5"/>
  <c r="AU503" i="5"/>
  <c r="AT503" i="5"/>
  <c r="AD503" i="5"/>
  <c r="Z503" i="5"/>
  <c r="BK502" i="5"/>
  <c r="BJ502" i="5"/>
  <c r="BI502" i="5"/>
  <c r="BH502" i="5"/>
  <c r="BG502" i="5"/>
  <c r="BF502" i="5"/>
  <c r="BE502" i="5"/>
  <c r="BD502" i="5"/>
  <c r="BC502" i="5"/>
  <c r="BB502" i="5"/>
  <c r="BA502" i="5"/>
  <c r="AZ502" i="5"/>
  <c r="AY502" i="5"/>
  <c r="AX502" i="5"/>
  <c r="AW502" i="5"/>
  <c r="AU502" i="5"/>
  <c r="AT502" i="5"/>
  <c r="AD502" i="5"/>
  <c r="Z502" i="5"/>
  <c r="BK501" i="5"/>
  <c r="BJ501" i="5"/>
  <c r="BI501" i="5"/>
  <c r="BH501" i="5"/>
  <c r="BG501" i="5"/>
  <c r="BF501" i="5"/>
  <c r="BE501" i="5"/>
  <c r="BD501" i="5"/>
  <c r="BC501" i="5"/>
  <c r="BB501" i="5"/>
  <c r="BA501" i="5"/>
  <c r="AZ501" i="5"/>
  <c r="AY501" i="5"/>
  <c r="AX501" i="5"/>
  <c r="AW501" i="5"/>
  <c r="AU501" i="5"/>
  <c r="AT501" i="5"/>
  <c r="AD501" i="5"/>
  <c r="Z501" i="5"/>
  <c r="BK500" i="5"/>
  <c r="BJ500" i="5"/>
  <c r="BI500" i="5"/>
  <c r="BH500" i="5"/>
  <c r="BG500" i="5"/>
  <c r="BF500" i="5"/>
  <c r="BE500" i="5"/>
  <c r="BD500" i="5"/>
  <c r="BC500" i="5"/>
  <c r="BB500" i="5"/>
  <c r="BA500" i="5"/>
  <c r="AZ500" i="5"/>
  <c r="AY500" i="5"/>
  <c r="AX500" i="5"/>
  <c r="AW500" i="5"/>
  <c r="AU500" i="5"/>
  <c r="AT500" i="5"/>
  <c r="AD500" i="5"/>
  <c r="Z500" i="5"/>
  <c r="BK499" i="5"/>
  <c r="BJ499" i="5"/>
  <c r="BI499" i="5"/>
  <c r="BH499" i="5"/>
  <c r="BG499" i="5"/>
  <c r="BF499" i="5"/>
  <c r="BE499" i="5"/>
  <c r="BD499" i="5"/>
  <c r="BC499" i="5"/>
  <c r="BB499" i="5"/>
  <c r="BA499" i="5"/>
  <c r="AZ499" i="5"/>
  <c r="AY499" i="5"/>
  <c r="AX499" i="5"/>
  <c r="AW499" i="5"/>
  <c r="AU499" i="5"/>
  <c r="AT499" i="5"/>
  <c r="AD499" i="5"/>
  <c r="Z499" i="5"/>
  <c r="BK498" i="5"/>
  <c r="BJ498" i="5"/>
  <c r="BI498" i="5"/>
  <c r="BH498" i="5"/>
  <c r="BG498" i="5"/>
  <c r="BF498" i="5"/>
  <c r="BE498" i="5"/>
  <c r="BD498" i="5"/>
  <c r="BC498" i="5"/>
  <c r="BB498" i="5"/>
  <c r="BA498" i="5"/>
  <c r="AZ498" i="5"/>
  <c r="AY498" i="5"/>
  <c r="AX498" i="5"/>
  <c r="AW498" i="5"/>
  <c r="AU498" i="5"/>
  <c r="AT498" i="5"/>
  <c r="AD498" i="5"/>
  <c r="Z498" i="5"/>
  <c r="BK497" i="5"/>
  <c r="BJ497" i="5"/>
  <c r="BI497" i="5"/>
  <c r="BH497" i="5"/>
  <c r="BG497" i="5"/>
  <c r="BF497" i="5"/>
  <c r="BE497" i="5"/>
  <c r="BD497" i="5"/>
  <c r="BC497" i="5"/>
  <c r="BB497" i="5"/>
  <c r="BA497" i="5"/>
  <c r="AZ497" i="5"/>
  <c r="AY497" i="5"/>
  <c r="AX497" i="5"/>
  <c r="AW497" i="5"/>
  <c r="AU497" i="5"/>
  <c r="AT497" i="5"/>
  <c r="AD497" i="5"/>
  <c r="Z497" i="5"/>
  <c r="BK496" i="5"/>
  <c r="BJ496" i="5"/>
  <c r="BI496" i="5"/>
  <c r="BH496" i="5"/>
  <c r="BG496" i="5"/>
  <c r="BF496" i="5"/>
  <c r="BE496" i="5"/>
  <c r="BD496" i="5"/>
  <c r="BC496" i="5"/>
  <c r="BB496" i="5"/>
  <c r="BA496" i="5"/>
  <c r="AZ496" i="5"/>
  <c r="AY496" i="5"/>
  <c r="AX496" i="5"/>
  <c r="AW496" i="5"/>
  <c r="AU496" i="5"/>
  <c r="AT496" i="5"/>
  <c r="AD496" i="5"/>
  <c r="Z496" i="5"/>
  <c r="BK495" i="5"/>
  <c r="BJ495" i="5"/>
  <c r="BI495" i="5"/>
  <c r="BH495" i="5"/>
  <c r="BG495" i="5"/>
  <c r="BF495" i="5"/>
  <c r="BE495" i="5"/>
  <c r="BD495" i="5"/>
  <c r="BC495" i="5"/>
  <c r="BB495" i="5"/>
  <c r="BA495" i="5"/>
  <c r="AZ495" i="5"/>
  <c r="AY495" i="5"/>
  <c r="AX495" i="5"/>
  <c r="AW495" i="5"/>
  <c r="AU495" i="5"/>
  <c r="AT495" i="5"/>
  <c r="AD495" i="5"/>
  <c r="Z495" i="5"/>
  <c r="BK494" i="5"/>
  <c r="BJ494" i="5"/>
  <c r="BI494" i="5"/>
  <c r="BH494" i="5"/>
  <c r="BG494" i="5"/>
  <c r="BF494" i="5"/>
  <c r="BE494" i="5"/>
  <c r="BD494" i="5"/>
  <c r="BC494" i="5"/>
  <c r="BB494" i="5"/>
  <c r="BA494" i="5"/>
  <c r="AZ494" i="5"/>
  <c r="AY494" i="5"/>
  <c r="AX494" i="5"/>
  <c r="AW494" i="5"/>
  <c r="AU494" i="5"/>
  <c r="AT494" i="5"/>
  <c r="AD494" i="5"/>
  <c r="Z494" i="5"/>
  <c r="BK493" i="5"/>
  <c r="BJ493" i="5"/>
  <c r="BI493" i="5"/>
  <c r="BH493" i="5"/>
  <c r="BG493" i="5"/>
  <c r="BF493" i="5"/>
  <c r="BE493" i="5"/>
  <c r="BD493" i="5"/>
  <c r="BC493" i="5"/>
  <c r="BB493" i="5"/>
  <c r="BA493" i="5"/>
  <c r="AZ493" i="5"/>
  <c r="AY493" i="5"/>
  <c r="AX493" i="5"/>
  <c r="AW493" i="5"/>
  <c r="AU493" i="5"/>
  <c r="AT493" i="5"/>
  <c r="AD493" i="5"/>
  <c r="Z493" i="5"/>
  <c r="BK492" i="5"/>
  <c r="BJ492" i="5"/>
  <c r="BI492" i="5"/>
  <c r="BH492" i="5"/>
  <c r="BG492" i="5"/>
  <c r="BF492" i="5"/>
  <c r="BE492" i="5"/>
  <c r="BD492" i="5"/>
  <c r="BC492" i="5"/>
  <c r="BB492" i="5"/>
  <c r="BA492" i="5"/>
  <c r="AZ492" i="5"/>
  <c r="AY492" i="5"/>
  <c r="AX492" i="5"/>
  <c r="AW492" i="5"/>
  <c r="AU492" i="5"/>
  <c r="AT492" i="5"/>
  <c r="AD492" i="5"/>
  <c r="Z492" i="5"/>
  <c r="BK491" i="5"/>
  <c r="BJ491" i="5"/>
  <c r="BI491" i="5"/>
  <c r="BH491" i="5"/>
  <c r="BG491" i="5"/>
  <c r="BF491" i="5"/>
  <c r="BE491" i="5"/>
  <c r="BD491" i="5"/>
  <c r="BC491" i="5"/>
  <c r="BB491" i="5"/>
  <c r="BA491" i="5"/>
  <c r="AZ491" i="5"/>
  <c r="AY491" i="5"/>
  <c r="AX491" i="5"/>
  <c r="AW491" i="5"/>
  <c r="AU491" i="5"/>
  <c r="AT491" i="5"/>
  <c r="AD491" i="5"/>
  <c r="Z491" i="5"/>
  <c r="BK490" i="5"/>
  <c r="BJ490" i="5"/>
  <c r="BI490" i="5"/>
  <c r="BH490" i="5"/>
  <c r="BG490" i="5"/>
  <c r="BF490" i="5"/>
  <c r="BE490" i="5"/>
  <c r="BD490" i="5"/>
  <c r="BC490" i="5"/>
  <c r="BB490" i="5"/>
  <c r="BA490" i="5"/>
  <c r="AZ490" i="5"/>
  <c r="AY490" i="5"/>
  <c r="AX490" i="5"/>
  <c r="AW490" i="5"/>
  <c r="AU490" i="5"/>
  <c r="AT490" i="5"/>
  <c r="AD490" i="5"/>
  <c r="Z490" i="5"/>
  <c r="BK489" i="5"/>
  <c r="BJ489" i="5"/>
  <c r="BI489" i="5"/>
  <c r="BH489" i="5"/>
  <c r="BG489" i="5"/>
  <c r="BF489" i="5"/>
  <c r="BE489" i="5"/>
  <c r="BD489" i="5"/>
  <c r="BC489" i="5"/>
  <c r="BB489" i="5"/>
  <c r="BA489" i="5"/>
  <c r="AZ489" i="5"/>
  <c r="AY489" i="5"/>
  <c r="AX489" i="5"/>
  <c r="AW489" i="5"/>
  <c r="AU489" i="5"/>
  <c r="AT489" i="5"/>
  <c r="AD489" i="5"/>
  <c r="Z489" i="5"/>
  <c r="BK488" i="5"/>
  <c r="BJ488" i="5"/>
  <c r="BI488" i="5"/>
  <c r="BH488" i="5"/>
  <c r="BG488" i="5"/>
  <c r="BF488" i="5"/>
  <c r="BE488" i="5"/>
  <c r="BD488" i="5"/>
  <c r="BC488" i="5"/>
  <c r="BB488" i="5"/>
  <c r="BA488" i="5"/>
  <c r="AZ488" i="5"/>
  <c r="AY488" i="5"/>
  <c r="AX488" i="5"/>
  <c r="AW488" i="5"/>
  <c r="AU488" i="5"/>
  <c r="AT488" i="5"/>
  <c r="AD488" i="5"/>
  <c r="Z488" i="5"/>
  <c r="BK487" i="5"/>
  <c r="BJ487" i="5"/>
  <c r="BI487" i="5"/>
  <c r="BH487" i="5"/>
  <c r="BG487" i="5"/>
  <c r="BF487" i="5"/>
  <c r="BE487" i="5"/>
  <c r="BD487" i="5"/>
  <c r="BC487" i="5"/>
  <c r="BB487" i="5"/>
  <c r="BA487" i="5"/>
  <c r="AZ487" i="5"/>
  <c r="AY487" i="5"/>
  <c r="AX487" i="5"/>
  <c r="AW487" i="5"/>
  <c r="AU487" i="5"/>
  <c r="AT487" i="5"/>
  <c r="AD487" i="5"/>
  <c r="Z487" i="5"/>
  <c r="BK486" i="5"/>
  <c r="BJ486" i="5"/>
  <c r="BI486" i="5"/>
  <c r="BH486" i="5"/>
  <c r="BG486" i="5"/>
  <c r="BF486" i="5"/>
  <c r="BE486" i="5"/>
  <c r="BD486" i="5"/>
  <c r="BC486" i="5"/>
  <c r="BB486" i="5"/>
  <c r="BA486" i="5"/>
  <c r="AZ486" i="5"/>
  <c r="AY486" i="5"/>
  <c r="AX486" i="5"/>
  <c r="AW486" i="5"/>
  <c r="AU486" i="5"/>
  <c r="AT486" i="5"/>
  <c r="AD486" i="5"/>
  <c r="Z486" i="5"/>
  <c r="BK485" i="5"/>
  <c r="BJ485" i="5"/>
  <c r="BI485" i="5"/>
  <c r="BH485" i="5"/>
  <c r="BG485" i="5"/>
  <c r="BF485" i="5"/>
  <c r="BE485" i="5"/>
  <c r="BD485" i="5"/>
  <c r="BC485" i="5"/>
  <c r="BB485" i="5"/>
  <c r="BA485" i="5"/>
  <c r="AZ485" i="5"/>
  <c r="AY485" i="5"/>
  <c r="AX485" i="5"/>
  <c r="AW485" i="5"/>
  <c r="AU485" i="5"/>
  <c r="AT485" i="5"/>
  <c r="AD485" i="5"/>
  <c r="Z485" i="5"/>
  <c r="BK484" i="5"/>
  <c r="BJ484" i="5"/>
  <c r="BI484" i="5"/>
  <c r="BH484" i="5"/>
  <c r="BG484" i="5"/>
  <c r="BF484" i="5"/>
  <c r="BE484" i="5"/>
  <c r="BD484" i="5"/>
  <c r="BC484" i="5"/>
  <c r="BB484" i="5"/>
  <c r="BA484" i="5"/>
  <c r="AZ484" i="5"/>
  <c r="AY484" i="5"/>
  <c r="AX484" i="5"/>
  <c r="AW484" i="5"/>
  <c r="AU484" i="5"/>
  <c r="AT484" i="5"/>
  <c r="AD484" i="5"/>
  <c r="Z484" i="5"/>
  <c r="BK483" i="5"/>
  <c r="BJ483" i="5"/>
  <c r="BI483" i="5"/>
  <c r="BH483" i="5"/>
  <c r="BG483" i="5"/>
  <c r="BF483" i="5"/>
  <c r="BE483" i="5"/>
  <c r="BD483" i="5"/>
  <c r="BC483" i="5"/>
  <c r="BB483" i="5"/>
  <c r="BA483" i="5"/>
  <c r="AZ483" i="5"/>
  <c r="AY483" i="5"/>
  <c r="AX483" i="5"/>
  <c r="AW483" i="5"/>
  <c r="AU483" i="5"/>
  <c r="AT483" i="5"/>
  <c r="AD483" i="5"/>
  <c r="Z483" i="5"/>
  <c r="BK482" i="5"/>
  <c r="BJ482" i="5"/>
  <c r="BI482" i="5"/>
  <c r="BH482" i="5"/>
  <c r="BG482" i="5"/>
  <c r="BF482" i="5"/>
  <c r="BE482" i="5"/>
  <c r="BD482" i="5"/>
  <c r="BC482" i="5"/>
  <c r="BB482" i="5"/>
  <c r="BA482" i="5"/>
  <c r="AZ482" i="5"/>
  <c r="AY482" i="5"/>
  <c r="AX482" i="5"/>
  <c r="AW482" i="5"/>
  <c r="AU482" i="5"/>
  <c r="AT482" i="5"/>
  <c r="AD482" i="5"/>
  <c r="Z482" i="5"/>
  <c r="BK481" i="5"/>
  <c r="BJ481" i="5"/>
  <c r="BI481" i="5"/>
  <c r="BH481" i="5"/>
  <c r="BG481" i="5"/>
  <c r="BF481" i="5"/>
  <c r="BE481" i="5"/>
  <c r="BD481" i="5"/>
  <c r="BC481" i="5"/>
  <c r="BB481" i="5"/>
  <c r="BA481" i="5"/>
  <c r="AZ481" i="5"/>
  <c r="AY481" i="5"/>
  <c r="AX481" i="5"/>
  <c r="AW481" i="5"/>
  <c r="AU481" i="5"/>
  <c r="AT481" i="5"/>
  <c r="AD481" i="5"/>
  <c r="Z481" i="5"/>
  <c r="BK480" i="5"/>
  <c r="BJ480" i="5"/>
  <c r="BI480" i="5"/>
  <c r="BH480" i="5"/>
  <c r="BG480" i="5"/>
  <c r="BF480" i="5"/>
  <c r="BE480" i="5"/>
  <c r="BD480" i="5"/>
  <c r="BC480" i="5"/>
  <c r="BB480" i="5"/>
  <c r="BA480" i="5"/>
  <c r="AZ480" i="5"/>
  <c r="AY480" i="5"/>
  <c r="AX480" i="5"/>
  <c r="AW480" i="5"/>
  <c r="AU480" i="5"/>
  <c r="AT480" i="5"/>
  <c r="AD480" i="5"/>
  <c r="Z480" i="5"/>
  <c r="BK479" i="5"/>
  <c r="BJ479" i="5"/>
  <c r="BI479" i="5"/>
  <c r="BH479" i="5"/>
  <c r="BG479" i="5"/>
  <c r="BF479" i="5"/>
  <c r="BE479" i="5"/>
  <c r="BD479" i="5"/>
  <c r="BC479" i="5"/>
  <c r="BB479" i="5"/>
  <c r="BA479" i="5"/>
  <c r="AZ479" i="5"/>
  <c r="AY479" i="5"/>
  <c r="AX479" i="5"/>
  <c r="AW479" i="5"/>
  <c r="AU479" i="5"/>
  <c r="AT479" i="5"/>
  <c r="AD479" i="5"/>
  <c r="Z479" i="5"/>
  <c r="BK478" i="5"/>
  <c r="BJ478" i="5"/>
  <c r="BI478" i="5"/>
  <c r="BH478" i="5"/>
  <c r="BG478" i="5"/>
  <c r="BF478" i="5"/>
  <c r="BE478" i="5"/>
  <c r="BD478" i="5"/>
  <c r="BC478" i="5"/>
  <c r="BB478" i="5"/>
  <c r="BA478" i="5"/>
  <c r="AZ478" i="5"/>
  <c r="AY478" i="5"/>
  <c r="AX478" i="5"/>
  <c r="AW478" i="5"/>
  <c r="AU478" i="5"/>
  <c r="AT478" i="5"/>
  <c r="AD478" i="5"/>
  <c r="Z478" i="5"/>
  <c r="BK477" i="5"/>
  <c r="BJ477" i="5"/>
  <c r="BI477" i="5"/>
  <c r="BH477" i="5"/>
  <c r="BG477" i="5"/>
  <c r="BF477" i="5"/>
  <c r="BE477" i="5"/>
  <c r="BD477" i="5"/>
  <c r="BC477" i="5"/>
  <c r="BB477" i="5"/>
  <c r="BA477" i="5"/>
  <c r="AZ477" i="5"/>
  <c r="AY477" i="5"/>
  <c r="AX477" i="5"/>
  <c r="AW477" i="5"/>
  <c r="AU477" i="5"/>
  <c r="AT477" i="5"/>
  <c r="AD477" i="5"/>
  <c r="Z477" i="5"/>
  <c r="BK476" i="5"/>
  <c r="BJ476" i="5"/>
  <c r="BI476" i="5"/>
  <c r="BH476" i="5"/>
  <c r="BG476" i="5"/>
  <c r="BF476" i="5"/>
  <c r="BE476" i="5"/>
  <c r="BD476" i="5"/>
  <c r="BC476" i="5"/>
  <c r="BB476" i="5"/>
  <c r="BA476" i="5"/>
  <c r="AZ476" i="5"/>
  <c r="AY476" i="5"/>
  <c r="AX476" i="5"/>
  <c r="AW476" i="5"/>
  <c r="AU476" i="5"/>
  <c r="AT476" i="5"/>
  <c r="AD476" i="5"/>
  <c r="Z476" i="5"/>
  <c r="BK475" i="5"/>
  <c r="BJ475" i="5"/>
  <c r="BI475" i="5"/>
  <c r="BH475" i="5"/>
  <c r="BG475" i="5"/>
  <c r="BF475" i="5"/>
  <c r="BE475" i="5"/>
  <c r="BD475" i="5"/>
  <c r="BC475" i="5"/>
  <c r="BB475" i="5"/>
  <c r="BA475" i="5"/>
  <c r="AZ475" i="5"/>
  <c r="AY475" i="5"/>
  <c r="AX475" i="5"/>
  <c r="AW475" i="5"/>
  <c r="AU475" i="5"/>
  <c r="AT475" i="5"/>
  <c r="AD475" i="5"/>
  <c r="Z475" i="5"/>
  <c r="BK474" i="5"/>
  <c r="BJ474" i="5"/>
  <c r="BI474" i="5"/>
  <c r="BH474" i="5"/>
  <c r="BG474" i="5"/>
  <c r="BF474" i="5"/>
  <c r="BE474" i="5"/>
  <c r="BD474" i="5"/>
  <c r="BC474" i="5"/>
  <c r="BB474" i="5"/>
  <c r="BA474" i="5"/>
  <c r="AZ474" i="5"/>
  <c r="AY474" i="5"/>
  <c r="AX474" i="5"/>
  <c r="AW474" i="5"/>
  <c r="AU474" i="5"/>
  <c r="AT474" i="5"/>
  <c r="AD474" i="5"/>
  <c r="Z474" i="5"/>
  <c r="BK473" i="5"/>
  <c r="BJ473" i="5"/>
  <c r="BI473" i="5"/>
  <c r="BH473" i="5"/>
  <c r="BG473" i="5"/>
  <c r="BF473" i="5"/>
  <c r="BE473" i="5"/>
  <c r="BD473" i="5"/>
  <c r="BC473" i="5"/>
  <c r="BB473" i="5"/>
  <c r="BA473" i="5"/>
  <c r="AZ473" i="5"/>
  <c r="AY473" i="5"/>
  <c r="AX473" i="5"/>
  <c r="AW473" i="5"/>
  <c r="AU473" i="5"/>
  <c r="AT473" i="5"/>
  <c r="AD473" i="5"/>
  <c r="Z473" i="5"/>
  <c r="BK472" i="5"/>
  <c r="BJ472" i="5"/>
  <c r="BI472" i="5"/>
  <c r="BH472" i="5"/>
  <c r="BG472" i="5"/>
  <c r="BF472" i="5"/>
  <c r="BE472" i="5"/>
  <c r="BD472" i="5"/>
  <c r="BC472" i="5"/>
  <c r="BB472" i="5"/>
  <c r="BA472" i="5"/>
  <c r="AZ472" i="5"/>
  <c r="AY472" i="5"/>
  <c r="AX472" i="5"/>
  <c r="AW472" i="5"/>
  <c r="AU472" i="5"/>
  <c r="AT472" i="5"/>
  <c r="AD472" i="5"/>
  <c r="Z472" i="5"/>
  <c r="BK471" i="5"/>
  <c r="BJ471" i="5"/>
  <c r="BI471" i="5"/>
  <c r="BH471" i="5"/>
  <c r="BG471" i="5"/>
  <c r="BF471" i="5"/>
  <c r="BE471" i="5"/>
  <c r="BD471" i="5"/>
  <c r="BC471" i="5"/>
  <c r="BB471" i="5"/>
  <c r="BA471" i="5"/>
  <c r="AZ471" i="5"/>
  <c r="AY471" i="5"/>
  <c r="AX471" i="5"/>
  <c r="AW471" i="5"/>
  <c r="AU471" i="5"/>
  <c r="AT471" i="5"/>
  <c r="AD471" i="5"/>
  <c r="Z471" i="5"/>
  <c r="BK470" i="5"/>
  <c r="BJ470" i="5"/>
  <c r="BI470" i="5"/>
  <c r="BH470" i="5"/>
  <c r="BG470" i="5"/>
  <c r="BF470" i="5"/>
  <c r="BE470" i="5"/>
  <c r="BD470" i="5"/>
  <c r="BC470" i="5"/>
  <c r="BB470" i="5"/>
  <c r="BA470" i="5"/>
  <c r="AZ470" i="5"/>
  <c r="AY470" i="5"/>
  <c r="AX470" i="5"/>
  <c r="AW470" i="5"/>
  <c r="AU470" i="5"/>
  <c r="AT470" i="5"/>
  <c r="AD470" i="5"/>
  <c r="Z470" i="5"/>
  <c r="BD469" i="5"/>
  <c r="BC469" i="5"/>
  <c r="BB469" i="5"/>
  <c r="BA469" i="5"/>
  <c r="AZ469" i="5"/>
  <c r="AY469" i="5"/>
  <c r="AX469" i="5"/>
  <c r="AW469" i="5"/>
  <c r="AU469" i="5"/>
  <c r="AT469" i="5"/>
  <c r="AD469" i="5"/>
  <c r="Z469" i="5"/>
  <c r="BK468" i="5"/>
  <c r="BJ468" i="5"/>
  <c r="BI468" i="5"/>
  <c r="BH468" i="5"/>
  <c r="BG468" i="5"/>
  <c r="BF468" i="5"/>
  <c r="BE468" i="5"/>
  <c r="BD468" i="5"/>
  <c r="BC468" i="5"/>
  <c r="BB468" i="5"/>
  <c r="BA468" i="5"/>
  <c r="AZ468" i="5"/>
  <c r="AY468" i="5"/>
  <c r="AX468" i="5"/>
  <c r="AW468" i="5"/>
  <c r="AU468" i="5"/>
  <c r="AT468" i="5"/>
  <c r="AD468" i="5"/>
  <c r="Z468" i="5"/>
  <c r="BK467" i="5"/>
  <c r="BJ467" i="5"/>
  <c r="BI467" i="5"/>
  <c r="BH467" i="5"/>
  <c r="BG467" i="5"/>
  <c r="BF467" i="5"/>
  <c r="BE467" i="5"/>
  <c r="BD467" i="5"/>
  <c r="BC467" i="5"/>
  <c r="BB467" i="5"/>
  <c r="BA467" i="5"/>
  <c r="AZ467" i="5"/>
  <c r="AY467" i="5"/>
  <c r="AX467" i="5"/>
  <c r="AW467" i="5"/>
  <c r="AU467" i="5"/>
  <c r="AT467" i="5"/>
  <c r="AD467" i="5"/>
  <c r="Z467" i="5"/>
  <c r="BK466" i="5"/>
  <c r="BJ466" i="5"/>
  <c r="BI466" i="5"/>
  <c r="BH466" i="5"/>
  <c r="BG466" i="5"/>
  <c r="BF466" i="5"/>
  <c r="BE466" i="5"/>
  <c r="BD466" i="5"/>
  <c r="BC466" i="5"/>
  <c r="BB466" i="5"/>
  <c r="BA466" i="5"/>
  <c r="AZ466" i="5"/>
  <c r="AY466" i="5"/>
  <c r="AX466" i="5"/>
  <c r="AW466" i="5"/>
  <c r="AU466" i="5"/>
  <c r="AT466" i="5"/>
  <c r="AD466" i="5"/>
  <c r="Z466" i="5"/>
  <c r="BK465" i="5"/>
  <c r="BJ465" i="5"/>
  <c r="BI465" i="5"/>
  <c r="BH465" i="5"/>
  <c r="BG465" i="5"/>
  <c r="BF465" i="5"/>
  <c r="BE465" i="5"/>
  <c r="BD465" i="5"/>
  <c r="BC465" i="5"/>
  <c r="BB465" i="5"/>
  <c r="BA465" i="5"/>
  <c r="AZ465" i="5"/>
  <c r="AY465" i="5"/>
  <c r="AX465" i="5"/>
  <c r="AW465" i="5"/>
  <c r="AU465" i="5"/>
  <c r="AT465" i="5"/>
  <c r="AD465" i="5"/>
  <c r="Z465" i="5"/>
  <c r="BK464" i="5"/>
  <c r="BJ464" i="5"/>
  <c r="BI464" i="5"/>
  <c r="BH464" i="5"/>
  <c r="BG464" i="5"/>
  <c r="BF464" i="5"/>
  <c r="BE464" i="5"/>
  <c r="BD464" i="5"/>
  <c r="BC464" i="5"/>
  <c r="BB464" i="5"/>
  <c r="BA464" i="5"/>
  <c r="AZ464" i="5"/>
  <c r="AY464" i="5"/>
  <c r="AX464" i="5"/>
  <c r="AW464" i="5"/>
  <c r="AU464" i="5"/>
  <c r="AT464" i="5"/>
  <c r="AD464" i="5"/>
  <c r="Z464" i="5"/>
  <c r="BK463" i="5"/>
  <c r="BJ463" i="5"/>
  <c r="BI463" i="5"/>
  <c r="BH463" i="5"/>
  <c r="BG463" i="5"/>
  <c r="BF463" i="5"/>
  <c r="BE463" i="5"/>
  <c r="BD463" i="5"/>
  <c r="BC463" i="5"/>
  <c r="BB463" i="5"/>
  <c r="BA463" i="5"/>
  <c r="AZ463" i="5"/>
  <c r="AY463" i="5"/>
  <c r="AX463" i="5"/>
  <c r="AW463" i="5"/>
  <c r="AU463" i="5"/>
  <c r="AT463" i="5"/>
  <c r="AD463" i="5"/>
  <c r="Z463" i="5"/>
  <c r="BK462" i="5"/>
  <c r="BJ462" i="5"/>
  <c r="BI462" i="5"/>
  <c r="BH462" i="5"/>
  <c r="BG462" i="5"/>
  <c r="BF462" i="5"/>
  <c r="BE462" i="5"/>
  <c r="BD462" i="5"/>
  <c r="BC462" i="5"/>
  <c r="BB462" i="5"/>
  <c r="BA462" i="5"/>
  <c r="AZ462" i="5"/>
  <c r="AY462" i="5"/>
  <c r="AX462" i="5"/>
  <c r="AW462" i="5"/>
  <c r="AU462" i="5"/>
  <c r="AT462" i="5"/>
  <c r="AD462" i="5"/>
  <c r="Z462" i="5"/>
  <c r="BK461" i="5"/>
  <c r="BJ461" i="5"/>
  <c r="BI461" i="5"/>
  <c r="BH461" i="5"/>
  <c r="BG461" i="5"/>
  <c r="BF461" i="5"/>
  <c r="BE461" i="5"/>
  <c r="BD461" i="5"/>
  <c r="BC461" i="5"/>
  <c r="BB461" i="5"/>
  <c r="BA461" i="5"/>
  <c r="AZ461" i="5"/>
  <c r="AY461" i="5"/>
  <c r="AX461" i="5"/>
  <c r="AW461" i="5"/>
  <c r="AU461" i="5"/>
  <c r="AT461" i="5"/>
  <c r="AD461" i="5"/>
  <c r="Z461" i="5"/>
  <c r="BK460" i="5"/>
  <c r="BJ460" i="5"/>
  <c r="BI460" i="5"/>
  <c r="BH460" i="5"/>
  <c r="BG460" i="5"/>
  <c r="BF460" i="5"/>
  <c r="BE460" i="5"/>
  <c r="BD460" i="5"/>
  <c r="BC460" i="5"/>
  <c r="BB460" i="5"/>
  <c r="BA460" i="5"/>
  <c r="AZ460" i="5"/>
  <c r="AY460" i="5"/>
  <c r="AX460" i="5"/>
  <c r="AW460" i="5"/>
  <c r="AU460" i="5"/>
  <c r="AT460" i="5"/>
  <c r="AD460" i="5"/>
  <c r="Z460" i="5"/>
  <c r="BK459" i="5"/>
  <c r="BJ459" i="5"/>
  <c r="BI459" i="5"/>
  <c r="BH459" i="5"/>
  <c r="BG459" i="5"/>
  <c r="BF459" i="5"/>
  <c r="BE459" i="5"/>
  <c r="BD459" i="5"/>
  <c r="BC459" i="5"/>
  <c r="BB459" i="5"/>
  <c r="BA459" i="5"/>
  <c r="AZ459" i="5"/>
  <c r="AY459" i="5"/>
  <c r="AX459" i="5"/>
  <c r="AW459" i="5"/>
  <c r="AU459" i="5"/>
  <c r="AT459" i="5"/>
  <c r="AD459" i="5"/>
  <c r="Z459" i="5"/>
  <c r="BK458" i="5"/>
  <c r="BJ458" i="5"/>
  <c r="BI458" i="5"/>
  <c r="BH458" i="5"/>
  <c r="BG458" i="5"/>
  <c r="BF458" i="5"/>
  <c r="BE458" i="5"/>
  <c r="BD458" i="5"/>
  <c r="BC458" i="5"/>
  <c r="BB458" i="5"/>
  <c r="BA458" i="5"/>
  <c r="AZ458" i="5"/>
  <c r="AY458" i="5"/>
  <c r="AX458" i="5"/>
  <c r="AW458" i="5"/>
  <c r="AU458" i="5"/>
  <c r="AT458" i="5"/>
  <c r="AD458" i="5"/>
  <c r="Z458" i="5"/>
  <c r="BK457" i="5"/>
  <c r="BJ457" i="5"/>
  <c r="BI457" i="5"/>
  <c r="BH457" i="5"/>
  <c r="BG457" i="5"/>
  <c r="BF457" i="5"/>
  <c r="BE457" i="5"/>
  <c r="BD457" i="5"/>
  <c r="BC457" i="5"/>
  <c r="BB457" i="5"/>
  <c r="BA457" i="5"/>
  <c r="AZ457" i="5"/>
  <c r="AY457" i="5"/>
  <c r="AX457" i="5"/>
  <c r="AW457" i="5"/>
  <c r="AU457" i="5"/>
  <c r="AT457" i="5"/>
  <c r="AD457" i="5"/>
  <c r="Z457" i="5"/>
  <c r="BK456" i="5"/>
  <c r="BJ456" i="5"/>
  <c r="BI456" i="5"/>
  <c r="BH456" i="5"/>
  <c r="BG456" i="5"/>
  <c r="BF456" i="5"/>
  <c r="BE456" i="5"/>
  <c r="BD456" i="5"/>
  <c r="BC456" i="5"/>
  <c r="BB456" i="5"/>
  <c r="BA456" i="5"/>
  <c r="AZ456" i="5"/>
  <c r="AY456" i="5"/>
  <c r="AX456" i="5"/>
  <c r="AW456" i="5"/>
  <c r="AU456" i="5"/>
  <c r="AT456" i="5"/>
  <c r="AD456" i="5"/>
  <c r="Z456" i="5"/>
  <c r="BK455" i="5"/>
  <c r="BJ455" i="5"/>
  <c r="BI455" i="5"/>
  <c r="BH455" i="5"/>
  <c r="BG455" i="5"/>
  <c r="BF455" i="5"/>
  <c r="BE455" i="5"/>
  <c r="BD455" i="5"/>
  <c r="BC455" i="5"/>
  <c r="BB455" i="5"/>
  <c r="BA455" i="5"/>
  <c r="AZ455" i="5"/>
  <c r="AY455" i="5"/>
  <c r="AX455" i="5"/>
  <c r="AW455" i="5"/>
  <c r="AU455" i="5"/>
  <c r="AT455" i="5"/>
  <c r="AD455" i="5"/>
  <c r="Z455" i="5"/>
  <c r="BK454" i="5"/>
  <c r="BJ454" i="5"/>
  <c r="BI454" i="5"/>
  <c r="BH454" i="5"/>
  <c r="BG454" i="5"/>
  <c r="BF454" i="5"/>
  <c r="BE454" i="5"/>
  <c r="BD454" i="5"/>
  <c r="BC454" i="5"/>
  <c r="BB454" i="5"/>
  <c r="BA454" i="5"/>
  <c r="AZ454" i="5"/>
  <c r="AY454" i="5"/>
  <c r="AX454" i="5"/>
  <c r="AW454" i="5"/>
  <c r="AU454" i="5"/>
  <c r="AT454" i="5"/>
  <c r="AD454" i="5"/>
  <c r="Z454" i="5"/>
  <c r="BK453" i="5"/>
  <c r="BJ453" i="5"/>
  <c r="BI453" i="5"/>
  <c r="BH453" i="5"/>
  <c r="BG453" i="5"/>
  <c r="BF453" i="5"/>
  <c r="BE453" i="5"/>
  <c r="BD453" i="5"/>
  <c r="BC453" i="5"/>
  <c r="BB453" i="5"/>
  <c r="BA453" i="5"/>
  <c r="AZ453" i="5"/>
  <c r="AY453" i="5"/>
  <c r="AX453" i="5"/>
  <c r="AW453" i="5"/>
  <c r="AU453" i="5"/>
  <c r="AT453" i="5"/>
  <c r="AD453" i="5"/>
  <c r="Z453" i="5"/>
  <c r="BK452" i="5"/>
  <c r="BJ452" i="5"/>
  <c r="BI452" i="5"/>
  <c r="BH452" i="5"/>
  <c r="BG452" i="5"/>
  <c r="BF452" i="5"/>
  <c r="BE452" i="5"/>
  <c r="BD452" i="5"/>
  <c r="BC452" i="5"/>
  <c r="BB452" i="5"/>
  <c r="BA452" i="5"/>
  <c r="AZ452" i="5"/>
  <c r="AY452" i="5"/>
  <c r="AX452" i="5"/>
  <c r="AW452" i="5"/>
  <c r="AU452" i="5"/>
  <c r="AT452" i="5"/>
  <c r="AD452" i="5"/>
  <c r="Z452" i="5"/>
  <c r="BK451" i="5"/>
  <c r="BJ451" i="5"/>
  <c r="BI451" i="5"/>
  <c r="BH451" i="5"/>
  <c r="BG451" i="5"/>
  <c r="BF451" i="5"/>
  <c r="BE451" i="5"/>
  <c r="BD451" i="5"/>
  <c r="BC451" i="5"/>
  <c r="BB451" i="5"/>
  <c r="BA451" i="5"/>
  <c r="AZ451" i="5"/>
  <c r="AY451" i="5"/>
  <c r="AX451" i="5"/>
  <c r="AW451" i="5"/>
  <c r="AU451" i="5"/>
  <c r="AT451" i="5"/>
  <c r="AD451" i="5"/>
  <c r="Z451" i="5"/>
  <c r="BK450" i="5"/>
  <c r="BJ450" i="5"/>
  <c r="BI450" i="5"/>
  <c r="BH450" i="5"/>
  <c r="BG450" i="5"/>
  <c r="BF450" i="5"/>
  <c r="BE450" i="5"/>
  <c r="BD450" i="5"/>
  <c r="BC450" i="5"/>
  <c r="BB450" i="5"/>
  <c r="BA450" i="5"/>
  <c r="AZ450" i="5"/>
  <c r="AY450" i="5"/>
  <c r="AX450" i="5"/>
  <c r="AW450" i="5"/>
  <c r="AU450" i="5"/>
  <c r="AT450" i="5"/>
  <c r="AD450" i="5"/>
  <c r="Z450" i="5"/>
  <c r="BK449" i="5"/>
  <c r="BJ449" i="5"/>
  <c r="BI449" i="5"/>
  <c r="BH449" i="5"/>
  <c r="BG449" i="5"/>
  <c r="BF449" i="5"/>
  <c r="BE449" i="5"/>
  <c r="BD449" i="5"/>
  <c r="BC449" i="5"/>
  <c r="BB449" i="5"/>
  <c r="BA449" i="5"/>
  <c r="AZ449" i="5"/>
  <c r="AY449" i="5"/>
  <c r="AX449" i="5"/>
  <c r="AW449" i="5"/>
  <c r="AU449" i="5"/>
  <c r="AT449" i="5"/>
  <c r="AD449" i="5"/>
  <c r="Z449" i="5"/>
  <c r="BK448" i="5"/>
  <c r="BJ448" i="5"/>
  <c r="BI448" i="5"/>
  <c r="BH448" i="5"/>
  <c r="BG448" i="5"/>
  <c r="BF448" i="5"/>
  <c r="BE448" i="5"/>
  <c r="BD448" i="5"/>
  <c r="BC448" i="5"/>
  <c r="BB448" i="5"/>
  <c r="BA448" i="5"/>
  <c r="AZ448" i="5"/>
  <c r="AY448" i="5"/>
  <c r="AX448" i="5"/>
  <c r="AW448" i="5"/>
  <c r="AU448" i="5"/>
  <c r="AT448" i="5"/>
  <c r="AD448" i="5"/>
  <c r="Z448" i="5"/>
  <c r="BK447" i="5"/>
  <c r="BJ447" i="5"/>
  <c r="BI447" i="5"/>
  <c r="BH447" i="5"/>
  <c r="BG447" i="5"/>
  <c r="BF447" i="5"/>
  <c r="BE447" i="5"/>
  <c r="BD447" i="5"/>
  <c r="BC447" i="5"/>
  <c r="BB447" i="5"/>
  <c r="BA447" i="5"/>
  <c r="AZ447" i="5"/>
  <c r="AY447" i="5"/>
  <c r="AX447" i="5"/>
  <c r="AW447" i="5"/>
  <c r="AU447" i="5"/>
  <c r="AT447" i="5"/>
  <c r="AD447" i="5"/>
  <c r="Z447" i="5"/>
  <c r="BK446" i="5"/>
  <c r="BJ446" i="5"/>
  <c r="BI446" i="5"/>
  <c r="BH446" i="5"/>
  <c r="BG446" i="5"/>
  <c r="BF446" i="5"/>
  <c r="BE446" i="5"/>
  <c r="BD446" i="5"/>
  <c r="BC446" i="5"/>
  <c r="BB446" i="5"/>
  <c r="BA446" i="5"/>
  <c r="AZ446" i="5"/>
  <c r="AY446" i="5"/>
  <c r="AX446" i="5"/>
  <c r="AW446" i="5"/>
  <c r="AU446" i="5"/>
  <c r="AT446" i="5"/>
  <c r="AD446" i="5"/>
  <c r="Z446" i="5"/>
  <c r="BK445" i="5"/>
  <c r="BJ445" i="5"/>
  <c r="BI445" i="5"/>
  <c r="BH445" i="5"/>
  <c r="BG445" i="5"/>
  <c r="BF445" i="5"/>
  <c r="BE445" i="5"/>
  <c r="BD445" i="5"/>
  <c r="BC445" i="5"/>
  <c r="BB445" i="5"/>
  <c r="BA445" i="5"/>
  <c r="AZ445" i="5"/>
  <c r="AY445" i="5"/>
  <c r="AX445" i="5"/>
  <c r="AW445" i="5"/>
  <c r="AU445" i="5"/>
  <c r="AT445" i="5"/>
  <c r="AD445" i="5"/>
  <c r="Z445" i="5"/>
  <c r="BK444" i="5"/>
  <c r="BJ444" i="5"/>
  <c r="BI444" i="5"/>
  <c r="BH444" i="5"/>
  <c r="BG444" i="5"/>
  <c r="BF444" i="5"/>
  <c r="BE444" i="5"/>
  <c r="BD444" i="5"/>
  <c r="BC444" i="5"/>
  <c r="BB444" i="5"/>
  <c r="BA444" i="5"/>
  <c r="AZ444" i="5"/>
  <c r="AY444" i="5"/>
  <c r="AX444" i="5"/>
  <c r="AW444" i="5"/>
  <c r="AU444" i="5"/>
  <c r="AT444" i="5"/>
  <c r="AD444" i="5"/>
  <c r="Z444" i="5"/>
  <c r="BK443" i="5"/>
  <c r="BJ443" i="5"/>
  <c r="BI443" i="5"/>
  <c r="BH443" i="5"/>
  <c r="BG443" i="5"/>
  <c r="BF443" i="5"/>
  <c r="BE443" i="5"/>
  <c r="BD443" i="5"/>
  <c r="BC443" i="5"/>
  <c r="BB443" i="5"/>
  <c r="BA443" i="5"/>
  <c r="AZ443" i="5"/>
  <c r="AY443" i="5"/>
  <c r="AX443" i="5"/>
  <c r="AW443" i="5"/>
  <c r="AU443" i="5"/>
  <c r="AT443" i="5"/>
  <c r="AD443" i="5"/>
  <c r="Z443" i="5"/>
  <c r="BK442" i="5"/>
  <c r="BJ442" i="5"/>
  <c r="BI442" i="5"/>
  <c r="BH442" i="5"/>
  <c r="BG442" i="5"/>
  <c r="BF442" i="5"/>
  <c r="BE442" i="5"/>
  <c r="BD442" i="5"/>
  <c r="BC442" i="5"/>
  <c r="BB442" i="5"/>
  <c r="BA442" i="5"/>
  <c r="AZ442" i="5"/>
  <c r="AY442" i="5"/>
  <c r="AX442" i="5"/>
  <c r="AW442" i="5"/>
  <c r="AU442" i="5"/>
  <c r="AT442" i="5"/>
  <c r="AD442" i="5"/>
  <c r="Z442" i="5"/>
  <c r="BK441" i="5"/>
  <c r="BJ441" i="5"/>
  <c r="BI441" i="5"/>
  <c r="BH441" i="5"/>
  <c r="BG441" i="5"/>
  <c r="BF441" i="5"/>
  <c r="BE441" i="5"/>
  <c r="BD441" i="5"/>
  <c r="BC441" i="5"/>
  <c r="BB441" i="5"/>
  <c r="BA441" i="5"/>
  <c r="AZ441" i="5"/>
  <c r="AY441" i="5"/>
  <c r="AX441" i="5"/>
  <c r="AW441" i="5"/>
  <c r="AU441" i="5"/>
  <c r="AT441" i="5"/>
  <c r="AD441" i="5"/>
  <c r="Z441" i="5"/>
  <c r="BK440" i="5"/>
  <c r="BJ440" i="5"/>
  <c r="BI440" i="5"/>
  <c r="BH440" i="5"/>
  <c r="BG440" i="5"/>
  <c r="BF440" i="5"/>
  <c r="BE440" i="5"/>
  <c r="BD440" i="5"/>
  <c r="BC440" i="5"/>
  <c r="BB440" i="5"/>
  <c r="BA440" i="5"/>
  <c r="AZ440" i="5"/>
  <c r="AY440" i="5"/>
  <c r="AX440" i="5"/>
  <c r="AW440" i="5"/>
  <c r="AU440" i="5"/>
  <c r="AT440" i="5"/>
  <c r="AD440" i="5"/>
  <c r="Z440" i="5"/>
  <c r="BK439" i="5"/>
  <c r="BJ439" i="5"/>
  <c r="BI439" i="5"/>
  <c r="BH439" i="5"/>
  <c r="BG439" i="5"/>
  <c r="BF439" i="5"/>
  <c r="BE439" i="5"/>
  <c r="BD439" i="5"/>
  <c r="BC439" i="5"/>
  <c r="BB439" i="5"/>
  <c r="BA439" i="5"/>
  <c r="AZ439" i="5"/>
  <c r="AY439" i="5"/>
  <c r="AX439" i="5"/>
  <c r="AW439" i="5"/>
  <c r="AU439" i="5"/>
  <c r="AT439" i="5"/>
  <c r="AD439" i="5"/>
  <c r="Z439" i="5"/>
  <c r="BK438" i="5"/>
  <c r="BJ438" i="5"/>
  <c r="BI438" i="5"/>
  <c r="BH438" i="5"/>
  <c r="BG438" i="5"/>
  <c r="BF438" i="5"/>
  <c r="BE438" i="5"/>
  <c r="BD438" i="5"/>
  <c r="BC438" i="5"/>
  <c r="BB438" i="5"/>
  <c r="BA438" i="5"/>
  <c r="AZ438" i="5"/>
  <c r="AY438" i="5"/>
  <c r="AX438" i="5"/>
  <c r="AW438" i="5"/>
  <c r="AU438" i="5"/>
  <c r="AT438" i="5"/>
  <c r="AD438" i="5"/>
  <c r="Z438" i="5"/>
  <c r="BK437" i="5"/>
  <c r="BJ437" i="5"/>
  <c r="BI437" i="5"/>
  <c r="BH437" i="5"/>
  <c r="BG437" i="5"/>
  <c r="BF437" i="5"/>
  <c r="BE437" i="5"/>
  <c r="BD437" i="5"/>
  <c r="BC437" i="5"/>
  <c r="BB437" i="5"/>
  <c r="BA437" i="5"/>
  <c r="AZ437" i="5"/>
  <c r="AY437" i="5"/>
  <c r="AX437" i="5"/>
  <c r="AW437" i="5"/>
  <c r="AU437" i="5"/>
  <c r="AT437" i="5"/>
  <c r="AD437" i="5"/>
  <c r="Z437" i="5"/>
  <c r="BK436" i="5"/>
  <c r="BJ436" i="5"/>
  <c r="BI436" i="5"/>
  <c r="BH436" i="5"/>
  <c r="BG436" i="5"/>
  <c r="BF436" i="5"/>
  <c r="BE436" i="5"/>
  <c r="BD436" i="5"/>
  <c r="BC436" i="5"/>
  <c r="BB436" i="5"/>
  <c r="BA436" i="5"/>
  <c r="AZ436" i="5"/>
  <c r="AY436" i="5"/>
  <c r="AX436" i="5"/>
  <c r="AW436" i="5"/>
  <c r="AU436" i="5"/>
  <c r="AT436" i="5"/>
  <c r="AD436" i="5"/>
  <c r="Z436" i="5"/>
  <c r="BK435" i="5"/>
  <c r="BJ435" i="5"/>
  <c r="BI435" i="5"/>
  <c r="BH435" i="5"/>
  <c r="BG435" i="5"/>
  <c r="BF435" i="5"/>
  <c r="BE435" i="5"/>
  <c r="BD435" i="5"/>
  <c r="BC435" i="5"/>
  <c r="BB435" i="5"/>
  <c r="BA435" i="5"/>
  <c r="AZ435" i="5"/>
  <c r="AY435" i="5"/>
  <c r="AX435" i="5"/>
  <c r="AW435" i="5"/>
  <c r="AU435" i="5"/>
  <c r="AT435" i="5"/>
  <c r="AD435" i="5"/>
  <c r="Z435" i="5"/>
  <c r="BK434" i="5"/>
  <c r="BJ434" i="5"/>
  <c r="BI434" i="5"/>
  <c r="BH434" i="5"/>
  <c r="BG434" i="5"/>
  <c r="BF434" i="5"/>
  <c r="BE434" i="5"/>
  <c r="BD434" i="5"/>
  <c r="BC434" i="5"/>
  <c r="BB434" i="5"/>
  <c r="BA434" i="5"/>
  <c r="AZ434" i="5"/>
  <c r="AY434" i="5"/>
  <c r="AX434" i="5"/>
  <c r="AW434" i="5"/>
  <c r="AU434" i="5"/>
  <c r="AT434" i="5"/>
  <c r="AD434" i="5"/>
  <c r="Z434" i="5"/>
  <c r="BK433" i="5"/>
  <c r="BJ433" i="5"/>
  <c r="BI433" i="5"/>
  <c r="BH433" i="5"/>
  <c r="BG433" i="5"/>
  <c r="BF433" i="5"/>
  <c r="BE433" i="5"/>
  <c r="BD433" i="5"/>
  <c r="BC433" i="5"/>
  <c r="BB433" i="5"/>
  <c r="BA433" i="5"/>
  <c r="AZ433" i="5"/>
  <c r="AY433" i="5"/>
  <c r="AX433" i="5"/>
  <c r="AW433" i="5"/>
  <c r="AU433" i="5"/>
  <c r="AT433" i="5"/>
  <c r="AD433" i="5"/>
  <c r="Z433" i="5"/>
  <c r="BK432" i="5"/>
  <c r="BJ432" i="5"/>
  <c r="BI432" i="5"/>
  <c r="BH432" i="5"/>
  <c r="BG432" i="5"/>
  <c r="BF432" i="5"/>
  <c r="BE432" i="5"/>
  <c r="BD432" i="5"/>
  <c r="BC432" i="5"/>
  <c r="BB432" i="5"/>
  <c r="BA432" i="5"/>
  <c r="AZ432" i="5"/>
  <c r="AY432" i="5"/>
  <c r="AX432" i="5"/>
  <c r="AW432" i="5"/>
  <c r="AU432" i="5"/>
  <c r="AT432" i="5"/>
  <c r="AD432" i="5"/>
  <c r="Z432" i="5"/>
  <c r="BK431" i="5"/>
  <c r="BJ431" i="5"/>
  <c r="BI431" i="5"/>
  <c r="BH431" i="5"/>
  <c r="BG431" i="5"/>
  <c r="BF431" i="5"/>
  <c r="BE431" i="5"/>
  <c r="BD431" i="5"/>
  <c r="BC431" i="5"/>
  <c r="BB431" i="5"/>
  <c r="BA431" i="5"/>
  <c r="AZ431" i="5"/>
  <c r="AY431" i="5"/>
  <c r="AX431" i="5"/>
  <c r="AW431" i="5"/>
  <c r="AU431" i="5"/>
  <c r="AT431" i="5"/>
  <c r="AD431" i="5"/>
  <c r="Z431" i="5"/>
  <c r="BK430" i="5"/>
  <c r="BJ430" i="5"/>
  <c r="BI430" i="5"/>
  <c r="BH430" i="5"/>
  <c r="BG430" i="5"/>
  <c r="BF430" i="5"/>
  <c r="BE430" i="5"/>
  <c r="BD430" i="5"/>
  <c r="BC430" i="5"/>
  <c r="BB430" i="5"/>
  <c r="BA430" i="5"/>
  <c r="AZ430" i="5"/>
  <c r="AY430" i="5"/>
  <c r="AX430" i="5"/>
  <c r="AW430" i="5"/>
  <c r="AU430" i="5"/>
  <c r="AT430" i="5"/>
  <c r="AD430" i="5"/>
  <c r="Z430" i="5"/>
  <c r="BK429" i="5"/>
  <c r="BJ429" i="5"/>
  <c r="BI429" i="5"/>
  <c r="BH429" i="5"/>
  <c r="BG429" i="5"/>
  <c r="BF429" i="5"/>
  <c r="BE429" i="5"/>
  <c r="BD429" i="5"/>
  <c r="BC429" i="5"/>
  <c r="BB429" i="5"/>
  <c r="BA429" i="5"/>
  <c r="AZ429" i="5"/>
  <c r="AY429" i="5"/>
  <c r="AX429" i="5"/>
  <c r="AW429" i="5"/>
  <c r="AU429" i="5"/>
  <c r="AT429" i="5"/>
  <c r="AD429" i="5"/>
  <c r="Z429" i="5"/>
  <c r="BK428" i="5"/>
  <c r="BJ428" i="5"/>
  <c r="BI428" i="5"/>
  <c r="BH428" i="5"/>
  <c r="BG428" i="5"/>
  <c r="BF428" i="5"/>
  <c r="BE428" i="5"/>
  <c r="BD428" i="5"/>
  <c r="BC428" i="5"/>
  <c r="BB428" i="5"/>
  <c r="BA428" i="5"/>
  <c r="AZ428" i="5"/>
  <c r="AY428" i="5"/>
  <c r="AX428" i="5"/>
  <c r="AW428" i="5"/>
  <c r="AU428" i="5"/>
  <c r="AT428" i="5"/>
  <c r="AD428" i="5"/>
  <c r="Z428" i="5"/>
  <c r="BK427" i="5"/>
  <c r="BJ427" i="5"/>
  <c r="BI427" i="5"/>
  <c r="BH427" i="5"/>
  <c r="BG427" i="5"/>
  <c r="BF427" i="5"/>
  <c r="BE427" i="5"/>
  <c r="BD427" i="5"/>
  <c r="BC427" i="5"/>
  <c r="BB427" i="5"/>
  <c r="BA427" i="5"/>
  <c r="AZ427" i="5"/>
  <c r="AY427" i="5"/>
  <c r="AX427" i="5"/>
  <c r="AW427" i="5"/>
  <c r="AU427" i="5"/>
  <c r="AT427" i="5"/>
  <c r="AD427" i="5"/>
  <c r="Z427" i="5"/>
  <c r="BK426" i="5"/>
  <c r="BJ426" i="5"/>
  <c r="BI426" i="5"/>
  <c r="BH426" i="5"/>
  <c r="BG426" i="5"/>
  <c r="BF426" i="5"/>
  <c r="BE426" i="5"/>
  <c r="BD426" i="5"/>
  <c r="BC426" i="5"/>
  <c r="BB426" i="5"/>
  <c r="BA426" i="5"/>
  <c r="AZ426" i="5"/>
  <c r="AY426" i="5"/>
  <c r="AX426" i="5"/>
  <c r="AW426" i="5"/>
  <c r="AU426" i="5"/>
  <c r="AT426" i="5"/>
  <c r="AD426" i="5"/>
  <c r="Z426" i="5"/>
  <c r="BK425" i="5"/>
  <c r="BJ425" i="5"/>
  <c r="BI425" i="5"/>
  <c r="BH425" i="5"/>
  <c r="BG425" i="5"/>
  <c r="BF425" i="5"/>
  <c r="BE425" i="5"/>
  <c r="BD425" i="5"/>
  <c r="BC425" i="5"/>
  <c r="BB425" i="5"/>
  <c r="BA425" i="5"/>
  <c r="AZ425" i="5"/>
  <c r="AY425" i="5"/>
  <c r="AX425" i="5"/>
  <c r="AW425" i="5"/>
  <c r="AU425" i="5"/>
  <c r="AT425" i="5"/>
  <c r="AD425" i="5"/>
  <c r="Z425" i="5"/>
  <c r="BK424" i="5"/>
  <c r="BJ424" i="5"/>
  <c r="BI424" i="5"/>
  <c r="BH424" i="5"/>
  <c r="BG424" i="5"/>
  <c r="BF424" i="5"/>
  <c r="BE424" i="5"/>
  <c r="BD424" i="5"/>
  <c r="BC424" i="5"/>
  <c r="BB424" i="5"/>
  <c r="BA424" i="5"/>
  <c r="AZ424" i="5"/>
  <c r="AY424" i="5"/>
  <c r="AX424" i="5"/>
  <c r="AW424" i="5"/>
  <c r="AU424" i="5"/>
  <c r="AT424" i="5"/>
  <c r="AD424" i="5"/>
  <c r="Z424" i="5"/>
  <c r="BK423" i="5"/>
  <c r="BJ423" i="5"/>
  <c r="BI423" i="5"/>
  <c r="BH423" i="5"/>
  <c r="BG423" i="5"/>
  <c r="BF423" i="5"/>
  <c r="BE423" i="5"/>
  <c r="BD423" i="5"/>
  <c r="BC423" i="5"/>
  <c r="BB423" i="5"/>
  <c r="BA423" i="5"/>
  <c r="AZ423" i="5"/>
  <c r="AY423" i="5"/>
  <c r="AX423" i="5"/>
  <c r="AW423" i="5"/>
  <c r="AU423" i="5"/>
  <c r="AT423" i="5"/>
  <c r="AD423" i="5"/>
  <c r="Z423" i="5"/>
  <c r="BK422" i="5"/>
  <c r="BJ422" i="5"/>
  <c r="BI422" i="5"/>
  <c r="BH422" i="5"/>
  <c r="BG422" i="5"/>
  <c r="BF422" i="5"/>
  <c r="BE422" i="5"/>
  <c r="BD422" i="5"/>
  <c r="BC422" i="5"/>
  <c r="BB422" i="5"/>
  <c r="BA422" i="5"/>
  <c r="AZ422" i="5"/>
  <c r="AY422" i="5"/>
  <c r="AX422" i="5"/>
  <c r="AW422" i="5"/>
  <c r="AU422" i="5"/>
  <c r="AT422" i="5"/>
  <c r="AD422" i="5"/>
  <c r="Z422" i="5"/>
  <c r="BK421" i="5"/>
  <c r="BJ421" i="5"/>
  <c r="BI421" i="5"/>
  <c r="BH421" i="5"/>
  <c r="BG421" i="5"/>
  <c r="BF421" i="5"/>
  <c r="BE421" i="5"/>
  <c r="BD421" i="5"/>
  <c r="BC421" i="5"/>
  <c r="BB421" i="5"/>
  <c r="BA421" i="5"/>
  <c r="AZ421" i="5"/>
  <c r="AY421" i="5"/>
  <c r="AX421" i="5"/>
  <c r="AW421" i="5"/>
  <c r="AU421" i="5"/>
  <c r="AT421" i="5"/>
  <c r="AD421" i="5"/>
  <c r="Z421" i="5"/>
  <c r="BK420" i="5"/>
  <c r="BJ420" i="5"/>
  <c r="BI420" i="5"/>
  <c r="BH420" i="5"/>
  <c r="BG420" i="5"/>
  <c r="BF420" i="5"/>
  <c r="BE420" i="5"/>
  <c r="BD420" i="5"/>
  <c r="BC420" i="5"/>
  <c r="BB420" i="5"/>
  <c r="BA420" i="5"/>
  <c r="AZ420" i="5"/>
  <c r="AY420" i="5"/>
  <c r="AX420" i="5"/>
  <c r="AW420" i="5"/>
  <c r="AU420" i="5"/>
  <c r="AT420" i="5"/>
  <c r="AD420" i="5"/>
  <c r="Z420" i="5"/>
  <c r="BK419" i="5"/>
  <c r="BJ419" i="5"/>
  <c r="BI419" i="5"/>
  <c r="BH419" i="5"/>
  <c r="BG419" i="5"/>
  <c r="BF419" i="5"/>
  <c r="BE419" i="5"/>
  <c r="BD419" i="5"/>
  <c r="BC419" i="5"/>
  <c r="BB419" i="5"/>
  <c r="BA419" i="5"/>
  <c r="AZ419" i="5"/>
  <c r="AY419" i="5"/>
  <c r="AX419" i="5"/>
  <c r="AW419" i="5"/>
  <c r="AU419" i="5"/>
  <c r="AT419" i="5"/>
  <c r="AD419" i="5"/>
  <c r="Z419" i="5"/>
  <c r="BK418" i="5"/>
  <c r="BJ418" i="5"/>
  <c r="BI418" i="5"/>
  <c r="BH418" i="5"/>
  <c r="BG418" i="5"/>
  <c r="BF418" i="5"/>
  <c r="BE418" i="5"/>
  <c r="BD418" i="5"/>
  <c r="BC418" i="5"/>
  <c r="BB418" i="5"/>
  <c r="BA418" i="5"/>
  <c r="AZ418" i="5"/>
  <c r="AY418" i="5"/>
  <c r="AX418" i="5"/>
  <c r="AW418" i="5"/>
  <c r="AU418" i="5"/>
  <c r="AT418" i="5"/>
  <c r="AD418" i="5"/>
  <c r="Z418" i="5"/>
  <c r="BK417" i="5"/>
  <c r="BJ417" i="5"/>
  <c r="BI417" i="5"/>
  <c r="BH417" i="5"/>
  <c r="BG417" i="5"/>
  <c r="BF417" i="5"/>
  <c r="BE417" i="5"/>
  <c r="BD417" i="5"/>
  <c r="BC417" i="5"/>
  <c r="BB417" i="5"/>
  <c r="BA417" i="5"/>
  <c r="AZ417" i="5"/>
  <c r="AY417" i="5"/>
  <c r="AX417" i="5"/>
  <c r="AW417" i="5"/>
  <c r="AU417" i="5"/>
  <c r="AT417" i="5"/>
  <c r="AD417" i="5"/>
  <c r="Z417" i="5"/>
  <c r="BK416" i="5"/>
  <c r="BJ416" i="5"/>
  <c r="BI416" i="5"/>
  <c r="BH416" i="5"/>
  <c r="BG416" i="5"/>
  <c r="BF416" i="5"/>
  <c r="BE416" i="5"/>
  <c r="BD416" i="5"/>
  <c r="BC416" i="5"/>
  <c r="BB416" i="5"/>
  <c r="BA416" i="5"/>
  <c r="AZ416" i="5"/>
  <c r="AY416" i="5"/>
  <c r="AX416" i="5"/>
  <c r="AW416" i="5"/>
  <c r="AU416" i="5"/>
  <c r="AT416" i="5"/>
  <c r="AD416" i="5"/>
  <c r="Z416" i="5"/>
  <c r="BK415" i="5"/>
  <c r="BJ415" i="5"/>
  <c r="BI415" i="5"/>
  <c r="BH415" i="5"/>
  <c r="BG415" i="5"/>
  <c r="BF415" i="5"/>
  <c r="BE415" i="5"/>
  <c r="BD415" i="5"/>
  <c r="BC415" i="5"/>
  <c r="BB415" i="5"/>
  <c r="BA415" i="5"/>
  <c r="AZ415" i="5"/>
  <c r="AY415" i="5"/>
  <c r="AX415" i="5"/>
  <c r="AW415" i="5"/>
  <c r="AU415" i="5"/>
  <c r="AT415" i="5"/>
  <c r="AD415" i="5"/>
  <c r="Z415" i="5"/>
  <c r="BK414" i="5"/>
  <c r="BJ414" i="5"/>
  <c r="BI414" i="5"/>
  <c r="BH414" i="5"/>
  <c r="BG414" i="5"/>
  <c r="BF414" i="5"/>
  <c r="BE414" i="5"/>
  <c r="BD414" i="5"/>
  <c r="BC414" i="5"/>
  <c r="BB414" i="5"/>
  <c r="BA414" i="5"/>
  <c r="AZ414" i="5"/>
  <c r="AY414" i="5"/>
  <c r="AX414" i="5"/>
  <c r="AW414" i="5"/>
  <c r="AU414" i="5"/>
  <c r="AT414" i="5"/>
  <c r="AD414" i="5"/>
  <c r="Z414" i="5"/>
  <c r="BK413" i="5"/>
  <c r="BJ413" i="5"/>
  <c r="BI413" i="5"/>
  <c r="BH413" i="5"/>
  <c r="BG413" i="5"/>
  <c r="BF413" i="5"/>
  <c r="BE413" i="5"/>
  <c r="BD413" i="5"/>
  <c r="BC413" i="5"/>
  <c r="BB413" i="5"/>
  <c r="BA413" i="5"/>
  <c r="AZ413" i="5"/>
  <c r="AY413" i="5"/>
  <c r="AX413" i="5"/>
  <c r="AW413" i="5"/>
  <c r="AU413" i="5"/>
  <c r="AT413" i="5"/>
  <c r="AD413" i="5"/>
  <c r="Z413" i="5"/>
  <c r="BK412" i="5"/>
  <c r="BJ412" i="5"/>
  <c r="BI412" i="5"/>
  <c r="BH412" i="5"/>
  <c r="BG412" i="5"/>
  <c r="BF412" i="5"/>
  <c r="BE412" i="5"/>
  <c r="BD412" i="5"/>
  <c r="BC412" i="5"/>
  <c r="BB412" i="5"/>
  <c r="BA412" i="5"/>
  <c r="AZ412" i="5"/>
  <c r="AY412" i="5"/>
  <c r="AX412" i="5"/>
  <c r="AW412" i="5"/>
  <c r="AU412" i="5"/>
  <c r="AT412" i="5"/>
  <c r="AD412" i="5"/>
  <c r="Z412" i="5"/>
  <c r="BK411" i="5"/>
  <c r="BJ411" i="5"/>
  <c r="BI411" i="5"/>
  <c r="BH411" i="5"/>
  <c r="BG411" i="5"/>
  <c r="BF411" i="5"/>
  <c r="BE411" i="5"/>
  <c r="BD411" i="5"/>
  <c r="BC411" i="5"/>
  <c r="BB411" i="5"/>
  <c r="BA411" i="5"/>
  <c r="AZ411" i="5"/>
  <c r="AY411" i="5"/>
  <c r="AX411" i="5"/>
  <c r="AW411" i="5"/>
  <c r="AU411" i="5"/>
  <c r="AT411" i="5"/>
  <c r="AD411" i="5"/>
  <c r="Z411" i="5"/>
  <c r="BK410" i="5"/>
  <c r="BJ410" i="5"/>
  <c r="BI410" i="5"/>
  <c r="BH410" i="5"/>
  <c r="BG410" i="5"/>
  <c r="BF410" i="5"/>
  <c r="BE410" i="5"/>
  <c r="BD410" i="5"/>
  <c r="BC410" i="5"/>
  <c r="BB410" i="5"/>
  <c r="BA410" i="5"/>
  <c r="AZ410" i="5"/>
  <c r="AY410" i="5"/>
  <c r="AX410" i="5"/>
  <c r="AW410" i="5"/>
  <c r="AU410" i="5"/>
  <c r="AT410" i="5"/>
  <c r="AD410" i="5"/>
  <c r="Z410" i="5"/>
  <c r="BK409" i="5"/>
  <c r="BJ409" i="5"/>
  <c r="BI409" i="5"/>
  <c r="BH409" i="5"/>
  <c r="BG409" i="5"/>
  <c r="BF409" i="5"/>
  <c r="BE409" i="5"/>
  <c r="BD409" i="5"/>
  <c r="BC409" i="5"/>
  <c r="BB409" i="5"/>
  <c r="BA409" i="5"/>
  <c r="AZ409" i="5"/>
  <c r="AY409" i="5"/>
  <c r="AX409" i="5"/>
  <c r="AW409" i="5"/>
  <c r="AU409" i="5"/>
  <c r="AT409" i="5"/>
  <c r="AD409" i="5"/>
  <c r="Z409" i="5"/>
  <c r="BK408" i="5"/>
  <c r="BJ408" i="5"/>
  <c r="BI408" i="5"/>
  <c r="BH408" i="5"/>
  <c r="BG408" i="5"/>
  <c r="BF408" i="5"/>
  <c r="BE408" i="5"/>
  <c r="BD408" i="5"/>
  <c r="BC408" i="5"/>
  <c r="BB408" i="5"/>
  <c r="BA408" i="5"/>
  <c r="AZ408" i="5"/>
  <c r="AY408" i="5"/>
  <c r="AX408" i="5"/>
  <c r="AW408" i="5"/>
  <c r="AU408" i="5"/>
  <c r="AT408" i="5"/>
  <c r="AD408" i="5"/>
  <c r="Z408" i="5"/>
  <c r="BK407" i="5"/>
  <c r="BJ407" i="5"/>
  <c r="BI407" i="5"/>
  <c r="BH407" i="5"/>
  <c r="BG407" i="5"/>
  <c r="BF407" i="5"/>
  <c r="BE407" i="5"/>
  <c r="BD407" i="5"/>
  <c r="BC407" i="5"/>
  <c r="BB407" i="5"/>
  <c r="BA407" i="5"/>
  <c r="AZ407" i="5"/>
  <c r="AY407" i="5"/>
  <c r="AX407" i="5"/>
  <c r="AW407" i="5"/>
  <c r="AU407" i="5"/>
  <c r="AT407" i="5"/>
  <c r="AD407" i="5"/>
  <c r="Z407" i="5"/>
  <c r="BK406" i="5"/>
  <c r="BJ406" i="5"/>
  <c r="BI406" i="5"/>
  <c r="BH406" i="5"/>
  <c r="BG406" i="5"/>
  <c r="BF406" i="5"/>
  <c r="BE406" i="5"/>
  <c r="BD406" i="5"/>
  <c r="BC406" i="5"/>
  <c r="BB406" i="5"/>
  <c r="BA406" i="5"/>
  <c r="AZ406" i="5"/>
  <c r="AY406" i="5"/>
  <c r="AX406" i="5"/>
  <c r="AW406" i="5"/>
  <c r="AU406" i="5"/>
  <c r="AT406" i="5"/>
  <c r="AD406" i="5"/>
  <c r="Z406" i="5"/>
  <c r="BK405" i="5"/>
  <c r="BJ405" i="5"/>
  <c r="BI405" i="5"/>
  <c r="BH405" i="5"/>
  <c r="BG405" i="5"/>
  <c r="BF405" i="5"/>
  <c r="BE405" i="5"/>
  <c r="BD405" i="5"/>
  <c r="BC405" i="5"/>
  <c r="BB405" i="5"/>
  <c r="BA405" i="5"/>
  <c r="AZ405" i="5"/>
  <c r="AY405" i="5"/>
  <c r="AX405" i="5"/>
  <c r="AW405" i="5"/>
  <c r="AU405" i="5"/>
  <c r="AT405" i="5"/>
  <c r="AD405" i="5"/>
  <c r="Z405" i="5"/>
  <c r="BK404" i="5"/>
  <c r="BJ404" i="5"/>
  <c r="BI404" i="5"/>
  <c r="BH404" i="5"/>
  <c r="BG404" i="5"/>
  <c r="BF404" i="5"/>
  <c r="BE404" i="5"/>
  <c r="BD404" i="5"/>
  <c r="BC404" i="5"/>
  <c r="BB404" i="5"/>
  <c r="BA404" i="5"/>
  <c r="AZ404" i="5"/>
  <c r="AY404" i="5"/>
  <c r="AX404" i="5"/>
  <c r="AW404" i="5"/>
  <c r="AU404" i="5"/>
  <c r="AT404" i="5"/>
  <c r="AD404" i="5"/>
  <c r="Z404" i="5"/>
  <c r="BK403" i="5"/>
  <c r="BJ403" i="5"/>
  <c r="BI403" i="5"/>
  <c r="BH403" i="5"/>
  <c r="BG403" i="5"/>
  <c r="BF403" i="5"/>
  <c r="BE403" i="5"/>
  <c r="BD403" i="5"/>
  <c r="BC403" i="5"/>
  <c r="BB403" i="5"/>
  <c r="BA403" i="5"/>
  <c r="AZ403" i="5"/>
  <c r="AY403" i="5"/>
  <c r="AX403" i="5"/>
  <c r="AW403" i="5"/>
  <c r="AU403" i="5"/>
  <c r="AT403" i="5"/>
  <c r="AD403" i="5"/>
  <c r="Z403" i="5"/>
  <c r="BK402" i="5"/>
  <c r="BJ402" i="5"/>
  <c r="BI402" i="5"/>
  <c r="BH402" i="5"/>
  <c r="BG402" i="5"/>
  <c r="BF402" i="5"/>
  <c r="BE402" i="5"/>
  <c r="BD402" i="5"/>
  <c r="BC402" i="5"/>
  <c r="BB402" i="5"/>
  <c r="BA402" i="5"/>
  <c r="AZ402" i="5"/>
  <c r="AY402" i="5"/>
  <c r="AX402" i="5"/>
  <c r="AW402" i="5"/>
  <c r="AU402" i="5"/>
  <c r="AT402" i="5"/>
  <c r="AD402" i="5"/>
  <c r="Z402" i="5"/>
  <c r="BK401" i="5"/>
  <c r="BJ401" i="5"/>
  <c r="BI401" i="5"/>
  <c r="BH401" i="5"/>
  <c r="BG401" i="5"/>
  <c r="BF401" i="5"/>
  <c r="BE401" i="5"/>
  <c r="BD401" i="5"/>
  <c r="BC401" i="5"/>
  <c r="BB401" i="5"/>
  <c r="BA401" i="5"/>
  <c r="AZ401" i="5"/>
  <c r="AY401" i="5"/>
  <c r="AX401" i="5"/>
  <c r="AW401" i="5"/>
  <c r="AU401" i="5"/>
  <c r="AT401" i="5"/>
  <c r="AD401" i="5"/>
  <c r="Z401" i="5"/>
  <c r="BK400" i="5"/>
  <c r="BJ400" i="5"/>
  <c r="BI400" i="5"/>
  <c r="BH400" i="5"/>
  <c r="BG400" i="5"/>
  <c r="BF400" i="5"/>
  <c r="BE400" i="5"/>
  <c r="BD400" i="5"/>
  <c r="BC400" i="5"/>
  <c r="BB400" i="5"/>
  <c r="BA400" i="5"/>
  <c r="AZ400" i="5"/>
  <c r="AY400" i="5"/>
  <c r="AX400" i="5"/>
  <c r="AW400" i="5"/>
  <c r="AU400" i="5"/>
  <c r="AT400" i="5"/>
  <c r="AD400" i="5"/>
  <c r="Z400" i="5"/>
  <c r="BK399" i="5"/>
  <c r="BJ399" i="5"/>
  <c r="BI399" i="5"/>
  <c r="BH399" i="5"/>
  <c r="BG399" i="5"/>
  <c r="BF399" i="5"/>
  <c r="BE399" i="5"/>
  <c r="BD399" i="5"/>
  <c r="BC399" i="5"/>
  <c r="BB399" i="5"/>
  <c r="BA399" i="5"/>
  <c r="AZ399" i="5"/>
  <c r="AY399" i="5"/>
  <c r="AX399" i="5"/>
  <c r="AW399" i="5"/>
  <c r="AU399" i="5"/>
  <c r="AT399" i="5"/>
  <c r="AD399" i="5"/>
  <c r="Z399" i="5"/>
  <c r="BK398" i="5"/>
  <c r="BJ398" i="5"/>
  <c r="BI398" i="5"/>
  <c r="BH398" i="5"/>
  <c r="BG398" i="5"/>
  <c r="BF398" i="5"/>
  <c r="BE398" i="5"/>
  <c r="BD398" i="5"/>
  <c r="BC398" i="5"/>
  <c r="BB398" i="5"/>
  <c r="BA398" i="5"/>
  <c r="AZ398" i="5"/>
  <c r="AY398" i="5"/>
  <c r="AX398" i="5"/>
  <c r="AW398" i="5"/>
  <c r="AU398" i="5"/>
  <c r="AT398" i="5"/>
  <c r="AD398" i="5"/>
  <c r="Z398" i="5"/>
  <c r="BK397" i="5"/>
  <c r="BJ397" i="5"/>
  <c r="BI397" i="5"/>
  <c r="BH397" i="5"/>
  <c r="BG397" i="5"/>
  <c r="BF397" i="5"/>
  <c r="BE397" i="5"/>
  <c r="BD397" i="5"/>
  <c r="BC397" i="5"/>
  <c r="BB397" i="5"/>
  <c r="BA397" i="5"/>
  <c r="AZ397" i="5"/>
  <c r="AY397" i="5"/>
  <c r="AX397" i="5"/>
  <c r="AW397" i="5"/>
  <c r="AU397" i="5"/>
  <c r="AT397" i="5"/>
  <c r="AD397" i="5"/>
  <c r="Z397" i="5"/>
  <c r="BK396" i="5"/>
  <c r="BJ396" i="5"/>
  <c r="BI396" i="5"/>
  <c r="BH396" i="5"/>
  <c r="BG396" i="5"/>
  <c r="BF396" i="5"/>
  <c r="BE396" i="5"/>
  <c r="BD396" i="5"/>
  <c r="BC396" i="5"/>
  <c r="BB396" i="5"/>
  <c r="BA396" i="5"/>
  <c r="AZ396" i="5"/>
  <c r="AY396" i="5"/>
  <c r="AX396" i="5"/>
  <c r="AW396" i="5"/>
  <c r="AU396" i="5"/>
  <c r="AT396" i="5"/>
  <c r="AD396" i="5"/>
  <c r="Z396" i="5"/>
  <c r="BK395" i="5"/>
  <c r="BJ395" i="5"/>
  <c r="BI395" i="5"/>
  <c r="BH395" i="5"/>
  <c r="BG395" i="5"/>
  <c r="BF395" i="5"/>
  <c r="BE395" i="5"/>
  <c r="BD395" i="5"/>
  <c r="BC395" i="5"/>
  <c r="BB395" i="5"/>
  <c r="BA395" i="5"/>
  <c r="AZ395" i="5"/>
  <c r="AY395" i="5"/>
  <c r="AX395" i="5"/>
  <c r="AW395" i="5"/>
  <c r="AU395" i="5"/>
  <c r="AT395" i="5"/>
  <c r="AD395" i="5"/>
  <c r="Z395" i="5"/>
  <c r="BK394" i="5"/>
  <c r="BJ394" i="5"/>
  <c r="BI394" i="5"/>
  <c r="BH394" i="5"/>
  <c r="BG394" i="5"/>
  <c r="BF394" i="5"/>
  <c r="BE394" i="5"/>
  <c r="BD394" i="5"/>
  <c r="BC394" i="5"/>
  <c r="BB394" i="5"/>
  <c r="BA394" i="5"/>
  <c r="AZ394" i="5"/>
  <c r="AY394" i="5"/>
  <c r="AX394" i="5"/>
  <c r="AW394" i="5"/>
  <c r="AU394" i="5"/>
  <c r="AT394" i="5"/>
  <c r="AD394" i="5"/>
  <c r="Z394" i="5"/>
  <c r="BK393" i="5"/>
  <c r="BJ393" i="5"/>
  <c r="BI393" i="5"/>
  <c r="BH393" i="5"/>
  <c r="BG393" i="5"/>
  <c r="BF393" i="5"/>
  <c r="BE393" i="5"/>
  <c r="BD393" i="5"/>
  <c r="BC393" i="5"/>
  <c r="BB393" i="5"/>
  <c r="BA393" i="5"/>
  <c r="AZ393" i="5"/>
  <c r="AY393" i="5"/>
  <c r="AX393" i="5"/>
  <c r="AW393" i="5"/>
  <c r="AU393" i="5"/>
  <c r="AT393" i="5"/>
  <c r="AD393" i="5"/>
  <c r="Z393" i="5"/>
  <c r="BK392" i="5"/>
  <c r="BJ392" i="5"/>
  <c r="BI392" i="5"/>
  <c r="BH392" i="5"/>
  <c r="BG392" i="5"/>
  <c r="BF392" i="5"/>
  <c r="BE392" i="5"/>
  <c r="BD392" i="5"/>
  <c r="BC392" i="5"/>
  <c r="BB392" i="5"/>
  <c r="BA392" i="5"/>
  <c r="AZ392" i="5"/>
  <c r="AY392" i="5"/>
  <c r="AX392" i="5"/>
  <c r="AW392" i="5"/>
  <c r="AU392" i="5"/>
  <c r="AT392" i="5"/>
  <c r="AD392" i="5"/>
  <c r="Z392" i="5"/>
  <c r="BK391" i="5"/>
  <c r="BJ391" i="5"/>
  <c r="BI391" i="5"/>
  <c r="BH391" i="5"/>
  <c r="BG391" i="5"/>
  <c r="BF391" i="5"/>
  <c r="BE391" i="5"/>
  <c r="BD391" i="5"/>
  <c r="BC391" i="5"/>
  <c r="BB391" i="5"/>
  <c r="BA391" i="5"/>
  <c r="AZ391" i="5"/>
  <c r="AY391" i="5"/>
  <c r="AX391" i="5"/>
  <c r="AW391" i="5"/>
  <c r="AU391" i="5"/>
  <c r="AT391" i="5"/>
  <c r="AD391" i="5"/>
  <c r="Z391" i="5"/>
  <c r="BK390" i="5"/>
  <c r="BJ390" i="5"/>
  <c r="BI390" i="5"/>
  <c r="BH390" i="5"/>
  <c r="BG390" i="5"/>
  <c r="BF390" i="5"/>
  <c r="BE390" i="5"/>
  <c r="BD390" i="5"/>
  <c r="BC390" i="5"/>
  <c r="BB390" i="5"/>
  <c r="BA390" i="5"/>
  <c r="AZ390" i="5"/>
  <c r="AY390" i="5"/>
  <c r="AX390" i="5"/>
  <c r="AW390" i="5"/>
  <c r="AU390" i="5"/>
  <c r="AT390" i="5"/>
  <c r="AD390" i="5"/>
  <c r="Z390" i="5"/>
  <c r="BK389" i="5"/>
  <c r="BJ389" i="5"/>
  <c r="BI389" i="5"/>
  <c r="BH389" i="5"/>
  <c r="BG389" i="5"/>
  <c r="BF389" i="5"/>
  <c r="BE389" i="5"/>
  <c r="BD389" i="5"/>
  <c r="BC389" i="5"/>
  <c r="BB389" i="5"/>
  <c r="BA389" i="5"/>
  <c r="AZ389" i="5"/>
  <c r="AY389" i="5"/>
  <c r="AX389" i="5"/>
  <c r="AW389" i="5"/>
  <c r="AU389" i="5"/>
  <c r="AT389" i="5"/>
  <c r="AD389" i="5"/>
  <c r="Z389" i="5"/>
  <c r="BK388" i="5"/>
  <c r="BJ388" i="5"/>
  <c r="BI388" i="5"/>
  <c r="BH388" i="5"/>
  <c r="BG388" i="5"/>
  <c r="BF388" i="5"/>
  <c r="BE388" i="5"/>
  <c r="BD388" i="5"/>
  <c r="BC388" i="5"/>
  <c r="BB388" i="5"/>
  <c r="BA388" i="5"/>
  <c r="AZ388" i="5"/>
  <c r="AY388" i="5"/>
  <c r="AX388" i="5"/>
  <c r="AW388" i="5"/>
  <c r="AU388" i="5"/>
  <c r="AT388" i="5"/>
  <c r="AD388" i="5"/>
  <c r="Z388" i="5"/>
  <c r="BK387" i="5"/>
  <c r="BJ387" i="5"/>
  <c r="BI387" i="5"/>
  <c r="BH387" i="5"/>
  <c r="BG387" i="5"/>
  <c r="BF387" i="5"/>
  <c r="BE387" i="5"/>
  <c r="BD387" i="5"/>
  <c r="BC387" i="5"/>
  <c r="BB387" i="5"/>
  <c r="BA387" i="5"/>
  <c r="AZ387" i="5"/>
  <c r="AY387" i="5"/>
  <c r="AX387" i="5"/>
  <c r="AW387" i="5"/>
  <c r="AU387" i="5"/>
  <c r="AT387" i="5"/>
  <c r="AD387" i="5"/>
  <c r="Z387" i="5"/>
  <c r="BK386" i="5"/>
  <c r="BJ386" i="5"/>
  <c r="BI386" i="5"/>
  <c r="BH386" i="5"/>
  <c r="BG386" i="5"/>
  <c r="BF386" i="5"/>
  <c r="BE386" i="5"/>
  <c r="BD386" i="5"/>
  <c r="BC386" i="5"/>
  <c r="BB386" i="5"/>
  <c r="BA386" i="5"/>
  <c r="AZ386" i="5"/>
  <c r="AY386" i="5"/>
  <c r="AX386" i="5"/>
  <c r="AW386" i="5"/>
  <c r="AU386" i="5"/>
  <c r="AT386" i="5"/>
  <c r="AD386" i="5"/>
  <c r="Z386" i="5"/>
  <c r="BK385" i="5"/>
  <c r="BJ385" i="5"/>
  <c r="BI385" i="5"/>
  <c r="BH385" i="5"/>
  <c r="BG385" i="5"/>
  <c r="BF385" i="5"/>
  <c r="BE385" i="5"/>
  <c r="BD385" i="5"/>
  <c r="BC385" i="5"/>
  <c r="BB385" i="5"/>
  <c r="BA385" i="5"/>
  <c r="AZ385" i="5"/>
  <c r="AY385" i="5"/>
  <c r="AX385" i="5"/>
  <c r="AW385" i="5"/>
  <c r="AU385" i="5"/>
  <c r="AT385" i="5"/>
  <c r="AD385" i="5"/>
  <c r="Z385" i="5"/>
  <c r="BK384" i="5"/>
  <c r="BJ384" i="5"/>
  <c r="BI384" i="5"/>
  <c r="BH384" i="5"/>
  <c r="BG384" i="5"/>
  <c r="BF384" i="5"/>
  <c r="BE384" i="5"/>
  <c r="BD384" i="5"/>
  <c r="BC384" i="5"/>
  <c r="BB384" i="5"/>
  <c r="BA384" i="5"/>
  <c r="AZ384" i="5"/>
  <c r="AY384" i="5"/>
  <c r="AX384" i="5"/>
  <c r="AW384" i="5"/>
  <c r="AU384" i="5"/>
  <c r="AT384" i="5"/>
  <c r="AD384" i="5"/>
  <c r="Z384" i="5"/>
  <c r="BK383" i="5"/>
  <c r="BJ383" i="5"/>
  <c r="BI383" i="5"/>
  <c r="BH383" i="5"/>
  <c r="BG383" i="5"/>
  <c r="BF383" i="5"/>
  <c r="BE383" i="5"/>
  <c r="BD383" i="5"/>
  <c r="BC383" i="5"/>
  <c r="BB383" i="5"/>
  <c r="BA383" i="5"/>
  <c r="AZ383" i="5"/>
  <c r="AY383" i="5"/>
  <c r="AX383" i="5"/>
  <c r="AW383" i="5"/>
  <c r="AU383" i="5"/>
  <c r="AT383" i="5"/>
  <c r="AD383" i="5"/>
  <c r="Z383" i="5"/>
  <c r="BK382" i="5"/>
  <c r="BJ382" i="5"/>
  <c r="BI382" i="5"/>
  <c r="BH382" i="5"/>
  <c r="BG382" i="5"/>
  <c r="BF382" i="5"/>
  <c r="BE382" i="5"/>
  <c r="BD382" i="5"/>
  <c r="BC382" i="5"/>
  <c r="BB382" i="5"/>
  <c r="BA382" i="5"/>
  <c r="AZ382" i="5"/>
  <c r="AY382" i="5"/>
  <c r="AX382" i="5"/>
  <c r="AW382" i="5"/>
  <c r="AU382" i="5"/>
  <c r="AT382" i="5"/>
  <c r="AD382" i="5"/>
  <c r="Z382" i="5"/>
  <c r="BK381" i="5"/>
  <c r="BJ381" i="5"/>
  <c r="BI381" i="5"/>
  <c r="BH381" i="5"/>
  <c r="BG381" i="5"/>
  <c r="BF381" i="5"/>
  <c r="BE381" i="5"/>
  <c r="BD381" i="5"/>
  <c r="BC381" i="5"/>
  <c r="BB381" i="5"/>
  <c r="BA381" i="5"/>
  <c r="AZ381" i="5"/>
  <c r="AY381" i="5"/>
  <c r="AX381" i="5"/>
  <c r="AW381" i="5"/>
  <c r="AU381" i="5"/>
  <c r="AT381" i="5"/>
  <c r="AD381" i="5"/>
  <c r="Z381" i="5"/>
  <c r="BK380" i="5"/>
  <c r="BJ380" i="5"/>
  <c r="BI380" i="5"/>
  <c r="BH380" i="5"/>
  <c r="BG380" i="5"/>
  <c r="BF380" i="5"/>
  <c r="BE380" i="5"/>
  <c r="BD380" i="5"/>
  <c r="BC380" i="5"/>
  <c r="BB380" i="5"/>
  <c r="BA380" i="5"/>
  <c r="AZ380" i="5"/>
  <c r="AY380" i="5"/>
  <c r="AX380" i="5"/>
  <c r="AW380" i="5"/>
  <c r="AU380" i="5"/>
  <c r="AT380" i="5"/>
  <c r="AD380" i="5"/>
  <c r="Z380" i="5"/>
  <c r="BK379" i="5"/>
  <c r="BJ379" i="5"/>
  <c r="BI379" i="5"/>
  <c r="BH379" i="5"/>
  <c r="BG379" i="5"/>
  <c r="BF379" i="5"/>
  <c r="BE379" i="5"/>
  <c r="BD379" i="5"/>
  <c r="BC379" i="5"/>
  <c r="BB379" i="5"/>
  <c r="BA379" i="5"/>
  <c r="AZ379" i="5"/>
  <c r="AY379" i="5"/>
  <c r="AX379" i="5"/>
  <c r="AW379" i="5"/>
  <c r="AU379" i="5"/>
  <c r="AT379" i="5"/>
  <c r="AD379" i="5"/>
  <c r="Z379" i="5"/>
  <c r="BK378" i="5"/>
  <c r="BJ378" i="5"/>
  <c r="BI378" i="5"/>
  <c r="BH378" i="5"/>
  <c r="BG378" i="5"/>
  <c r="BF378" i="5"/>
  <c r="BE378" i="5"/>
  <c r="BD378" i="5"/>
  <c r="BC378" i="5"/>
  <c r="BB378" i="5"/>
  <c r="BA378" i="5"/>
  <c r="AZ378" i="5"/>
  <c r="AY378" i="5"/>
  <c r="AX378" i="5"/>
  <c r="AW378" i="5"/>
  <c r="AU378" i="5"/>
  <c r="AT378" i="5"/>
  <c r="AD378" i="5"/>
  <c r="Z378" i="5"/>
  <c r="BK377" i="5"/>
  <c r="BJ377" i="5"/>
  <c r="BI377" i="5"/>
  <c r="BH377" i="5"/>
  <c r="BG377" i="5"/>
  <c r="BF377" i="5"/>
  <c r="BE377" i="5"/>
  <c r="BD377" i="5"/>
  <c r="BC377" i="5"/>
  <c r="BB377" i="5"/>
  <c r="BA377" i="5"/>
  <c r="AZ377" i="5"/>
  <c r="AY377" i="5"/>
  <c r="AX377" i="5"/>
  <c r="AW377" i="5"/>
  <c r="AU377" i="5"/>
  <c r="AT377" i="5"/>
  <c r="AD377" i="5"/>
  <c r="BK376" i="5"/>
  <c r="BJ376" i="5"/>
  <c r="BI376" i="5"/>
  <c r="BH376" i="5"/>
  <c r="BG376" i="5"/>
  <c r="BF376" i="5"/>
  <c r="BE376" i="5"/>
  <c r="BD376" i="5"/>
  <c r="BC376" i="5"/>
  <c r="BB376" i="5"/>
  <c r="BA376" i="5"/>
  <c r="AZ376" i="5"/>
  <c r="AY376" i="5"/>
  <c r="AX376" i="5"/>
  <c r="AW376" i="5"/>
  <c r="AU376" i="5"/>
  <c r="AT376" i="5"/>
  <c r="AD376" i="5"/>
  <c r="Z376" i="5"/>
  <c r="BK375" i="5"/>
  <c r="BJ375" i="5"/>
  <c r="BI375" i="5"/>
  <c r="BH375" i="5"/>
  <c r="BG375" i="5"/>
  <c r="BF375" i="5"/>
  <c r="BE375" i="5"/>
  <c r="BD375" i="5"/>
  <c r="BC375" i="5"/>
  <c r="BB375" i="5"/>
  <c r="BA375" i="5"/>
  <c r="AZ375" i="5"/>
  <c r="AY375" i="5"/>
  <c r="AX375" i="5"/>
  <c r="AW375" i="5"/>
  <c r="AU375" i="5"/>
  <c r="AT375" i="5"/>
  <c r="AD375" i="5"/>
  <c r="BK374" i="5"/>
  <c r="BJ374" i="5"/>
  <c r="BI374" i="5"/>
  <c r="BH374" i="5"/>
  <c r="BG374" i="5"/>
  <c r="BF374" i="5"/>
  <c r="BE374" i="5"/>
  <c r="BD374" i="5"/>
  <c r="BC374" i="5"/>
  <c r="BB374" i="5"/>
  <c r="BA374" i="5"/>
  <c r="AZ374" i="5"/>
  <c r="AY374" i="5"/>
  <c r="AX374" i="5"/>
  <c r="AW374" i="5"/>
  <c r="AU374" i="5"/>
  <c r="AT374" i="5"/>
  <c r="AD374" i="5"/>
  <c r="Z374" i="5"/>
  <c r="BK373" i="5"/>
  <c r="BJ373" i="5"/>
  <c r="BI373" i="5"/>
  <c r="BH373" i="5"/>
  <c r="BG373" i="5"/>
  <c r="BF373" i="5"/>
  <c r="BE373" i="5"/>
  <c r="BD373" i="5"/>
  <c r="BC373" i="5"/>
  <c r="BB373" i="5"/>
  <c r="BA373" i="5"/>
  <c r="AZ373" i="5"/>
  <c r="AY373" i="5"/>
  <c r="AX373" i="5"/>
  <c r="AW373" i="5"/>
  <c r="AU373" i="5"/>
  <c r="AT373" i="5"/>
  <c r="AD373" i="5"/>
  <c r="Z373" i="5"/>
  <c r="BK372" i="5"/>
  <c r="BJ372" i="5"/>
  <c r="BI372" i="5"/>
  <c r="BH372" i="5"/>
  <c r="BG372" i="5"/>
  <c r="BF372" i="5"/>
  <c r="BE372" i="5"/>
  <c r="BD372" i="5"/>
  <c r="BC372" i="5"/>
  <c r="BB372" i="5"/>
  <c r="BA372" i="5"/>
  <c r="AZ372" i="5"/>
  <c r="AY372" i="5"/>
  <c r="AX372" i="5"/>
  <c r="AW372" i="5"/>
  <c r="AU372" i="5"/>
  <c r="AT372" i="5"/>
  <c r="AD372" i="5"/>
  <c r="Z372" i="5"/>
  <c r="BK371" i="5"/>
  <c r="BJ371" i="5"/>
  <c r="BI371" i="5"/>
  <c r="BH371" i="5"/>
  <c r="BG371" i="5"/>
  <c r="BF371" i="5"/>
  <c r="BE371" i="5"/>
  <c r="BD371" i="5"/>
  <c r="BC371" i="5"/>
  <c r="BB371" i="5"/>
  <c r="BA371" i="5"/>
  <c r="AZ371" i="5"/>
  <c r="AY371" i="5"/>
  <c r="AX371" i="5"/>
  <c r="AW371" i="5"/>
  <c r="AU371" i="5"/>
  <c r="AT371" i="5"/>
  <c r="AD371" i="5"/>
  <c r="Z371" i="5"/>
  <c r="BK370" i="5"/>
  <c r="BJ370" i="5"/>
  <c r="BI370" i="5"/>
  <c r="BH370" i="5"/>
  <c r="BG370" i="5"/>
  <c r="BF370" i="5"/>
  <c r="BE370" i="5"/>
  <c r="BD370" i="5"/>
  <c r="BC370" i="5"/>
  <c r="BB370" i="5"/>
  <c r="BA370" i="5"/>
  <c r="AZ370" i="5"/>
  <c r="AY370" i="5"/>
  <c r="AX370" i="5"/>
  <c r="AW370" i="5"/>
  <c r="AU370" i="5"/>
  <c r="AT370" i="5"/>
  <c r="AD370" i="5"/>
  <c r="Z370" i="5"/>
  <c r="BK369" i="5"/>
  <c r="BJ369" i="5"/>
  <c r="BI369" i="5"/>
  <c r="BH369" i="5"/>
  <c r="BG369" i="5"/>
  <c r="BF369" i="5"/>
  <c r="BE369" i="5"/>
  <c r="BD369" i="5"/>
  <c r="BC369" i="5"/>
  <c r="BB369" i="5"/>
  <c r="BA369" i="5"/>
  <c r="AZ369" i="5"/>
  <c r="AY369" i="5"/>
  <c r="AX369" i="5"/>
  <c r="AW369" i="5"/>
  <c r="AU369" i="5"/>
  <c r="AT369" i="5"/>
  <c r="AD369" i="5"/>
  <c r="Z369" i="5"/>
  <c r="BK368" i="5"/>
  <c r="BJ368" i="5"/>
  <c r="BI368" i="5"/>
  <c r="BH368" i="5"/>
  <c r="BG368" i="5"/>
  <c r="BF368" i="5"/>
  <c r="BE368" i="5"/>
  <c r="BD368" i="5"/>
  <c r="BC368" i="5"/>
  <c r="BB368" i="5"/>
  <c r="BA368" i="5"/>
  <c r="AZ368" i="5"/>
  <c r="AY368" i="5"/>
  <c r="AX368" i="5"/>
  <c r="AW368" i="5"/>
  <c r="AU368" i="5"/>
  <c r="AT368" i="5"/>
  <c r="AD368" i="5"/>
  <c r="Z368" i="5"/>
  <c r="BK367" i="5"/>
  <c r="BJ367" i="5"/>
  <c r="BI367" i="5"/>
  <c r="BH367" i="5"/>
  <c r="BG367" i="5"/>
  <c r="BF367" i="5"/>
  <c r="BE367" i="5"/>
  <c r="BD367" i="5"/>
  <c r="BC367" i="5"/>
  <c r="BB367" i="5"/>
  <c r="BA367" i="5"/>
  <c r="AZ367" i="5"/>
  <c r="AY367" i="5"/>
  <c r="AX367" i="5"/>
  <c r="AW367" i="5"/>
  <c r="AU367" i="5"/>
  <c r="AT367" i="5"/>
  <c r="AD367" i="5"/>
  <c r="Z367" i="5"/>
  <c r="BK366" i="5"/>
  <c r="BJ366" i="5"/>
  <c r="BI366" i="5"/>
  <c r="BH366" i="5"/>
  <c r="BG366" i="5"/>
  <c r="BF366" i="5"/>
  <c r="BE366" i="5"/>
  <c r="BD366" i="5"/>
  <c r="BC366" i="5"/>
  <c r="BB366" i="5"/>
  <c r="BA366" i="5"/>
  <c r="AZ366" i="5"/>
  <c r="AY366" i="5"/>
  <c r="AX366" i="5"/>
  <c r="AW366" i="5"/>
  <c r="AU366" i="5"/>
  <c r="AT366" i="5"/>
  <c r="AD366" i="5"/>
  <c r="Z366" i="5"/>
  <c r="BK365" i="5"/>
  <c r="BJ365" i="5"/>
  <c r="BI365" i="5"/>
  <c r="BH365" i="5"/>
  <c r="BG365" i="5"/>
  <c r="BF365" i="5"/>
  <c r="BE365" i="5"/>
  <c r="BD365" i="5"/>
  <c r="BC365" i="5"/>
  <c r="BB365" i="5"/>
  <c r="BA365" i="5"/>
  <c r="AZ365" i="5"/>
  <c r="AY365" i="5"/>
  <c r="AX365" i="5"/>
  <c r="AW365" i="5"/>
  <c r="AU365" i="5"/>
  <c r="AT365" i="5"/>
  <c r="AD365" i="5"/>
  <c r="Z365" i="5"/>
  <c r="BK364" i="5"/>
  <c r="BJ364" i="5"/>
  <c r="BI364" i="5"/>
  <c r="BH364" i="5"/>
  <c r="BG364" i="5"/>
  <c r="BF364" i="5"/>
  <c r="BE364" i="5"/>
  <c r="BD364" i="5"/>
  <c r="BC364" i="5"/>
  <c r="BB364" i="5"/>
  <c r="BA364" i="5"/>
  <c r="AZ364" i="5"/>
  <c r="AY364" i="5"/>
  <c r="AX364" i="5"/>
  <c r="AW364" i="5"/>
  <c r="AU364" i="5"/>
  <c r="AT364" i="5"/>
  <c r="AD364" i="5"/>
  <c r="Z364" i="5"/>
  <c r="BK363" i="5"/>
  <c r="BJ363" i="5"/>
  <c r="BI363" i="5"/>
  <c r="BH363" i="5"/>
  <c r="BG363" i="5"/>
  <c r="BF363" i="5"/>
  <c r="BE363" i="5"/>
  <c r="BD363" i="5"/>
  <c r="BC363" i="5"/>
  <c r="BB363" i="5"/>
  <c r="BA363" i="5"/>
  <c r="AZ363" i="5"/>
  <c r="AY363" i="5"/>
  <c r="AX363" i="5"/>
  <c r="AW363" i="5"/>
  <c r="AU363" i="5"/>
  <c r="AT363" i="5"/>
  <c r="AD363" i="5"/>
  <c r="Z363" i="5"/>
  <c r="BK362" i="5"/>
  <c r="BJ362" i="5"/>
  <c r="BI362" i="5"/>
  <c r="BH362" i="5"/>
  <c r="BG362" i="5"/>
  <c r="BF362" i="5"/>
  <c r="BE362" i="5"/>
  <c r="BD362" i="5"/>
  <c r="BC362" i="5"/>
  <c r="BB362" i="5"/>
  <c r="BA362" i="5"/>
  <c r="AZ362" i="5"/>
  <c r="AY362" i="5"/>
  <c r="AX362" i="5"/>
  <c r="AW362" i="5"/>
  <c r="AU362" i="5"/>
  <c r="AT362" i="5"/>
  <c r="AD362" i="5"/>
  <c r="Z362" i="5"/>
  <c r="BK361" i="5"/>
  <c r="BJ361" i="5"/>
  <c r="BI361" i="5"/>
  <c r="BH361" i="5"/>
  <c r="BG361" i="5"/>
  <c r="BF361" i="5"/>
  <c r="BE361" i="5"/>
  <c r="BD361" i="5"/>
  <c r="BC361" i="5"/>
  <c r="BB361" i="5"/>
  <c r="BA361" i="5"/>
  <c r="AZ361" i="5"/>
  <c r="AY361" i="5"/>
  <c r="AX361" i="5"/>
  <c r="AW361" i="5"/>
  <c r="AU361" i="5"/>
  <c r="AT361" i="5"/>
  <c r="AD361" i="5"/>
  <c r="Z361" i="5"/>
  <c r="BK360" i="5"/>
  <c r="BJ360" i="5"/>
  <c r="BI360" i="5"/>
  <c r="BH360" i="5"/>
  <c r="BG360" i="5"/>
  <c r="BF360" i="5"/>
  <c r="BE360" i="5"/>
  <c r="BD360" i="5"/>
  <c r="BC360" i="5"/>
  <c r="BB360" i="5"/>
  <c r="BA360" i="5"/>
  <c r="AZ360" i="5"/>
  <c r="AY360" i="5"/>
  <c r="AX360" i="5"/>
  <c r="AW360" i="5"/>
  <c r="AU360" i="5"/>
  <c r="AT360" i="5"/>
  <c r="AD360" i="5"/>
  <c r="Z360" i="5"/>
  <c r="BK359" i="5"/>
  <c r="BJ359" i="5"/>
  <c r="BI359" i="5"/>
  <c r="BH359" i="5"/>
  <c r="BG359" i="5"/>
  <c r="BF359" i="5"/>
  <c r="BE359" i="5"/>
  <c r="BD359" i="5"/>
  <c r="BC359" i="5"/>
  <c r="BB359" i="5"/>
  <c r="BA359" i="5"/>
  <c r="AZ359" i="5"/>
  <c r="AY359" i="5"/>
  <c r="AX359" i="5"/>
  <c r="AW359" i="5"/>
  <c r="AU359" i="5"/>
  <c r="AT359" i="5"/>
  <c r="AD359" i="5"/>
  <c r="Z359" i="5"/>
  <c r="BK358" i="5"/>
  <c r="BJ358" i="5"/>
  <c r="BI358" i="5"/>
  <c r="BH358" i="5"/>
  <c r="BG358" i="5"/>
  <c r="BF358" i="5"/>
  <c r="BE358" i="5"/>
  <c r="BD358" i="5"/>
  <c r="BC358" i="5"/>
  <c r="BB358" i="5"/>
  <c r="BA358" i="5"/>
  <c r="AZ358" i="5"/>
  <c r="AY358" i="5"/>
  <c r="AX358" i="5"/>
  <c r="AW358" i="5"/>
  <c r="AU358" i="5"/>
  <c r="AT358" i="5"/>
  <c r="AD358" i="5"/>
  <c r="Z358" i="5"/>
  <c r="BK357" i="5"/>
  <c r="BJ357" i="5"/>
  <c r="BI357" i="5"/>
  <c r="BH357" i="5"/>
  <c r="BG357" i="5"/>
  <c r="BF357" i="5"/>
  <c r="BE357" i="5"/>
  <c r="BD357" i="5"/>
  <c r="BC357" i="5"/>
  <c r="BB357" i="5"/>
  <c r="BA357" i="5"/>
  <c r="AZ357" i="5"/>
  <c r="AY357" i="5"/>
  <c r="AX357" i="5"/>
  <c r="AW357" i="5"/>
  <c r="AU357" i="5"/>
  <c r="AT357" i="5"/>
  <c r="AD357" i="5"/>
  <c r="Z357" i="5"/>
  <c r="BK356" i="5"/>
  <c r="BJ356" i="5"/>
  <c r="BI356" i="5"/>
  <c r="BH356" i="5"/>
  <c r="BG356" i="5"/>
  <c r="BF356" i="5"/>
  <c r="BE356" i="5"/>
  <c r="BD356" i="5"/>
  <c r="BC356" i="5"/>
  <c r="BB356" i="5"/>
  <c r="BA356" i="5"/>
  <c r="AZ356" i="5"/>
  <c r="AY356" i="5"/>
  <c r="AX356" i="5"/>
  <c r="AW356" i="5"/>
  <c r="AU356" i="5"/>
  <c r="AT356" i="5"/>
  <c r="AD356" i="5"/>
  <c r="Z356" i="5"/>
  <c r="BK355" i="5"/>
  <c r="BJ355" i="5"/>
  <c r="BI355" i="5"/>
  <c r="BH355" i="5"/>
  <c r="BG355" i="5"/>
  <c r="BF355" i="5"/>
  <c r="BE355" i="5"/>
  <c r="BD355" i="5"/>
  <c r="BC355" i="5"/>
  <c r="BB355" i="5"/>
  <c r="BA355" i="5"/>
  <c r="AZ355" i="5"/>
  <c r="AY355" i="5"/>
  <c r="AX355" i="5"/>
  <c r="AW355" i="5"/>
  <c r="AU355" i="5"/>
  <c r="AT355" i="5"/>
  <c r="AD355" i="5"/>
  <c r="Z355" i="5"/>
  <c r="BK354" i="5"/>
  <c r="BJ354" i="5"/>
  <c r="BI354" i="5"/>
  <c r="BH354" i="5"/>
  <c r="BG354" i="5"/>
  <c r="BF354" i="5"/>
  <c r="BE354" i="5"/>
  <c r="BD354" i="5"/>
  <c r="BC354" i="5"/>
  <c r="BB354" i="5"/>
  <c r="BA354" i="5"/>
  <c r="AZ354" i="5"/>
  <c r="AY354" i="5"/>
  <c r="AX354" i="5"/>
  <c r="AW354" i="5"/>
  <c r="AU354" i="5"/>
  <c r="AT354" i="5"/>
  <c r="AD354" i="5"/>
  <c r="Z354" i="5"/>
  <c r="BK353" i="5"/>
  <c r="BJ353" i="5"/>
  <c r="BI353" i="5"/>
  <c r="BH353" i="5"/>
  <c r="BG353" i="5"/>
  <c r="BF353" i="5"/>
  <c r="BE353" i="5"/>
  <c r="BD353" i="5"/>
  <c r="BC353" i="5"/>
  <c r="BB353" i="5"/>
  <c r="BA353" i="5"/>
  <c r="AZ353" i="5"/>
  <c r="AY353" i="5"/>
  <c r="AX353" i="5"/>
  <c r="AW353" i="5"/>
  <c r="AU353" i="5"/>
  <c r="AT353" i="5"/>
  <c r="AD353" i="5"/>
  <c r="Z353" i="5"/>
  <c r="BK352" i="5"/>
  <c r="BJ352" i="5"/>
  <c r="BI352" i="5"/>
  <c r="BH352" i="5"/>
  <c r="BG352" i="5"/>
  <c r="BF352" i="5"/>
  <c r="BE352" i="5"/>
  <c r="BD352" i="5"/>
  <c r="BC352" i="5"/>
  <c r="BB352" i="5"/>
  <c r="BA352" i="5"/>
  <c r="AZ352" i="5"/>
  <c r="AY352" i="5"/>
  <c r="AX352" i="5"/>
  <c r="AW352" i="5"/>
  <c r="AU352" i="5"/>
  <c r="AT352" i="5"/>
  <c r="AD352" i="5"/>
  <c r="Z352" i="5"/>
  <c r="BK351" i="5"/>
  <c r="BJ351" i="5"/>
  <c r="BI351" i="5"/>
  <c r="BH351" i="5"/>
  <c r="BG351" i="5"/>
  <c r="BF351" i="5"/>
  <c r="BE351" i="5"/>
  <c r="BD351" i="5"/>
  <c r="BC351" i="5"/>
  <c r="BB351" i="5"/>
  <c r="BA351" i="5"/>
  <c r="AZ351" i="5"/>
  <c r="AY351" i="5"/>
  <c r="AX351" i="5"/>
  <c r="AW351" i="5"/>
  <c r="AU351" i="5"/>
  <c r="AT351" i="5"/>
  <c r="AD351" i="5"/>
  <c r="Z351" i="5"/>
  <c r="BK350" i="5"/>
  <c r="BJ350" i="5"/>
  <c r="BI350" i="5"/>
  <c r="BH350" i="5"/>
  <c r="BG350" i="5"/>
  <c r="BF350" i="5"/>
  <c r="BE350" i="5"/>
  <c r="BD350" i="5"/>
  <c r="BC350" i="5"/>
  <c r="BB350" i="5"/>
  <c r="BA350" i="5"/>
  <c r="AZ350" i="5"/>
  <c r="AY350" i="5"/>
  <c r="AX350" i="5"/>
  <c r="AW350" i="5"/>
  <c r="AU350" i="5"/>
  <c r="AT350" i="5"/>
  <c r="AD350" i="5"/>
  <c r="Z350" i="5"/>
  <c r="BK349" i="5"/>
  <c r="BJ349" i="5"/>
  <c r="BI349" i="5"/>
  <c r="BH349" i="5"/>
  <c r="BG349" i="5"/>
  <c r="BF349" i="5"/>
  <c r="BE349" i="5"/>
  <c r="BD349" i="5"/>
  <c r="BC349" i="5"/>
  <c r="BB349" i="5"/>
  <c r="BA349" i="5"/>
  <c r="AZ349" i="5"/>
  <c r="AY349" i="5"/>
  <c r="AX349" i="5"/>
  <c r="AW349" i="5"/>
  <c r="AU349" i="5"/>
  <c r="AT349" i="5"/>
  <c r="AD349" i="5"/>
  <c r="Z349" i="5"/>
  <c r="BK348" i="5"/>
  <c r="BJ348" i="5"/>
  <c r="BI348" i="5"/>
  <c r="BH348" i="5"/>
  <c r="BG348" i="5"/>
  <c r="BF348" i="5"/>
  <c r="BE348" i="5"/>
  <c r="BD348" i="5"/>
  <c r="BC348" i="5"/>
  <c r="BB348" i="5"/>
  <c r="BA348" i="5"/>
  <c r="AZ348" i="5"/>
  <c r="AY348" i="5"/>
  <c r="AX348" i="5"/>
  <c r="AW348" i="5"/>
  <c r="AU348" i="5"/>
  <c r="AT348" i="5"/>
  <c r="AD348" i="5"/>
  <c r="Z348" i="5"/>
  <c r="BK347" i="5"/>
  <c r="BJ347" i="5"/>
  <c r="BI347" i="5"/>
  <c r="BH347" i="5"/>
  <c r="BG347" i="5"/>
  <c r="BF347" i="5"/>
  <c r="BE347" i="5"/>
  <c r="BD347" i="5"/>
  <c r="BC347" i="5"/>
  <c r="BB347" i="5"/>
  <c r="BA347" i="5"/>
  <c r="AZ347" i="5"/>
  <c r="AY347" i="5"/>
  <c r="AX347" i="5"/>
  <c r="AW347" i="5"/>
  <c r="AU347" i="5"/>
  <c r="AT347" i="5"/>
  <c r="AD347" i="5"/>
  <c r="Z347" i="5"/>
  <c r="BK346" i="5"/>
  <c r="BJ346" i="5"/>
  <c r="BI346" i="5"/>
  <c r="BH346" i="5"/>
  <c r="BG346" i="5"/>
  <c r="BF346" i="5"/>
  <c r="BE346" i="5"/>
  <c r="BD346" i="5"/>
  <c r="BC346" i="5"/>
  <c r="BB346" i="5"/>
  <c r="BA346" i="5"/>
  <c r="AZ346" i="5"/>
  <c r="AY346" i="5"/>
  <c r="AX346" i="5"/>
  <c r="AW346" i="5"/>
  <c r="AU346" i="5"/>
  <c r="AT346" i="5"/>
  <c r="AD346" i="5"/>
  <c r="Z346" i="5"/>
  <c r="BK345" i="5"/>
  <c r="BJ345" i="5"/>
  <c r="BI345" i="5"/>
  <c r="BH345" i="5"/>
  <c r="BG345" i="5"/>
  <c r="BF345" i="5"/>
  <c r="BE345" i="5"/>
  <c r="BD345" i="5"/>
  <c r="BC345" i="5"/>
  <c r="BB345" i="5"/>
  <c r="BA345" i="5"/>
  <c r="AZ345" i="5"/>
  <c r="AY345" i="5"/>
  <c r="AX345" i="5"/>
  <c r="AW345" i="5"/>
  <c r="AU345" i="5"/>
  <c r="AT345" i="5"/>
  <c r="AD345" i="5"/>
  <c r="Z345" i="5"/>
  <c r="BK344" i="5"/>
  <c r="BJ344" i="5"/>
  <c r="BI344" i="5"/>
  <c r="BH344" i="5"/>
  <c r="BG344" i="5"/>
  <c r="BF344" i="5"/>
  <c r="BE344" i="5"/>
  <c r="BD344" i="5"/>
  <c r="BC344" i="5"/>
  <c r="BB344" i="5"/>
  <c r="BA344" i="5"/>
  <c r="AZ344" i="5"/>
  <c r="AY344" i="5"/>
  <c r="AX344" i="5"/>
  <c r="AW344" i="5"/>
  <c r="AU344" i="5"/>
  <c r="AT344" i="5"/>
  <c r="AD344" i="5"/>
  <c r="Z344" i="5"/>
  <c r="BK343" i="5"/>
  <c r="BJ343" i="5"/>
  <c r="BI343" i="5"/>
  <c r="BH343" i="5"/>
  <c r="BG343" i="5"/>
  <c r="BF343" i="5"/>
  <c r="BE343" i="5"/>
  <c r="BD343" i="5"/>
  <c r="BC343" i="5"/>
  <c r="BB343" i="5"/>
  <c r="BA343" i="5"/>
  <c r="AZ343" i="5"/>
  <c r="AY343" i="5"/>
  <c r="AX343" i="5"/>
  <c r="AW343" i="5"/>
  <c r="AU343" i="5"/>
  <c r="AT343" i="5"/>
  <c r="AD343" i="5"/>
  <c r="Z343" i="5"/>
  <c r="BK342" i="5"/>
  <c r="BJ342" i="5"/>
  <c r="BI342" i="5"/>
  <c r="BH342" i="5"/>
  <c r="BG342" i="5"/>
  <c r="BF342" i="5"/>
  <c r="BE342" i="5"/>
  <c r="BD342" i="5"/>
  <c r="BC342" i="5"/>
  <c r="BB342" i="5"/>
  <c r="BA342" i="5"/>
  <c r="AZ342" i="5"/>
  <c r="AY342" i="5"/>
  <c r="AX342" i="5"/>
  <c r="AW342" i="5"/>
  <c r="AU342" i="5"/>
  <c r="AT342" i="5"/>
  <c r="AD342" i="5"/>
  <c r="Z342" i="5"/>
  <c r="BK341" i="5"/>
  <c r="BJ341" i="5"/>
  <c r="BI341" i="5"/>
  <c r="BH341" i="5"/>
  <c r="BG341" i="5"/>
  <c r="BF341" i="5"/>
  <c r="BE341" i="5"/>
  <c r="BD341" i="5"/>
  <c r="BC341" i="5"/>
  <c r="BB341" i="5"/>
  <c r="BA341" i="5"/>
  <c r="AZ341" i="5"/>
  <c r="AY341" i="5"/>
  <c r="AX341" i="5"/>
  <c r="AW341" i="5"/>
  <c r="AU341" i="5"/>
  <c r="AT341" i="5"/>
  <c r="AD341" i="5"/>
  <c r="Z341" i="5"/>
  <c r="BK340" i="5"/>
  <c r="BJ340" i="5"/>
  <c r="BI340" i="5"/>
  <c r="BH340" i="5"/>
  <c r="BG340" i="5"/>
  <c r="BF340" i="5"/>
  <c r="BE340" i="5"/>
  <c r="BD340" i="5"/>
  <c r="BC340" i="5"/>
  <c r="BB340" i="5"/>
  <c r="BA340" i="5"/>
  <c r="AZ340" i="5"/>
  <c r="AY340" i="5"/>
  <c r="AX340" i="5"/>
  <c r="AW340" i="5"/>
  <c r="AU340" i="5"/>
  <c r="AT340" i="5"/>
  <c r="AD340" i="5"/>
  <c r="Z340" i="5"/>
  <c r="BK339" i="5"/>
  <c r="BJ339" i="5"/>
  <c r="BI339" i="5"/>
  <c r="BH339" i="5"/>
  <c r="BG339" i="5"/>
  <c r="BF339" i="5"/>
  <c r="BE339" i="5"/>
  <c r="BD339" i="5"/>
  <c r="BC339" i="5"/>
  <c r="BB339" i="5"/>
  <c r="BA339" i="5"/>
  <c r="AZ339" i="5"/>
  <c r="AY339" i="5"/>
  <c r="AX339" i="5"/>
  <c r="AW339" i="5"/>
  <c r="AU339" i="5"/>
  <c r="AT339" i="5"/>
  <c r="AD339" i="5"/>
  <c r="Z339" i="5"/>
  <c r="BK338" i="5"/>
  <c r="BJ338" i="5"/>
  <c r="BI338" i="5"/>
  <c r="BH338" i="5"/>
  <c r="BG338" i="5"/>
  <c r="BF338" i="5"/>
  <c r="BE338" i="5"/>
  <c r="BD338" i="5"/>
  <c r="BC338" i="5"/>
  <c r="BB338" i="5"/>
  <c r="BA338" i="5"/>
  <c r="AZ338" i="5"/>
  <c r="AY338" i="5"/>
  <c r="AX338" i="5"/>
  <c r="AW338" i="5"/>
  <c r="AU338" i="5"/>
  <c r="AT338" i="5"/>
  <c r="AD338" i="5"/>
  <c r="Z338" i="5"/>
  <c r="BK337" i="5"/>
  <c r="BJ337" i="5"/>
  <c r="BI337" i="5"/>
  <c r="BH337" i="5"/>
  <c r="BG337" i="5"/>
  <c r="BF337" i="5"/>
  <c r="BE337" i="5"/>
  <c r="BD337" i="5"/>
  <c r="BC337" i="5"/>
  <c r="BB337" i="5"/>
  <c r="BA337" i="5"/>
  <c r="AZ337" i="5"/>
  <c r="AY337" i="5"/>
  <c r="AX337" i="5"/>
  <c r="AW337" i="5"/>
  <c r="AU337" i="5"/>
  <c r="AT337" i="5"/>
  <c r="AD337" i="5"/>
  <c r="Z337" i="5"/>
  <c r="BK336" i="5"/>
  <c r="BJ336" i="5"/>
  <c r="BI336" i="5"/>
  <c r="BH336" i="5"/>
  <c r="BG336" i="5"/>
  <c r="BF336" i="5"/>
  <c r="BE336" i="5"/>
  <c r="BD336" i="5"/>
  <c r="BC336" i="5"/>
  <c r="BB336" i="5"/>
  <c r="BA336" i="5"/>
  <c r="AZ336" i="5"/>
  <c r="AY336" i="5"/>
  <c r="AX336" i="5"/>
  <c r="AW336" i="5"/>
  <c r="AU336" i="5"/>
  <c r="AT336" i="5"/>
  <c r="AD336" i="5"/>
  <c r="Z336" i="5"/>
  <c r="BK335" i="5"/>
  <c r="BJ335" i="5"/>
  <c r="BI335" i="5"/>
  <c r="BH335" i="5"/>
  <c r="BG335" i="5"/>
  <c r="BF335" i="5"/>
  <c r="BE335" i="5"/>
  <c r="BD335" i="5"/>
  <c r="BC335" i="5"/>
  <c r="BB335" i="5"/>
  <c r="BA335" i="5"/>
  <c r="AZ335" i="5"/>
  <c r="AY335" i="5"/>
  <c r="AX335" i="5"/>
  <c r="AW335" i="5"/>
  <c r="AU335" i="5"/>
  <c r="AT335" i="5"/>
  <c r="AD335" i="5"/>
  <c r="Z335" i="5"/>
  <c r="BK334" i="5"/>
  <c r="BJ334" i="5"/>
  <c r="BI334" i="5"/>
  <c r="BH334" i="5"/>
  <c r="BG334" i="5"/>
  <c r="BF334" i="5"/>
  <c r="BE334" i="5"/>
  <c r="BD334" i="5"/>
  <c r="BC334" i="5"/>
  <c r="BB334" i="5"/>
  <c r="BA334" i="5"/>
  <c r="AZ334" i="5"/>
  <c r="AY334" i="5"/>
  <c r="AX334" i="5"/>
  <c r="AW334" i="5"/>
  <c r="AU334" i="5"/>
  <c r="AT334" i="5"/>
  <c r="AD334" i="5"/>
  <c r="Z334" i="5"/>
  <c r="BK333" i="5"/>
  <c r="BJ333" i="5"/>
  <c r="BI333" i="5"/>
  <c r="BH333" i="5"/>
  <c r="BG333" i="5"/>
  <c r="BF333" i="5"/>
  <c r="BE333" i="5"/>
  <c r="BD333" i="5"/>
  <c r="BC333" i="5"/>
  <c r="BB333" i="5"/>
  <c r="BA333" i="5"/>
  <c r="AZ333" i="5"/>
  <c r="AY333" i="5"/>
  <c r="AX333" i="5"/>
  <c r="AW333" i="5"/>
  <c r="AU333" i="5"/>
  <c r="AT333" i="5"/>
  <c r="AD333" i="5"/>
  <c r="Z333" i="5"/>
  <c r="BK332" i="5"/>
  <c r="BJ332" i="5"/>
  <c r="BI332" i="5"/>
  <c r="BH332" i="5"/>
  <c r="BG332" i="5"/>
  <c r="BF332" i="5"/>
  <c r="BE332" i="5"/>
  <c r="BD332" i="5"/>
  <c r="BC332" i="5"/>
  <c r="BB332" i="5"/>
  <c r="BA332" i="5"/>
  <c r="AZ332" i="5"/>
  <c r="AY332" i="5"/>
  <c r="AX332" i="5"/>
  <c r="AW332" i="5"/>
  <c r="AU332" i="5"/>
  <c r="AT332" i="5"/>
  <c r="AD332" i="5"/>
  <c r="Z332" i="5"/>
  <c r="BK331" i="5"/>
  <c r="BJ331" i="5"/>
  <c r="BI331" i="5"/>
  <c r="BH331" i="5"/>
  <c r="BG331" i="5"/>
  <c r="BF331" i="5"/>
  <c r="BE331" i="5"/>
  <c r="BD331" i="5"/>
  <c r="BC331" i="5"/>
  <c r="BB331" i="5"/>
  <c r="BA331" i="5"/>
  <c r="AZ331" i="5"/>
  <c r="AY331" i="5"/>
  <c r="AX331" i="5"/>
  <c r="AW331" i="5"/>
  <c r="AU331" i="5"/>
  <c r="AT331" i="5"/>
  <c r="AD331" i="5"/>
  <c r="Z331" i="5"/>
  <c r="BK330" i="5"/>
  <c r="BJ330" i="5"/>
  <c r="BI330" i="5"/>
  <c r="BH330" i="5"/>
  <c r="BG330" i="5"/>
  <c r="BF330" i="5"/>
  <c r="BE330" i="5"/>
  <c r="BD330" i="5"/>
  <c r="BC330" i="5"/>
  <c r="BB330" i="5"/>
  <c r="BA330" i="5"/>
  <c r="AZ330" i="5"/>
  <c r="AY330" i="5"/>
  <c r="AX330" i="5"/>
  <c r="AW330" i="5"/>
  <c r="AU330" i="5"/>
  <c r="AT330" i="5"/>
  <c r="AD330" i="5"/>
  <c r="Z330" i="5"/>
  <c r="BK329" i="5"/>
  <c r="BJ329" i="5"/>
  <c r="BI329" i="5"/>
  <c r="BH329" i="5"/>
  <c r="BG329" i="5"/>
  <c r="BF329" i="5"/>
  <c r="BE329" i="5"/>
  <c r="BD329" i="5"/>
  <c r="BC329" i="5"/>
  <c r="BB329" i="5"/>
  <c r="BA329" i="5"/>
  <c r="AZ329" i="5"/>
  <c r="AY329" i="5"/>
  <c r="AX329" i="5"/>
  <c r="AW329" i="5"/>
  <c r="AU329" i="5"/>
  <c r="AT329" i="5"/>
  <c r="AD329" i="5"/>
  <c r="Z329" i="5"/>
  <c r="BK328" i="5"/>
  <c r="BJ328" i="5"/>
  <c r="BI328" i="5"/>
  <c r="BH328" i="5"/>
  <c r="BG328" i="5"/>
  <c r="BF328" i="5"/>
  <c r="BE328" i="5"/>
  <c r="BD328" i="5"/>
  <c r="BC328" i="5"/>
  <c r="BB328" i="5"/>
  <c r="BA328" i="5"/>
  <c r="AZ328" i="5"/>
  <c r="AY328" i="5"/>
  <c r="AX328" i="5"/>
  <c r="AW328" i="5"/>
  <c r="AU328" i="5"/>
  <c r="AT328" i="5"/>
  <c r="AD328" i="5"/>
  <c r="Z328" i="5"/>
  <c r="BK327" i="5"/>
  <c r="BJ327" i="5"/>
  <c r="BI327" i="5"/>
  <c r="BH327" i="5"/>
  <c r="BG327" i="5"/>
  <c r="BF327" i="5"/>
  <c r="BE327" i="5"/>
  <c r="BD327" i="5"/>
  <c r="BC327" i="5"/>
  <c r="BB327" i="5"/>
  <c r="BA327" i="5"/>
  <c r="AZ327" i="5"/>
  <c r="AY327" i="5"/>
  <c r="AX327" i="5"/>
  <c r="AW327" i="5"/>
  <c r="AU327" i="5"/>
  <c r="AT327" i="5"/>
  <c r="AD327" i="5"/>
  <c r="Z327" i="5"/>
  <c r="BK326" i="5"/>
  <c r="BJ326" i="5"/>
  <c r="BI326" i="5"/>
  <c r="BH326" i="5"/>
  <c r="BG326" i="5"/>
  <c r="BF326" i="5"/>
  <c r="BE326" i="5"/>
  <c r="BD326" i="5"/>
  <c r="BC326" i="5"/>
  <c r="BB326" i="5"/>
  <c r="BA326" i="5"/>
  <c r="AZ326" i="5"/>
  <c r="AY326" i="5"/>
  <c r="AX326" i="5"/>
  <c r="AW326" i="5"/>
  <c r="AU326" i="5"/>
  <c r="AT326" i="5"/>
  <c r="AD326" i="5"/>
  <c r="Z326" i="5"/>
  <c r="BK325" i="5"/>
  <c r="BJ325" i="5"/>
  <c r="BI325" i="5"/>
  <c r="BH325" i="5"/>
  <c r="BG325" i="5"/>
  <c r="BF325" i="5"/>
  <c r="BE325" i="5"/>
  <c r="BD325" i="5"/>
  <c r="BC325" i="5"/>
  <c r="BB325" i="5"/>
  <c r="BA325" i="5"/>
  <c r="AZ325" i="5"/>
  <c r="AY325" i="5"/>
  <c r="AX325" i="5"/>
  <c r="AW325" i="5"/>
  <c r="AU325" i="5"/>
  <c r="AT325" i="5"/>
  <c r="AD325" i="5"/>
  <c r="Z325" i="5"/>
  <c r="BK324" i="5"/>
  <c r="BJ324" i="5"/>
  <c r="BI324" i="5"/>
  <c r="BH324" i="5"/>
  <c r="BG324" i="5"/>
  <c r="BF324" i="5"/>
  <c r="BE324" i="5"/>
  <c r="BD324" i="5"/>
  <c r="BC324" i="5"/>
  <c r="BB324" i="5"/>
  <c r="BA324" i="5"/>
  <c r="AZ324" i="5"/>
  <c r="AY324" i="5"/>
  <c r="AX324" i="5"/>
  <c r="AW324" i="5"/>
  <c r="AU324" i="5"/>
  <c r="AT324" i="5"/>
  <c r="AD324" i="5"/>
  <c r="Z324" i="5"/>
  <c r="BK323" i="5"/>
  <c r="BJ323" i="5"/>
  <c r="BI323" i="5"/>
  <c r="BH323" i="5"/>
  <c r="BG323" i="5"/>
  <c r="BF323" i="5"/>
  <c r="BE323" i="5"/>
  <c r="BD323" i="5"/>
  <c r="BC323" i="5"/>
  <c r="BB323" i="5"/>
  <c r="BA323" i="5"/>
  <c r="AZ323" i="5"/>
  <c r="AY323" i="5"/>
  <c r="AX323" i="5"/>
  <c r="AW323" i="5"/>
  <c r="AU323" i="5"/>
  <c r="AT323" i="5"/>
  <c r="AD323" i="5"/>
  <c r="Z323" i="5"/>
  <c r="BK322" i="5"/>
  <c r="BJ322" i="5"/>
  <c r="BI322" i="5"/>
  <c r="BH322" i="5"/>
  <c r="BG322" i="5"/>
  <c r="BF322" i="5"/>
  <c r="BE322" i="5"/>
  <c r="BD322" i="5"/>
  <c r="BC322" i="5"/>
  <c r="BB322" i="5"/>
  <c r="BA322" i="5"/>
  <c r="AZ322" i="5"/>
  <c r="AY322" i="5"/>
  <c r="AX322" i="5"/>
  <c r="AW322" i="5"/>
  <c r="AU322" i="5"/>
  <c r="AT322" i="5"/>
  <c r="AD322" i="5"/>
  <c r="Z322" i="5"/>
  <c r="BK321" i="5"/>
  <c r="BJ321" i="5"/>
  <c r="BI321" i="5"/>
  <c r="BH321" i="5"/>
  <c r="BG321" i="5"/>
  <c r="BF321" i="5"/>
  <c r="BE321" i="5"/>
  <c r="BD321" i="5"/>
  <c r="BC321" i="5"/>
  <c r="BB321" i="5"/>
  <c r="BA321" i="5"/>
  <c r="AZ321" i="5"/>
  <c r="AY321" i="5"/>
  <c r="AX321" i="5"/>
  <c r="AW321" i="5"/>
  <c r="AU321" i="5"/>
  <c r="AT321" i="5"/>
  <c r="AD321" i="5"/>
  <c r="Z321" i="5"/>
  <c r="BK320" i="5"/>
  <c r="BJ320" i="5"/>
  <c r="BI320" i="5"/>
  <c r="BH320" i="5"/>
  <c r="BG320" i="5"/>
  <c r="BF320" i="5"/>
  <c r="BE320" i="5"/>
  <c r="BD320" i="5"/>
  <c r="BC320" i="5"/>
  <c r="BB320" i="5"/>
  <c r="BA320" i="5"/>
  <c r="AZ320" i="5"/>
  <c r="AY320" i="5"/>
  <c r="AX320" i="5"/>
  <c r="AW320" i="5"/>
  <c r="AU320" i="5"/>
  <c r="AT320" i="5"/>
  <c r="AD320" i="5"/>
  <c r="Z320" i="5"/>
  <c r="BK319" i="5"/>
  <c r="BJ319" i="5"/>
  <c r="BI319" i="5"/>
  <c r="BH319" i="5"/>
  <c r="BG319" i="5"/>
  <c r="BF319" i="5"/>
  <c r="BE319" i="5"/>
  <c r="BD319" i="5"/>
  <c r="BC319" i="5"/>
  <c r="BB319" i="5"/>
  <c r="BA319" i="5"/>
  <c r="AZ319" i="5"/>
  <c r="AY319" i="5"/>
  <c r="AX319" i="5"/>
  <c r="AW319" i="5"/>
  <c r="AU319" i="5"/>
  <c r="AT319" i="5"/>
  <c r="AD319" i="5"/>
  <c r="Z319" i="5"/>
  <c r="BK318" i="5"/>
  <c r="BJ318" i="5"/>
  <c r="BI318" i="5"/>
  <c r="BH318" i="5"/>
  <c r="BG318" i="5"/>
  <c r="BF318" i="5"/>
  <c r="BE318" i="5"/>
  <c r="BD318" i="5"/>
  <c r="BC318" i="5"/>
  <c r="BB318" i="5"/>
  <c r="BA318" i="5"/>
  <c r="AZ318" i="5"/>
  <c r="AY318" i="5"/>
  <c r="AX318" i="5"/>
  <c r="AW318" i="5"/>
  <c r="AU318" i="5"/>
  <c r="AT318" i="5"/>
  <c r="AD318" i="5"/>
  <c r="Z318" i="5"/>
  <c r="BK317" i="5"/>
  <c r="BJ317" i="5"/>
  <c r="BI317" i="5"/>
  <c r="BH317" i="5"/>
  <c r="BG317" i="5"/>
  <c r="BF317" i="5"/>
  <c r="BE317" i="5"/>
  <c r="BD317" i="5"/>
  <c r="BC317" i="5"/>
  <c r="BB317" i="5"/>
  <c r="BA317" i="5"/>
  <c r="AZ317" i="5"/>
  <c r="AY317" i="5"/>
  <c r="AX317" i="5"/>
  <c r="AW317" i="5"/>
  <c r="AU317" i="5"/>
  <c r="AT317" i="5"/>
  <c r="AD317" i="5"/>
  <c r="Z317" i="5"/>
  <c r="BK316" i="5"/>
  <c r="BJ316" i="5"/>
  <c r="BI316" i="5"/>
  <c r="BH316" i="5"/>
  <c r="BG316" i="5"/>
  <c r="BF316" i="5"/>
  <c r="BE316" i="5"/>
  <c r="BD316" i="5"/>
  <c r="BC316" i="5"/>
  <c r="BB316" i="5"/>
  <c r="BA316" i="5"/>
  <c r="AZ316" i="5"/>
  <c r="AY316" i="5"/>
  <c r="AX316" i="5"/>
  <c r="AW316" i="5"/>
  <c r="AU316" i="5"/>
  <c r="AT316" i="5"/>
  <c r="AD316" i="5"/>
  <c r="Z316" i="5"/>
  <c r="BK315" i="5"/>
  <c r="BJ315" i="5"/>
  <c r="BI315" i="5"/>
  <c r="BH315" i="5"/>
  <c r="BG315" i="5"/>
  <c r="BF315" i="5"/>
  <c r="BE315" i="5"/>
  <c r="BD315" i="5"/>
  <c r="BC315" i="5"/>
  <c r="BB315" i="5"/>
  <c r="BA315" i="5"/>
  <c r="AZ315" i="5"/>
  <c r="AY315" i="5"/>
  <c r="AX315" i="5"/>
  <c r="AW315" i="5"/>
  <c r="AU315" i="5"/>
  <c r="AT315" i="5"/>
  <c r="AD315" i="5"/>
  <c r="Z315" i="5"/>
  <c r="BK314" i="5"/>
  <c r="BJ314" i="5"/>
  <c r="BI314" i="5"/>
  <c r="BH314" i="5"/>
  <c r="BG314" i="5"/>
  <c r="BF314" i="5"/>
  <c r="BE314" i="5"/>
  <c r="BD314" i="5"/>
  <c r="BC314" i="5"/>
  <c r="BB314" i="5"/>
  <c r="BA314" i="5"/>
  <c r="AZ314" i="5"/>
  <c r="AY314" i="5"/>
  <c r="AX314" i="5"/>
  <c r="AW314" i="5"/>
  <c r="AU314" i="5"/>
  <c r="AT314" i="5"/>
  <c r="AD314" i="5"/>
  <c r="Z314" i="5"/>
  <c r="BK313" i="5"/>
  <c r="BJ313" i="5"/>
  <c r="BI313" i="5"/>
  <c r="BH313" i="5"/>
  <c r="BG313" i="5"/>
  <c r="BF313" i="5"/>
  <c r="BE313" i="5"/>
  <c r="BD313" i="5"/>
  <c r="BC313" i="5"/>
  <c r="BB313" i="5"/>
  <c r="BA313" i="5"/>
  <c r="AZ313" i="5"/>
  <c r="AY313" i="5"/>
  <c r="AX313" i="5"/>
  <c r="AW313" i="5"/>
  <c r="AU313" i="5"/>
  <c r="AT313" i="5"/>
  <c r="AD313" i="5"/>
  <c r="Z313" i="5"/>
  <c r="BK312" i="5"/>
  <c r="BJ312" i="5"/>
  <c r="BI312" i="5"/>
  <c r="BH312" i="5"/>
  <c r="BG312" i="5"/>
  <c r="BF312" i="5"/>
  <c r="BE312" i="5"/>
  <c r="BD312" i="5"/>
  <c r="BC312" i="5"/>
  <c r="BB312" i="5"/>
  <c r="BA312" i="5"/>
  <c r="AZ312" i="5"/>
  <c r="AY312" i="5"/>
  <c r="AX312" i="5"/>
  <c r="AW312" i="5"/>
  <c r="AU312" i="5"/>
  <c r="AT312" i="5"/>
  <c r="AD312" i="5"/>
  <c r="Z312" i="5"/>
  <c r="BK311" i="5"/>
  <c r="BJ311" i="5"/>
  <c r="BI311" i="5"/>
  <c r="BH311" i="5"/>
  <c r="BG311" i="5"/>
  <c r="BF311" i="5"/>
  <c r="BE311" i="5"/>
  <c r="BD311" i="5"/>
  <c r="BC311" i="5"/>
  <c r="BB311" i="5"/>
  <c r="BA311" i="5"/>
  <c r="AZ311" i="5"/>
  <c r="AY311" i="5"/>
  <c r="AX311" i="5"/>
  <c r="AW311" i="5"/>
  <c r="AU311" i="5"/>
  <c r="AT311" i="5"/>
  <c r="AD311" i="5"/>
  <c r="Z311" i="5"/>
  <c r="BK310" i="5"/>
  <c r="BJ310" i="5"/>
  <c r="BI310" i="5"/>
  <c r="BH310" i="5"/>
  <c r="BG310" i="5"/>
  <c r="BF310" i="5"/>
  <c r="BE310" i="5"/>
  <c r="BD310" i="5"/>
  <c r="BC310" i="5"/>
  <c r="BB310" i="5"/>
  <c r="BA310" i="5"/>
  <c r="AZ310" i="5"/>
  <c r="AY310" i="5"/>
  <c r="AX310" i="5"/>
  <c r="AW310" i="5"/>
  <c r="AU310" i="5"/>
  <c r="AT310" i="5"/>
  <c r="AD310" i="5"/>
  <c r="Z310" i="5"/>
  <c r="BK309" i="5"/>
  <c r="BJ309" i="5"/>
  <c r="BI309" i="5"/>
  <c r="BH309" i="5"/>
  <c r="BG309" i="5"/>
  <c r="BF309" i="5"/>
  <c r="BE309" i="5"/>
  <c r="BD309" i="5"/>
  <c r="BC309" i="5"/>
  <c r="BB309" i="5"/>
  <c r="BA309" i="5"/>
  <c r="AZ309" i="5"/>
  <c r="AY309" i="5"/>
  <c r="AX309" i="5"/>
  <c r="AW309" i="5"/>
  <c r="AU309" i="5"/>
  <c r="AT309" i="5"/>
  <c r="AD309" i="5"/>
  <c r="Z309" i="5"/>
  <c r="BK308" i="5"/>
  <c r="BJ308" i="5"/>
  <c r="BI308" i="5"/>
  <c r="BH308" i="5"/>
  <c r="BG308" i="5"/>
  <c r="BF308" i="5"/>
  <c r="BE308" i="5"/>
  <c r="BD308" i="5"/>
  <c r="BC308" i="5"/>
  <c r="BB308" i="5"/>
  <c r="BA308" i="5"/>
  <c r="AZ308" i="5"/>
  <c r="AY308" i="5"/>
  <c r="AX308" i="5"/>
  <c r="AW308" i="5"/>
  <c r="AU308" i="5"/>
  <c r="AT308" i="5"/>
  <c r="AD308" i="5"/>
  <c r="Z308" i="5"/>
  <c r="BK307" i="5"/>
  <c r="BJ307" i="5"/>
  <c r="BI307" i="5"/>
  <c r="BH307" i="5"/>
  <c r="BG307" i="5"/>
  <c r="BF307" i="5"/>
  <c r="BE307" i="5"/>
  <c r="BD307" i="5"/>
  <c r="BC307" i="5"/>
  <c r="BB307" i="5"/>
  <c r="BA307" i="5"/>
  <c r="AZ307" i="5"/>
  <c r="AY307" i="5"/>
  <c r="AX307" i="5"/>
  <c r="AW307" i="5"/>
  <c r="AU307" i="5"/>
  <c r="AT307" i="5"/>
  <c r="AD307" i="5"/>
  <c r="Z307" i="5"/>
  <c r="BK306" i="5"/>
  <c r="BJ306" i="5"/>
  <c r="BI306" i="5"/>
  <c r="BH306" i="5"/>
  <c r="BG306" i="5"/>
  <c r="BF306" i="5"/>
  <c r="BE306" i="5"/>
  <c r="BD306" i="5"/>
  <c r="BC306" i="5"/>
  <c r="BB306" i="5"/>
  <c r="BA306" i="5"/>
  <c r="AZ306" i="5"/>
  <c r="AY306" i="5"/>
  <c r="AX306" i="5"/>
  <c r="AW306" i="5"/>
  <c r="AU306" i="5"/>
  <c r="AT306" i="5"/>
  <c r="AD306" i="5"/>
  <c r="Z306" i="5"/>
  <c r="BK305" i="5"/>
  <c r="BJ305" i="5"/>
  <c r="BI305" i="5"/>
  <c r="BH305" i="5"/>
  <c r="BG305" i="5"/>
  <c r="BF305" i="5"/>
  <c r="BE305" i="5"/>
  <c r="BD305" i="5"/>
  <c r="BC305" i="5"/>
  <c r="BB305" i="5"/>
  <c r="BA305" i="5"/>
  <c r="AZ305" i="5"/>
  <c r="AY305" i="5"/>
  <c r="AX305" i="5"/>
  <c r="AW305" i="5"/>
  <c r="AU305" i="5"/>
  <c r="AT305" i="5"/>
  <c r="AD305" i="5"/>
  <c r="Z305" i="5"/>
  <c r="BK304" i="5"/>
  <c r="BJ304" i="5"/>
  <c r="BI304" i="5"/>
  <c r="BH304" i="5"/>
  <c r="BG304" i="5"/>
  <c r="BF304" i="5"/>
  <c r="BE304" i="5"/>
  <c r="BD304" i="5"/>
  <c r="BC304" i="5"/>
  <c r="BB304" i="5"/>
  <c r="BA304" i="5"/>
  <c r="AZ304" i="5"/>
  <c r="AY304" i="5"/>
  <c r="AX304" i="5"/>
  <c r="AW304" i="5"/>
  <c r="AU304" i="5"/>
  <c r="AT304" i="5"/>
  <c r="AD304" i="5"/>
  <c r="Z304" i="5"/>
  <c r="BK303" i="5"/>
  <c r="BJ303" i="5"/>
  <c r="BI303" i="5"/>
  <c r="BH303" i="5"/>
  <c r="BG303" i="5"/>
  <c r="BF303" i="5"/>
  <c r="BE303" i="5"/>
  <c r="BD303" i="5"/>
  <c r="BC303" i="5"/>
  <c r="BB303" i="5"/>
  <c r="BA303" i="5"/>
  <c r="AZ303" i="5"/>
  <c r="AY303" i="5"/>
  <c r="AX303" i="5"/>
  <c r="AW303" i="5"/>
  <c r="AU303" i="5"/>
  <c r="AT303" i="5"/>
  <c r="AD303" i="5"/>
  <c r="Z303" i="5"/>
  <c r="BK302" i="5"/>
  <c r="BJ302" i="5"/>
  <c r="BI302" i="5"/>
  <c r="BH302" i="5"/>
  <c r="BG302" i="5"/>
  <c r="BF302" i="5"/>
  <c r="BE302" i="5"/>
  <c r="BD302" i="5"/>
  <c r="BC302" i="5"/>
  <c r="BB302" i="5"/>
  <c r="BA302" i="5"/>
  <c r="AZ302" i="5"/>
  <c r="AY302" i="5"/>
  <c r="AX302" i="5"/>
  <c r="AW302" i="5"/>
  <c r="AU302" i="5"/>
  <c r="AT302" i="5"/>
  <c r="AD302" i="5"/>
  <c r="Z302" i="5"/>
  <c r="BK301" i="5"/>
  <c r="BJ301" i="5"/>
  <c r="BI301" i="5"/>
  <c r="BH301" i="5"/>
  <c r="BG301" i="5"/>
  <c r="BF301" i="5"/>
  <c r="BE301" i="5"/>
  <c r="BD301" i="5"/>
  <c r="BC301" i="5"/>
  <c r="BB301" i="5"/>
  <c r="BA301" i="5"/>
  <c r="AZ301" i="5"/>
  <c r="AY301" i="5"/>
  <c r="AX301" i="5"/>
  <c r="AW301" i="5"/>
  <c r="AU301" i="5"/>
  <c r="AT301" i="5"/>
  <c r="AD301" i="5"/>
  <c r="Z301" i="5"/>
  <c r="BK300" i="5"/>
  <c r="BJ300" i="5"/>
  <c r="BI300" i="5"/>
  <c r="BH300" i="5"/>
  <c r="BG300" i="5"/>
  <c r="BF300" i="5"/>
  <c r="BE300" i="5"/>
  <c r="BD300" i="5"/>
  <c r="BC300" i="5"/>
  <c r="BB300" i="5"/>
  <c r="BA300" i="5"/>
  <c r="AZ300" i="5"/>
  <c r="AY300" i="5"/>
  <c r="AX300" i="5"/>
  <c r="AW300" i="5"/>
  <c r="AU300" i="5"/>
  <c r="AT300" i="5"/>
  <c r="AD300" i="5"/>
  <c r="Z300" i="5"/>
  <c r="BK299" i="5"/>
  <c r="BJ299" i="5"/>
  <c r="BI299" i="5"/>
  <c r="BH299" i="5"/>
  <c r="BG299" i="5"/>
  <c r="BF299" i="5"/>
  <c r="BE299" i="5"/>
  <c r="BD299" i="5"/>
  <c r="BC299" i="5"/>
  <c r="BB299" i="5"/>
  <c r="BA299" i="5"/>
  <c r="AZ299" i="5"/>
  <c r="AY299" i="5"/>
  <c r="AX299" i="5"/>
  <c r="AW299" i="5"/>
  <c r="AU299" i="5"/>
  <c r="AT299" i="5"/>
  <c r="AD299" i="5"/>
  <c r="Z299" i="5"/>
  <c r="BK298" i="5"/>
  <c r="BJ298" i="5"/>
  <c r="BI298" i="5"/>
  <c r="BH298" i="5"/>
  <c r="BG298" i="5"/>
  <c r="BF298" i="5"/>
  <c r="BE298" i="5"/>
  <c r="BD298" i="5"/>
  <c r="BC298" i="5"/>
  <c r="BB298" i="5"/>
  <c r="BA298" i="5"/>
  <c r="AZ298" i="5"/>
  <c r="AY298" i="5"/>
  <c r="AX298" i="5"/>
  <c r="AW298" i="5"/>
  <c r="AU298" i="5"/>
  <c r="AT298" i="5"/>
  <c r="AD298" i="5"/>
  <c r="Z298" i="5"/>
  <c r="BK297" i="5"/>
  <c r="BJ297" i="5"/>
  <c r="BI297" i="5"/>
  <c r="BH297" i="5"/>
  <c r="BG297" i="5"/>
  <c r="BF297" i="5"/>
  <c r="BE297" i="5"/>
  <c r="BD297" i="5"/>
  <c r="BC297" i="5"/>
  <c r="BB297" i="5"/>
  <c r="BA297" i="5"/>
  <c r="AZ297" i="5"/>
  <c r="AY297" i="5"/>
  <c r="AX297" i="5"/>
  <c r="AW297" i="5"/>
  <c r="AU297" i="5"/>
  <c r="AT297" i="5"/>
  <c r="AD297" i="5"/>
  <c r="Z297" i="5"/>
  <c r="BK296" i="5"/>
  <c r="BJ296" i="5"/>
  <c r="BI296" i="5"/>
  <c r="BH296" i="5"/>
  <c r="BG296" i="5"/>
  <c r="BF296" i="5"/>
  <c r="BE296" i="5"/>
  <c r="BD296" i="5"/>
  <c r="BC296" i="5"/>
  <c r="BB296" i="5"/>
  <c r="BA296" i="5"/>
  <c r="AZ296" i="5"/>
  <c r="AY296" i="5"/>
  <c r="AX296" i="5"/>
  <c r="AW296" i="5"/>
  <c r="AU296" i="5"/>
  <c r="AT296" i="5"/>
  <c r="AD296" i="5"/>
  <c r="Z296" i="5"/>
  <c r="BK295" i="5"/>
  <c r="BJ295" i="5"/>
  <c r="BI295" i="5"/>
  <c r="BH295" i="5"/>
  <c r="BG295" i="5"/>
  <c r="BF295" i="5"/>
  <c r="BE295" i="5"/>
  <c r="BD295" i="5"/>
  <c r="BC295" i="5"/>
  <c r="BB295" i="5"/>
  <c r="BA295" i="5"/>
  <c r="AZ295" i="5"/>
  <c r="AY295" i="5"/>
  <c r="AX295" i="5"/>
  <c r="AW295" i="5"/>
  <c r="AU295" i="5"/>
  <c r="AT295" i="5"/>
  <c r="AD295" i="5"/>
  <c r="Z295" i="5"/>
  <c r="BK294" i="5"/>
  <c r="BJ294" i="5"/>
  <c r="BI294" i="5"/>
  <c r="BH294" i="5"/>
  <c r="BG294" i="5"/>
  <c r="BF294" i="5"/>
  <c r="BE294" i="5"/>
  <c r="BD294" i="5"/>
  <c r="BC294" i="5"/>
  <c r="BB294" i="5"/>
  <c r="BA294" i="5"/>
  <c r="AZ294" i="5"/>
  <c r="AY294" i="5"/>
  <c r="AX294" i="5"/>
  <c r="AW294" i="5"/>
  <c r="AU294" i="5"/>
  <c r="AT294" i="5"/>
  <c r="AD294" i="5"/>
  <c r="Z294" i="5"/>
  <c r="BK293" i="5"/>
  <c r="BJ293" i="5"/>
  <c r="BI293" i="5"/>
  <c r="BH293" i="5"/>
  <c r="BG293" i="5"/>
  <c r="BF293" i="5"/>
  <c r="BE293" i="5"/>
  <c r="BD293" i="5"/>
  <c r="BC293" i="5"/>
  <c r="BB293" i="5"/>
  <c r="BA293" i="5"/>
  <c r="AZ293" i="5"/>
  <c r="AY293" i="5"/>
  <c r="AX293" i="5"/>
  <c r="AW293" i="5"/>
  <c r="AU293" i="5"/>
  <c r="AT293" i="5"/>
  <c r="AD293" i="5"/>
  <c r="Z293" i="5"/>
  <c r="BK292" i="5"/>
  <c r="BJ292" i="5"/>
  <c r="BI292" i="5"/>
  <c r="BH292" i="5"/>
  <c r="BG292" i="5"/>
  <c r="BF292" i="5"/>
  <c r="BE292" i="5"/>
  <c r="BD292" i="5"/>
  <c r="BC292" i="5"/>
  <c r="BB292" i="5"/>
  <c r="BA292" i="5"/>
  <c r="AZ292" i="5"/>
  <c r="AY292" i="5"/>
  <c r="AX292" i="5"/>
  <c r="AW292" i="5"/>
  <c r="AU292" i="5"/>
  <c r="AT292" i="5"/>
  <c r="AD292" i="5"/>
  <c r="Z292" i="5"/>
  <c r="BK291" i="5"/>
  <c r="BJ291" i="5"/>
  <c r="BI291" i="5"/>
  <c r="BH291" i="5"/>
  <c r="BG291" i="5"/>
  <c r="BF291" i="5"/>
  <c r="BE291" i="5"/>
  <c r="BD291" i="5"/>
  <c r="BC291" i="5"/>
  <c r="BB291" i="5"/>
  <c r="BA291" i="5"/>
  <c r="AZ291" i="5"/>
  <c r="AY291" i="5"/>
  <c r="AX291" i="5"/>
  <c r="AW291" i="5"/>
  <c r="AU291" i="5"/>
  <c r="AT291" i="5"/>
  <c r="AD291" i="5"/>
  <c r="Z291" i="5"/>
  <c r="BK290" i="5"/>
  <c r="BJ290" i="5"/>
  <c r="BI290" i="5"/>
  <c r="BH290" i="5"/>
  <c r="BG290" i="5"/>
  <c r="BF290" i="5"/>
  <c r="BE290" i="5"/>
  <c r="BD290" i="5"/>
  <c r="BC290" i="5"/>
  <c r="BB290" i="5"/>
  <c r="BA290" i="5"/>
  <c r="AZ290" i="5"/>
  <c r="AY290" i="5"/>
  <c r="AX290" i="5"/>
  <c r="AW290" i="5"/>
  <c r="AU290" i="5"/>
  <c r="AT290" i="5"/>
  <c r="AD290" i="5"/>
  <c r="Z290" i="5"/>
  <c r="BK289" i="5"/>
  <c r="BJ289" i="5"/>
  <c r="BI289" i="5"/>
  <c r="BH289" i="5"/>
  <c r="BG289" i="5"/>
  <c r="BF289" i="5"/>
  <c r="BE289" i="5"/>
  <c r="BD289" i="5"/>
  <c r="BC289" i="5"/>
  <c r="BB289" i="5"/>
  <c r="BA289" i="5"/>
  <c r="AZ289" i="5"/>
  <c r="AY289" i="5"/>
  <c r="AX289" i="5"/>
  <c r="AW289" i="5"/>
  <c r="AU289" i="5"/>
  <c r="AT289" i="5"/>
  <c r="AD289" i="5"/>
  <c r="Z289" i="5"/>
  <c r="BK288" i="5"/>
  <c r="BJ288" i="5"/>
  <c r="BI288" i="5"/>
  <c r="BH288" i="5"/>
  <c r="BG288" i="5"/>
  <c r="BF288" i="5"/>
  <c r="BE288" i="5"/>
  <c r="BD288" i="5"/>
  <c r="BC288" i="5"/>
  <c r="BB288" i="5"/>
  <c r="BA288" i="5"/>
  <c r="AZ288" i="5"/>
  <c r="AY288" i="5"/>
  <c r="AX288" i="5"/>
  <c r="AW288" i="5"/>
  <c r="AU288" i="5"/>
  <c r="AT288" i="5"/>
  <c r="AD288" i="5"/>
  <c r="Z288" i="5"/>
  <c r="BK287" i="5"/>
  <c r="BJ287" i="5"/>
  <c r="BI287" i="5"/>
  <c r="BH287" i="5"/>
  <c r="BG287" i="5"/>
  <c r="BF287" i="5"/>
  <c r="BE287" i="5"/>
  <c r="BD287" i="5"/>
  <c r="BC287" i="5"/>
  <c r="BB287" i="5"/>
  <c r="BA287" i="5"/>
  <c r="AZ287" i="5"/>
  <c r="AY287" i="5"/>
  <c r="AX287" i="5"/>
  <c r="AW287" i="5"/>
  <c r="AU287" i="5"/>
  <c r="AT287" i="5"/>
  <c r="AD287" i="5"/>
  <c r="Z287" i="5"/>
  <c r="BK286" i="5"/>
  <c r="BJ286" i="5"/>
  <c r="BI286" i="5"/>
  <c r="BH286" i="5"/>
  <c r="BG286" i="5"/>
  <c r="BF286" i="5"/>
  <c r="BE286" i="5"/>
  <c r="BD286" i="5"/>
  <c r="BC286" i="5"/>
  <c r="BB286" i="5"/>
  <c r="BA286" i="5"/>
  <c r="AZ286" i="5"/>
  <c r="AY286" i="5"/>
  <c r="AX286" i="5"/>
  <c r="AW286" i="5"/>
  <c r="AU286" i="5"/>
  <c r="AT286" i="5"/>
  <c r="AD286" i="5"/>
  <c r="Z286" i="5"/>
  <c r="BK285" i="5"/>
  <c r="BJ285" i="5"/>
  <c r="BI285" i="5"/>
  <c r="BH285" i="5"/>
  <c r="BG285" i="5"/>
  <c r="BF285" i="5"/>
  <c r="BE285" i="5"/>
  <c r="BD285" i="5"/>
  <c r="BC285" i="5"/>
  <c r="BB285" i="5"/>
  <c r="BA285" i="5"/>
  <c r="AZ285" i="5"/>
  <c r="AY285" i="5"/>
  <c r="AX285" i="5"/>
  <c r="AW285" i="5"/>
  <c r="AU285" i="5"/>
  <c r="AT285" i="5"/>
  <c r="AD285" i="5"/>
  <c r="Z285" i="5"/>
  <c r="BK284" i="5"/>
  <c r="BJ284" i="5"/>
  <c r="BI284" i="5"/>
  <c r="BH284" i="5"/>
  <c r="BG284" i="5"/>
  <c r="BF284" i="5"/>
  <c r="BE284" i="5"/>
  <c r="BD284" i="5"/>
  <c r="BC284" i="5"/>
  <c r="BB284" i="5"/>
  <c r="BA284" i="5"/>
  <c r="AZ284" i="5"/>
  <c r="AY284" i="5"/>
  <c r="AX284" i="5"/>
  <c r="AW284" i="5"/>
  <c r="AU284" i="5"/>
  <c r="AT284" i="5"/>
  <c r="AD284" i="5"/>
  <c r="Z284" i="5"/>
  <c r="BK283" i="5"/>
  <c r="BJ283" i="5"/>
  <c r="BI283" i="5"/>
  <c r="BH283" i="5"/>
  <c r="BG283" i="5"/>
  <c r="BF283" i="5"/>
  <c r="BE283" i="5"/>
  <c r="BD283" i="5"/>
  <c r="BC283" i="5"/>
  <c r="BB283" i="5"/>
  <c r="BA283" i="5"/>
  <c r="AZ283" i="5"/>
  <c r="AY283" i="5"/>
  <c r="AX283" i="5"/>
  <c r="AW283" i="5"/>
  <c r="AU283" i="5"/>
  <c r="AT283" i="5"/>
  <c r="AD283" i="5"/>
  <c r="Z283" i="5"/>
  <c r="BK282" i="5"/>
  <c r="BJ282" i="5"/>
  <c r="BI282" i="5"/>
  <c r="BH282" i="5"/>
  <c r="BG282" i="5"/>
  <c r="BF282" i="5"/>
  <c r="BE282" i="5"/>
  <c r="BD282" i="5"/>
  <c r="BC282" i="5"/>
  <c r="BB282" i="5"/>
  <c r="BA282" i="5"/>
  <c r="AZ282" i="5"/>
  <c r="AY282" i="5"/>
  <c r="AX282" i="5"/>
  <c r="AW282" i="5"/>
  <c r="AU282" i="5"/>
  <c r="AT282" i="5"/>
  <c r="AD282" i="5"/>
  <c r="Z282" i="5"/>
  <c r="BK281" i="5"/>
  <c r="BJ281" i="5"/>
  <c r="BI281" i="5"/>
  <c r="BH281" i="5"/>
  <c r="BG281" i="5"/>
  <c r="BF281" i="5"/>
  <c r="BE281" i="5"/>
  <c r="BD281" i="5"/>
  <c r="BC281" i="5"/>
  <c r="BB281" i="5"/>
  <c r="BA281" i="5"/>
  <c r="AZ281" i="5"/>
  <c r="AY281" i="5"/>
  <c r="AX281" i="5"/>
  <c r="AW281" i="5"/>
  <c r="AU281" i="5"/>
  <c r="AT281" i="5"/>
  <c r="AD281" i="5"/>
  <c r="Z281" i="5"/>
  <c r="BK280" i="5"/>
  <c r="BJ280" i="5"/>
  <c r="BI280" i="5"/>
  <c r="BH280" i="5"/>
  <c r="BG280" i="5"/>
  <c r="BF280" i="5"/>
  <c r="BE280" i="5"/>
  <c r="BD280" i="5"/>
  <c r="BC280" i="5"/>
  <c r="BB280" i="5"/>
  <c r="BA280" i="5"/>
  <c r="AZ280" i="5"/>
  <c r="AY280" i="5"/>
  <c r="AX280" i="5"/>
  <c r="AW280" i="5"/>
  <c r="AU280" i="5"/>
  <c r="AT280" i="5"/>
  <c r="AD280" i="5"/>
  <c r="Z280" i="5"/>
  <c r="BK279" i="5"/>
  <c r="BJ279" i="5"/>
  <c r="BI279" i="5"/>
  <c r="BH279" i="5"/>
  <c r="BG279" i="5"/>
  <c r="BF279" i="5"/>
  <c r="BE279" i="5"/>
  <c r="BD279" i="5"/>
  <c r="BC279" i="5"/>
  <c r="BB279" i="5"/>
  <c r="BA279" i="5"/>
  <c r="AZ279" i="5"/>
  <c r="AY279" i="5"/>
  <c r="AX279" i="5"/>
  <c r="AW279" i="5"/>
  <c r="AU279" i="5"/>
  <c r="AT279" i="5"/>
  <c r="AD279" i="5"/>
  <c r="Z279" i="5"/>
  <c r="BK278" i="5"/>
  <c r="BJ278" i="5"/>
  <c r="BI278" i="5"/>
  <c r="BH278" i="5"/>
  <c r="BG278" i="5"/>
  <c r="BF278" i="5"/>
  <c r="BE278" i="5"/>
  <c r="BD278" i="5"/>
  <c r="BC278" i="5"/>
  <c r="BB278" i="5"/>
  <c r="BA278" i="5"/>
  <c r="AZ278" i="5"/>
  <c r="AY278" i="5"/>
  <c r="AX278" i="5"/>
  <c r="AW278" i="5"/>
  <c r="AU278" i="5"/>
  <c r="AT278" i="5"/>
  <c r="AD278" i="5"/>
  <c r="Z278" i="5"/>
  <c r="BK277" i="5"/>
  <c r="BJ277" i="5"/>
  <c r="BI277" i="5"/>
  <c r="BH277" i="5"/>
  <c r="BG277" i="5"/>
  <c r="BF277" i="5"/>
  <c r="BE277" i="5"/>
  <c r="BD277" i="5"/>
  <c r="BC277" i="5"/>
  <c r="BB277" i="5"/>
  <c r="BA277" i="5"/>
  <c r="AZ277" i="5"/>
  <c r="AY277" i="5"/>
  <c r="AX277" i="5"/>
  <c r="AW277" i="5"/>
  <c r="AU277" i="5"/>
  <c r="AT277" i="5"/>
  <c r="AD277" i="5"/>
  <c r="Z277" i="5"/>
  <c r="BK276" i="5"/>
  <c r="BJ276" i="5"/>
  <c r="BI276" i="5"/>
  <c r="BH276" i="5"/>
  <c r="BG276" i="5"/>
  <c r="BF276" i="5"/>
  <c r="BE276" i="5"/>
  <c r="BD276" i="5"/>
  <c r="BC276" i="5"/>
  <c r="BB276" i="5"/>
  <c r="BA276" i="5"/>
  <c r="AZ276" i="5"/>
  <c r="AY276" i="5"/>
  <c r="AX276" i="5"/>
  <c r="AW276" i="5"/>
  <c r="AU276" i="5"/>
  <c r="AT276" i="5"/>
  <c r="AD276" i="5"/>
  <c r="Z276" i="5"/>
  <c r="BK275" i="5"/>
  <c r="BJ275" i="5"/>
  <c r="BI275" i="5"/>
  <c r="BH275" i="5"/>
  <c r="BG275" i="5"/>
  <c r="BF275" i="5"/>
  <c r="BE275" i="5"/>
  <c r="BD275" i="5"/>
  <c r="BC275" i="5"/>
  <c r="BB275" i="5"/>
  <c r="BA275" i="5"/>
  <c r="AZ275" i="5"/>
  <c r="AY275" i="5"/>
  <c r="AX275" i="5"/>
  <c r="AW275" i="5"/>
  <c r="AU275" i="5"/>
  <c r="AT275" i="5"/>
  <c r="AD275" i="5"/>
  <c r="Z275" i="5"/>
  <c r="BK274" i="5"/>
  <c r="BJ274" i="5"/>
  <c r="BI274" i="5"/>
  <c r="BH274" i="5"/>
  <c r="BG274" i="5"/>
  <c r="BF274" i="5"/>
  <c r="BE274" i="5"/>
  <c r="BD274" i="5"/>
  <c r="BC274" i="5"/>
  <c r="BB274" i="5"/>
  <c r="BA274" i="5"/>
  <c r="AZ274" i="5"/>
  <c r="AY274" i="5"/>
  <c r="AX274" i="5"/>
  <c r="AW274" i="5"/>
  <c r="AU274" i="5"/>
  <c r="AT274" i="5"/>
  <c r="AD274" i="5"/>
  <c r="Z274" i="5"/>
  <c r="BK273" i="5"/>
  <c r="BJ273" i="5"/>
  <c r="BI273" i="5"/>
  <c r="BH273" i="5"/>
  <c r="BG273" i="5"/>
  <c r="BF273" i="5"/>
  <c r="BE273" i="5"/>
  <c r="BD273" i="5"/>
  <c r="BC273" i="5"/>
  <c r="BB273" i="5"/>
  <c r="BA273" i="5"/>
  <c r="AZ273" i="5"/>
  <c r="AY273" i="5"/>
  <c r="AX273" i="5"/>
  <c r="AW273" i="5"/>
  <c r="AU273" i="5"/>
  <c r="AT273" i="5"/>
  <c r="AD273" i="5"/>
  <c r="Z273" i="5"/>
  <c r="BK272" i="5"/>
  <c r="BJ272" i="5"/>
  <c r="BI272" i="5"/>
  <c r="BH272" i="5"/>
  <c r="BG272" i="5"/>
  <c r="BF272" i="5"/>
  <c r="BE272" i="5"/>
  <c r="BD272" i="5"/>
  <c r="BC272" i="5"/>
  <c r="BB272" i="5"/>
  <c r="BA272" i="5"/>
  <c r="AZ272" i="5"/>
  <c r="AY272" i="5"/>
  <c r="AX272" i="5"/>
  <c r="AW272" i="5"/>
  <c r="AU272" i="5"/>
  <c r="AT272" i="5"/>
  <c r="AD272" i="5"/>
  <c r="Z272" i="5"/>
  <c r="BK271" i="5"/>
  <c r="BJ271" i="5"/>
  <c r="BI271" i="5"/>
  <c r="BH271" i="5"/>
  <c r="BG271" i="5"/>
  <c r="BF271" i="5"/>
  <c r="BE271" i="5"/>
  <c r="BD271" i="5"/>
  <c r="BC271" i="5"/>
  <c r="BB271" i="5"/>
  <c r="BA271" i="5"/>
  <c r="AZ271" i="5"/>
  <c r="AY271" i="5"/>
  <c r="AX271" i="5"/>
  <c r="AW271" i="5"/>
  <c r="AU271" i="5"/>
  <c r="AT271" i="5"/>
  <c r="AD271" i="5"/>
  <c r="Z271" i="5"/>
  <c r="BK270" i="5"/>
  <c r="BJ270" i="5"/>
  <c r="BI270" i="5"/>
  <c r="BH270" i="5"/>
  <c r="BG270" i="5"/>
  <c r="BF270" i="5"/>
  <c r="BE270" i="5"/>
  <c r="BD270" i="5"/>
  <c r="BC270" i="5"/>
  <c r="BB270" i="5"/>
  <c r="BA270" i="5"/>
  <c r="AZ270" i="5"/>
  <c r="AY270" i="5"/>
  <c r="AX270" i="5"/>
  <c r="AW270" i="5"/>
  <c r="AU270" i="5"/>
  <c r="AT270" i="5"/>
  <c r="AD270" i="5"/>
  <c r="Z270" i="5"/>
  <c r="BK269" i="5"/>
  <c r="BJ269" i="5"/>
  <c r="BI269" i="5"/>
  <c r="BH269" i="5"/>
  <c r="BG269" i="5"/>
  <c r="BF269" i="5"/>
  <c r="BE269" i="5"/>
  <c r="BD269" i="5"/>
  <c r="BC269" i="5"/>
  <c r="BB269" i="5"/>
  <c r="BA269" i="5"/>
  <c r="AZ269" i="5"/>
  <c r="AY269" i="5"/>
  <c r="AX269" i="5"/>
  <c r="AW269" i="5"/>
  <c r="AU269" i="5"/>
  <c r="AT269" i="5"/>
  <c r="AD269" i="5"/>
  <c r="Z269" i="5"/>
  <c r="BK268" i="5"/>
  <c r="BJ268" i="5"/>
  <c r="BI268" i="5"/>
  <c r="BH268" i="5"/>
  <c r="BG268" i="5"/>
  <c r="BF268" i="5"/>
  <c r="BE268" i="5"/>
  <c r="BD268" i="5"/>
  <c r="BC268" i="5"/>
  <c r="BB268" i="5"/>
  <c r="BA268" i="5"/>
  <c r="AZ268" i="5"/>
  <c r="AY268" i="5"/>
  <c r="AX268" i="5"/>
  <c r="AW268" i="5"/>
  <c r="AU268" i="5"/>
  <c r="AT268" i="5"/>
  <c r="AD268" i="5"/>
  <c r="Z268" i="5"/>
  <c r="BK267" i="5"/>
  <c r="BJ267" i="5"/>
  <c r="BI267" i="5"/>
  <c r="BH267" i="5"/>
  <c r="BG267" i="5"/>
  <c r="BF267" i="5"/>
  <c r="BE267" i="5"/>
  <c r="BD267" i="5"/>
  <c r="BC267" i="5"/>
  <c r="BB267" i="5"/>
  <c r="BA267" i="5"/>
  <c r="AZ267" i="5"/>
  <c r="AY267" i="5"/>
  <c r="AX267" i="5"/>
  <c r="AW267" i="5"/>
  <c r="AU267" i="5"/>
  <c r="AT267" i="5"/>
  <c r="AD267" i="5"/>
  <c r="Z267" i="5"/>
  <c r="BK266" i="5"/>
  <c r="BJ266" i="5"/>
  <c r="BI266" i="5"/>
  <c r="BH266" i="5"/>
  <c r="BG266" i="5"/>
  <c r="BF266" i="5"/>
  <c r="BE266" i="5"/>
  <c r="BD266" i="5"/>
  <c r="BC266" i="5"/>
  <c r="BB266" i="5"/>
  <c r="BA266" i="5"/>
  <c r="AZ266" i="5"/>
  <c r="AY266" i="5"/>
  <c r="AX266" i="5"/>
  <c r="AW266" i="5"/>
  <c r="AU266" i="5"/>
  <c r="AT266" i="5"/>
  <c r="AD266" i="5"/>
  <c r="Z266" i="5"/>
  <c r="BK265" i="5"/>
  <c r="BJ265" i="5"/>
  <c r="BI265" i="5"/>
  <c r="BH265" i="5"/>
  <c r="BG265" i="5"/>
  <c r="BF265" i="5"/>
  <c r="BE265" i="5"/>
  <c r="BD265" i="5"/>
  <c r="BC265" i="5"/>
  <c r="BB265" i="5"/>
  <c r="BA265" i="5"/>
  <c r="AZ265" i="5"/>
  <c r="AY265" i="5"/>
  <c r="AX265" i="5"/>
  <c r="AW265" i="5"/>
  <c r="AU265" i="5"/>
  <c r="AT265" i="5"/>
  <c r="AD265" i="5"/>
  <c r="Z265" i="5"/>
  <c r="BK264" i="5"/>
  <c r="BJ264" i="5"/>
  <c r="BI264" i="5"/>
  <c r="BH264" i="5"/>
  <c r="BG264" i="5"/>
  <c r="BF264" i="5"/>
  <c r="BE264" i="5"/>
  <c r="BD264" i="5"/>
  <c r="BC264" i="5"/>
  <c r="BB264" i="5"/>
  <c r="BA264" i="5"/>
  <c r="AZ264" i="5"/>
  <c r="AY264" i="5"/>
  <c r="AX264" i="5"/>
  <c r="AW264" i="5"/>
  <c r="AU264" i="5"/>
  <c r="AT264" i="5"/>
  <c r="AD264" i="5"/>
  <c r="Z264" i="5"/>
  <c r="BK263" i="5"/>
  <c r="BJ263" i="5"/>
  <c r="BI263" i="5"/>
  <c r="BH263" i="5"/>
  <c r="BG263" i="5"/>
  <c r="BF263" i="5"/>
  <c r="BE263" i="5"/>
  <c r="BD263" i="5"/>
  <c r="BC263" i="5"/>
  <c r="BB263" i="5"/>
  <c r="BA263" i="5"/>
  <c r="AZ263" i="5"/>
  <c r="AY263" i="5"/>
  <c r="AX263" i="5"/>
  <c r="AW263" i="5"/>
  <c r="AU263" i="5"/>
  <c r="AT263" i="5"/>
  <c r="AD263" i="5"/>
  <c r="Z263" i="5"/>
  <c r="BD262" i="5"/>
  <c r="BC262" i="5"/>
  <c r="BB262" i="5"/>
  <c r="BA262" i="5"/>
  <c r="AZ262" i="5"/>
  <c r="AY262" i="5"/>
  <c r="AX262" i="5"/>
  <c r="AW262" i="5"/>
  <c r="AU262" i="5"/>
  <c r="AT262" i="5"/>
  <c r="AD262" i="5"/>
  <c r="Z262" i="5"/>
  <c r="BD261" i="5"/>
  <c r="BC261" i="5"/>
  <c r="BB261" i="5"/>
  <c r="BA261" i="5"/>
  <c r="AZ261" i="5"/>
  <c r="AY261" i="5"/>
  <c r="AX261" i="5"/>
  <c r="AW261" i="5"/>
  <c r="AU261" i="5"/>
  <c r="AT261" i="5"/>
  <c r="AD261" i="5"/>
  <c r="Z261" i="5"/>
  <c r="BD260" i="5"/>
  <c r="BC260" i="5"/>
  <c r="BB260" i="5"/>
  <c r="BA260" i="5"/>
  <c r="AZ260" i="5"/>
  <c r="AY260" i="5"/>
  <c r="AX260" i="5"/>
  <c r="AW260" i="5"/>
  <c r="AU260" i="5"/>
  <c r="AT260" i="5"/>
  <c r="AD260" i="5"/>
  <c r="Z260" i="5"/>
  <c r="BD259" i="5"/>
  <c r="BC259" i="5"/>
  <c r="BB259" i="5"/>
  <c r="BA259" i="5"/>
  <c r="AZ259" i="5"/>
  <c r="AY259" i="5"/>
  <c r="AX259" i="5"/>
  <c r="AW259" i="5"/>
  <c r="AU259" i="5"/>
  <c r="AT259" i="5"/>
  <c r="AD259" i="5"/>
  <c r="Z259" i="5"/>
  <c r="BD258" i="5"/>
  <c r="BC258" i="5"/>
  <c r="BB258" i="5"/>
  <c r="BA258" i="5"/>
  <c r="AZ258" i="5"/>
  <c r="AY258" i="5"/>
  <c r="AX258" i="5"/>
  <c r="AW258" i="5"/>
  <c r="AU258" i="5"/>
  <c r="AT258" i="5"/>
  <c r="AD258" i="5"/>
  <c r="Z258" i="5"/>
  <c r="BD257" i="5"/>
  <c r="BC257" i="5"/>
  <c r="BB257" i="5"/>
  <c r="BA257" i="5"/>
  <c r="AZ257" i="5"/>
  <c r="AY257" i="5"/>
  <c r="AX257" i="5"/>
  <c r="AW257" i="5"/>
  <c r="AU257" i="5"/>
  <c r="AT257" i="5"/>
  <c r="AD257" i="5"/>
  <c r="Z257" i="5"/>
  <c r="BK256" i="5"/>
  <c r="BJ256" i="5"/>
  <c r="BI256" i="5"/>
  <c r="BH256" i="5"/>
  <c r="BG256" i="5"/>
  <c r="BF256" i="5"/>
  <c r="BE256" i="5"/>
  <c r="BD256" i="5"/>
  <c r="BC256" i="5"/>
  <c r="BB256" i="5"/>
  <c r="BA256" i="5"/>
  <c r="AZ256" i="5"/>
  <c r="AY256" i="5"/>
  <c r="AX256" i="5"/>
  <c r="AW256" i="5"/>
  <c r="AU256" i="5"/>
  <c r="AT256" i="5"/>
  <c r="AD256" i="5"/>
  <c r="Z256" i="5"/>
  <c r="BK255" i="5"/>
  <c r="BJ255" i="5"/>
  <c r="BI255" i="5"/>
  <c r="BH255" i="5"/>
  <c r="BG255" i="5"/>
  <c r="BF255" i="5"/>
  <c r="BE255" i="5"/>
  <c r="BD255" i="5"/>
  <c r="BC255" i="5"/>
  <c r="BB255" i="5"/>
  <c r="BA255" i="5"/>
  <c r="AZ255" i="5"/>
  <c r="AY255" i="5"/>
  <c r="AX255" i="5"/>
  <c r="AW255" i="5"/>
  <c r="AU255" i="5"/>
  <c r="AT255" i="5"/>
  <c r="AD255" i="5"/>
  <c r="Z255" i="5"/>
  <c r="BK254" i="5"/>
  <c r="BJ254" i="5"/>
  <c r="BI254" i="5"/>
  <c r="BH254" i="5"/>
  <c r="BG254" i="5"/>
  <c r="BF254" i="5"/>
  <c r="BE254" i="5"/>
  <c r="BD254" i="5"/>
  <c r="BC254" i="5"/>
  <c r="BB254" i="5"/>
  <c r="BA254" i="5"/>
  <c r="AZ254" i="5"/>
  <c r="AY254" i="5"/>
  <c r="AX254" i="5"/>
  <c r="AW254" i="5"/>
  <c r="AU254" i="5"/>
  <c r="AT254" i="5"/>
  <c r="AD254" i="5"/>
  <c r="Z254" i="5"/>
  <c r="BK253" i="5"/>
  <c r="BJ253" i="5"/>
  <c r="BI253" i="5"/>
  <c r="BH253" i="5"/>
  <c r="BG253" i="5"/>
  <c r="BF253" i="5"/>
  <c r="BE253" i="5"/>
  <c r="BD253" i="5"/>
  <c r="BC253" i="5"/>
  <c r="BB253" i="5"/>
  <c r="BA253" i="5"/>
  <c r="AZ253" i="5"/>
  <c r="AY253" i="5"/>
  <c r="AX253" i="5"/>
  <c r="AW253" i="5"/>
  <c r="AU253" i="5"/>
  <c r="AT253" i="5"/>
  <c r="AD253" i="5"/>
  <c r="Z253" i="5"/>
  <c r="BD252" i="5"/>
  <c r="BC252" i="5"/>
  <c r="BB252" i="5"/>
  <c r="BA252" i="5"/>
  <c r="AZ252" i="5"/>
  <c r="AY252" i="5"/>
  <c r="AX252" i="5"/>
  <c r="AW252" i="5"/>
  <c r="AU252" i="5"/>
  <c r="AT252" i="5"/>
  <c r="AD252" i="5"/>
  <c r="Z252" i="5"/>
  <c r="BD251" i="5"/>
  <c r="BC251" i="5"/>
  <c r="BB251" i="5"/>
  <c r="BA251" i="5"/>
  <c r="AZ251" i="5"/>
  <c r="AY251" i="5"/>
  <c r="AX251" i="5"/>
  <c r="AW251" i="5"/>
  <c r="AU251" i="5"/>
  <c r="AT251" i="5"/>
  <c r="AD251" i="5"/>
  <c r="Z251" i="5"/>
  <c r="BD250" i="5"/>
  <c r="BC250" i="5"/>
  <c r="BB250" i="5"/>
  <c r="BA250" i="5"/>
  <c r="AZ250" i="5"/>
  <c r="AY250" i="5"/>
  <c r="AX250" i="5"/>
  <c r="AW250" i="5"/>
  <c r="AU250" i="5"/>
  <c r="AT250" i="5"/>
  <c r="AD250" i="5"/>
  <c r="Z250" i="5"/>
  <c r="BD249" i="5"/>
  <c r="BC249" i="5"/>
  <c r="BB249" i="5"/>
  <c r="BA249" i="5"/>
  <c r="AZ249" i="5"/>
  <c r="AY249" i="5"/>
  <c r="AX249" i="5"/>
  <c r="AW249" i="5"/>
  <c r="AU249" i="5"/>
  <c r="AT249" i="5"/>
  <c r="AD249" i="5"/>
  <c r="Z249" i="5"/>
  <c r="BD248" i="5"/>
  <c r="BC248" i="5"/>
  <c r="BB248" i="5"/>
  <c r="BA248" i="5"/>
  <c r="AZ248" i="5"/>
  <c r="AY248" i="5"/>
  <c r="AX248" i="5"/>
  <c r="AW248" i="5"/>
  <c r="AU248" i="5"/>
  <c r="AT248" i="5"/>
  <c r="AD248" i="5"/>
  <c r="Z248" i="5"/>
  <c r="BK247" i="5"/>
  <c r="BJ247" i="5"/>
  <c r="BI247" i="5"/>
  <c r="BH247" i="5"/>
  <c r="BG247" i="5"/>
  <c r="BF247" i="5"/>
  <c r="BE247" i="5"/>
  <c r="BD247" i="5"/>
  <c r="BC247" i="5"/>
  <c r="BB247" i="5"/>
  <c r="BA247" i="5"/>
  <c r="AZ247" i="5"/>
  <c r="AY247" i="5"/>
  <c r="AX247" i="5"/>
  <c r="AW247" i="5"/>
  <c r="AU247" i="5"/>
  <c r="AT247" i="5"/>
  <c r="AD247" i="5"/>
  <c r="Z247" i="5"/>
  <c r="BK246" i="5"/>
  <c r="BJ246" i="5"/>
  <c r="BI246" i="5"/>
  <c r="BH246" i="5"/>
  <c r="BG246" i="5"/>
  <c r="BF246" i="5"/>
  <c r="BE246" i="5"/>
  <c r="BD246" i="5"/>
  <c r="BC246" i="5"/>
  <c r="BB246" i="5"/>
  <c r="BA246" i="5"/>
  <c r="AZ246" i="5"/>
  <c r="AY246" i="5"/>
  <c r="AX246" i="5"/>
  <c r="AW246" i="5"/>
  <c r="AU246" i="5"/>
  <c r="AT246" i="5"/>
  <c r="AD246" i="5"/>
  <c r="Z246" i="5"/>
  <c r="BK245" i="5"/>
  <c r="BJ245" i="5"/>
  <c r="BI245" i="5"/>
  <c r="BH245" i="5"/>
  <c r="BG245" i="5"/>
  <c r="BF245" i="5"/>
  <c r="BE245" i="5"/>
  <c r="BD245" i="5"/>
  <c r="BC245" i="5"/>
  <c r="BB245" i="5"/>
  <c r="BA245" i="5"/>
  <c r="AZ245" i="5"/>
  <c r="AY245" i="5"/>
  <c r="AX245" i="5"/>
  <c r="AW245" i="5"/>
  <c r="AU245" i="5"/>
  <c r="AT245" i="5"/>
  <c r="AD245" i="5"/>
  <c r="Z245" i="5"/>
  <c r="BK244" i="5"/>
  <c r="BJ244" i="5"/>
  <c r="BI244" i="5"/>
  <c r="BH244" i="5"/>
  <c r="BG244" i="5"/>
  <c r="BF244" i="5"/>
  <c r="BE244" i="5"/>
  <c r="BD244" i="5"/>
  <c r="BC244" i="5"/>
  <c r="BB244" i="5"/>
  <c r="BA244" i="5"/>
  <c r="AZ244" i="5"/>
  <c r="AY244" i="5"/>
  <c r="AX244" i="5"/>
  <c r="AW244" i="5"/>
  <c r="AU244" i="5"/>
  <c r="AT244" i="5"/>
  <c r="AD244" i="5"/>
  <c r="Z244" i="5"/>
  <c r="BK243" i="5"/>
  <c r="BJ243" i="5"/>
  <c r="BI243" i="5"/>
  <c r="BH243" i="5"/>
  <c r="BG243" i="5"/>
  <c r="BF243" i="5"/>
  <c r="BE243" i="5"/>
  <c r="BD243" i="5"/>
  <c r="BC243" i="5"/>
  <c r="BB243" i="5"/>
  <c r="BA243" i="5"/>
  <c r="AZ243" i="5"/>
  <c r="AY243" i="5"/>
  <c r="AX243" i="5"/>
  <c r="AW243" i="5"/>
  <c r="AU243" i="5"/>
  <c r="AT243" i="5"/>
  <c r="AD243" i="5"/>
  <c r="Z243" i="5"/>
  <c r="BK242" i="5"/>
  <c r="BJ242" i="5"/>
  <c r="BI242" i="5"/>
  <c r="BH242" i="5"/>
  <c r="BG242" i="5"/>
  <c r="BF242" i="5"/>
  <c r="BE242" i="5"/>
  <c r="BD242" i="5"/>
  <c r="BC242" i="5"/>
  <c r="BB242" i="5"/>
  <c r="BA242" i="5"/>
  <c r="AZ242" i="5"/>
  <c r="AY242" i="5"/>
  <c r="AX242" i="5"/>
  <c r="AW242" i="5"/>
  <c r="AU242" i="5"/>
  <c r="AT242" i="5"/>
  <c r="AD242" i="5"/>
  <c r="Z242" i="5"/>
  <c r="BK241" i="5"/>
  <c r="BJ241" i="5"/>
  <c r="BI241" i="5"/>
  <c r="BH241" i="5"/>
  <c r="BG241" i="5"/>
  <c r="BF241" i="5"/>
  <c r="BE241" i="5"/>
  <c r="BD241" i="5"/>
  <c r="BC241" i="5"/>
  <c r="BB241" i="5"/>
  <c r="BA241" i="5"/>
  <c r="AZ241" i="5"/>
  <c r="AY241" i="5"/>
  <c r="AX241" i="5"/>
  <c r="AW241" i="5"/>
  <c r="AU241" i="5"/>
  <c r="AT241" i="5"/>
  <c r="AD241" i="5"/>
  <c r="Z241" i="5"/>
  <c r="BD240" i="5"/>
  <c r="BC240" i="5"/>
  <c r="BB240" i="5"/>
  <c r="BA240" i="5"/>
  <c r="AZ240" i="5"/>
  <c r="AY240" i="5"/>
  <c r="AX240" i="5"/>
  <c r="AW240" i="5"/>
  <c r="AU240" i="5"/>
  <c r="AT240" i="5"/>
  <c r="AD240" i="5"/>
  <c r="Z240" i="5"/>
  <c r="BD239" i="5"/>
  <c r="BC239" i="5"/>
  <c r="BB239" i="5"/>
  <c r="BA239" i="5"/>
  <c r="AZ239" i="5"/>
  <c r="AY239" i="5"/>
  <c r="AX239" i="5"/>
  <c r="AW239" i="5"/>
  <c r="AU239" i="5"/>
  <c r="AT239" i="5"/>
  <c r="AD239" i="5"/>
  <c r="Z239" i="5"/>
  <c r="BD238" i="5"/>
  <c r="BC238" i="5"/>
  <c r="BB238" i="5"/>
  <c r="BA238" i="5"/>
  <c r="AZ238" i="5"/>
  <c r="AY238" i="5"/>
  <c r="AX238" i="5"/>
  <c r="AW238" i="5"/>
  <c r="AU238" i="5"/>
  <c r="AT238" i="5"/>
  <c r="AD238" i="5"/>
  <c r="Z238" i="5"/>
  <c r="BK237" i="5"/>
  <c r="BJ237" i="5"/>
  <c r="BI237" i="5"/>
  <c r="BH237" i="5"/>
  <c r="BG237" i="5"/>
  <c r="BF237" i="5"/>
  <c r="BE237" i="5"/>
  <c r="BD237" i="5"/>
  <c r="BC237" i="5"/>
  <c r="BB237" i="5"/>
  <c r="BA237" i="5"/>
  <c r="AZ237" i="5"/>
  <c r="AY237" i="5"/>
  <c r="AX237" i="5"/>
  <c r="AW237" i="5"/>
  <c r="AU237" i="5"/>
  <c r="AT237" i="5"/>
  <c r="AD237" i="5"/>
  <c r="Z237" i="5"/>
  <c r="BK236" i="5"/>
  <c r="BJ236" i="5"/>
  <c r="BI236" i="5"/>
  <c r="BH236" i="5"/>
  <c r="BG236" i="5"/>
  <c r="BF236" i="5"/>
  <c r="BE236" i="5"/>
  <c r="BD236" i="5"/>
  <c r="BC236" i="5"/>
  <c r="BB236" i="5"/>
  <c r="BA236" i="5"/>
  <c r="AZ236" i="5"/>
  <c r="AY236" i="5"/>
  <c r="AX236" i="5"/>
  <c r="AW236" i="5"/>
  <c r="AU236" i="5"/>
  <c r="AT236" i="5"/>
  <c r="AD236" i="5"/>
  <c r="Z236" i="5"/>
  <c r="BK235" i="5"/>
  <c r="BJ235" i="5"/>
  <c r="BI235" i="5"/>
  <c r="BH235" i="5"/>
  <c r="BG235" i="5"/>
  <c r="BF235" i="5"/>
  <c r="BE235" i="5"/>
  <c r="BD235" i="5"/>
  <c r="BC235" i="5"/>
  <c r="BB235" i="5"/>
  <c r="BA235" i="5"/>
  <c r="AZ235" i="5"/>
  <c r="AY235" i="5"/>
  <c r="AX235" i="5"/>
  <c r="AW235" i="5"/>
  <c r="AU235" i="5"/>
  <c r="AT235" i="5"/>
  <c r="AD235" i="5"/>
  <c r="Z235" i="5"/>
  <c r="BK234" i="5"/>
  <c r="BJ234" i="5"/>
  <c r="BI234" i="5"/>
  <c r="BH234" i="5"/>
  <c r="BG234" i="5"/>
  <c r="BF234" i="5"/>
  <c r="BE234" i="5"/>
  <c r="BD234" i="5"/>
  <c r="BC234" i="5"/>
  <c r="BB234" i="5"/>
  <c r="BA234" i="5"/>
  <c r="AZ234" i="5"/>
  <c r="AY234" i="5"/>
  <c r="AX234" i="5"/>
  <c r="AW234" i="5"/>
  <c r="AU234" i="5"/>
  <c r="AT234" i="5"/>
  <c r="AD234" i="5"/>
  <c r="Z234" i="5"/>
  <c r="BK233" i="5"/>
  <c r="BJ233" i="5"/>
  <c r="BI233" i="5"/>
  <c r="BH233" i="5"/>
  <c r="BG233" i="5"/>
  <c r="BF233" i="5"/>
  <c r="BE233" i="5"/>
  <c r="BD233" i="5"/>
  <c r="BC233" i="5"/>
  <c r="BB233" i="5"/>
  <c r="BA233" i="5"/>
  <c r="AZ233" i="5"/>
  <c r="AY233" i="5"/>
  <c r="AX233" i="5"/>
  <c r="AW233" i="5"/>
  <c r="AU233" i="5"/>
  <c r="AT233" i="5"/>
  <c r="AD233" i="5"/>
  <c r="Z233" i="5"/>
  <c r="BK232" i="5"/>
  <c r="BJ232" i="5"/>
  <c r="BI232" i="5"/>
  <c r="BH232" i="5"/>
  <c r="BG232" i="5"/>
  <c r="BF232" i="5"/>
  <c r="BE232" i="5"/>
  <c r="BD232" i="5"/>
  <c r="BC232" i="5"/>
  <c r="BB232" i="5"/>
  <c r="BA232" i="5"/>
  <c r="AZ232" i="5"/>
  <c r="AY232" i="5"/>
  <c r="AX232" i="5"/>
  <c r="AW232" i="5"/>
  <c r="AU232" i="5"/>
  <c r="AT232" i="5"/>
  <c r="AD232" i="5"/>
  <c r="Z232" i="5"/>
  <c r="BK231" i="5"/>
  <c r="BJ231" i="5"/>
  <c r="BI231" i="5"/>
  <c r="BH231" i="5"/>
  <c r="BG231" i="5"/>
  <c r="BF231" i="5"/>
  <c r="BE231" i="5"/>
  <c r="BD231" i="5"/>
  <c r="BC231" i="5"/>
  <c r="BB231" i="5"/>
  <c r="BA231" i="5"/>
  <c r="AZ231" i="5"/>
  <c r="AY231" i="5"/>
  <c r="AX231" i="5"/>
  <c r="AW231" i="5"/>
  <c r="AU231" i="5"/>
  <c r="AT231" i="5"/>
  <c r="AD231" i="5"/>
  <c r="Z231" i="5"/>
  <c r="BK230" i="5"/>
  <c r="BJ230" i="5"/>
  <c r="BI230" i="5"/>
  <c r="BH230" i="5"/>
  <c r="BG230" i="5"/>
  <c r="BF230" i="5"/>
  <c r="BE230" i="5"/>
  <c r="BD230" i="5"/>
  <c r="BC230" i="5"/>
  <c r="BB230" i="5"/>
  <c r="BA230" i="5"/>
  <c r="AZ230" i="5"/>
  <c r="AY230" i="5"/>
  <c r="AX230" i="5"/>
  <c r="AW230" i="5"/>
  <c r="AU230" i="5"/>
  <c r="AT230" i="5"/>
  <c r="AD230" i="5"/>
  <c r="Z230" i="5"/>
  <c r="BK229" i="5"/>
  <c r="BJ229" i="5"/>
  <c r="BI229" i="5"/>
  <c r="BH229" i="5"/>
  <c r="BG229" i="5"/>
  <c r="BF229" i="5"/>
  <c r="BE229" i="5"/>
  <c r="BD229" i="5"/>
  <c r="BC229" i="5"/>
  <c r="BB229" i="5"/>
  <c r="BA229" i="5"/>
  <c r="AZ229" i="5"/>
  <c r="AY229" i="5"/>
  <c r="AX229" i="5"/>
  <c r="AW229" i="5"/>
  <c r="AU229" i="5"/>
  <c r="AT229" i="5"/>
  <c r="AD229" i="5"/>
  <c r="Z229" i="5"/>
  <c r="BK228" i="5"/>
  <c r="BJ228" i="5"/>
  <c r="BI228" i="5"/>
  <c r="BH228" i="5"/>
  <c r="BG228" i="5"/>
  <c r="BF228" i="5"/>
  <c r="BE228" i="5"/>
  <c r="BD228" i="5"/>
  <c r="BC228" i="5"/>
  <c r="BB228" i="5"/>
  <c r="BA228" i="5"/>
  <c r="AZ228" i="5"/>
  <c r="AY228" i="5"/>
  <c r="AX228" i="5"/>
  <c r="AW228" i="5"/>
  <c r="AU228" i="5"/>
  <c r="AT228" i="5"/>
  <c r="AD228" i="5"/>
  <c r="Z228" i="5"/>
  <c r="BK227" i="5"/>
  <c r="BJ227" i="5"/>
  <c r="BI227" i="5"/>
  <c r="BH227" i="5"/>
  <c r="BG227" i="5"/>
  <c r="BF227" i="5"/>
  <c r="BE227" i="5"/>
  <c r="BD227" i="5"/>
  <c r="BC227" i="5"/>
  <c r="BB227" i="5"/>
  <c r="BA227" i="5"/>
  <c r="AZ227" i="5"/>
  <c r="AY227" i="5"/>
  <c r="AX227" i="5"/>
  <c r="AW227" i="5"/>
  <c r="AU227" i="5"/>
  <c r="AT227" i="5"/>
  <c r="AD227" i="5"/>
  <c r="Z227" i="5"/>
  <c r="BK226" i="5"/>
  <c r="BJ226" i="5"/>
  <c r="BI226" i="5"/>
  <c r="BH226" i="5"/>
  <c r="BG226" i="5"/>
  <c r="BF226" i="5"/>
  <c r="BE226" i="5"/>
  <c r="BD226" i="5"/>
  <c r="BC226" i="5"/>
  <c r="BB226" i="5"/>
  <c r="BA226" i="5"/>
  <c r="AZ226" i="5"/>
  <c r="AY226" i="5"/>
  <c r="AX226" i="5"/>
  <c r="AW226" i="5"/>
  <c r="AU226" i="5"/>
  <c r="AT226" i="5"/>
  <c r="AD226" i="5"/>
  <c r="Z226" i="5"/>
  <c r="BK225" i="5"/>
  <c r="BJ225" i="5"/>
  <c r="BI225" i="5"/>
  <c r="BH225" i="5"/>
  <c r="BG225" i="5"/>
  <c r="BF225" i="5"/>
  <c r="BE225" i="5"/>
  <c r="BD225" i="5"/>
  <c r="BC225" i="5"/>
  <c r="BB225" i="5"/>
  <c r="BA225" i="5"/>
  <c r="AZ225" i="5"/>
  <c r="AY225" i="5"/>
  <c r="AX225" i="5"/>
  <c r="AW225" i="5"/>
  <c r="AU225" i="5"/>
  <c r="AT225" i="5"/>
  <c r="AD225" i="5"/>
  <c r="Z225" i="5"/>
  <c r="BK224" i="5"/>
  <c r="BJ224" i="5"/>
  <c r="BI224" i="5"/>
  <c r="BH224" i="5"/>
  <c r="BG224" i="5"/>
  <c r="BF224" i="5"/>
  <c r="BE224" i="5"/>
  <c r="BD224" i="5"/>
  <c r="BC224" i="5"/>
  <c r="BB224" i="5"/>
  <c r="BA224" i="5"/>
  <c r="AZ224" i="5"/>
  <c r="AY224" i="5"/>
  <c r="AX224" i="5"/>
  <c r="AW224" i="5"/>
  <c r="AU224" i="5"/>
  <c r="AT224" i="5"/>
  <c r="AD224" i="5"/>
  <c r="Z224" i="5"/>
  <c r="BK223" i="5"/>
  <c r="BJ223" i="5"/>
  <c r="BI223" i="5"/>
  <c r="BH223" i="5"/>
  <c r="BG223" i="5"/>
  <c r="BF223" i="5"/>
  <c r="BE223" i="5"/>
  <c r="BD223" i="5"/>
  <c r="BC223" i="5"/>
  <c r="BB223" i="5"/>
  <c r="BA223" i="5"/>
  <c r="AZ223" i="5"/>
  <c r="AY223" i="5"/>
  <c r="AX223" i="5"/>
  <c r="AW223" i="5"/>
  <c r="AU223" i="5"/>
  <c r="AT223" i="5"/>
  <c r="AD223" i="5"/>
  <c r="Z223" i="5"/>
  <c r="BK222" i="5"/>
  <c r="BJ222" i="5"/>
  <c r="BI222" i="5"/>
  <c r="BH222" i="5"/>
  <c r="BG222" i="5"/>
  <c r="BF222" i="5"/>
  <c r="BE222" i="5"/>
  <c r="BD222" i="5"/>
  <c r="BC222" i="5"/>
  <c r="BB222" i="5"/>
  <c r="BA222" i="5"/>
  <c r="AZ222" i="5"/>
  <c r="AY222" i="5"/>
  <c r="AX222" i="5"/>
  <c r="AW222" i="5"/>
  <c r="AU222" i="5"/>
  <c r="AT222" i="5"/>
  <c r="AD222" i="5"/>
  <c r="Z222" i="5"/>
  <c r="BK221" i="5"/>
  <c r="BJ221" i="5"/>
  <c r="BI221" i="5"/>
  <c r="BH221" i="5"/>
  <c r="BG221" i="5"/>
  <c r="BF221" i="5"/>
  <c r="BE221" i="5"/>
  <c r="BD221" i="5"/>
  <c r="BC221" i="5"/>
  <c r="BB221" i="5"/>
  <c r="BA221" i="5"/>
  <c r="AZ221" i="5"/>
  <c r="AY221" i="5"/>
  <c r="AX221" i="5"/>
  <c r="AW221" i="5"/>
  <c r="AU221" i="5"/>
  <c r="AT221" i="5"/>
  <c r="AD221" i="5"/>
  <c r="Z221" i="5"/>
  <c r="BK220" i="5"/>
  <c r="BJ220" i="5"/>
  <c r="BI220" i="5"/>
  <c r="BH220" i="5"/>
  <c r="BG220" i="5"/>
  <c r="BF220" i="5"/>
  <c r="BE220" i="5"/>
  <c r="BD220" i="5"/>
  <c r="BC220" i="5"/>
  <c r="BB220" i="5"/>
  <c r="BA220" i="5"/>
  <c r="AZ220" i="5"/>
  <c r="AY220" i="5"/>
  <c r="AX220" i="5"/>
  <c r="AW220" i="5"/>
  <c r="AU220" i="5"/>
  <c r="AT220" i="5"/>
  <c r="AD220" i="5"/>
  <c r="Z220" i="5"/>
  <c r="BK219" i="5"/>
  <c r="BJ219" i="5"/>
  <c r="BI219" i="5"/>
  <c r="BH219" i="5"/>
  <c r="BG219" i="5"/>
  <c r="BF219" i="5"/>
  <c r="BE219" i="5"/>
  <c r="BD219" i="5"/>
  <c r="BC219" i="5"/>
  <c r="BB219" i="5"/>
  <c r="BA219" i="5"/>
  <c r="AZ219" i="5"/>
  <c r="AY219" i="5"/>
  <c r="AX219" i="5"/>
  <c r="AW219" i="5"/>
  <c r="AU219" i="5"/>
  <c r="AT219" i="5"/>
  <c r="AD219" i="5"/>
  <c r="Z219" i="5"/>
  <c r="BK218" i="5"/>
  <c r="BJ218" i="5"/>
  <c r="BI218" i="5"/>
  <c r="BH218" i="5"/>
  <c r="BG218" i="5"/>
  <c r="BF218" i="5"/>
  <c r="BE218" i="5"/>
  <c r="BD218" i="5"/>
  <c r="BC218" i="5"/>
  <c r="BB218" i="5"/>
  <c r="BA218" i="5"/>
  <c r="AZ218" i="5"/>
  <c r="AY218" i="5"/>
  <c r="AX218" i="5"/>
  <c r="AW218" i="5"/>
  <c r="AU218" i="5"/>
  <c r="AT218" i="5"/>
  <c r="AD218" i="5"/>
  <c r="Z218" i="5"/>
  <c r="BK217" i="5"/>
  <c r="BJ217" i="5"/>
  <c r="BI217" i="5"/>
  <c r="BH217" i="5"/>
  <c r="BG217" i="5"/>
  <c r="BF217" i="5"/>
  <c r="BE217" i="5"/>
  <c r="BD217" i="5"/>
  <c r="BC217" i="5"/>
  <c r="BB217" i="5"/>
  <c r="BA217" i="5"/>
  <c r="AZ217" i="5"/>
  <c r="AY217" i="5"/>
  <c r="AX217" i="5"/>
  <c r="AW217" i="5"/>
  <c r="AU217" i="5"/>
  <c r="AT217" i="5"/>
  <c r="AD217" i="5"/>
  <c r="Z217" i="5"/>
  <c r="BK216" i="5"/>
  <c r="BJ216" i="5"/>
  <c r="BI216" i="5"/>
  <c r="BH216" i="5"/>
  <c r="BG216" i="5"/>
  <c r="BF216" i="5"/>
  <c r="BE216" i="5"/>
  <c r="BD216" i="5"/>
  <c r="BC216" i="5"/>
  <c r="BB216" i="5"/>
  <c r="BA216" i="5"/>
  <c r="AZ216" i="5"/>
  <c r="AY216" i="5"/>
  <c r="AX216" i="5"/>
  <c r="AW216" i="5"/>
  <c r="AU216" i="5"/>
  <c r="AT216" i="5"/>
  <c r="AD216" i="5"/>
  <c r="Z216" i="5"/>
  <c r="BK215" i="5"/>
  <c r="BJ215" i="5"/>
  <c r="BI215" i="5"/>
  <c r="BH215" i="5"/>
  <c r="BG215" i="5"/>
  <c r="BF215" i="5"/>
  <c r="BE215" i="5"/>
  <c r="BD215" i="5"/>
  <c r="BC215" i="5"/>
  <c r="BB215" i="5"/>
  <c r="BA215" i="5"/>
  <c r="AZ215" i="5"/>
  <c r="AY215" i="5"/>
  <c r="AX215" i="5"/>
  <c r="AW215" i="5"/>
  <c r="AU215" i="5"/>
  <c r="AT215" i="5"/>
  <c r="AD215" i="5"/>
  <c r="Z215" i="5"/>
  <c r="BK214" i="5"/>
  <c r="BJ214" i="5"/>
  <c r="BI214" i="5"/>
  <c r="BH214" i="5"/>
  <c r="BG214" i="5"/>
  <c r="BF214" i="5"/>
  <c r="BE214" i="5"/>
  <c r="BD214" i="5"/>
  <c r="BC214" i="5"/>
  <c r="BB214" i="5"/>
  <c r="BA214" i="5"/>
  <c r="AZ214" i="5"/>
  <c r="AY214" i="5"/>
  <c r="AX214" i="5"/>
  <c r="AW214" i="5"/>
  <c r="AU214" i="5"/>
  <c r="AT214" i="5"/>
  <c r="AD214" i="5"/>
  <c r="Z214" i="5"/>
  <c r="BK213" i="5"/>
  <c r="BJ213" i="5"/>
  <c r="BI213" i="5"/>
  <c r="BH213" i="5"/>
  <c r="BG213" i="5"/>
  <c r="BF213" i="5"/>
  <c r="BE213" i="5"/>
  <c r="BD213" i="5"/>
  <c r="BC213" i="5"/>
  <c r="BB213" i="5"/>
  <c r="BA213" i="5"/>
  <c r="AZ213" i="5"/>
  <c r="AY213" i="5"/>
  <c r="AX213" i="5"/>
  <c r="AW213" i="5"/>
  <c r="AU213" i="5"/>
  <c r="AT213" i="5"/>
  <c r="AD213" i="5"/>
  <c r="Z213" i="5"/>
  <c r="BK212" i="5"/>
  <c r="BJ212" i="5"/>
  <c r="BI212" i="5"/>
  <c r="BH212" i="5"/>
  <c r="BG212" i="5"/>
  <c r="BF212" i="5"/>
  <c r="BE212" i="5"/>
  <c r="BD212" i="5"/>
  <c r="BC212" i="5"/>
  <c r="BB212" i="5"/>
  <c r="BA212" i="5"/>
  <c r="AZ212" i="5"/>
  <c r="AY212" i="5"/>
  <c r="AX212" i="5"/>
  <c r="AW212" i="5"/>
  <c r="AU212" i="5"/>
  <c r="AT212" i="5"/>
  <c r="AD212" i="5"/>
  <c r="Z212" i="5"/>
  <c r="BK211" i="5"/>
  <c r="BJ211" i="5"/>
  <c r="BI211" i="5"/>
  <c r="BH211" i="5"/>
  <c r="BG211" i="5"/>
  <c r="BF211" i="5"/>
  <c r="BE211" i="5"/>
  <c r="BD211" i="5"/>
  <c r="BC211" i="5"/>
  <c r="BB211" i="5"/>
  <c r="BA211" i="5"/>
  <c r="AZ211" i="5"/>
  <c r="AY211" i="5"/>
  <c r="AX211" i="5"/>
  <c r="AW211" i="5"/>
  <c r="AU211" i="5"/>
  <c r="AT211" i="5"/>
  <c r="AD211" i="5"/>
  <c r="Z211" i="5"/>
  <c r="BK210" i="5"/>
  <c r="BJ210" i="5"/>
  <c r="BI210" i="5"/>
  <c r="BH210" i="5"/>
  <c r="BG210" i="5"/>
  <c r="BF210" i="5"/>
  <c r="BE210" i="5"/>
  <c r="BD210" i="5"/>
  <c r="BC210" i="5"/>
  <c r="BB210" i="5"/>
  <c r="BA210" i="5"/>
  <c r="AZ210" i="5"/>
  <c r="AY210" i="5"/>
  <c r="AX210" i="5"/>
  <c r="AW210" i="5"/>
  <c r="AU210" i="5"/>
  <c r="AT210" i="5"/>
  <c r="AD210" i="5"/>
  <c r="Z210" i="5"/>
  <c r="BK209" i="5"/>
  <c r="BJ209" i="5"/>
  <c r="BI209" i="5"/>
  <c r="BH209" i="5"/>
  <c r="BG209" i="5"/>
  <c r="BF209" i="5"/>
  <c r="BE209" i="5"/>
  <c r="BD209" i="5"/>
  <c r="BC209" i="5"/>
  <c r="BB209" i="5"/>
  <c r="BA209" i="5"/>
  <c r="AZ209" i="5"/>
  <c r="AY209" i="5"/>
  <c r="AX209" i="5"/>
  <c r="AW209" i="5"/>
  <c r="AU209" i="5"/>
  <c r="AT209" i="5"/>
  <c r="AD209" i="5"/>
  <c r="Z209" i="5"/>
  <c r="BK208" i="5"/>
  <c r="BJ208" i="5"/>
  <c r="BI208" i="5"/>
  <c r="BH208" i="5"/>
  <c r="BG208" i="5"/>
  <c r="BF208" i="5"/>
  <c r="BE208" i="5"/>
  <c r="BD208" i="5"/>
  <c r="BC208" i="5"/>
  <c r="BB208" i="5"/>
  <c r="BA208" i="5"/>
  <c r="AZ208" i="5"/>
  <c r="AY208" i="5"/>
  <c r="AX208" i="5"/>
  <c r="AW208" i="5"/>
  <c r="AU208" i="5"/>
  <c r="AT208" i="5"/>
  <c r="AD208" i="5"/>
  <c r="Z208" i="5"/>
  <c r="BK207" i="5"/>
  <c r="BJ207" i="5"/>
  <c r="BI207" i="5"/>
  <c r="BH207" i="5"/>
  <c r="BG207" i="5"/>
  <c r="BF207" i="5"/>
  <c r="BE207" i="5"/>
  <c r="BD207" i="5"/>
  <c r="BC207" i="5"/>
  <c r="BB207" i="5"/>
  <c r="BA207" i="5"/>
  <c r="AZ207" i="5"/>
  <c r="AY207" i="5"/>
  <c r="AX207" i="5"/>
  <c r="AW207" i="5"/>
  <c r="AU207" i="5"/>
  <c r="AT207" i="5"/>
  <c r="AD207" i="5"/>
  <c r="Z207" i="5"/>
  <c r="BK206" i="5"/>
  <c r="BJ206" i="5"/>
  <c r="BI206" i="5"/>
  <c r="BH206" i="5"/>
  <c r="BG206" i="5"/>
  <c r="BF206" i="5"/>
  <c r="BE206" i="5"/>
  <c r="BD206" i="5"/>
  <c r="BC206" i="5"/>
  <c r="BB206" i="5"/>
  <c r="BA206" i="5"/>
  <c r="AZ206" i="5"/>
  <c r="AY206" i="5"/>
  <c r="AX206" i="5"/>
  <c r="AW206" i="5"/>
  <c r="AU206" i="5"/>
  <c r="AT206" i="5"/>
  <c r="AD206" i="5"/>
  <c r="Z206" i="5"/>
  <c r="BK205" i="5"/>
  <c r="BJ205" i="5"/>
  <c r="BI205" i="5"/>
  <c r="BH205" i="5"/>
  <c r="BG205" i="5"/>
  <c r="BF205" i="5"/>
  <c r="BE205" i="5"/>
  <c r="BD205" i="5"/>
  <c r="BC205" i="5"/>
  <c r="BB205" i="5"/>
  <c r="BA205" i="5"/>
  <c r="AZ205" i="5"/>
  <c r="AY205" i="5"/>
  <c r="AX205" i="5"/>
  <c r="AW205" i="5"/>
  <c r="AU205" i="5"/>
  <c r="AT205" i="5"/>
  <c r="AD205" i="5"/>
  <c r="Z205" i="5"/>
  <c r="BK204" i="5"/>
  <c r="BJ204" i="5"/>
  <c r="BI204" i="5"/>
  <c r="BH204" i="5"/>
  <c r="BG204" i="5"/>
  <c r="BF204" i="5"/>
  <c r="BE204" i="5"/>
  <c r="BD204" i="5"/>
  <c r="BC204" i="5"/>
  <c r="BB204" i="5"/>
  <c r="BA204" i="5"/>
  <c r="AZ204" i="5"/>
  <c r="AY204" i="5"/>
  <c r="AX204" i="5"/>
  <c r="AW204" i="5"/>
  <c r="AU204" i="5"/>
  <c r="AT204" i="5"/>
  <c r="AD204" i="5"/>
  <c r="Z204" i="5"/>
  <c r="BK203" i="5"/>
  <c r="BJ203" i="5"/>
  <c r="BI203" i="5"/>
  <c r="BH203" i="5"/>
  <c r="BG203" i="5"/>
  <c r="BF203" i="5"/>
  <c r="BE203" i="5"/>
  <c r="BD203" i="5"/>
  <c r="BC203" i="5"/>
  <c r="BB203" i="5"/>
  <c r="BA203" i="5"/>
  <c r="AZ203" i="5"/>
  <c r="AY203" i="5"/>
  <c r="AX203" i="5"/>
  <c r="AW203" i="5"/>
  <c r="AU203" i="5"/>
  <c r="AT203" i="5"/>
  <c r="AD203" i="5"/>
  <c r="Z203" i="5"/>
  <c r="BK202" i="5"/>
  <c r="BJ202" i="5"/>
  <c r="BI202" i="5"/>
  <c r="BH202" i="5"/>
  <c r="BG202" i="5"/>
  <c r="BF202" i="5"/>
  <c r="BE202" i="5"/>
  <c r="BD202" i="5"/>
  <c r="BC202" i="5"/>
  <c r="BB202" i="5"/>
  <c r="BA202" i="5"/>
  <c r="AZ202" i="5"/>
  <c r="AY202" i="5"/>
  <c r="AX202" i="5"/>
  <c r="AW202" i="5"/>
  <c r="AU202" i="5"/>
  <c r="AT202" i="5"/>
  <c r="AD202" i="5"/>
  <c r="Z202" i="5"/>
  <c r="BK201" i="5"/>
  <c r="BJ201" i="5"/>
  <c r="BI201" i="5"/>
  <c r="BH201" i="5"/>
  <c r="BG201" i="5"/>
  <c r="BF201" i="5"/>
  <c r="BE201" i="5"/>
  <c r="BD201" i="5"/>
  <c r="BC201" i="5"/>
  <c r="BB201" i="5"/>
  <c r="BA201" i="5"/>
  <c r="AZ201" i="5"/>
  <c r="AY201" i="5"/>
  <c r="AX201" i="5"/>
  <c r="AW201" i="5"/>
  <c r="AU201" i="5"/>
  <c r="AT201" i="5"/>
  <c r="AD201" i="5"/>
  <c r="Z201" i="5"/>
  <c r="BK200" i="5"/>
  <c r="BJ200" i="5"/>
  <c r="BI200" i="5"/>
  <c r="BH200" i="5"/>
  <c r="BG200" i="5"/>
  <c r="BF200" i="5"/>
  <c r="BE200" i="5"/>
  <c r="BD200" i="5"/>
  <c r="BC200" i="5"/>
  <c r="BB200" i="5"/>
  <c r="BA200" i="5"/>
  <c r="AZ200" i="5"/>
  <c r="AY200" i="5"/>
  <c r="AX200" i="5"/>
  <c r="AW200" i="5"/>
  <c r="AU200" i="5"/>
  <c r="AT200" i="5"/>
  <c r="AD200" i="5"/>
  <c r="Z200" i="5"/>
  <c r="BK199" i="5"/>
  <c r="BJ199" i="5"/>
  <c r="BI199" i="5"/>
  <c r="BH199" i="5"/>
  <c r="BG199" i="5"/>
  <c r="BF199" i="5"/>
  <c r="BE199" i="5"/>
  <c r="BD199" i="5"/>
  <c r="BC199" i="5"/>
  <c r="BB199" i="5"/>
  <c r="BA199" i="5"/>
  <c r="AZ199" i="5"/>
  <c r="AY199" i="5"/>
  <c r="AX199" i="5"/>
  <c r="AW199" i="5"/>
  <c r="AU199" i="5"/>
  <c r="AT199" i="5"/>
  <c r="AD199" i="5"/>
  <c r="Z199" i="5"/>
  <c r="BK198" i="5"/>
  <c r="BJ198" i="5"/>
  <c r="BI198" i="5"/>
  <c r="BH198" i="5"/>
  <c r="BG198" i="5"/>
  <c r="BF198" i="5"/>
  <c r="BE198" i="5"/>
  <c r="BD198" i="5"/>
  <c r="BC198" i="5"/>
  <c r="BB198" i="5"/>
  <c r="BA198" i="5"/>
  <c r="AZ198" i="5"/>
  <c r="AY198" i="5"/>
  <c r="AX198" i="5"/>
  <c r="AW198" i="5"/>
  <c r="AU198" i="5"/>
  <c r="AT198" i="5"/>
  <c r="AD198" i="5"/>
  <c r="Z198" i="5"/>
  <c r="BK197" i="5"/>
  <c r="BJ197" i="5"/>
  <c r="BI197" i="5"/>
  <c r="BH197" i="5"/>
  <c r="BG197" i="5"/>
  <c r="BF197" i="5"/>
  <c r="BE197" i="5"/>
  <c r="BD197" i="5"/>
  <c r="BC197" i="5"/>
  <c r="BB197" i="5"/>
  <c r="BA197" i="5"/>
  <c r="AZ197" i="5"/>
  <c r="AY197" i="5"/>
  <c r="AX197" i="5"/>
  <c r="AW197" i="5"/>
  <c r="AU197" i="5"/>
  <c r="AT197" i="5"/>
  <c r="AD197" i="5"/>
  <c r="Z197" i="5"/>
  <c r="BK196" i="5"/>
  <c r="BJ196" i="5"/>
  <c r="BI196" i="5"/>
  <c r="BH196" i="5"/>
  <c r="BG196" i="5"/>
  <c r="BF196" i="5"/>
  <c r="BE196" i="5"/>
  <c r="BD196" i="5"/>
  <c r="BC196" i="5"/>
  <c r="BB196" i="5"/>
  <c r="BA196" i="5"/>
  <c r="AZ196" i="5"/>
  <c r="AY196" i="5"/>
  <c r="AX196" i="5"/>
  <c r="AW196" i="5"/>
  <c r="AU196" i="5"/>
  <c r="AT196" i="5"/>
  <c r="AD196" i="5"/>
  <c r="Z196" i="5"/>
  <c r="BK195" i="5"/>
  <c r="BJ195" i="5"/>
  <c r="BI195" i="5"/>
  <c r="BH195" i="5"/>
  <c r="BG195" i="5"/>
  <c r="BF195" i="5"/>
  <c r="BE195" i="5"/>
  <c r="BD195" i="5"/>
  <c r="BC195" i="5"/>
  <c r="BB195" i="5"/>
  <c r="BA195" i="5"/>
  <c r="AZ195" i="5"/>
  <c r="AY195" i="5"/>
  <c r="AX195" i="5"/>
  <c r="AW195" i="5"/>
  <c r="AU195" i="5"/>
  <c r="AT195" i="5"/>
  <c r="AD195" i="5"/>
  <c r="Z195" i="5"/>
  <c r="BK194" i="5"/>
  <c r="BJ194" i="5"/>
  <c r="BI194" i="5"/>
  <c r="BH194" i="5"/>
  <c r="BG194" i="5"/>
  <c r="BF194" i="5"/>
  <c r="BE194" i="5"/>
  <c r="BD194" i="5"/>
  <c r="BC194" i="5"/>
  <c r="BB194" i="5"/>
  <c r="BA194" i="5"/>
  <c r="AZ194" i="5"/>
  <c r="AY194" i="5"/>
  <c r="AX194" i="5"/>
  <c r="AW194" i="5"/>
  <c r="AU194" i="5"/>
  <c r="AT194" i="5"/>
  <c r="AD194" i="5"/>
  <c r="Z194" i="5"/>
  <c r="BK193" i="5"/>
  <c r="BJ193" i="5"/>
  <c r="BI193" i="5"/>
  <c r="BH193" i="5"/>
  <c r="BG193" i="5"/>
  <c r="BF193" i="5"/>
  <c r="BE193" i="5"/>
  <c r="BD193" i="5"/>
  <c r="BC193" i="5"/>
  <c r="BB193" i="5"/>
  <c r="BA193" i="5"/>
  <c r="AZ193" i="5"/>
  <c r="AY193" i="5"/>
  <c r="AX193" i="5"/>
  <c r="AW193" i="5"/>
  <c r="AU193" i="5"/>
  <c r="AT193" i="5"/>
  <c r="AD193" i="5"/>
  <c r="Z193" i="5"/>
  <c r="BK192" i="5"/>
  <c r="BJ192" i="5"/>
  <c r="BI192" i="5"/>
  <c r="BH192" i="5"/>
  <c r="BG192" i="5"/>
  <c r="BF192" i="5"/>
  <c r="BE192" i="5"/>
  <c r="BD192" i="5"/>
  <c r="BC192" i="5"/>
  <c r="BB192" i="5"/>
  <c r="BA192" i="5"/>
  <c r="AZ192" i="5"/>
  <c r="AY192" i="5"/>
  <c r="AX192" i="5"/>
  <c r="AW192" i="5"/>
  <c r="AU192" i="5"/>
  <c r="AT192" i="5"/>
  <c r="AD192" i="5"/>
  <c r="Z192" i="5"/>
  <c r="BK191" i="5"/>
  <c r="BJ191" i="5"/>
  <c r="BI191" i="5"/>
  <c r="BH191" i="5"/>
  <c r="BG191" i="5"/>
  <c r="BF191" i="5"/>
  <c r="BE191" i="5"/>
  <c r="BD191" i="5"/>
  <c r="BC191" i="5"/>
  <c r="BB191" i="5"/>
  <c r="BA191" i="5"/>
  <c r="AZ191" i="5"/>
  <c r="AY191" i="5"/>
  <c r="AX191" i="5"/>
  <c r="AW191" i="5"/>
  <c r="AU191" i="5"/>
  <c r="AT191" i="5"/>
  <c r="AD191" i="5"/>
  <c r="Z191" i="5"/>
  <c r="BK190" i="5"/>
  <c r="BJ190" i="5"/>
  <c r="BI190" i="5"/>
  <c r="BH190" i="5"/>
  <c r="BG190" i="5"/>
  <c r="BF190" i="5"/>
  <c r="BE190" i="5"/>
  <c r="BD190" i="5"/>
  <c r="BC190" i="5"/>
  <c r="BB190" i="5"/>
  <c r="BA190" i="5"/>
  <c r="AZ190" i="5"/>
  <c r="AY190" i="5"/>
  <c r="AX190" i="5"/>
  <c r="AW190" i="5"/>
  <c r="AU190" i="5"/>
  <c r="AT190" i="5"/>
  <c r="AD190" i="5"/>
  <c r="Z190" i="5"/>
  <c r="BK189" i="5"/>
  <c r="BJ189" i="5"/>
  <c r="BI189" i="5"/>
  <c r="BH189" i="5"/>
  <c r="BG189" i="5"/>
  <c r="BF189" i="5"/>
  <c r="BE189" i="5"/>
  <c r="BD189" i="5"/>
  <c r="BC189" i="5"/>
  <c r="BB189" i="5"/>
  <c r="BA189" i="5"/>
  <c r="AZ189" i="5"/>
  <c r="AY189" i="5"/>
  <c r="AX189" i="5"/>
  <c r="AW189" i="5"/>
  <c r="AU189" i="5"/>
  <c r="AT189" i="5"/>
  <c r="AD189" i="5"/>
  <c r="Z189" i="5"/>
  <c r="BK188" i="5"/>
  <c r="BJ188" i="5"/>
  <c r="BI188" i="5"/>
  <c r="BH188" i="5"/>
  <c r="BG188" i="5"/>
  <c r="BF188" i="5"/>
  <c r="BE188" i="5"/>
  <c r="BD188" i="5"/>
  <c r="BC188" i="5"/>
  <c r="BB188" i="5"/>
  <c r="BA188" i="5"/>
  <c r="AZ188" i="5"/>
  <c r="AY188" i="5"/>
  <c r="AX188" i="5"/>
  <c r="AW188" i="5"/>
  <c r="AU188" i="5"/>
  <c r="AT188" i="5"/>
  <c r="AD188" i="5"/>
  <c r="Z188" i="5"/>
  <c r="BK187" i="5"/>
  <c r="BJ187" i="5"/>
  <c r="BI187" i="5"/>
  <c r="BH187" i="5"/>
  <c r="BG187" i="5"/>
  <c r="BF187" i="5"/>
  <c r="BE187" i="5"/>
  <c r="BD187" i="5"/>
  <c r="BC187" i="5"/>
  <c r="BB187" i="5"/>
  <c r="BA187" i="5"/>
  <c r="AZ187" i="5"/>
  <c r="AY187" i="5"/>
  <c r="AX187" i="5"/>
  <c r="AW187" i="5"/>
  <c r="AU187" i="5"/>
  <c r="AT187" i="5"/>
  <c r="AD187" i="5"/>
  <c r="Z187" i="5"/>
  <c r="BK186" i="5"/>
  <c r="BJ186" i="5"/>
  <c r="BI186" i="5"/>
  <c r="BH186" i="5"/>
  <c r="BG186" i="5"/>
  <c r="BF186" i="5"/>
  <c r="BE186" i="5"/>
  <c r="BD186" i="5"/>
  <c r="BC186" i="5"/>
  <c r="BB186" i="5"/>
  <c r="BA186" i="5"/>
  <c r="AZ186" i="5"/>
  <c r="AY186" i="5"/>
  <c r="AX186" i="5"/>
  <c r="AW186" i="5"/>
  <c r="AU186" i="5"/>
  <c r="AT186" i="5"/>
  <c r="AD186" i="5"/>
  <c r="Z186" i="5"/>
  <c r="BK185" i="5"/>
  <c r="BJ185" i="5"/>
  <c r="BI185" i="5"/>
  <c r="BH185" i="5"/>
  <c r="BG185" i="5"/>
  <c r="BF185" i="5"/>
  <c r="BE185" i="5"/>
  <c r="BD185" i="5"/>
  <c r="BC185" i="5"/>
  <c r="BB185" i="5"/>
  <c r="BA185" i="5"/>
  <c r="AZ185" i="5"/>
  <c r="AY185" i="5"/>
  <c r="AX185" i="5"/>
  <c r="AW185" i="5"/>
  <c r="AU185" i="5"/>
  <c r="AT185" i="5"/>
  <c r="AD185" i="5"/>
  <c r="Z185" i="5"/>
  <c r="BK184" i="5"/>
  <c r="BJ184" i="5"/>
  <c r="BI184" i="5"/>
  <c r="BH184" i="5"/>
  <c r="BG184" i="5"/>
  <c r="BF184" i="5"/>
  <c r="BE184" i="5"/>
  <c r="BD184" i="5"/>
  <c r="BC184" i="5"/>
  <c r="BB184" i="5"/>
  <c r="BA184" i="5"/>
  <c r="AZ184" i="5"/>
  <c r="AY184" i="5"/>
  <c r="AX184" i="5"/>
  <c r="AW184" i="5"/>
  <c r="AU184" i="5"/>
  <c r="AT184" i="5"/>
  <c r="AD184" i="5"/>
  <c r="Z184" i="5"/>
  <c r="BK183" i="5"/>
  <c r="BJ183" i="5"/>
  <c r="BI183" i="5"/>
  <c r="BH183" i="5"/>
  <c r="BG183" i="5"/>
  <c r="BF183" i="5"/>
  <c r="BE183" i="5"/>
  <c r="BD183" i="5"/>
  <c r="BC183" i="5"/>
  <c r="BB183" i="5"/>
  <c r="BA183" i="5"/>
  <c r="AZ183" i="5"/>
  <c r="AY183" i="5"/>
  <c r="AX183" i="5"/>
  <c r="AW183" i="5"/>
  <c r="AU183" i="5"/>
  <c r="AT183" i="5"/>
  <c r="AD183" i="5"/>
  <c r="Z183" i="5"/>
  <c r="BK182" i="5"/>
  <c r="BJ182" i="5"/>
  <c r="BI182" i="5"/>
  <c r="BH182" i="5"/>
  <c r="BG182" i="5"/>
  <c r="BF182" i="5"/>
  <c r="BE182" i="5"/>
  <c r="BD182" i="5"/>
  <c r="BC182" i="5"/>
  <c r="BB182" i="5"/>
  <c r="BA182" i="5"/>
  <c r="AZ182" i="5"/>
  <c r="AY182" i="5"/>
  <c r="AX182" i="5"/>
  <c r="AW182" i="5"/>
  <c r="AU182" i="5"/>
  <c r="AT182" i="5"/>
  <c r="AD182" i="5"/>
  <c r="Z182" i="5"/>
  <c r="BK181" i="5"/>
  <c r="BJ181" i="5"/>
  <c r="BI181" i="5"/>
  <c r="BH181" i="5"/>
  <c r="BG181" i="5"/>
  <c r="BF181" i="5"/>
  <c r="BE181" i="5"/>
  <c r="BD181" i="5"/>
  <c r="BC181" i="5"/>
  <c r="BB181" i="5"/>
  <c r="BA181" i="5"/>
  <c r="AZ181" i="5"/>
  <c r="AY181" i="5"/>
  <c r="AX181" i="5"/>
  <c r="AW181" i="5"/>
  <c r="AU181" i="5"/>
  <c r="AT181" i="5"/>
  <c r="AD181" i="5"/>
  <c r="Z181" i="5"/>
  <c r="BK180" i="5"/>
  <c r="BJ180" i="5"/>
  <c r="BI180" i="5"/>
  <c r="BH180" i="5"/>
  <c r="BG180" i="5"/>
  <c r="BF180" i="5"/>
  <c r="BE180" i="5"/>
  <c r="BD180" i="5"/>
  <c r="BC180" i="5"/>
  <c r="BB180" i="5"/>
  <c r="BA180" i="5"/>
  <c r="AZ180" i="5"/>
  <c r="AY180" i="5"/>
  <c r="AX180" i="5"/>
  <c r="AW180" i="5"/>
  <c r="AU180" i="5"/>
  <c r="AT180" i="5"/>
  <c r="AD180" i="5"/>
  <c r="Z180" i="5"/>
  <c r="BK179" i="5"/>
  <c r="BJ179" i="5"/>
  <c r="BI179" i="5"/>
  <c r="BH179" i="5"/>
  <c r="BG179" i="5"/>
  <c r="BF179" i="5"/>
  <c r="BE179" i="5"/>
  <c r="BD179" i="5"/>
  <c r="BC179" i="5"/>
  <c r="BB179" i="5"/>
  <c r="BA179" i="5"/>
  <c r="AZ179" i="5"/>
  <c r="AY179" i="5"/>
  <c r="AX179" i="5"/>
  <c r="AW179" i="5"/>
  <c r="AU179" i="5"/>
  <c r="AT179" i="5"/>
  <c r="AD179" i="5"/>
  <c r="Z179" i="5"/>
  <c r="BK178" i="5"/>
  <c r="BJ178" i="5"/>
  <c r="BI178" i="5"/>
  <c r="BH178" i="5"/>
  <c r="BG178" i="5"/>
  <c r="BF178" i="5"/>
  <c r="BE178" i="5"/>
  <c r="BD178" i="5"/>
  <c r="BC178" i="5"/>
  <c r="BB178" i="5"/>
  <c r="BA178" i="5"/>
  <c r="AZ178" i="5"/>
  <c r="AY178" i="5"/>
  <c r="AX178" i="5"/>
  <c r="AW178" i="5"/>
  <c r="AU178" i="5"/>
  <c r="AT178" i="5"/>
  <c r="AD178" i="5"/>
  <c r="Z178" i="5"/>
  <c r="BK177" i="5"/>
  <c r="BJ177" i="5"/>
  <c r="BI177" i="5"/>
  <c r="BH177" i="5"/>
  <c r="BG177" i="5"/>
  <c r="BF177" i="5"/>
  <c r="BE177" i="5"/>
  <c r="BD177" i="5"/>
  <c r="BC177" i="5"/>
  <c r="BB177" i="5"/>
  <c r="BA177" i="5"/>
  <c r="AZ177" i="5"/>
  <c r="AY177" i="5"/>
  <c r="AX177" i="5"/>
  <c r="AW177" i="5"/>
  <c r="AU177" i="5"/>
  <c r="AT177" i="5"/>
  <c r="AD177" i="5"/>
  <c r="Z177" i="5"/>
  <c r="BK176" i="5"/>
  <c r="BJ176" i="5"/>
  <c r="BI176" i="5"/>
  <c r="BH176" i="5"/>
  <c r="BG176" i="5"/>
  <c r="BF176" i="5"/>
  <c r="BE176" i="5"/>
  <c r="BD176" i="5"/>
  <c r="BC176" i="5"/>
  <c r="BB176" i="5"/>
  <c r="BA176" i="5"/>
  <c r="AZ176" i="5"/>
  <c r="AY176" i="5"/>
  <c r="AX176" i="5"/>
  <c r="AW176" i="5"/>
  <c r="AU176" i="5"/>
  <c r="AT176" i="5"/>
  <c r="AD176" i="5"/>
  <c r="Z176" i="5"/>
  <c r="BK175" i="5"/>
  <c r="BJ175" i="5"/>
  <c r="BI175" i="5"/>
  <c r="BH175" i="5"/>
  <c r="BG175" i="5"/>
  <c r="BF175" i="5"/>
  <c r="BE175" i="5"/>
  <c r="BD175" i="5"/>
  <c r="BC175" i="5"/>
  <c r="BB175" i="5"/>
  <c r="BA175" i="5"/>
  <c r="AZ175" i="5"/>
  <c r="AY175" i="5"/>
  <c r="AX175" i="5"/>
  <c r="AW175" i="5"/>
  <c r="AU175" i="5"/>
  <c r="AT175" i="5"/>
  <c r="AD175" i="5"/>
  <c r="Z175" i="5"/>
  <c r="BK174" i="5"/>
  <c r="BJ174" i="5"/>
  <c r="BI174" i="5"/>
  <c r="BH174" i="5"/>
  <c r="BG174" i="5"/>
  <c r="BF174" i="5"/>
  <c r="BE174" i="5"/>
  <c r="BD174" i="5"/>
  <c r="BC174" i="5"/>
  <c r="BB174" i="5"/>
  <c r="BA174" i="5"/>
  <c r="AZ174" i="5"/>
  <c r="AY174" i="5"/>
  <c r="AX174" i="5"/>
  <c r="AW174" i="5"/>
  <c r="AU174" i="5"/>
  <c r="AT174" i="5"/>
  <c r="AD174" i="5"/>
  <c r="Z174" i="5"/>
  <c r="BK173" i="5"/>
  <c r="BJ173" i="5"/>
  <c r="BI173" i="5"/>
  <c r="BH173" i="5"/>
  <c r="BG173" i="5"/>
  <c r="BF173" i="5"/>
  <c r="BE173" i="5"/>
  <c r="BD173" i="5"/>
  <c r="BC173" i="5"/>
  <c r="BB173" i="5"/>
  <c r="BA173" i="5"/>
  <c r="AZ173" i="5"/>
  <c r="AY173" i="5"/>
  <c r="AX173" i="5"/>
  <c r="AW173" i="5"/>
  <c r="AU173" i="5"/>
  <c r="AT173" i="5"/>
  <c r="AD173" i="5"/>
  <c r="Z173" i="5"/>
  <c r="BK172" i="5"/>
  <c r="BJ172" i="5"/>
  <c r="BI172" i="5"/>
  <c r="BH172" i="5"/>
  <c r="BG172" i="5"/>
  <c r="BF172" i="5"/>
  <c r="BE172" i="5"/>
  <c r="BD172" i="5"/>
  <c r="BC172" i="5"/>
  <c r="BB172" i="5"/>
  <c r="BA172" i="5"/>
  <c r="AZ172" i="5"/>
  <c r="AY172" i="5"/>
  <c r="AX172" i="5"/>
  <c r="AW172" i="5"/>
  <c r="AU172" i="5"/>
  <c r="AT172" i="5"/>
  <c r="AD172" i="5"/>
  <c r="Z172" i="5"/>
  <c r="BK171" i="5"/>
  <c r="BJ171" i="5"/>
  <c r="BI171" i="5"/>
  <c r="BH171" i="5"/>
  <c r="BG171" i="5"/>
  <c r="BF171" i="5"/>
  <c r="BE171" i="5"/>
  <c r="BD171" i="5"/>
  <c r="BC171" i="5"/>
  <c r="BB171" i="5"/>
  <c r="BA171" i="5"/>
  <c r="AZ171" i="5"/>
  <c r="AY171" i="5"/>
  <c r="AX171" i="5"/>
  <c r="AW171" i="5"/>
  <c r="AU171" i="5"/>
  <c r="AT171" i="5"/>
  <c r="AD171" i="5"/>
  <c r="Z171" i="5"/>
  <c r="BK170" i="5"/>
  <c r="BJ170" i="5"/>
  <c r="BI170" i="5"/>
  <c r="BH170" i="5"/>
  <c r="BG170" i="5"/>
  <c r="BF170" i="5"/>
  <c r="BE170" i="5"/>
  <c r="BD170" i="5"/>
  <c r="BC170" i="5"/>
  <c r="BB170" i="5"/>
  <c r="BA170" i="5"/>
  <c r="AZ170" i="5"/>
  <c r="AY170" i="5"/>
  <c r="AX170" i="5"/>
  <c r="AW170" i="5"/>
  <c r="AU170" i="5"/>
  <c r="AT170" i="5"/>
  <c r="AD170" i="5"/>
  <c r="Z170" i="5"/>
  <c r="BK169" i="5"/>
  <c r="BJ169" i="5"/>
  <c r="BI169" i="5"/>
  <c r="BH169" i="5"/>
  <c r="BG169" i="5"/>
  <c r="BF169" i="5"/>
  <c r="BE169" i="5"/>
  <c r="BD169" i="5"/>
  <c r="BC169" i="5"/>
  <c r="BB169" i="5"/>
  <c r="BA169" i="5"/>
  <c r="AZ169" i="5"/>
  <c r="AY169" i="5"/>
  <c r="AX169" i="5"/>
  <c r="AW169" i="5"/>
  <c r="AU169" i="5"/>
  <c r="AT169" i="5"/>
  <c r="AD169" i="5"/>
  <c r="Z169" i="5"/>
  <c r="BK168" i="5"/>
  <c r="BJ168" i="5"/>
  <c r="BI168" i="5"/>
  <c r="BH168" i="5"/>
  <c r="BG168" i="5"/>
  <c r="BF168" i="5"/>
  <c r="BE168" i="5"/>
  <c r="BD168" i="5"/>
  <c r="BC168" i="5"/>
  <c r="BB168" i="5"/>
  <c r="BA168" i="5"/>
  <c r="AZ168" i="5"/>
  <c r="AY168" i="5"/>
  <c r="AX168" i="5"/>
  <c r="AW168" i="5"/>
  <c r="AU168" i="5"/>
  <c r="AT168" i="5"/>
  <c r="AD168" i="5"/>
  <c r="Z168" i="5"/>
  <c r="BK167" i="5"/>
  <c r="BJ167" i="5"/>
  <c r="BI167" i="5"/>
  <c r="BH167" i="5"/>
  <c r="BG167" i="5"/>
  <c r="BF167" i="5"/>
  <c r="BE167" i="5"/>
  <c r="BD167" i="5"/>
  <c r="BC167" i="5"/>
  <c r="BB167" i="5"/>
  <c r="BA167" i="5"/>
  <c r="AZ167" i="5"/>
  <c r="AY167" i="5"/>
  <c r="AX167" i="5"/>
  <c r="AW167" i="5"/>
  <c r="AU167" i="5"/>
  <c r="AT167" i="5"/>
  <c r="AD167" i="5"/>
  <c r="Z167" i="5"/>
  <c r="BK166" i="5"/>
  <c r="BJ166" i="5"/>
  <c r="BI166" i="5"/>
  <c r="BH166" i="5"/>
  <c r="BG166" i="5"/>
  <c r="BF166" i="5"/>
  <c r="BE166" i="5"/>
  <c r="BD166" i="5"/>
  <c r="BC166" i="5"/>
  <c r="BB166" i="5"/>
  <c r="BA166" i="5"/>
  <c r="AZ166" i="5"/>
  <c r="AY166" i="5"/>
  <c r="AX166" i="5"/>
  <c r="AW166" i="5"/>
  <c r="AU166" i="5"/>
  <c r="AT166" i="5"/>
  <c r="AD166" i="5"/>
  <c r="Z166" i="5"/>
  <c r="BK165" i="5"/>
  <c r="BJ165" i="5"/>
  <c r="BI165" i="5"/>
  <c r="BH165" i="5"/>
  <c r="BG165" i="5"/>
  <c r="BF165" i="5"/>
  <c r="BE165" i="5"/>
  <c r="BD165" i="5"/>
  <c r="BC165" i="5"/>
  <c r="BB165" i="5"/>
  <c r="BA165" i="5"/>
  <c r="AZ165" i="5"/>
  <c r="AY165" i="5"/>
  <c r="AX165" i="5"/>
  <c r="AW165" i="5"/>
  <c r="AU165" i="5"/>
  <c r="AT165" i="5"/>
  <c r="AD165" i="5"/>
  <c r="Z165" i="5"/>
  <c r="BK164" i="5"/>
  <c r="BJ164" i="5"/>
  <c r="BI164" i="5"/>
  <c r="BH164" i="5"/>
  <c r="BG164" i="5"/>
  <c r="BF164" i="5"/>
  <c r="BE164" i="5"/>
  <c r="BD164" i="5"/>
  <c r="BC164" i="5"/>
  <c r="BB164" i="5"/>
  <c r="BA164" i="5"/>
  <c r="AZ164" i="5"/>
  <c r="AY164" i="5"/>
  <c r="AX164" i="5"/>
  <c r="AW164" i="5"/>
  <c r="AU164" i="5"/>
  <c r="AT164" i="5"/>
  <c r="AD164" i="5"/>
  <c r="Z164" i="5"/>
  <c r="BK163" i="5"/>
  <c r="BJ163" i="5"/>
  <c r="BI163" i="5"/>
  <c r="BH163" i="5"/>
  <c r="BG163" i="5"/>
  <c r="BF163" i="5"/>
  <c r="BE163" i="5"/>
  <c r="BD163" i="5"/>
  <c r="BC163" i="5"/>
  <c r="BB163" i="5"/>
  <c r="BA163" i="5"/>
  <c r="AZ163" i="5"/>
  <c r="AY163" i="5"/>
  <c r="AX163" i="5"/>
  <c r="AW163" i="5"/>
  <c r="AU163" i="5"/>
  <c r="AT163" i="5"/>
  <c r="AD163" i="5"/>
  <c r="Z163" i="5"/>
  <c r="BK162" i="5"/>
  <c r="BJ162" i="5"/>
  <c r="BI162" i="5"/>
  <c r="BH162" i="5"/>
  <c r="BG162" i="5"/>
  <c r="BF162" i="5"/>
  <c r="BE162" i="5"/>
  <c r="BD162" i="5"/>
  <c r="BC162" i="5"/>
  <c r="BB162" i="5"/>
  <c r="BA162" i="5"/>
  <c r="AZ162" i="5"/>
  <c r="AY162" i="5"/>
  <c r="AX162" i="5"/>
  <c r="AW162" i="5"/>
  <c r="AU162" i="5"/>
  <c r="AT162" i="5"/>
  <c r="AD162" i="5"/>
  <c r="Z162" i="5"/>
  <c r="BK161" i="5"/>
  <c r="BJ161" i="5"/>
  <c r="BI161" i="5"/>
  <c r="BH161" i="5"/>
  <c r="BG161" i="5"/>
  <c r="BF161" i="5"/>
  <c r="BE161" i="5"/>
  <c r="BD161" i="5"/>
  <c r="BC161" i="5"/>
  <c r="BB161" i="5"/>
  <c r="BA161" i="5"/>
  <c r="AZ161" i="5"/>
  <c r="AY161" i="5"/>
  <c r="AX161" i="5"/>
  <c r="AW161" i="5"/>
  <c r="AU161" i="5"/>
  <c r="AT161" i="5"/>
  <c r="AD161" i="5"/>
  <c r="Z161" i="5"/>
  <c r="BK160" i="5"/>
  <c r="BJ160" i="5"/>
  <c r="BI160" i="5"/>
  <c r="BH160" i="5"/>
  <c r="BG160" i="5"/>
  <c r="BF160" i="5"/>
  <c r="BE160" i="5"/>
  <c r="BD160" i="5"/>
  <c r="BC160" i="5"/>
  <c r="BB160" i="5"/>
  <c r="BA160" i="5"/>
  <c r="AZ160" i="5"/>
  <c r="AY160" i="5"/>
  <c r="AX160" i="5"/>
  <c r="AW160" i="5"/>
  <c r="AU160" i="5"/>
  <c r="AT160" i="5"/>
  <c r="AD160" i="5"/>
  <c r="Z160" i="5"/>
  <c r="BK159" i="5"/>
  <c r="BJ159" i="5"/>
  <c r="BI159" i="5"/>
  <c r="BH159" i="5"/>
  <c r="BG159" i="5"/>
  <c r="BF159" i="5"/>
  <c r="BE159" i="5"/>
  <c r="BD159" i="5"/>
  <c r="BC159" i="5"/>
  <c r="BB159" i="5"/>
  <c r="BA159" i="5"/>
  <c r="AZ159" i="5"/>
  <c r="AY159" i="5"/>
  <c r="AX159" i="5"/>
  <c r="AW159" i="5"/>
  <c r="AU159" i="5"/>
  <c r="AT159" i="5"/>
  <c r="AD159" i="5"/>
  <c r="Z159" i="5"/>
  <c r="BK158" i="5"/>
  <c r="BJ158" i="5"/>
  <c r="BI158" i="5"/>
  <c r="BH158" i="5"/>
  <c r="BG158" i="5"/>
  <c r="BF158" i="5"/>
  <c r="BE158" i="5"/>
  <c r="BD158" i="5"/>
  <c r="BC158" i="5"/>
  <c r="BB158" i="5"/>
  <c r="BA158" i="5"/>
  <c r="AZ158" i="5"/>
  <c r="AY158" i="5"/>
  <c r="AX158" i="5"/>
  <c r="AW158" i="5"/>
  <c r="AU158" i="5"/>
  <c r="AT158" i="5"/>
  <c r="AD158" i="5"/>
  <c r="Z158" i="5"/>
  <c r="BK157" i="5"/>
  <c r="BJ157" i="5"/>
  <c r="BI157" i="5"/>
  <c r="BH157" i="5"/>
  <c r="BG157" i="5"/>
  <c r="BF157" i="5"/>
  <c r="BE157" i="5"/>
  <c r="BD157" i="5"/>
  <c r="BC157" i="5"/>
  <c r="BB157" i="5"/>
  <c r="BA157" i="5"/>
  <c r="AZ157" i="5"/>
  <c r="AY157" i="5"/>
  <c r="AX157" i="5"/>
  <c r="AW157" i="5"/>
  <c r="AU157" i="5"/>
  <c r="AT157" i="5"/>
  <c r="AD157" i="5"/>
  <c r="Z157" i="5"/>
  <c r="BK156" i="5"/>
  <c r="BJ156" i="5"/>
  <c r="BI156" i="5"/>
  <c r="BH156" i="5"/>
  <c r="BG156" i="5"/>
  <c r="BF156" i="5"/>
  <c r="BE156" i="5"/>
  <c r="BD156" i="5"/>
  <c r="BC156" i="5"/>
  <c r="BB156" i="5"/>
  <c r="BA156" i="5"/>
  <c r="AZ156" i="5"/>
  <c r="AY156" i="5"/>
  <c r="AX156" i="5"/>
  <c r="AW156" i="5"/>
  <c r="AU156" i="5"/>
  <c r="AT156" i="5"/>
  <c r="AD156" i="5"/>
  <c r="Z156" i="5"/>
  <c r="BK155" i="5"/>
  <c r="BJ155" i="5"/>
  <c r="BI155" i="5"/>
  <c r="BH155" i="5"/>
  <c r="BG155" i="5"/>
  <c r="BF155" i="5"/>
  <c r="BE155" i="5"/>
  <c r="BD155" i="5"/>
  <c r="BC155" i="5"/>
  <c r="BB155" i="5"/>
  <c r="BA155" i="5"/>
  <c r="AZ155" i="5"/>
  <c r="AY155" i="5"/>
  <c r="AX155" i="5"/>
  <c r="AW155" i="5"/>
  <c r="AU155" i="5"/>
  <c r="AT155" i="5"/>
  <c r="AD155" i="5"/>
  <c r="Z155" i="5"/>
  <c r="BK154" i="5"/>
  <c r="BJ154" i="5"/>
  <c r="BI154" i="5"/>
  <c r="BH154" i="5"/>
  <c r="BG154" i="5"/>
  <c r="BF154" i="5"/>
  <c r="BE154" i="5"/>
  <c r="BD154" i="5"/>
  <c r="BC154" i="5"/>
  <c r="BB154" i="5"/>
  <c r="BA154" i="5"/>
  <c r="AZ154" i="5"/>
  <c r="AY154" i="5"/>
  <c r="AX154" i="5"/>
  <c r="AW154" i="5"/>
  <c r="AU154" i="5"/>
  <c r="AT154" i="5"/>
  <c r="AD154" i="5"/>
  <c r="Z154" i="5"/>
  <c r="BK153" i="5"/>
  <c r="BJ153" i="5"/>
  <c r="BI153" i="5"/>
  <c r="BH153" i="5"/>
  <c r="BG153" i="5"/>
  <c r="BF153" i="5"/>
  <c r="BE153" i="5"/>
  <c r="BD153" i="5"/>
  <c r="BC153" i="5"/>
  <c r="BB153" i="5"/>
  <c r="BA153" i="5"/>
  <c r="AZ153" i="5"/>
  <c r="AY153" i="5"/>
  <c r="AX153" i="5"/>
  <c r="AW153" i="5"/>
  <c r="AU153" i="5"/>
  <c r="AT153" i="5"/>
  <c r="AD153" i="5"/>
  <c r="Z153" i="5"/>
  <c r="BK152" i="5"/>
  <c r="BJ152" i="5"/>
  <c r="BI152" i="5"/>
  <c r="BH152" i="5"/>
  <c r="BG152" i="5"/>
  <c r="BF152" i="5"/>
  <c r="BE152" i="5"/>
  <c r="BD152" i="5"/>
  <c r="BC152" i="5"/>
  <c r="BB152" i="5"/>
  <c r="BA152" i="5"/>
  <c r="AZ152" i="5"/>
  <c r="AY152" i="5"/>
  <c r="AX152" i="5"/>
  <c r="AW152" i="5"/>
  <c r="AU152" i="5"/>
  <c r="AT152" i="5"/>
  <c r="AD152" i="5"/>
  <c r="Z152" i="5"/>
  <c r="BK151" i="5"/>
  <c r="BJ151" i="5"/>
  <c r="BI151" i="5"/>
  <c r="BH151" i="5"/>
  <c r="BG151" i="5"/>
  <c r="BF151" i="5"/>
  <c r="BE151" i="5"/>
  <c r="BD151" i="5"/>
  <c r="BC151" i="5"/>
  <c r="BB151" i="5"/>
  <c r="BA151" i="5"/>
  <c r="AZ151" i="5"/>
  <c r="AY151" i="5"/>
  <c r="AX151" i="5"/>
  <c r="AW151" i="5"/>
  <c r="AU151" i="5"/>
  <c r="AT151" i="5"/>
  <c r="AD151" i="5"/>
  <c r="Z151" i="5"/>
  <c r="BK150" i="5"/>
  <c r="BJ150" i="5"/>
  <c r="BI150" i="5"/>
  <c r="BH150" i="5"/>
  <c r="BG150" i="5"/>
  <c r="BF150" i="5"/>
  <c r="BE150" i="5"/>
  <c r="BD150" i="5"/>
  <c r="BC150" i="5"/>
  <c r="BB150" i="5"/>
  <c r="BA150" i="5"/>
  <c r="AZ150" i="5"/>
  <c r="AY150" i="5"/>
  <c r="AX150" i="5"/>
  <c r="AW150" i="5"/>
  <c r="AU150" i="5"/>
  <c r="AT150" i="5"/>
  <c r="AD150" i="5"/>
  <c r="Z150" i="5"/>
  <c r="BK149" i="5"/>
  <c r="BJ149" i="5"/>
  <c r="BI149" i="5"/>
  <c r="BH149" i="5"/>
  <c r="BG149" i="5"/>
  <c r="BF149" i="5"/>
  <c r="BE149" i="5"/>
  <c r="BD149" i="5"/>
  <c r="BC149" i="5"/>
  <c r="BB149" i="5"/>
  <c r="BA149" i="5"/>
  <c r="AZ149" i="5"/>
  <c r="AY149" i="5"/>
  <c r="AX149" i="5"/>
  <c r="AW149" i="5"/>
  <c r="AU149" i="5"/>
  <c r="AT149" i="5"/>
  <c r="AD149" i="5"/>
  <c r="Z149" i="5"/>
  <c r="BK148" i="5"/>
  <c r="BJ148" i="5"/>
  <c r="BI148" i="5"/>
  <c r="BH148" i="5"/>
  <c r="BG148" i="5"/>
  <c r="BF148" i="5"/>
  <c r="BE148" i="5"/>
  <c r="BD148" i="5"/>
  <c r="BC148" i="5"/>
  <c r="BB148" i="5"/>
  <c r="BA148" i="5"/>
  <c r="AZ148" i="5"/>
  <c r="AY148" i="5"/>
  <c r="AX148" i="5"/>
  <c r="AW148" i="5"/>
  <c r="AU148" i="5"/>
  <c r="AT148" i="5"/>
  <c r="AD148" i="5"/>
  <c r="Z148" i="5"/>
  <c r="BK147" i="5"/>
  <c r="BJ147" i="5"/>
  <c r="BI147" i="5"/>
  <c r="BH147" i="5"/>
  <c r="BG147" i="5"/>
  <c r="BF147" i="5"/>
  <c r="BE147" i="5"/>
  <c r="BD147" i="5"/>
  <c r="BC147" i="5"/>
  <c r="BB147" i="5"/>
  <c r="BA147" i="5"/>
  <c r="AZ147" i="5"/>
  <c r="AY147" i="5"/>
  <c r="AX147" i="5"/>
  <c r="AW147" i="5"/>
  <c r="AU147" i="5"/>
  <c r="AT147" i="5"/>
  <c r="AD147" i="5"/>
  <c r="Z147" i="5"/>
  <c r="BK146" i="5"/>
  <c r="BJ146" i="5"/>
  <c r="BI146" i="5"/>
  <c r="BH146" i="5"/>
  <c r="BG146" i="5"/>
  <c r="BF146" i="5"/>
  <c r="BE146" i="5"/>
  <c r="BD146" i="5"/>
  <c r="BC146" i="5"/>
  <c r="BB146" i="5"/>
  <c r="BA146" i="5"/>
  <c r="AZ146" i="5"/>
  <c r="AY146" i="5"/>
  <c r="AX146" i="5"/>
  <c r="AW146" i="5"/>
  <c r="AU146" i="5"/>
  <c r="AT146" i="5"/>
  <c r="AD146" i="5"/>
  <c r="Z146" i="5"/>
  <c r="BK145" i="5"/>
  <c r="BJ145" i="5"/>
  <c r="BI145" i="5"/>
  <c r="BH145" i="5"/>
  <c r="BG145" i="5"/>
  <c r="BF145" i="5"/>
  <c r="BE145" i="5"/>
  <c r="BD145" i="5"/>
  <c r="BC145" i="5"/>
  <c r="BB145" i="5"/>
  <c r="BA145" i="5"/>
  <c r="AZ145" i="5"/>
  <c r="AY145" i="5"/>
  <c r="AX145" i="5"/>
  <c r="AW145" i="5"/>
  <c r="AU145" i="5"/>
  <c r="AT145" i="5"/>
  <c r="AD145" i="5"/>
  <c r="Z145" i="5"/>
  <c r="BK144" i="5"/>
  <c r="BJ144" i="5"/>
  <c r="BI144" i="5"/>
  <c r="BH144" i="5"/>
  <c r="BG144" i="5"/>
  <c r="BF144" i="5"/>
  <c r="BE144" i="5"/>
  <c r="BD144" i="5"/>
  <c r="BC144" i="5"/>
  <c r="BB144" i="5"/>
  <c r="BA144" i="5"/>
  <c r="AZ144" i="5"/>
  <c r="AY144" i="5"/>
  <c r="AX144" i="5"/>
  <c r="AW144" i="5"/>
  <c r="AU144" i="5"/>
  <c r="AT144" i="5"/>
  <c r="AD144" i="5"/>
  <c r="Z144" i="5"/>
  <c r="BK143" i="5"/>
  <c r="BJ143" i="5"/>
  <c r="BI143" i="5"/>
  <c r="BH143" i="5"/>
  <c r="BG143" i="5"/>
  <c r="BF143" i="5"/>
  <c r="BE143" i="5"/>
  <c r="BD143" i="5"/>
  <c r="BC143" i="5"/>
  <c r="BB143" i="5"/>
  <c r="BA143" i="5"/>
  <c r="AZ143" i="5"/>
  <c r="AY143" i="5"/>
  <c r="AX143" i="5"/>
  <c r="AW143" i="5"/>
  <c r="AU143" i="5"/>
  <c r="AT143" i="5"/>
  <c r="AD143" i="5"/>
  <c r="Z143" i="5"/>
  <c r="BK142" i="5"/>
  <c r="BJ142" i="5"/>
  <c r="BI142" i="5"/>
  <c r="BH142" i="5"/>
  <c r="BG142" i="5"/>
  <c r="BF142" i="5"/>
  <c r="BE142" i="5"/>
  <c r="BD142" i="5"/>
  <c r="BC142" i="5"/>
  <c r="BB142" i="5"/>
  <c r="BA142" i="5"/>
  <c r="AZ142" i="5"/>
  <c r="AY142" i="5"/>
  <c r="AX142" i="5"/>
  <c r="AW142" i="5"/>
  <c r="AU142" i="5"/>
  <c r="AT142" i="5"/>
  <c r="AD142" i="5"/>
  <c r="Z142" i="5"/>
  <c r="BK141" i="5"/>
  <c r="BJ141" i="5"/>
  <c r="BI141" i="5"/>
  <c r="BH141" i="5"/>
  <c r="BG141" i="5"/>
  <c r="BF141" i="5"/>
  <c r="BE141" i="5"/>
  <c r="BD141" i="5"/>
  <c r="BC141" i="5"/>
  <c r="BB141" i="5"/>
  <c r="BA141" i="5"/>
  <c r="AZ141" i="5"/>
  <c r="AY141" i="5"/>
  <c r="AX141" i="5"/>
  <c r="AW141" i="5"/>
  <c r="AU141" i="5"/>
  <c r="AT141" i="5"/>
  <c r="AD141" i="5"/>
  <c r="Z141" i="5"/>
  <c r="BK140" i="5"/>
  <c r="BJ140" i="5"/>
  <c r="BI140" i="5"/>
  <c r="BH140" i="5"/>
  <c r="BG140" i="5"/>
  <c r="BF140" i="5"/>
  <c r="BE140" i="5"/>
  <c r="BD140" i="5"/>
  <c r="BC140" i="5"/>
  <c r="BB140" i="5"/>
  <c r="BA140" i="5"/>
  <c r="AZ140" i="5"/>
  <c r="AY140" i="5"/>
  <c r="AX140" i="5"/>
  <c r="AW140" i="5"/>
  <c r="AU140" i="5"/>
  <c r="AT140" i="5"/>
  <c r="AD140" i="5"/>
  <c r="Z140" i="5"/>
  <c r="BK139" i="5"/>
  <c r="BJ139" i="5"/>
  <c r="BI139" i="5"/>
  <c r="BH139" i="5"/>
  <c r="BG139" i="5"/>
  <c r="BF139" i="5"/>
  <c r="BE139" i="5"/>
  <c r="BD139" i="5"/>
  <c r="BC139" i="5"/>
  <c r="BB139" i="5"/>
  <c r="BA139" i="5"/>
  <c r="AZ139" i="5"/>
  <c r="AY139" i="5"/>
  <c r="AX139" i="5"/>
  <c r="AW139" i="5"/>
  <c r="AU139" i="5"/>
  <c r="AT139" i="5"/>
  <c r="AD139" i="5"/>
  <c r="Z139" i="5"/>
  <c r="BK138" i="5"/>
  <c r="BJ138" i="5"/>
  <c r="BI138" i="5"/>
  <c r="BH138" i="5"/>
  <c r="BG138" i="5"/>
  <c r="BF138" i="5"/>
  <c r="BE138" i="5"/>
  <c r="BD138" i="5"/>
  <c r="BC138" i="5"/>
  <c r="BB138" i="5"/>
  <c r="BA138" i="5"/>
  <c r="AZ138" i="5"/>
  <c r="AY138" i="5"/>
  <c r="AX138" i="5"/>
  <c r="AW138" i="5"/>
  <c r="AU138" i="5"/>
  <c r="AT138" i="5"/>
  <c r="AD138" i="5"/>
  <c r="Z138" i="5"/>
  <c r="BK137" i="5"/>
  <c r="BJ137" i="5"/>
  <c r="BI137" i="5"/>
  <c r="BH137" i="5"/>
  <c r="BG137" i="5"/>
  <c r="BF137" i="5"/>
  <c r="BE137" i="5"/>
  <c r="BD137" i="5"/>
  <c r="BC137" i="5"/>
  <c r="BB137" i="5"/>
  <c r="BA137" i="5"/>
  <c r="AZ137" i="5"/>
  <c r="AY137" i="5"/>
  <c r="AX137" i="5"/>
  <c r="AW137" i="5"/>
  <c r="AU137" i="5"/>
  <c r="AT137" i="5"/>
  <c r="AD137" i="5"/>
  <c r="Z137" i="5"/>
  <c r="BK136" i="5"/>
  <c r="BJ136" i="5"/>
  <c r="BI136" i="5"/>
  <c r="BH136" i="5"/>
  <c r="BG136" i="5"/>
  <c r="BF136" i="5"/>
  <c r="BE136" i="5"/>
  <c r="BD136" i="5"/>
  <c r="BC136" i="5"/>
  <c r="BB136" i="5"/>
  <c r="BA136" i="5"/>
  <c r="AZ136" i="5"/>
  <c r="AY136" i="5"/>
  <c r="AX136" i="5"/>
  <c r="AW136" i="5"/>
  <c r="AU136" i="5"/>
  <c r="AT136" i="5"/>
  <c r="AD136" i="5"/>
  <c r="Z136" i="5"/>
  <c r="BK135" i="5"/>
  <c r="BJ135" i="5"/>
  <c r="BI135" i="5"/>
  <c r="BH135" i="5"/>
  <c r="BG135" i="5"/>
  <c r="BF135" i="5"/>
  <c r="BE135" i="5"/>
  <c r="BD135" i="5"/>
  <c r="BC135" i="5"/>
  <c r="BB135" i="5"/>
  <c r="BA135" i="5"/>
  <c r="AZ135" i="5"/>
  <c r="AY135" i="5"/>
  <c r="AX135" i="5"/>
  <c r="AW135" i="5"/>
  <c r="AU135" i="5"/>
  <c r="AT135" i="5"/>
  <c r="AD135" i="5"/>
  <c r="Z135" i="5"/>
  <c r="BK134" i="5"/>
  <c r="BJ134" i="5"/>
  <c r="BI134" i="5"/>
  <c r="BH134" i="5"/>
  <c r="BG134" i="5"/>
  <c r="BF134" i="5"/>
  <c r="BE134" i="5"/>
  <c r="BD134" i="5"/>
  <c r="BC134" i="5"/>
  <c r="BB134" i="5"/>
  <c r="BA134" i="5"/>
  <c r="AZ134" i="5"/>
  <c r="AY134" i="5"/>
  <c r="AX134" i="5"/>
  <c r="AW134" i="5"/>
  <c r="AU134" i="5"/>
  <c r="AT134" i="5"/>
  <c r="AD134" i="5"/>
  <c r="Z134" i="5"/>
  <c r="BK133" i="5"/>
  <c r="BJ133" i="5"/>
  <c r="BI133" i="5"/>
  <c r="BH133" i="5"/>
  <c r="BG133" i="5"/>
  <c r="BF133" i="5"/>
  <c r="BE133" i="5"/>
  <c r="BD133" i="5"/>
  <c r="BC133" i="5"/>
  <c r="BB133" i="5"/>
  <c r="BA133" i="5"/>
  <c r="AZ133" i="5"/>
  <c r="AY133" i="5"/>
  <c r="AX133" i="5"/>
  <c r="AW133" i="5"/>
  <c r="AU133" i="5"/>
  <c r="AT133" i="5"/>
  <c r="AD133" i="5"/>
  <c r="Z133" i="5"/>
  <c r="BK132" i="5"/>
  <c r="BJ132" i="5"/>
  <c r="BI132" i="5"/>
  <c r="BH132" i="5"/>
  <c r="BG132" i="5"/>
  <c r="BF132" i="5"/>
  <c r="BE132" i="5"/>
  <c r="BD132" i="5"/>
  <c r="BC132" i="5"/>
  <c r="BB132" i="5"/>
  <c r="BA132" i="5"/>
  <c r="AZ132" i="5"/>
  <c r="AY132" i="5"/>
  <c r="AX132" i="5"/>
  <c r="AW132" i="5"/>
  <c r="AU132" i="5"/>
  <c r="AT132" i="5"/>
  <c r="AD132" i="5"/>
  <c r="Z132" i="5"/>
  <c r="BK131" i="5"/>
  <c r="BJ131" i="5"/>
  <c r="BI131" i="5"/>
  <c r="BH131" i="5"/>
  <c r="BG131" i="5"/>
  <c r="BF131" i="5"/>
  <c r="BE131" i="5"/>
  <c r="BD131" i="5"/>
  <c r="BC131" i="5"/>
  <c r="BB131" i="5"/>
  <c r="BA131" i="5"/>
  <c r="AZ131" i="5"/>
  <c r="AY131" i="5"/>
  <c r="AX131" i="5"/>
  <c r="AW131" i="5"/>
  <c r="AU131" i="5"/>
  <c r="AT131" i="5"/>
  <c r="AD131" i="5"/>
  <c r="Z131" i="5"/>
  <c r="BK130" i="5"/>
  <c r="BJ130" i="5"/>
  <c r="BI130" i="5"/>
  <c r="BH130" i="5"/>
  <c r="BG130" i="5"/>
  <c r="BF130" i="5"/>
  <c r="BE130" i="5"/>
  <c r="BD130" i="5"/>
  <c r="BC130" i="5"/>
  <c r="BB130" i="5"/>
  <c r="BA130" i="5"/>
  <c r="AZ130" i="5"/>
  <c r="AY130" i="5"/>
  <c r="AX130" i="5"/>
  <c r="AW130" i="5"/>
  <c r="AU130" i="5"/>
  <c r="AT130" i="5"/>
  <c r="AD130" i="5"/>
  <c r="Z130" i="5"/>
  <c r="BK129" i="5"/>
  <c r="BJ129" i="5"/>
  <c r="BI129" i="5"/>
  <c r="BH129" i="5"/>
  <c r="BG129" i="5"/>
  <c r="BF129" i="5"/>
  <c r="BE129" i="5"/>
  <c r="BD129" i="5"/>
  <c r="BC129" i="5"/>
  <c r="BB129" i="5"/>
  <c r="BA129" i="5"/>
  <c r="AZ129" i="5"/>
  <c r="AY129" i="5"/>
  <c r="AX129" i="5"/>
  <c r="AW129" i="5"/>
  <c r="AU129" i="5"/>
  <c r="AT129" i="5"/>
  <c r="AD129" i="5"/>
  <c r="Z129" i="5"/>
  <c r="BK128" i="5"/>
  <c r="BJ128" i="5"/>
  <c r="BI128" i="5"/>
  <c r="BH128" i="5"/>
  <c r="BG128" i="5"/>
  <c r="BF128" i="5"/>
  <c r="BE128" i="5"/>
  <c r="BD128" i="5"/>
  <c r="BC128" i="5"/>
  <c r="BB128" i="5"/>
  <c r="BA128" i="5"/>
  <c r="AZ128" i="5"/>
  <c r="AY128" i="5"/>
  <c r="AX128" i="5"/>
  <c r="AW128" i="5"/>
  <c r="AU128" i="5"/>
  <c r="AT128" i="5"/>
  <c r="AD128" i="5"/>
  <c r="Z128" i="5"/>
  <c r="BK127" i="5"/>
  <c r="BJ127" i="5"/>
  <c r="BI127" i="5"/>
  <c r="BH127" i="5"/>
  <c r="BG127" i="5"/>
  <c r="BF127" i="5"/>
  <c r="BE127" i="5"/>
  <c r="BD127" i="5"/>
  <c r="BC127" i="5"/>
  <c r="BB127" i="5"/>
  <c r="BA127" i="5"/>
  <c r="AZ127" i="5"/>
  <c r="AY127" i="5"/>
  <c r="AX127" i="5"/>
  <c r="AW127" i="5"/>
  <c r="AU127" i="5"/>
  <c r="AT127" i="5"/>
  <c r="AD127" i="5"/>
  <c r="Z127" i="5"/>
  <c r="BK126" i="5"/>
  <c r="BJ126" i="5"/>
  <c r="BI126" i="5"/>
  <c r="BH126" i="5"/>
  <c r="BG126" i="5"/>
  <c r="BF126" i="5"/>
  <c r="BE126" i="5"/>
  <c r="BD126" i="5"/>
  <c r="BC126" i="5"/>
  <c r="BB126" i="5"/>
  <c r="BA126" i="5"/>
  <c r="AZ126" i="5"/>
  <c r="AY126" i="5"/>
  <c r="AX126" i="5"/>
  <c r="AW126" i="5"/>
  <c r="AU126" i="5"/>
  <c r="AT126" i="5"/>
  <c r="AD126" i="5"/>
  <c r="Z126" i="5"/>
  <c r="BK125" i="5"/>
  <c r="BJ125" i="5"/>
  <c r="BI125" i="5"/>
  <c r="BH125" i="5"/>
  <c r="BG125" i="5"/>
  <c r="BF125" i="5"/>
  <c r="BE125" i="5"/>
  <c r="BD125" i="5"/>
  <c r="BC125" i="5"/>
  <c r="BB125" i="5"/>
  <c r="BA125" i="5"/>
  <c r="AZ125" i="5"/>
  <c r="AY125" i="5"/>
  <c r="AX125" i="5"/>
  <c r="AW125" i="5"/>
  <c r="AU125" i="5"/>
  <c r="AT125" i="5"/>
  <c r="AD125" i="5"/>
  <c r="Z125" i="5"/>
  <c r="BK124" i="5"/>
  <c r="BJ124" i="5"/>
  <c r="BI124" i="5"/>
  <c r="BH124" i="5"/>
  <c r="BG124" i="5"/>
  <c r="BF124" i="5"/>
  <c r="BE124" i="5"/>
  <c r="BD124" i="5"/>
  <c r="BC124" i="5"/>
  <c r="BB124" i="5"/>
  <c r="BA124" i="5"/>
  <c r="AZ124" i="5"/>
  <c r="AY124" i="5"/>
  <c r="AX124" i="5"/>
  <c r="AW124" i="5"/>
  <c r="AU124" i="5"/>
  <c r="AT124" i="5"/>
  <c r="AD124" i="5"/>
  <c r="Z124" i="5"/>
  <c r="BK123" i="5"/>
  <c r="BJ123" i="5"/>
  <c r="BI123" i="5"/>
  <c r="BH123" i="5"/>
  <c r="BG123" i="5"/>
  <c r="BF123" i="5"/>
  <c r="BE123" i="5"/>
  <c r="BD123" i="5"/>
  <c r="BC123" i="5"/>
  <c r="BB123" i="5"/>
  <c r="BA123" i="5"/>
  <c r="AZ123" i="5"/>
  <c r="AY123" i="5"/>
  <c r="AX123" i="5"/>
  <c r="AW123" i="5"/>
  <c r="AU123" i="5"/>
  <c r="AT123" i="5"/>
  <c r="AD123" i="5"/>
  <c r="Z123" i="5"/>
  <c r="BK122" i="5"/>
  <c r="BJ122" i="5"/>
  <c r="BI122" i="5"/>
  <c r="BH122" i="5"/>
  <c r="BG122" i="5"/>
  <c r="BF122" i="5"/>
  <c r="BE122" i="5"/>
  <c r="BD122" i="5"/>
  <c r="BC122" i="5"/>
  <c r="BB122" i="5"/>
  <c r="BA122" i="5"/>
  <c r="AZ122" i="5"/>
  <c r="AY122" i="5"/>
  <c r="AX122" i="5"/>
  <c r="AW122" i="5"/>
  <c r="AU122" i="5"/>
  <c r="AT122" i="5"/>
  <c r="AD122" i="5"/>
  <c r="Z122" i="5"/>
  <c r="BK121" i="5"/>
  <c r="BJ121" i="5"/>
  <c r="BI121" i="5"/>
  <c r="BH121" i="5"/>
  <c r="BG121" i="5"/>
  <c r="BF121" i="5"/>
  <c r="BE121" i="5"/>
  <c r="BD121" i="5"/>
  <c r="BC121" i="5"/>
  <c r="BB121" i="5"/>
  <c r="BA121" i="5"/>
  <c r="AZ121" i="5"/>
  <c r="AY121" i="5"/>
  <c r="AX121" i="5"/>
  <c r="AW121" i="5"/>
  <c r="AU121" i="5"/>
  <c r="AT121" i="5"/>
  <c r="AD121" i="5"/>
  <c r="Z121" i="5"/>
  <c r="BK120" i="5"/>
  <c r="BJ120" i="5"/>
  <c r="BI120" i="5"/>
  <c r="BH120" i="5"/>
  <c r="BG120" i="5"/>
  <c r="BF120" i="5"/>
  <c r="BE120" i="5"/>
  <c r="BD120" i="5"/>
  <c r="BC120" i="5"/>
  <c r="BB120" i="5"/>
  <c r="BA120" i="5"/>
  <c r="AZ120" i="5"/>
  <c r="AY120" i="5"/>
  <c r="AX120" i="5"/>
  <c r="AW120" i="5"/>
  <c r="AU120" i="5"/>
  <c r="AT120" i="5"/>
  <c r="AD120" i="5"/>
  <c r="Z120" i="5"/>
  <c r="BK119" i="5"/>
  <c r="BJ119" i="5"/>
  <c r="BI119" i="5"/>
  <c r="BH119" i="5"/>
  <c r="BG119" i="5"/>
  <c r="BF119" i="5"/>
  <c r="BE119" i="5"/>
  <c r="BD119" i="5"/>
  <c r="BC119" i="5"/>
  <c r="BB119" i="5"/>
  <c r="BA119" i="5"/>
  <c r="AZ119" i="5"/>
  <c r="AY119" i="5"/>
  <c r="AX119" i="5"/>
  <c r="AW119" i="5"/>
  <c r="AU119" i="5"/>
  <c r="AT119" i="5"/>
  <c r="AD119" i="5"/>
  <c r="Z119" i="5"/>
  <c r="BK118" i="5"/>
  <c r="BJ118" i="5"/>
  <c r="BI118" i="5"/>
  <c r="BH118" i="5"/>
  <c r="BG118" i="5"/>
  <c r="BF118" i="5"/>
  <c r="BE118" i="5"/>
  <c r="BD118" i="5"/>
  <c r="BC118" i="5"/>
  <c r="BB118" i="5"/>
  <c r="BA118" i="5"/>
  <c r="AZ118" i="5"/>
  <c r="AY118" i="5"/>
  <c r="AX118" i="5"/>
  <c r="AW118" i="5"/>
  <c r="AU118" i="5"/>
  <c r="AT118" i="5"/>
  <c r="AD118" i="5"/>
  <c r="Z118" i="5"/>
  <c r="BK117" i="5"/>
  <c r="BJ117" i="5"/>
  <c r="BI117" i="5"/>
  <c r="BH117" i="5"/>
  <c r="BG117" i="5"/>
  <c r="BF117" i="5"/>
  <c r="BE117" i="5"/>
  <c r="BD117" i="5"/>
  <c r="BC117" i="5"/>
  <c r="BB117" i="5"/>
  <c r="BA117" i="5"/>
  <c r="AZ117" i="5"/>
  <c r="AY117" i="5"/>
  <c r="AX117" i="5"/>
  <c r="AW117" i="5"/>
  <c r="AU117" i="5"/>
  <c r="AT117" i="5"/>
  <c r="AD117" i="5"/>
  <c r="Z117" i="5"/>
  <c r="BK116" i="5"/>
  <c r="BJ116" i="5"/>
  <c r="BI116" i="5"/>
  <c r="BH116" i="5"/>
  <c r="BG116" i="5"/>
  <c r="BF116" i="5"/>
  <c r="BE116" i="5"/>
  <c r="BD116" i="5"/>
  <c r="BC116" i="5"/>
  <c r="BB116" i="5"/>
  <c r="BA116" i="5"/>
  <c r="AZ116" i="5"/>
  <c r="AY116" i="5"/>
  <c r="AX116" i="5"/>
  <c r="AW116" i="5"/>
  <c r="AU116" i="5"/>
  <c r="AT116" i="5"/>
  <c r="AD116" i="5"/>
  <c r="Z116" i="5"/>
  <c r="BK115" i="5"/>
  <c r="BJ115" i="5"/>
  <c r="BI115" i="5"/>
  <c r="BH115" i="5"/>
  <c r="BG115" i="5"/>
  <c r="BF115" i="5"/>
  <c r="BE115" i="5"/>
  <c r="BD115" i="5"/>
  <c r="BC115" i="5"/>
  <c r="BB115" i="5"/>
  <c r="BA115" i="5"/>
  <c r="AZ115" i="5"/>
  <c r="AY115" i="5"/>
  <c r="AX115" i="5"/>
  <c r="AW115" i="5"/>
  <c r="AU115" i="5"/>
  <c r="AT115" i="5"/>
  <c r="AD115" i="5"/>
  <c r="Z115" i="5"/>
  <c r="BK114" i="5"/>
  <c r="BJ114" i="5"/>
  <c r="BI114" i="5"/>
  <c r="BH114" i="5"/>
  <c r="BG114" i="5"/>
  <c r="BF114" i="5"/>
  <c r="BE114" i="5"/>
  <c r="BD114" i="5"/>
  <c r="BC114" i="5"/>
  <c r="BB114" i="5"/>
  <c r="BA114" i="5"/>
  <c r="AZ114" i="5"/>
  <c r="AY114" i="5"/>
  <c r="AX114" i="5"/>
  <c r="AW114" i="5"/>
  <c r="AU114" i="5"/>
  <c r="AT114" i="5"/>
  <c r="AD114" i="5"/>
  <c r="Z114" i="5"/>
  <c r="BK113" i="5"/>
  <c r="BJ113" i="5"/>
  <c r="BI113" i="5"/>
  <c r="BH113" i="5"/>
  <c r="BG113" i="5"/>
  <c r="BF113" i="5"/>
  <c r="BE113" i="5"/>
  <c r="BD113" i="5"/>
  <c r="BC113" i="5"/>
  <c r="BB113" i="5"/>
  <c r="BA113" i="5"/>
  <c r="AZ113" i="5"/>
  <c r="AY113" i="5"/>
  <c r="AX113" i="5"/>
  <c r="AW113" i="5"/>
  <c r="AU113" i="5"/>
  <c r="AT113" i="5"/>
  <c r="AD113" i="5"/>
  <c r="Z113" i="5"/>
  <c r="BK112" i="5"/>
  <c r="BJ112" i="5"/>
  <c r="BI112" i="5"/>
  <c r="BH112" i="5"/>
  <c r="BG112" i="5"/>
  <c r="BF112" i="5"/>
  <c r="BE112" i="5"/>
  <c r="BD112" i="5"/>
  <c r="BC112" i="5"/>
  <c r="BB112" i="5"/>
  <c r="BA112" i="5"/>
  <c r="AZ112" i="5"/>
  <c r="AY112" i="5"/>
  <c r="AX112" i="5"/>
  <c r="AW112" i="5"/>
  <c r="AU112" i="5"/>
  <c r="AT112" i="5"/>
  <c r="AD112" i="5"/>
  <c r="Z112" i="5"/>
  <c r="BK111" i="5"/>
  <c r="BJ111" i="5"/>
  <c r="BI111" i="5"/>
  <c r="BH111" i="5"/>
  <c r="BG111" i="5"/>
  <c r="BF111" i="5"/>
  <c r="BE111" i="5"/>
  <c r="BD111" i="5"/>
  <c r="BC111" i="5"/>
  <c r="BB111" i="5"/>
  <c r="BA111" i="5"/>
  <c r="AZ111" i="5"/>
  <c r="AY111" i="5"/>
  <c r="AX111" i="5"/>
  <c r="AW111" i="5"/>
  <c r="AU111" i="5"/>
  <c r="AT111" i="5"/>
  <c r="AD111" i="5"/>
  <c r="Z111" i="5"/>
  <c r="BK110" i="5"/>
  <c r="BJ110" i="5"/>
  <c r="BI110" i="5"/>
  <c r="BH110" i="5"/>
  <c r="BG110" i="5"/>
  <c r="BF110" i="5"/>
  <c r="BE110" i="5"/>
  <c r="BD110" i="5"/>
  <c r="BC110" i="5"/>
  <c r="BB110" i="5"/>
  <c r="BA110" i="5"/>
  <c r="AZ110" i="5"/>
  <c r="AY110" i="5"/>
  <c r="AX110" i="5"/>
  <c r="AW110" i="5"/>
  <c r="AU110" i="5"/>
  <c r="AT110" i="5"/>
  <c r="AD110" i="5"/>
  <c r="Z110" i="5"/>
  <c r="BK109" i="5"/>
  <c r="BJ109" i="5"/>
  <c r="BI109" i="5"/>
  <c r="BH109" i="5"/>
  <c r="BG109" i="5"/>
  <c r="BF109" i="5"/>
  <c r="BE109" i="5"/>
  <c r="BD109" i="5"/>
  <c r="BC109" i="5"/>
  <c r="BB109" i="5"/>
  <c r="BA109" i="5"/>
  <c r="AZ109" i="5"/>
  <c r="AY109" i="5"/>
  <c r="AX109" i="5"/>
  <c r="AW109" i="5"/>
  <c r="AU109" i="5"/>
  <c r="AT109" i="5"/>
  <c r="AD109" i="5"/>
  <c r="Z109" i="5"/>
  <c r="BK108" i="5"/>
  <c r="BJ108" i="5"/>
  <c r="BI108" i="5"/>
  <c r="BH108" i="5"/>
  <c r="BG108" i="5"/>
  <c r="BF108" i="5"/>
  <c r="BE108" i="5"/>
  <c r="BD108" i="5"/>
  <c r="BC108" i="5"/>
  <c r="BB108" i="5"/>
  <c r="BA108" i="5"/>
  <c r="AZ108" i="5"/>
  <c r="AY108" i="5"/>
  <c r="AX108" i="5"/>
  <c r="AW108" i="5"/>
  <c r="AU108" i="5"/>
  <c r="AT108" i="5"/>
  <c r="AD108" i="5"/>
  <c r="Z108" i="5"/>
  <c r="BK107" i="5"/>
  <c r="BJ107" i="5"/>
  <c r="BI107" i="5"/>
  <c r="BH107" i="5"/>
  <c r="BG107" i="5"/>
  <c r="BF107" i="5"/>
  <c r="BE107" i="5"/>
  <c r="BD107" i="5"/>
  <c r="BC107" i="5"/>
  <c r="BB107" i="5"/>
  <c r="BA107" i="5"/>
  <c r="AZ107" i="5"/>
  <c r="AY107" i="5"/>
  <c r="AX107" i="5"/>
  <c r="AW107" i="5"/>
  <c r="AU107" i="5"/>
  <c r="AT107" i="5"/>
  <c r="AD107" i="5"/>
  <c r="Z107" i="5"/>
  <c r="BK106" i="5"/>
  <c r="BJ106" i="5"/>
  <c r="BI106" i="5"/>
  <c r="BH106" i="5"/>
  <c r="BG106" i="5"/>
  <c r="BF106" i="5"/>
  <c r="BE106" i="5"/>
  <c r="BD106" i="5"/>
  <c r="BC106" i="5"/>
  <c r="BB106" i="5"/>
  <c r="BA106" i="5"/>
  <c r="AZ106" i="5"/>
  <c r="AY106" i="5"/>
  <c r="AX106" i="5"/>
  <c r="AW106" i="5"/>
  <c r="AU106" i="5"/>
  <c r="AT106" i="5"/>
  <c r="AD106" i="5"/>
  <c r="Z106" i="5"/>
  <c r="BK105" i="5"/>
  <c r="BJ105" i="5"/>
  <c r="BI105" i="5"/>
  <c r="BH105" i="5"/>
  <c r="BG105" i="5"/>
  <c r="BF105" i="5"/>
  <c r="BE105" i="5"/>
  <c r="BD105" i="5"/>
  <c r="BC105" i="5"/>
  <c r="BB105" i="5"/>
  <c r="BA105" i="5"/>
  <c r="AZ105" i="5"/>
  <c r="AY105" i="5"/>
  <c r="AX105" i="5"/>
  <c r="AW105" i="5"/>
  <c r="AU105" i="5"/>
  <c r="AT105" i="5"/>
  <c r="AD105" i="5"/>
  <c r="Z105" i="5"/>
  <c r="BK104" i="5"/>
  <c r="BJ104" i="5"/>
  <c r="BI104" i="5"/>
  <c r="BH104" i="5"/>
  <c r="BG104" i="5"/>
  <c r="BF104" i="5"/>
  <c r="BE104" i="5"/>
  <c r="BD104" i="5"/>
  <c r="BC104" i="5"/>
  <c r="BB104" i="5"/>
  <c r="BA104" i="5"/>
  <c r="AZ104" i="5"/>
  <c r="AY104" i="5"/>
  <c r="AX104" i="5"/>
  <c r="AW104" i="5"/>
  <c r="AU104" i="5"/>
  <c r="AT104" i="5"/>
  <c r="AD104" i="5"/>
  <c r="Z104" i="5"/>
  <c r="BK103" i="5"/>
  <c r="BJ103" i="5"/>
  <c r="BI103" i="5"/>
  <c r="BH103" i="5"/>
  <c r="BG103" i="5"/>
  <c r="BF103" i="5"/>
  <c r="BE103" i="5"/>
  <c r="BD103" i="5"/>
  <c r="BC103" i="5"/>
  <c r="BB103" i="5"/>
  <c r="BA103" i="5"/>
  <c r="AZ103" i="5"/>
  <c r="AY103" i="5"/>
  <c r="AX103" i="5"/>
  <c r="AW103" i="5"/>
  <c r="AU103" i="5"/>
  <c r="AT103" i="5"/>
  <c r="AD103" i="5"/>
  <c r="Z103" i="5"/>
  <c r="BK102" i="5"/>
  <c r="BJ102" i="5"/>
  <c r="BI102" i="5"/>
  <c r="BH102" i="5"/>
  <c r="BG102" i="5"/>
  <c r="BF102" i="5"/>
  <c r="BE102" i="5"/>
  <c r="BD102" i="5"/>
  <c r="BC102" i="5"/>
  <c r="BB102" i="5"/>
  <c r="BA102" i="5"/>
  <c r="AZ102" i="5"/>
  <c r="AY102" i="5"/>
  <c r="AX102" i="5"/>
  <c r="AW102" i="5"/>
  <c r="AU102" i="5"/>
  <c r="AT102" i="5"/>
  <c r="AD102" i="5"/>
  <c r="Z102" i="5"/>
  <c r="BK101" i="5"/>
  <c r="BJ101" i="5"/>
  <c r="BI101" i="5"/>
  <c r="BH101" i="5"/>
  <c r="BG101" i="5"/>
  <c r="BF101" i="5"/>
  <c r="BE101" i="5"/>
  <c r="BD101" i="5"/>
  <c r="BC101" i="5"/>
  <c r="BB101" i="5"/>
  <c r="BA101" i="5"/>
  <c r="AZ101" i="5"/>
  <c r="AY101" i="5"/>
  <c r="AX101" i="5"/>
  <c r="AW101" i="5"/>
  <c r="AU101" i="5"/>
  <c r="AT101" i="5"/>
  <c r="AD101" i="5"/>
  <c r="Z101" i="5"/>
  <c r="BK100" i="5"/>
  <c r="BJ100" i="5"/>
  <c r="BI100" i="5"/>
  <c r="BH100" i="5"/>
  <c r="BG100" i="5"/>
  <c r="BF100" i="5"/>
  <c r="BE100" i="5"/>
  <c r="BD100" i="5"/>
  <c r="BC100" i="5"/>
  <c r="BB100" i="5"/>
  <c r="BA100" i="5"/>
  <c r="AZ100" i="5"/>
  <c r="AY100" i="5"/>
  <c r="AX100" i="5"/>
  <c r="AW100" i="5"/>
  <c r="AU100" i="5"/>
  <c r="AT100" i="5"/>
  <c r="AD100" i="5"/>
  <c r="Z100" i="5"/>
  <c r="BK99" i="5"/>
  <c r="BJ99" i="5"/>
  <c r="BI99" i="5"/>
  <c r="BH99" i="5"/>
  <c r="BG99" i="5"/>
  <c r="BF99" i="5"/>
  <c r="BE99" i="5"/>
  <c r="BD99" i="5"/>
  <c r="BC99" i="5"/>
  <c r="BB99" i="5"/>
  <c r="BA99" i="5"/>
  <c r="AZ99" i="5"/>
  <c r="AY99" i="5"/>
  <c r="AX99" i="5"/>
  <c r="AW99" i="5"/>
  <c r="AU99" i="5"/>
  <c r="AT99" i="5"/>
  <c r="AD99" i="5"/>
  <c r="Z99" i="5"/>
  <c r="BK98" i="5"/>
  <c r="BJ98" i="5"/>
  <c r="BI98" i="5"/>
  <c r="BH98" i="5"/>
  <c r="BG98" i="5"/>
  <c r="BF98" i="5"/>
  <c r="BE98" i="5"/>
  <c r="BD98" i="5"/>
  <c r="BC98" i="5"/>
  <c r="BB98" i="5"/>
  <c r="BA98" i="5"/>
  <c r="AZ98" i="5"/>
  <c r="AY98" i="5"/>
  <c r="AX98" i="5"/>
  <c r="AW98" i="5"/>
  <c r="AU98" i="5"/>
  <c r="AT98" i="5"/>
  <c r="AD98" i="5"/>
  <c r="Z98" i="5"/>
  <c r="BK97" i="5"/>
  <c r="BJ97" i="5"/>
  <c r="BI97" i="5"/>
  <c r="BH97" i="5"/>
  <c r="BG97" i="5"/>
  <c r="BF97" i="5"/>
  <c r="BE97" i="5"/>
  <c r="BD97" i="5"/>
  <c r="BC97" i="5"/>
  <c r="BB97" i="5"/>
  <c r="BA97" i="5"/>
  <c r="AZ97" i="5"/>
  <c r="AY97" i="5"/>
  <c r="AX97" i="5"/>
  <c r="AW97" i="5"/>
  <c r="AU97" i="5"/>
  <c r="AT97" i="5"/>
  <c r="AD97" i="5"/>
  <c r="Z97" i="5"/>
  <c r="BK96" i="5"/>
  <c r="BJ96" i="5"/>
  <c r="BI96" i="5"/>
  <c r="BH96" i="5"/>
  <c r="BG96" i="5"/>
  <c r="BF96" i="5"/>
  <c r="BE96" i="5"/>
  <c r="BD96" i="5"/>
  <c r="BC96" i="5"/>
  <c r="BB96" i="5"/>
  <c r="BA96" i="5"/>
  <c r="AZ96" i="5"/>
  <c r="AY96" i="5"/>
  <c r="AX96" i="5"/>
  <c r="AW96" i="5"/>
  <c r="AU96" i="5"/>
  <c r="AT96" i="5"/>
  <c r="AD96" i="5"/>
  <c r="Z96" i="5"/>
  <c r="BK95" i="5"/>
  <c r="BJ95" i="5"/>
  <c r="BI95" i="5"/>
  <c r="BH95" i="5"/>
  <c r="BG95" i="5"/>
  <c r="BF95" i="5"/>
  <c r="BE95" i="5"/>
  <c r="BD95" i="5"/>
  <c r="BC95" i="5"/>
  <c r="BB95" i="5"/>
  <c r="BA95" i="5"/>
  <c r="AZ95" i="5"/>
  <c r="AY95" i="5"/>
  <c r="AX95" i="5"/>
  <c r="AW95" i="5"/>
  <c r="AU95" i="5"/>
  <c r="AT95" i="5"/>
  <c r="AD95" i="5"/>
  <c r="Z95" i="5"/>
  <c r="BK94" i="5"/>
  <c r="BJ94" i="5"/>
  <c r="BI94" i="5"/>
  <c r="BH94" i="5"/>
  <c r="BG94" i="5"/>
  <c r="BF94" i="5"/>
  <c r="BE94" i="5"/>
  <c r="BD94" i="5"/>
  <c r="BC94" i="5"/>
  <c r="BB94" i="5"/>
  <c r="BA94" i="5"/>
  <c r="AZ94" i="5"/>
  <c r="AY94" i="5"/>
  <c r="AX94" i="5"/>
  <c r="AW94" i="5"/>
  <c r="AU94" i="5"/>
  <c r="AT94" i="5"/>
  <c r="AD94" i="5"/>
  <c r="Z94" i="5"/>
  <c r="BK93" i="5"/>
  <c r="BJ93" i="5"/>
  <c r="BI93" i="5"/>
  <c r="BH93" i="5"/>
  <c r="BG93" i="5"/>
  <c r="BF93" i="5"/>
  <c r="BE93" i="5"/>
  <c r="BD93" i="5"/>
  <c r="BC93" i="5"/>
  <c r="BB93" i="5"/>
  <c r="BA93" i="5"/>
  <c r="AZ93" i="5"/>
  <c r="AY93" i="5"/>
  <c r="AX93" i="5"/>
  <c r="AW93" i="5"/>
  <c r="AU93" i="5"/>
  <c r="AT93" i="5"/>
  <c r="AD93" i="5"/>
  <c r="Z93" i="5"/>
  <c r="BK92" i="5"/>
  <c r="BJ92" i="5"/>
  <c r="BI92" i="5"/>
  <c r="BH92" i="5"/>
  <c r="BG92" i="5"/>
  <c r="BF92" i="5"/>
  <c r="BE92" i="5"/>
  <c r="BD92" i="5"/>
  <c r="BC92" i="5"/>
  <c r="BB92" i="5"/>
  <c r="BA92" i="5"/>
  <c r="AZ92" i="5"/>
  <c r="AY92" i="5"/>
  <c r="AX92" i="5"/>
  <c r="AW92" i="5"/>
  <c r="AU92" i="5"/>
  <c r="AT92" i="5"/>
  <c r="AD92" i="5"/>
  <c r="Z92" i="5"/>
  <c r="BK91" i="5"/>
  <c r="BJ91" i="5"/>
  <c r="BI91" i="5"/>
  <c r="BH91" i="5"/>
  <c r="BG91" i="5"/>
  <c r="BF91" i="5"/>
  <c r="BE91" i="5"/>
  <c r="BD91" i="5"/>
  <c r="BC91" i="5"/>
  <c r="BB91" i="5"/>
  <c r="BA91" i="5"/>
  <c r="AZ91" i="5"/>
  <c r="AY91" i="5"/>
  <c r="AX91" i="5"/>
  <c r="AW91" i="5"/>
  <c r="AU91" i="5"/>
  <c r="AT91" i="5"/>
  <c r="AD91" i="5"/>
  <c r="Z91" i="5"/>
  <c r="BK90" i="5"/>
  <c r="BJ90" i="5"/>
  <c r="BI90" i="5"/>
  <c r="BH90" i="5"/>
  <c r="BG90" i="5"/>
  <c r="BF90" i="5"/>
  <c r="BE90" i="5"/>
  <c r="BD90" i="5"/>
  <c r="BC90" i="5"/>
  <c r="BB90" i="5"/>
  <c r="BA90" i="5"/>
  <c r="AZ90" i="5"/>
  <c r="AY90" i="5"/>
  <c r="AX90" i="5"/>
  <c r="AW90" i="5"/>
  <c r="AU90" i="5"/>
  <c r="AT90" i="5"/>
  <c r="AD90" i="5"/>
  <c r="Z90" i="5"/>
  <c r="BK89" i="5"/>
  <c r="BJ89" i="5"/>
  <c r="BI89" i="5"/>
  <c r="BH89" i="5"/>
  <c r="BG89" i="5"/>
  <c r="BF89" i="5"/>
  <c r="BE89" i="5"/>
  <c r="BD89" i="5"/>
  <c r="BC89" i="5"/>
  <c r="BB89" i="5"/>
  <c r="BA89" i="5"/>
  <c r="AZ89" i="5"/>
  <c r="AY89" i="5"/>
  <c r="AX89" i="5"/>
  <c r="AW89" i="5"/>
  <c r="AU89" i="5"/>
  <c r="AT89" i="5"/>
  <c r="AD89" i="5"/>
  <c r="Z89" i="5"/>
  <c r="BK88" i="5"/>
  <c r="BJ88" i="5"/>
  <c r="BI88" i="5"/>
  <c r="BH88" i="5"/>
  <c r="BG88" i="5"/>
  <c r="BF88" i="5"/>
  <c r="BE88" i="5"/>
  <c r="BD88" i="5"/>
  <c r="BC88" i="5"/>
  <c r="BB88" i="5"/>
  <c r="BA88" i="5"/>
  <c r="AZ88" i="5"/>
  <c r="AY88" i="5"/>
  <c r="AX88" i="5"/>
  <c r="AW88" i="5"/>
  <c r="AU88" i="5"/>
  <c r="AT88" i="5"/>
  <c r="AD88" i="5"/>
  <c r="Z88" i="5"/>
  <c r="BK87" i="5"/>
  <c r="BJ87" i="5"/>
  <c r="BI87" i="5"/>
  <c r="BH87" i="5"/>
  <c r="BG87" i="5"/>
  <c r="BF87" i="5"/>
  <c r="BE87" i="5"/>
  <c r="BD87" i="5"/>
  <c r="BC87" i="5"/>
  <c r="BB87" i="5"/>
  <c r="BA87" i="5"/>
  <c r="AZ87" i="5"/>
  <c r="AY87" i="5"/>
  <c r="AX87" i="5"/>
  <c r="AW87" i="5"/>
  <c r="AU87" i="5"/>
  <c r="AT87" i="5"/>
  <c r="AD87" i="5"/>
  <c r="Z87" i="5"/>
  <c r="BK86" i="5"/>
  <c r="BJ86" i="5"/>
  <c r="BI86" i="5"/>
  <c r="BH86" i="5"/>
  <c r="BG86" i="5"/>
  <c r="BF86" i="5"/>
  <c r="BE86" i="5"/>
  <c r="BD86" i="5"/>
  <c r="BC86" i="5"/>
  <c r="BB86" i="5"/>
  <c r="BA86" i="5"/>
  <c r="AZ86" i="5"/>
  <c r="AY86" i="5"/>
  <c r="AX86" i="5"/>
  <c r="AW86" i="5"/>
  <c r="AU86" i="5"/>
  <c r="AT86" i="5"/>
  <c r="AD86" i="5"/>
  <c r="Z86" i="5"/>
  <c r="BK85" i="5"/>
  <c r="BJ85" i="5"/>
  <c r="BI85" i="5"/>
  <c r="BH85" i="5"/>
  <c r="BG85" i="5"/>
  <c r="BF85" i="5"/>
  <c r="BE85" i="5"/>
  <c r="BD85" i="5"/>
  <c r="BC85" i="5"/>
  <c r="BB85" i="5"/>
  <c r="BA85" i="5"/>
  <c r="AZ85" i="5"/>
  <c r="AY85" i="5"/>
  <c r="AX85" i="5"/>
  <c r="AW85" i="5"/>
  <c r="AU85" i="5"/>
  <c r="AT85" i="5"/>
  <c r="AD85" i="5"/>
  <c r="Z85" i="5"/>
  <c r="BK84" i="5"/>
  <c r="BJ84" i="5"/>
  <c r="BI84" i="5"/>
  <c r="BH84" i="5"/>
  <c r="BG84" i="5"/>
  <c r="BF84" i="5"/>
  <c r="BE84" i="5"/>
  <c r="BD84" i="5"/>
  <c r="BC84" i="5"/>
  <c r="BB84" i="5"/>
  <c r="BA84" i="5"/>
  <c r="AZ84" i="5"/>
  <c r="AY84" i="5"/>
  <c r="AX84" i="5"/>
  <c r="AW84" i="5"/>
  <c r="AU84" i="5"/>
  <c r="AT84" i="5"/>
  <c r="AD84" i="5"/>
  <c r="Z84" i="5"/>
  <c r="BK83" i="5"/>
  <c r="BJ83" i="5"/>
  <c r="BI83" i="5"/>
  <c r="BH83" i="5"/>
  <c r="BG83" i="5"/>
  <c r="BF83" i="5"/>
  <c r="BE83" i="5"/>
  <c r="BD83" i="5"/>
  <c r="BC83" i="5"/>
  <c r="BB83" i="5"/>
  <c r="BA83" i="5"/>
  <c r="AZ83" i="5"/>
  <c r="AY83" i="5"/>
  <c r="AX83" i="5"/>
  <c r="AW83" i="5"/>
  <c r="AU83" i="5"/>
  <c r="AT83" i="5"/>
  <c r="AD83" i="5"/>
  <c r="Z83" i="5"/>
  <c r="BK82" i="5"/>
  <c r="BJ82" i="5"/>
  <c r="BI82" i="5"/>
  <c r="BH82" i="5"/>
  <c r="BG82" i="5"/>
  <c r="BF82" i="5"/>
  <c r="BE82" i="5"/>
  <c r="BD82" i="5"/>
  <c r="BC82" i="5"/>
  <c r="BB82" i="5"/>
  <c r="BA82" i="5"/>
  <c r="AZ82" i="5"/>
  <c r="AY82" i="5"/>
  <c r="AX82" i="5"/>
  <c r="AW82" i="5"/>
  <c r="AU82" i="5"/>
  <c r="AT82" i="5"/>
  <c r="AD82" i="5"/>
  <c r="Z82" i="5"/>
  <c r="BK81" i="5"/>
  <c r="BJ81" i="5"/>
  <c r="BI81" i="5"/>
  <c r="BH81" i="5"/>
  <c r="BG81" i="5"/>
  <c r="BF81" i="5"/>
  <c r="BE81" i="5"/>
  <c r="BD81" i="5"/>
  <c r="BC81" i="5"/>
  <c r="BB81" i="5"/>
  <c r="BA81" i="5"/>
  <c r="AZ81" i="5"/>
  <c r="AY81" i="5"/>
  <c r="AX81" i="5"/>
  <c r="AW81" i="5"/>
  <c r="AU81" i="5"/>
  <c r="AT81" i="5"/>
  <c r="AD81" i="5"/>
  <c r="Z81" i="5"/>
  <c r="BK80" i="5"/>
  <c r="BJ80" i="5"/>
  <c r="BI80" i="5"/>
  <c r="BH80" i="5"/>
  <c r="BG80" i="5"/>
  <c r="BF80" i="5"/>
  <c r="BE80" i="5"/>
  <c r="BD80" i="5"/>
  <c r="BC80" i="5"/>
  <c r="BB80" i="5"/>
  <c r="BA80" i="5"/>
  <c r="AZ80" i="5"/>
  <c r="AY80" i="5"/>
  <c r="AX80" i="5"/>
  <c r="AW80" i="5"/>
  <c r="AU80" i="5"/>
  <c r="AT80" i="5"/>
  <c r="AD80" i="5"/>
  <c r="Z80" i="5"/>
  <c r="BK79" i="5"/>
  <c r="BJ79" i="5"/>
  <c r="BI79" i="5"/>
  <c r="BH79" i="5"/>
  <c r="BG79" i="5"/>
  <c r="BF79" i="5"/>
  <c r="BE79" i="5"/>
  <c r="BD79" i="5"/>
  <c r="BC79" i="5"/>
  <c r="BB79" i="5"/>
  <c r="BA79" i="5"/>
  <c r="AZ79" i="5"/>
  <c r="AY79" i="5"/>
  <c r="AX79" i="5"/>
  <c r="AW79" i="5"/>
  <c r="AU79" i="5"/>
  <c r="AT79" i="5"/>
  <c r="AD79" i="5"/>
  <c r="Z79" i="5"/>
  <c r="BK78" i="5"/>
  <c r="BJ78" i="5"/>
  <c r="BI78" i="5"/>
  <c r="BH78" i="5"/>
  <c r="BG78" i="5"/>
  <c r="BF78" i="5"/>
  <c r="BE78" i="5"/>
  <c r="BD78" i="5"/>
  <c r="BC78" i="5"/>
  <c r="BB78" i="5"/>
  <c r="BA78" i="5"/>
  <c r="AZ78" i="5"/>
  <c r="AY78" i="5"/>
  <c r="AX78" i="5"/>
  <c r="AW78" i="5"/>
  <c r="AU78" i="5"/>
  <c r="AT78" i="5"/>
  <c r="AD78" i="5"/>
  <c r="Z78" i="5"/>
  <c r="BK77" i="5"/>
  <c r="BJ77" i="5"/>
  <c r="BI77" i="5"/>
  <c r="BH77" i="5"/>
  <c r="BG77" i="5"/>
  <c r="BF77" i="5"/>
  <c r="BE77" i="5"/>
  <c r="BD77" i="5"/>
  <c r="BC77" i="5"/>
  <c r="BB77" i="5"/>
  <c r="BA77" i="5"/>
  <c r="AZ77" i="5"/>
  <c r="AY77" i="5"/>
  <c r="AX77" i="5"/>
  <c r="AW77" i="5"/>
  <c r="AU77" i="5"/>
  <c r="AT77" i="5"/>
  <c r="AD77" i="5"/>
  <c r="Z77" i="5"/>
  <c r="BK76" i="5"/>
  <c r="BJ76" i="5"/>
  <c r="BI76" i="5"/>
  <c r="BH76" i="5"/>
  <c r="BG76" i="5"/>
  <c r="BF76" i="5"/>
  <c r="BE76" i="5"/>
  <c r="BD76" i="5"/>
  <c r="BC76" i="5"/>
  <c r="BB76" i="5"/>
  <c r="BA76" i="5"/>
  <c r="AZ76" i="5"/>
  <c r="AY76" i="5"/>
  <c r="AX76" i="5"/>
  <c r="AW76" i="5"/>
  <c r="AU76" i="5"/>
  <c r="AT76" i="5"/>
  <c r="AD76" i="5"/>
  <c r="Z76" i="5"/>
  <c r="BK75" i="5"/>
  <c r="BJ75" i="5"/>
  <c r="BI75" i="5"/>
  <c r="BH75" i="5"/>
  <c r="BG75" i="5"/>
  <c r="BF75" i="5"/>
  <c r="BE75" i="5"/>
  <c r="BD75" i="5"/>
  <c r="BC75" i="5"/>
  <c r="BB75" i="5"/>
  <c r="BA75" i="5"/>
  <c r="AZ75" i="5"/>
  <c r="AY75" i="5"/>
  <c r="AX75" i="5"/>
  <c r="AW75" i="5"/>
  <c r="AU75" i="5"/>
  <c r="AT75" i="5"/>
  <c r="AD75" i="5"/>
  <c r="Z75" i="5"/>
  <c r="BK74" i="5"/>
  <c r="BJ74" i="5"/>
  <c r="BI74" i="5"/>
  <c r="BH74" i="5"/>
  <c r="BG74" i="5"/>
  <c r="BF74" i="5"/>
  <c r="BE74" i="5"/>
  <c r="BD74" i="5"/>
  <c r="BC74" i="5"/>
  <c r="BB74" i="5"/>
  <c r="BA74" i="5"/>
  <c r="AZ74" i="5"/>
  <c r="AY74" i="5"/>
  <c r="AX74" i="5"/>
  <c r="AW74" i="5"/>
  <c r="AU74" i="5"/>
  <c r="AT74" i="5"/>
  <c r="AD74" i="5"/>
  <c r="Z74" i="5"/>
  <c r="BK73" i="5"/>
  <c r="BJ73" i="5"/>
  <c r="BI73" i="5"/>
  <c r="BH73" i="5"/>
  <c r="BG73" i="5"/>
  <c r="BF73" i="5"/>
  <c r="BE73" i="5"/>
  <c r="BD73" i="5"/>
  <c r="BC73" i="5"/>
  <c r="BB73" i="5"/>
  <c r="BA73" i="5"/>
  <c r="AZ73" i="5"/>
  <c r="AY73" i="5"/>
  <c r="AX73" i="5"/>
  <c r="AW73" i="5"/>
  <c r="AU73" i="5"/>
  <c r="AT73" i="5"/>
  <c r="AD73" i="5"/>
  <c r="Z73" i="5"/>
  <c r="BK72" i="5"/>
  <c r="BJ72" i="5"/>
  <c r="BI72" i="5"/>
  <c r="BH72" i="5"/>
  <c r="BG72" i="5"/>
  <c r="BF72" i="5"/>
  <c r="BE72" i="5"/>
  <c r="BD72" i="5"/>
  <c r="BC72" i="5"/>
  <c r="BB72" i="5"/>
  <c r="BA72" i="5"/>
  <c r="AZ72" i="5"/>
  <c r="AY72" i="5"/>
  <c r="AX72" i="5"/>
  <c r="AW72" i="5"/>
  <c r="AU72" i="5"/>
  <c r="AT72" i="5"/>
  <c r="AD72" i="5"/>
  <c r="Z72" i="5"/>
  <c r="BK71" i="5"/>
  <c r="BJ71" i="5"/>
  <c r="BI71" i="5"/>
  <c r="BH71" i="5"/>
  <c r="BG71" i="5"/>
  <c r="BF71" i="5"/>
  <c r="BE71" i="5"/>
  <c r="BD71" i="5"/>
  <c r="BC71" i="5"/>
  <c r="BB71" i="5"/>
  <c r="BA71" i="5"/>
  <c r="AZ71" i="5"/>
  <c r="AY71" i="5"/>
  <c r="AX71" i="5"/>
  <c r="AW71" i="5"/>
  <c r="AU71" i="5"/>
  <c r="AT71" i="5"/>
  <c r="AD71" i="5"/>
  <c r="Z71" i="5"/>
  <c r="BK70" i="5"/>
  <c r="BJ70" i="5"/>
  <c r="BI70" i="5"/>
  <c r="BH70" i="5"/>
  <c r="BG70" i="5"/>
  <c r="BF70" i="5"/>
  <c r="BE70" i="5"/>
  <c r="BD70" i="5"/>
  <c r="BC70" i="5"/>
  <c r="BB70" i="5"/>
  <c r="BA70" i="5"/>
  <c r="AZ70" i="5"/>
  <c r="AY70" i="5"/>
  <c r="AX70" i="5"/>
  <c r="AW70" i="5"/>
  <c r="AU70" i="5"/>
  <c r="AT70" i="5"/>
  <c r="AD70" i="5"/>
  <c r="Z70" i="5"/>
  <c r="BK69" i="5"/>
  <c r="BJ69" i="5"/>
  <c r="BI69" i="5"/>
  <c r="BH69" i="5"/>
  <c r="BG69" i="5"/>
  <c r="BF69" i="5"/>
  <c r="BE69" i="5"/>
  <c r="BD69" i="5"/>
  <c r="BC69" i="5"/>
  <c r="BB69" i="5"/>
  <c r="BA69" i="5"/>
  <c r="AZ69" i="5"/>
  <c r="AY69" i="5"/>
  <c r="AX69" i="5"/>
  <c r="AW69" i="5"/>
  <c r="AU69" i="5"/>
  <c r="AT69" i="5"/>
  <c r="AD69" i="5"/>
  <c r="Z69" i="5"/>
  <c r="BK68" i="5"/>
  <c r="BJ68" i="5"/>
  <c r="BI68" i="5"/>
  <c r="BH68" i="5"/>
  <c r="BG68" i="5"/>
  <c r="BF68" i="5"/>
  <c r="BE68" i="5"/>
  <c r="BD68" i="5"/>
  <c r="BC68" i="5"/>
  <c r="BB68" i="5"/>
  <c r="BA68" i="5"/>
  <c r="AZ68" i="5"/>
  <c r="AY68" i="5"/>
  <c r="AX68" i="5"/>
  <c r="AW68" i="5"/>
  <c r="AU68" i="5"/>
  <c r="AT68" i="5"/>
  <c r="AD68" i="5"/>
  <c r="Z68" i="5"/>
  <c r="BK67" i="5"/>
  <c r="BJ67" i="5"/>
  <c r="BI67" i="5"/>
  <c r="BH67" i="5"/>
  <c r="BG67" i="5"/>
  <c r="BF67" i="5"/>
  <c r="BE67" i="5"/>
  <c r="BD67" i="5"/>
  <c r="BC67" i="5"/>
  <c r="BB67" i="5"/>
  <c r="BA67" i="5"/>
  <c r="AZ67" i="5"/>
  <c r="AY67" i="5"/>
  <c r="AX67" i="5"/>
  <c r="AW67" i="5"/>
  <c r="AU67" i="5"/>
  <c r="AT67" i="5"/>
  <c r="AD67" i="5"/>
  <c r="Z67" i="5"/>
  <c r="BK66" i="5"/>
  <c r="BJ66" i="5"/>
  <c r="BI66" i="5"/>
  <c r="BH66" i="5"/>
  <c r="BG66" i="5"/>
  <c r="BF66" i="5"/>
  <c r="BE66" i="5"/>
  <c r="BD66" i="5"/>
  <c r="BC66" i="5"/>
  <c r="BB66" i="5"/>
  <c r="BA66" i="5"/>
  <c r="AZ66" i="5"/>
  <c r="AY66" i="5"/>
  <c r="AX66" i="5"/>
  <c r="AW66" i="5"/>
  <c r="AU66" i="5"/>
  <c r="AT66" i="5"/>
  <c r="AD66" i="5"/>
  <c r="Z66" i="5"/>
  <c r="BK65" i="5"/>
  <c r="BJ65" i="5"/>
  <c r="BI65" i="5"/>
  <c r="BH65" i="5"/>
  <c r="BG65" i="5"/>
  <c r="BF65" i="5"/>
  <c r="BE65" i="5"/>
  <c r="BD65" i="5"/>
  <c r="BC65" i="5"/>
  <c r="BB65" i="5"/>
  <c r="BA65" i="5"/>
  <c r="AZ65" i="5"/>
  <c r="AY65" i="5"/>
  <c r="AX65" i="5"/>
  <c r="AW65" i="5"/>
  <c r="AU65" i="5"/>
  <c r="AT65" i="5"/>
  <c r="AD65" i="5"/>
  <c r="Z65" i="5"/>
  <c r="BK64" i="5"/>
  <c r="BJ64" i="5"/>
  <c r="BI64" i="5"/>
  <c r="BH64" i="5"/>
  <c r="BG64" i="5"/>
  <c r="BF64" i="5"/>
  <c r="BE64" i="5"/>
  <c r="BD64" i="5"/>
  <c r="BC64" i="5"/>
  <c r="BB64" i="5"/>
  <c r="BA64" i="5"/>
  <c r="AZ64" i="5"/>
  <c r="AY64" i="5"/>
  <c r="AX64" i="5"/>
  <c r="AW64" i="5"/>
  <c r="AU64" i="5"/>
  <c r="AT64" i="5"/>
  <c r="AD64" i="5"/>
  <c r="Z64" i="5"/>
  <c r="BK63" i="5"/>
  <c r="BJ63" i="5"/>
  <c r="BI63" i="5"/>
  <c r="BH63" i="5"/>
  <c r="BG63" i="5"/>
  <c r="BF63" i="5"/>
  <c r="BE63" i="5"/>
  <c r="BD63" i="5"/>
  <c r="BC63" i="5"/>
  <c r="BB63" i="5"/>
  <c r="BA63" i="5"/>
  <c r="AZ63" i="5"/>
  <c r="AY63" i="5"/>
  <c r="AX63" i="5"/>
  <c r="AW63" i="5"/>
  <c r="AU63" i="5"/>
  <c r="AT63" i="5"/>
  <c r="AD63" i="5"/>
  <c r="Z63" i="5"/>
  <c r="BD62" i="5"/>
  <c r="BC62" i="5"/>
  <c r="BB62" i="5"/>
  <c r="BA62" i="5"/>
  <c r="AZ62" i="5"/>
  <c r="AY62" i="5"/>
  <c r="AX62" i="5"/>
  <c r="AW62" i="5"/>
  <c r="AU62" i="5"/>
  <c r="AT62" i="5"/>
  <c r="AD62" i="5"/>
  <c r="Z62" i="5"/>
  <c r="BK61" i="5"/>
  <c r="BJ61" i="5"/>
  <c r="BI61" i="5"/>
  <c r="BH61" i="5"/>
  <c r="BG61" i="5"/>
  <c r="BF61" i="5"/>
  <c r="BE61" i="5"/>
  <c r="BD61" i="5"/>
  <c r="BC61" i="5"/>
  <c r="BB61" i="5"/>
  <c r="BA61" i="5"/>
  <c r="AZ61" i="5"/>
  <c r="AY61" i="5"/>
  <c r="AX61" i="5"/>
  <c r="AW61" i="5"/>
  <c r="AU61" i="5"/>
  <c r="AT61" i="5"/>
  <c r="AD61" i="5"/>
  <c r="Z61" i="5"/>
  <c r="BK60" i="5"/>
  <c r="BJ60" i="5"/>
  <c r="BI60" i="5"/>
  <c r="BH60" i="5"/>
  <c r="BG60" i="5"/>
  <c r="BF60" i="5"/>
  <c r="BE60" i="5"/>
  <c r="BD60" i="5"/>
  <c r="BC60" i="5"/>
  <c r="BB60" i="5"/>
  <c r="BA60" i="5"/>
  <c r="AZ60" i="5"/>
  <c r="AY60" i="5"/>
  <c r="AX60" i="5"/>
  <c r="AW60" i="5"/>
  <c r="AU60" i="5"/>
  <c r="AT60" i="5"/>
  <c r="AD60" i="5"/>
  <c r="Z60" i="5"/>
  <c r="BK59" i="5"/>
  <c r="BJ59" i="5"/>
  <c r="BI59" i="5"/>
  <c r="BH59" i="5"/>
  <c r="BG59" i="5"/>
  <c r="BF59" i="5"/>
  <c r="BE59" i="5"/>
  <c r="BD59" i="5"/>
  <c r="BC59" i="5"/>
  <c r="BB59" i="5"/>
  <c r="BA59" i="5"/>
  <c r="AZ59" i="5"/>
  <c r="AY59" i="5"/>
  <c r="AX59" i="5"/>
  <c r="AW59" i="5"/>
  <c r="AU59" i="5"/>
  <c r="AT59" i="5"/>
  <c r="AD59" i="5"/>
  <c r="Z59" i="5"/>
  <c r="BK58" i="5"/>
  <c r="BJ58" i="5"/>
  <c r="BI58" i="5"/>
  <c r="BH58" i="5"/>
  <c r="BG58" i="5"/>
  <c r="BF58" i="5"/>
  <c r="BE58" i="5"/>
  <c r="BD58" i="5"/>
  <c r="BC58" i="5"/>
  <c r="BB58" i="5"/>
  <c r="BA58" i="5"/>
  <c r="AZ58" i="5"/>
  <c r="AY58" i="5"/>
  <c r="AX58" i="5"/>
  <c r="AW58" i="5"/>
  <c r="AU58" i="5"/>
  <c r="AT58" i="5"/>
  <c r="AD58" i="5"/>
  <c r="Z58" i="5"/>
  <c r="BK57" i="5"/>
  <c r="BJ57" i="5"/>
  <c r="BI57" i="5"/>
  <c r="BH57" i="5"/>
  <c r="BG57" i="5"/>
  <c r="BF57" i="5"/>
  <c r="BE57" i="5"/>
  <c r="BD57" i="5"/>
  <c r="BC57" i="5"/>
  <c r="BB57" i="5"/>
  <c r="BA57" i="5"/>
  <c r="AZ57" i="5"/>
  <c r="AY57" i="5"/>
  <c r="AX57" i="5"/>
  <c r="AW57" i="5"/>
  <c r="AU57" i="5"/>
  <c r="AT57" i="5"/>
  <c r="AD57" i="5"/>
  <c r="Z57" i="5"/>
  <c r="BK56" i="5"/>
  <c r="BJ56" i="5"/>
  <c r="BI56" i="5"/>
  <c r="BH56" i="5"/>
  <c r="BG56" i="5"/>
  <c r="BF56" i="5"/>
  <c r="BE56" i="5"/>
  <c r="BD56" i="5"/>
  <c r="BC56" i="5"/>
  <c r="BB56" i="5"/>
  <c r="BA56" i="5"/>
  <c r="AZ56" i="5"/>
  <c r="AY56" i="5"/>
  <c r="AX56" i="5"/>
  <c r="AW56" i="5"/>
  <c r="AU56" i="5"/>
  <c r="AT56" i="5"/>
  <c r="AD56" i="5"/>
  <c r="Z56" i="5"/>
  <c r="BK55" i="5"/>
  <c r="BJ55" i="5"/>
  <c r="BI55" i="5"/>
  <c r="BH55" i="5"/>
  <c r="BG55" i="5"/>
  <c r="BF55" i="5"/>
  <c r="BE55" i="5"/>
  <c r="BD55" i="5"/>
  <c r="BC55" i="5"/>
  <c r="BB55" i="5"/>
  <c r="BA55" i="5"/>
  <c r="AZ55" i="5"/>
  <c r="AY55" i="5"/>
  <c r="AX55" i="5"/>
  <c r="AW55" i="5"/>
  <c r="AU55" i="5"/>
  <c r="AT55" i="5"/>
  <c r="AD55" i="5"/>
  <c r="Z55" i="5"/>
  <c r="BK54" i="5"/>
  <c r="BJ54" i="5"/>
  <c r="BI54" i="5"/>
  <c r="BH54" i="5"/>
  <c r="BG54" i="5"/>
  <c r="BF54" i="5"/>
  <c r="BE54" i="5"/>
  <c r="BD54" i="5"/>
  <c r="BC54" i="5"/>
  <c r="BB54" i="5"/>
  <c r="BA54" i="5"/>
  <c r="AZ54" i="5"/>
  <c r="AY54" i="5"/>
  <c r="AX54" i="5"/>
  <c r="AW54" i="5"/>
  <c r="AU54" i="5"/>
  <c r="AT54" i="5"/>
  <c r="AD54" i="5"/>
  <c r="Z54" i="5"/>
  <c r="BK53" i="5"/>
  <c r="BJ53" i="5"/>
  <c r="BI53" i="5"/>
  <c r="BH53" i="5"/>
  <c r="BG53" i="5"/>
  <c r="BF53" i="5"/>
  <c r="BE53" i="5"/>
  <c r="BD53" i="5"/>
  <c r="BC53" i="5"/>
  <c r="BB53" i="5"/>
  <c r="BA53" i="5"/>
  <c r="AZ53" i="5"/>
  <c r="AY53" i="5"/>
  <c r="AX53" i="5"/>
  <c r="AW53" i="5"/>
  <c r="AU53" i="5"/>
  <c r="AT53" i="5"/>
  <c r="AD53" i="5"/>
  <c r="Z53" i="5"/>
  <c r="BK52" i="5"/>
  <c r="BJ52" i="5"/>
  <c r="BI52" i="5"/>
  <c r="BH52" i="5"/>
  <c r="BG52" i="5"/>
  <c r="BF52" i="5"/>
  <c r="BE52" i="5"/>
  <c r="BD52" i="5"/>
  <c r="BC52" i="5"/>
  <c r="BB52" i="5"/>
  <c r="BA52" i="5"/>
  <c r="AZ52" i="5"/>
  <c r="AY52" i="5"/>
  <c r="AX52" i="5"/>
  <c r="AW52" i="5"/>
  <c r="AU52" i="5"/>
  <c r="AT52" i="5"/>
  <c r="AD52" i="5"/>
  <c r="Z52" i="5"/>
  <c r="BK51" i="5"/>
  <c r="BJ51" i="5"/>
  <c r="BI51" i="5"/>
  <c r="BH51" i="5"/>
  <c r="BG51" i="5"/>
  <c r="BF51" i="5"/>
  <c r="BE51" i="5"/>
  <c r="BD51" i="5"/>
  <c r="BC51" i="5"/>
  <c r="BB51" i="5"/>
  <c r="BA51" i="5"/>
  <c r="AZ51" i="5"/>
  <c r="AY51" i="5"/>
  <c r="AX51" i="5"/>
  <c r="AW51" i="5"/>
  <c r="AU51" i="5"/>
  <c r="AT51" i="5"/>
  <c r="AD51" i="5"/>
  <c r="Z51" i="5"/>
  <c r="BK50" i="5"/>
  <c r="BJ50" i="5"/>
  <c r="BI50" i="5"/>
  <c r="BH50" i="5"/>
  <c r="BG50" i="5"/>
  <c r="BF50" i="5"/>
  <c r="BE50" i="5"/>
  <c r="BD50" i="5"/>
  <c r="BC50" i="5"/>
  <c r="BB50" i="5"/>
  <c r="BA50" i="5"/>
  <c r="AZ50" i="5"/>
  <c r="AY50" i="5"/>
  <c r="AX50" i="5"/>
  <c r="AW50" i="5"/>
  <c r="AU50" i="5"/>
  <c r="AT50" i="5"/>
  <c r="AD50" i="5"/>
  <c r="Z50" i="5"/>
  <c r="BK49" i="5"/>
  <c r="BJ49" i="5"/>
  <c r="BI49" i="5"/>
  <c r="BH49" i="5"/>
  <c r="BG49" i="5"/>
  <c r="BF49" i="5"/>
  <c r="BE49" i="5"/>
  <c r="BD49" i="5"/>
  <c r="BC49" i="5"/>
  <c r="BB49" i="5"/>
  <c r="BA49" i="5"/>
  <c r="AZ49" i="5"/>
  <c r="AY49" i="5"/>
  <c r="AX49" i="5"/>
  <c r="AW49" i="5"/>
  <c r="AU49" i="5"/>
  <c r="AT49" i="5"/>
  <c r="AD49" i="5"/>
  <c r="Z49" i="5"/>
  <c r="BK48" i="5"/>
  <c r="BJ48" i="5"/>
  <c r="BI48" i="5"/>
  <c r="BH48" i="5"/>
  <c r="BG48" i="5"/>
  <c r="BF48" i="5"/>
  <c r="BE48" i="5"/>
  <c r="BD48" i="5"/>
  <c r="BC48" i="5"/>
  <c r="BB48" i="5"/>
  <c r="BA48" i="5"/>
  <c r="AZ48" i="5"/>
  <c r="AY48" i="5"/>
  <c r="AX48" i="5"/>
  <c r="AW48" i="5"/>
  <c r="AU48" i="5"/>
  <c r="AT48" i="5"/>
  <c r="AD48" i="5"/>
  <c r="Z48" i="5"/>
  <c r="BK47" i="5"/>
  <c r="BJ47" i="5"/>
  <c r="BI47" i="5"/>
  <c r="BH47" i="5"/>
  <c r="BG47" i="5"/>
  <c r="BF47" i="5"/>
  <c r="BE47" i="5"/>
  <c r="BD47" i="5"/>
  <c r="BC47" i="5"/>
  <c r="BB47" i="5"/>
  <c r="BA47" i="5"/>
  <c r="AZ47" i="5"/>
  <c r="AY47" i="5"/>
  <c r="AX47" i="5"/>
  <c r="AW47" i="5"/>
  <c r="AU47" i="5"/>
  <c r="AT47" i="5"/>
  <c r="AD47" i="5"/>
  <c r="Z47" i="5"/>
  <c r="BK46" i="5"/>
  <c r="BJ46" i="5"/>
  <c r="BI46" i="5"/>
  <c r="BH46" i="5"/>
  <c r="BG46" i="5"/>
  <c r="BF46" i="5"/>
  <c r="BE46" i="5"/>
  <c r="BD46" i="5"/>
  <c r="BC46" i="5"/>
  <c r="BB46" i="5"/>
  <c r="BA46" i="5"/>
  <c r="AZ46" i="5"/>
  <c r="AY46" i="5"/>
  <c r="AX46" i="5"/>
  <c r="AW46" i="5"/>
  <c r="AU46" i="5"/>
  <c r="AT46" i="5"/>
  <c r="AD46" i="5"/>
  <c r="Z46" i="5"/>
  <c r="BK45" i="5"/>
  <c r="BJ45" i="5"/>
  <c r="BI45" i="5"/>
  <c r="BH45" i="5"/>
  <c r="BG45" i="5"/>
  <c r="BF45" i="5"/>
  <c r="BE45" i="5"/>
  <c r="BD45" i="5"/>
  <c r="BC45" i="5"/>
  <c r="BB45" i="5"/>
  <c r="BA45" i="5"/>
  <c r="AZ45" i="5"/>
  <c r="AY45" i="5"/>
  <c r="AX45" i="5"/>
  <c r="AW45" i="5"/>
  <c r="AU45" i="5"/>
  <c r="AT45" i="5"/>
  <c r="AD45" i="5"/>
  <c r="Z45" i="5"/>
  <c r="BK44" i="5"/>
  <c r="BJ44" i="5"/>
  <c r="BI44" i="5"/>
  <c r="BH44" i="5"/>
  <c r="BG44" i="5"/>
  <c r="BF44" i="5"/>
  <c r="BE44" i="5"/>
  <c r="BD44" i="5"/>
  <c r="BC44" i="5"/>
  <c r="BB44" i="5"/>
  <c r="BA44" i="5"/>
  <c r="AZ44" i="5"/>
  <c r="AY44" i="5"/>
  <c r="AX44" i="5"/>
  <c r="AW44" i="5"/>
  <c r="AU44" i="5"/>
  <c r="AT44" i="5"/>
  <c r="AD44" i="5"/>
  <c r="Z44" i="5"/>
  <c r="BK43" i="5"/>
  <c r="BJ43" i="5"/>
  <c r="BI43" i="5"/>
  <c r="BH43" i="5"/>
  <c r="BG43" i="5"/>
  <c r="BF43" i="5"/>
  <c r="BE43" i="5"/>
  <c r="BD43" i="5"/>
  <c r="BC43" i="5"/>
  <c r="BB43" i="5"/>
  <c r="BA43" i="5"/>
  <c r="AZ43" i="5"/>
  <c r="AY43" i="5"/>
  <c r="AX43" i="5"/>
  <c r="AW43" i="5"/>
  <c r="AU43" i="5"/>
  <c r="AT43" i="5"/>
  <c r="AD43" i="5"/>
  <c r="Z43" i="5"/>
  <c r="BK42" i="5"/>
  <c r="BJ42" i="5"/>
  <c r="BI42" i="5"/>
  <c r="BH42" i="5"/>
  <c r="BG42" i="5"/>
  <c r="BF42" i="5"/>
  <c r="BE42" i="5"/>
  <c r="BD42" i="5"/>
  <c r="BC42" i="5"/>
  <c r="BB42" i="5"/>
  <c r="BA42" i="5"/>
  <c r="AZ42" i="5"/>
  <c r="AY42" i="5"/>
  <c r="AX42" i="5"/>
  <c r="AW42" i="5"/>
  <c r="AU42" i="5"/>
  <c r="AT42" i="5"/>
  <c r="AD42" i="5"/>
  <c r="Z42" i="5"/>
  <c r="BK41" i="5"/>
  <c r="BJ41" i="5"/>
  <c r="BI41" i="5"/>
  <c r="BH41" i="5"/>
  <c r="BG41" i="5"/>
  <c r="BF41" i="5"/>
  <c r="BE41" i="5"/>
  <c r="BD41" i="5"/>
  <c r="BC41" i="5"/>
  <c r="BB41" i="5"/>
  <c r="BA41" i="5"/>
  <c r="AZ41" i="5"/>
  <c r="AY41" i="5"/>
  <c r="AX41" i="5"/>
  <c r="AW41" i="5"/>
  <c r="AU41" i="5"/>
  <c r="AT41" i="5"/>
  <c r="AD41" i="5"/>
  <c r="Z41" i="5"/>
  <c r="BK40" i="5"/>
  <c r="BJ40" i="5"/>
  <c r="BI40" i="5"/>
  <c r="BH40" i="5"/>
  <c r="BG40" i="5"/>
  <c r="BF40" i="5"/>
  <c r="BE40" i="5"/>
  <c r="BD40" i="5"/>
  <c r="BC40" i="5"/>
  <c r="BB40" i="5"/>
  <c r="BA40" i="5"/>
  <c r="AZ40" i="5"/>
  <c r="AY40" i="5"/>
  <c r="AX40" i="5"/>
  <c r="AW40" i="5"/>
  <c r="AU40" i="5"/>
  <c r="AT40" i="5"/>
  <c r="AD40" i="5"/>
  <c r="Z40" i="5"/>
  <c r="BK39" i="5"/>
  <c r="BJ39" i="5"/>
  <c r="BI39" i="5"/>
  <c r="BH39" i="5"/>
  <c r="BG39" i="5"/>
  <c r="BF39" i="5"/>
  <c r="BE39" i="5"/>
  <c r="BD39" i="5"/>
  <c r="BC39" i="5"/>
  <c r="BB39" i="5"/>
  <c r="BA39" i="5"/>
  <c r="AZ39" i="5"/>
  <c r="AY39" i="5"/>
  <c r="AX39" i="5"/>
  <c r="AW39" i="5"/>
  <c r="AU39" i="5"/>
  <c r="AT39" i="5"/>
  <c r="AD39" i="5"/>
  <c r="Z39" i="5"/>
  <c r="BK38" i="5"/>
  <c r="BJ38" i="5"/>
  <c r="BI38" i="5"/>
  <c r="BH38" i="5"/>
  <c r="BG38" i="5"/>
  <c r="BF38" i="5"/>
  <c r="BE38" i="5"/>
  <c r="BD38" i="5"/>
  <c r="BC38" i="5"/>
  <c r="BB38" i="5"/>
  <c r="BA38" i="5"/>
  <c r="AZ38" i="5"/>
  <c r="AY38" i="5"/>
  <c r="AX38" i="5"/>
  <c r="AW38" i="5"/>
  <c r="AU38" i="5"/>
  <c r="AT38" i="5"/>
  <c r="AD38" i="5"/>
  <c r="Z38" i="5"/>
  <c r="BK37" i="5"/>
  <c r="BJ37" i="5"/>
  <c r="BI37" i="5"/>
  <c r="BH37" i="5"/>
  <c r="BG37" i="5"/>
  <c r="BF37" i="5"/>
  <c r="BE37" i="5"/>
  <c r="BD37" i="5"/>
  <c r="BC37" i="5"/>
  <c r="BB37" i="5"/>
  <c r="BA37" i="5"/>
  <c r="AZ37" i="5"/>
  <c r="AY37" i="5"/>
  <c r="AX37" i="5"/>
  <c r="AW37" i="5"/>
  <c r="AU37" i="5"/>
  <c r="AT37" i="5"/>
  <c r="AD37" i="5"/>
  <c r="Z37" i="5"/>
  <c r="BK36" i="5"/>
  <c r="BJ36" i="5"/>
  <c r="BI36" i="5"/>
  <c r="BH36" i="5"/>
  <c r="BG36" i="5"/>
  <c r="BF36" i="5"/>
  <c r="BE36" i="5"/>
  <c r="BD36" i="5"/>
  <c r="BC36" i="5"/>
  <c r="BB36" i="5"/>
  <c r="BA36" i="5"/>
  <c r="AZ36" i="5"/>
  <c r="AY36" i="5"/>
  <c r="AX36" i="5"/>
  <c r="AW36" i="5"/>
  <c r="AU36" i="5"/>
  <c r="AT36" i="5"/>
  <c r="AD36" i="5"/>
  <c r="Z36" i="5"/>
  <c r="BK35" i="5"/>
  <c r="BJ35" i="5"/>
  <c r="BI35" i="5"/>
  <c r="BH35" i="5"/>
  <c r="BG35" i="5"/>
  <c r="BF35" i="5"/>
  <c r="BE35" i="5"/>
  <c r="BD35" i="5"/>
  <c r="BC35" i="5"/>
  <c r="BB35" i="5"/>
  <c r="BA35" i="5"/>
  <c r="AZ35" i="5"/>
  <c r="AY35" i="5"/>
  <c r="AX35" i="5"/>
  <c r="AW35" i="5"/>
  <c r="AU35" i="5"/>
  <c r="AT35" i="5"/>
  <c r="AD35" i="5"/>
  <c r="Z35" i="5"/>
  <c r="BK34" i="5"/>
  <c r="BJ34" i="5"/>
  <c r="BI34" i="5"/>
  <c r="BH34" i="5"/>
  <c r="BG34" i="5"/>
  <c r="BF34" i="5"/>
  <c r="BE34" i="5"/>
  <c r="BD34" i="5"/>
  <c r="BC34" i="5"/>
  <c r="BB34" i="5"/>
  <c r="BA34" i="5"/>
  <c r="AZ34" i="5"/>
  <c r="AY34" i="5"/>
  <c r="AX34" i="5"/>
  <c r="AW34" i="5"/>
  <c r="AU34" i="5"/>
  <c r="AT34" i="5"/>
  <c r="AD34" i="5"/>
  <c r="Z34" i="5"/>
  <c r="BK33" i="5"/>
  <c r="BJ33" i="5"/>
  <c r="BI33" i="5"/>
  <c r="BH33" i="5"/>
  <c r="BG33" i="5"/>
  <c r="BF33" i="5"/>
  <c r="BE33" i="5"/>
  <c r="BD33" i="5"/>
  <c r="BC33" i="5"/>
  <c r="BB33" i="5"/>
  <c r="BA33" i="5"/>
  <c r="AZ33" i="5"/>
  <c r="AY33" i="5"/>
  <c r="AX33" i="5"/>
  <c r="AW33" i="5"/>
  <c r="AU33" i="5"/>
  <c r="AT33" i="5"/>
  <c r="AD33" i="5"/>
  <c r="Z33" i="5"/>
  <c r="BK32" i="5"/>
  <c r="BJ32" i="5"/>
  <c r="BI32" i="5"/>
  <c r="BH32" i="5"/>
  <c r="BG32" i="5"/>
  <c r="BF32" i="5"/>
  <c r="BE32" i="5"/>
  <c r="BD32" i="5"/>
  <c r="BC32" i="5"/>
  <c r="BB32" i="5"/>
  <c r="BA32" i="5"/>
  <c r="AZ32" i="5"/>
  <c r="AY32" i="5"/>
  <c r="AX32" i="5"/>
  <c r="AW32" i="5"/>
  <c r="AU32" i="5"/>
  <c r="AT32" i="5"/>
  <c r="AD32" i="5"/>
  <c r="Z32" i="5"/>
  <c r="BK31" i="5"/>
  <c r="BJ31" i="5"/>
  <c r="BI31" i="5"/>
  <c r="BH31" i="5"/>
  <c r="BG31" i="5"/>
  <c r="BF31" i="5"/>
  <c r="BE31" i="5"/>
  <c r="BD31" i="5"/>
  <c r="BC31" i="5"/>
  <c r="BB31" i="5"/>
  <c r="BA31" i="5"/>
  <c r="AZ31" i="5"/>
  <c r="AY31" i="5"/>
  <c r="AX31" i="5"/>
  <c r="AW31" i="5"/>
  <c r="AU31" i="5"/>
  <c r="AT31" i="5"/>
  <c r="AD31" i="5"/>
  <c r="Z31" i="5"/>
  <c r="BK30" i="5"/>
  <c r="BJ30" i="5"/>
  <c r="BI30" i="5"/>
  <c r="BH30" i="5"/>
  <c r="BG30" i="5"/>
  <c r="BF30" i="5"/>
  <c r="BE30" i="5"/>
  <c r="BD30" i="5"/>
  <c r="BC30" i="5"/>
  <c r="BB30" i="5"/>
  <c r="BA30" i="5"/>
  <c r="AZ30" i="5"/>
  <c r="AY30" i="5"/>
  <c r="AX30" i="5"/>
  <c r="AW30" i="5"/>
  <c r="AU30" i="5"/>
  <c r="AT30" i="5"/>
  <c r="AD30" i="5"/>
  <c r="Z30" i="5"/>
  <c r="BK29" i="5"/>
  <c r="BJ29" i="5"/>
  <c r="BI29" i="5"/>
  <c r="BH29" i="5"/>
  <c r="BG29" i="5"/>
  <c r="BF29" i="5"/>
  <c r="BE29" i="5"/>
  <c r="BD29" i="5"/>
  <c r="BC29" i="5"/>
  <c r="BB29" i="5"/>
  <c r="BA29" i="5"/>
  <c r="AZ29" i="5"/>
  <c r="AY29" i="5"/>
  <c r="AX29" i="5"/>
  <c r="AW29" i="5"/>
  <c r="AU29" i="5"/>
  <c r="AT29" i="5"/>
  <c r="AD29" i="5"/>
  <c r="Z29" i="5"/>
  <c r="BK28" i="5"/>
  <c r="BJ28" i="5"/>
  <c r="BI28" i="5"/>
  <c r="BH28" i="5"/>
  <c r="BG28" i="5"/>
  <c r="BF28" i="5"/>
  <c r="BE28" i="5"/>
  <c r="BD28" i="5"/>
  <c r="BC28" i="5"/>
  <c r="BB28" i="5"/>
  <c r="BA28" i="5"/>
  <c r="AZ28" i="5"/>
  <c r="AY28" i="5"/>
  <c r="AX28" i="5"/>
  <c r="AW28" i="5"/>
  <c r="AU28" i="5"/>
  <c r="AT28" i="5"/>
  <c r="AD28" i="5"/>
  <c r="Z28" i="5"/>
  <c r="BK27" i="5"/>
  <c r="BJ27" i="5"/>
  <c r="BI27" i="5"/>
  <c r="BH27" i="5"/>
  <c r="BG27" i="5"/>
  <c r="BF27" i="5"/>
  <c r="BE27" i="5"/>
  <c r="BD27" i="5"/>
  <c r="BC27" i="5"/>
  <c r="BB27" i="5"/>
  <c r="BA27" i="5"/>
  <c r="AZ27" i="5"/>
  <c r="AY27" i="5"/>
  <c r="AX27" i="5"/>
  <c r="AW27" i="5"/>
  <c r="AU27" i="5"/>
  <c r="AT27" i="5"/>
  <c r="AD27" i="5"/>
  <c r="Z27" i="5"/>
  <c r="BK26" i="5"/>
  <c r="BJ26" i="5"/>
  <c r="BI26" i="5"/>
  <c r="BH26" i="5"/>
  <c r="BG26" i="5"/>
  <c r="BF26" i="5"/>
  <c r="BE26" i="5"/>
  <c r="BD26" i="5"/>
  <c r="BC26" i="5"/>
  <c r="BB26" i="5"/>
  <c r="BA26" i="5"/>
  <c r="AZ26" i="5"/>
  <c r="AY26" i="5"/>
  <c r="AX26" i="5"/>
  <c r="AW26" i="5"/>
  <c r="AU26" i="5"/>
  <c r="AT26" i="5"/>
  <c r="AD26" i="5"/>
  <c r="Z26" i="5"/>
  <c r="BK25" i="5"/>
  <c r="BJ25" i="5"/>
  <c r="BI25" i="5"/>
  <c r="BH25" i="5"/>
  <c r="BG25" i="5"/>
  <c r="BF25" i="5"/>
  <c r="BE25" i="5"/>
  <c r="BD25" i="5"/>
  <c r="BC25" i="5"/>
  <c r="BB25" i="5"/>
  <c r="BA25" i="5"/>
  <c r="AZ25" i="5"/>
  <c r="AY25" i="5"/>
  <c r="AX25" i="5"/>
  <c r="AW25" i="5"/>
  <c r="AU25" i="5"/>
  <c r="AT25" i="5"/>
  <c r="AD25" i="5"/>
  <c r="Z25" i="5"/>
  <c r="BK24" i="5"/>
  <c r="BJ24" i="5"/>
  <c r="BI24" i="5"/>
  <c r="BH24" i="5"/>
  <c r="BG24" i="5"/>
  <c r="BF24" i="5"/>
  <c r="BE24" i="5"/>
  <c r="BD24" i="5"/>
  <c r="BC24" i="5"/>
  <c r="BB24" i="5"/>
  <c r="BA24" i="5"/>
  <c r="AZ24" i="5"/>
  <c r="AY24" i="5"/>
  <c r="AX24" i="5"/>
  <c r="AW24" i="5"/>
  <c r="AU24" i="5"/>
  <c r="AT24" i="5"/>
  <c r="AD24" i="5"/>
  <c r="Z24" i="5"/>
  <c r="BK23" i="5"/>
  <c r="BJ23" i="5"/>
  <c r="BI23" i="5"/>
  <c r="BH23" i="5"/>
  <c r="BG23" i="5"/>
  <c r="BF23" i="5"/>
  <c r="BE23" i="5"/>
  <c r="BD23" i="5"/>
  <c r="BC23" i="5"/>
  <c r="BB23" i="5"/>
  <c r="BA23" i="5"/>
  <c r="AZ23" i="5"/>
  <c r="AY23" i="5"/>
  <c r="AX23" i="5"/>
  <c r="AW23" i="5"/>
  <c r="AU23" i="5"/>
  <c r="AT23" i="5"/>
  <c r="AD23" i="5"/>
  <c r="Z23" i="5"/>
  <c r="BK22" i="5"/>
  <c r="BJ22" i="5"/>
  <c r="BI22" i="5"/>
  <c r="BH22" i="5"/>
  <c r="BG22" i="5"/>
  <c r="BF22" i="5"/>
  <c r="BE22" i="5"/>
  <c r="BD22" i="5"/>
  <c r="BC22" i="5"/>
  <c r="BB22" i="5"/>
  <c r="BA22" i="5"/>
  <c r="AZ22" i="5"/>
  <c r="AY22" i="5"/>
  <c r="AX22" i="5"/>
  <c r="AW22" i="5"/>
  <c r="AU22" i="5"/>
  <c r="AT22" i="5"/>
  <c r="AD22" i="5"/>
  <c r="Z22" i="5"/>
  <c r="BK21" i="5"/>
  <c r="BJ21" i="5"/>
  <c r="BI21" i="5"/>
  <c r="BH21" i="5"/>
  <c r="BG21" i="5"/>
  <c r="BF21" i="5"/>
  <c r="BE21" i="5"/>
  <c r="BD21" i="5"/>
  <c r="BC21" i="5"/>
  <c r="BB21" i="5"/>
  <c r="BA21" i="5"/>
  <c r="AZ21" i="5"/>
  <c r="AY21" i="5"/>
  <c r="AX21" i="5"/>
  <c r="AW21" i="5"/>
  <c r="AU21" i="5"/>
  <c r="AT21" i="5"/>
  <c r="AD21" i="5"/>
  <c r="Z21" i="5"/>
  <c r="BK20" i="5"/>
  <c r="BJ20" i="5"/>
  <c r="BI20" i="5"/>
  <c r="BH20" i="5"/>
  <c r="BG20" i="5"/>
  <c r="BF20" i="5"/>
  <c r="BE20" i="5"/>
  <c r="BD20" i="5"/>
  <c r="BC20" i="5"/>
  <c r="BB20" i="5"/>
  <c r="BA20" i="5"/>
  <c r="AZ20" i="5"/>
  <c r="AY20" i="5"/>
  <c r="AX20" i="5"/>
  <c r="AW20" i="5"/>
  <c r="AU20" i="5"/>
  <c r="AT20" i="5"/>
  <c r="AD20" i="5"/>
  <c r="Z20" i="5"/>
  <c r="BK19" i="5"/>
  <c r="BJ19" i="5"/>
  <c r="BI19" i="5"/>
  <c r="BH19" i="5"/>
  <c r="BG19" i="5"/>
  <c r="BF19" i="5"/>
  <c r="BE19" i="5"/>
  <c r="BD19" i="5"/>
  <c r="BC19" i="5"/>
  <c r="BB19" i="5"/>
  <c r="BA19" i="5"/>
  <c r="AZ19" i="5"/>
  <c r="AY19" i="5"/>
  <c r="AX19" i="5"/>
  <c r="AW19" i="5"/>
  <c r="AU19" i="5"/>
  <c r="AT19" i="5"/>
  <c r="AD19" i="5"/>
  <c r="Z19" i="5"/>
  <c r="BK18" i="5"/>
  <c r="BJ18" i="5"/>
  <c r="BI18" i="5"/>
  <c r="BH18" i="5"/>
  <c r="BG18" i="5"/>
  <c r="BF18" i="5"/>
  <c r="BE18" i="5"/>
  <c r="BD18" i="5"/>
  <c r="BC18" i="5"/>
  <c r="BB18" i="5"/>
  <c r="BA18" i="5"/>
  <c r="AZ18" i="5"/>
  <c r="AY18" i="5"/>
  <c r="AX18" i="5"/>
  <c r="AW18" i="5"/>
  <c r="AU18" i="5"/>
  <c r="AT18" i="5"/>
  <c r="AD18" i="5"/>
  <c r="Z18" i="5"/>
  <c r="BK17" i="5"/>
  <c r="BJ17" i="5"/>
  <c r="BI17" i="5"/>
  <c r="BH17" i="5"/>
  <c r="BG17" i="5"/>
  <c r="BF17" i="5"/>
  <c r="BE17" i="5"/>
  <c r="BD17" i="5"/>
  <c r="BC17" i="5"/>
  <c r="BB17" i="5"/>
  <c r="BA17" i="5"/>
  <c r="AZ17" i="5"/>
  <c r="AY17" i="5"/>
  <c r="AX17" i="5"/>
  <c r="AW17" i="5"/>
  <c r="AU17" i="5"/>
  <c r="AT17" i="5"/>
  <c r="AD17" i="5"/>
  <c r="Z17" i="5"/>
  <c r="BK16" i="5"/>
  <c r="BJ16" i="5"/>
  <c r="BI16" i="5"/>
  <c r="BH16" i="5"/>
  <c r="BG16" i="5"/>
  <c r="BF16" i="5"/>
  <c r="BE16" i="5"/>
  <c r="BD16" i="5"/>
  <c r="BC16" i="5"/>
  <c r="BB16" i="5"/>
  <c r="BA16" i="5"/>
  <c r="AZ16" i="5"/>
  <c r="AY16" i="5"/>
  <c r="AX16" i="5"/>
  <c r="AW16" i="5"/>
  <c r="AU16" i="5"/>
  <c r="AT16" i="5"/>
  <c r="AD16" i="5"/>
  <c r="Z16" i="5"/>
  <c r="BK15" i="5"/>
  <c r="BJ15" i="5"/>
  <c r="BI15" i="5"/>
  <c r="BH15" i="5"/>
  <c r="BG15" i="5"/>
  <c r="BF15" i="5"/>
  <c r="BE15" i="5"/>
  <c r="BD15" i="5"/>
  <c r="BC15" i="5"/>
  <c r="BB15" i="5"/>
  <c r="BA15" i="5"/>
  <c r="AZ15" i="5"/>
  <c r="AY15" i="5"/>
  <c r="AX15" i="5"/>
  <c r="AW15" i="5"/>
  <c r="AU15" i="5"/>
  <c r="AT15" i="5"/>
  <c r="AD15" i="5"/>
  <c r="Z15" i="5"/>
  <c r="BK14" i="5"/>
  <c r="BJ14" i="5"/>
  <c r="BI14" i="5"/>
  <c r="BH14" i="5"/>
  <c r="BG14" i="5"/>
  <c r="BF14" i="5"/>
  <c r="BE14" i="5"/>
  <c r="BD14" i="5"/>
  <c r="BC14" i="5"/>
  <c r="BB14" i="5"/>
  <c r="BA14" i="5"/>
  <c r="AZ14" i="5"/>
  <c r="AY14" i="5"/>
  <c r="AX14" i="5"/>
  <c r="AW14" i="5"/>
  <c r="AU14" i="5"/>
  <c r="AT14" i="5"/>
  <c r="AD14" i="5"/>
  <c r="Z14" i="5"/>
  <c r="BK13" i="5"/>
  <c r="BJ13" i="5"/>
  <c r="BI13" i="5"/>
  <c r="BH13" i="5"/>
  <c r="BG13" i="5"/>
  <c r="BF13" i="5"/>
  <c r="BE13" i="5"/>
  <c r="BD13" i="5"/>
  <c r="BC13" i="5"/>
  <c r="BB13" i="5"/>
  <c r="BA13" i="5"/>
  <c r="AZ13" i="5"/>
  <c r="AY13" i="5"/>
  <c r="AX13" i="5"/>
  <c r="AW13" i="5"/>
  <c r="AU13" i="5"/>
  <c r="AT13" i="5"/>
  <c r="AD13" i="5"/>
  <c r="Z13" i="5"/>
  <c r="BK12" i="5"/>
  <c r="BJ12" i="5"/>
  <c r="BI12" i="5"/>
  <c r="BH12" i="5"/>
  <c r="BG12" i="5"/>
  <c r="BF12" i="5"/>
  <c r="BE12" i="5"/>
  <c r="BD12" i="5"/>
  <c r="BC12" i="5"/>
  <c r="BB12" i="5"/>
  <c r="BA12" i="5"/>
  <c r="AZ12" i="5"/>
  <c r="AY12" i="5"/>
  <c r="AX12" i="5"/>
  <c r="AW12" i="5"/>
  <c r="AU12" i="5"/>
  <c r="AT12" i="5"/>
  <c r="AD12" i="5"/>
  <c r="Z12" i="5"/>
  <c r="BK11" i="5"/>
  <c r="BJ11" i="5"/>
  <c r="BI11" i="5"/>
  <c r="BH11" i="5"/>
  <c r="BG11" i="5"/>
  <c r="BF11" i="5"/>
  <c r="BE11" i="5"/>
  <c r="BD11" i="5"/>
  <c r="BC11" i="5"/>
  <c r="BB11" i="5"/>
  <c r="BA11" i="5"/>
  <c r="AZ11" i="5"/>
  <c r="AY11" i="5"/>
  <c r="AX11" i="5"/>
  <c r="AW11" i="5"/>
  <c r="AU11" i="5"/>
  <c r="AT11" i="5"/>
  <c r="AD11" i="5"/>
  <c r="Z11" i="5"/>
  <c r="BK10" i="5"/>
  <c r="BJ10" i="5"/>
  <c r="BI10" i="5"/>
  <c r="BH10" i="5"/>
  <c r="BG10" i="5"/>
  <c r="BF10" i="5"/>
  <c r="BE10" i="5"/>
  <c r="BD10" i="5"/>
  <c r="BC10" i="5"/>
  <c r="BB10" i="5"/>
  <c r="BA10" i="5"/>
  <c r="AZ10" i="5"/>
  <c r="AY10" i="5"/>
  <c r="AX10" i="5"/>
  <c r="AW10" i="5"/>
  <c r="AU10" i="5"/>
  <c r="AT10" i="5"/>
  <c r="AD10" i="5"/>
  <c r="Z10" i="5"/>
  <c r="BK9" i="5"/>
  <c r="BJ9" i="5"/>
  <c r="BI9" i="5"/>
  <c r="BH9" i="5"/>
  <c r="BG9" i="5"/>
  <c r="BF9" i="5"/>
  <c r="BE9" i="5"/>
  <c r="BD9" i="5"/>
  <c r="BC9" i="5"/>
  <c r="BB9" i="5"/>
  <c r="BA9" i="5"/>
  <c r="AZ9" i="5"/>
  <c r="AY9" i="5"/>
  <c r="AX9" i="5"/>
  <c r="AW9" i="5"/>
  <c r="AU9" i="5"/>
  <c r="AT9" i="5"/>
  <c r="AD9" i="5"/>
  <c r="Z9" i="5"/>
  <c r="BK8" i="5"/>
  <c r="BJ8" i="5"/>
  <c r="BI8" i="5"/>
  <c r="BH8" i="5"/>
  <c r="BG8" i="5"/>
  <c r="BF8" i="5"/>
  <c r="BE8" i="5"/>
  <c r="BD8" i="5"/>
  <c r="BC8" i="5"/>
  <c r="BB8" i="5"/>
  <c r="BA8" i="5"/>
  <c r="AZ8" i="5"/>
  <c r="AY8" i="5"/>
  <c r="AX8" i="5"/>
  <c r="AW8" i="5"/>
  <c r="AU8" i="5"/>
  <c r="AT8" i="5"/>
  <c r="AD8" i="5"/>
  <c r="Z8" i="5"/>
  <c r="BK7" i="5"/>
  <c r="BJ7" i="5"/>
  <c r="BI7" i="5"/>
  <c r="BH7" i="5"/>
  <c r="BG7" i="5"/>
  <c r="BF7" i="5"/>
  <c r="BE7" i="5"/>
  <c r="BD7" i="5"/>
  <c r="BC7" i="5"/>
  <c r="BB7" i="5"/>
  <c r="BA7" i="5"/>
  <c r="AZ7" i="5"/>
  <c r="AY7" i="5"/>
  <c r="AX7" i="5"/>
  <c r="AW7" i="5"/>
  <c r="AU7" i="5"/>
  <c r="AT7" i="5"/>
  <c r="AD7" i="5"/>
  <c r="Z7" i="5"/>
  <c r="BK6" i="5"/>
  <c r="BJ6" i="5"/>
  <c r="BI6" i="5"/>
  <c r="BH6" i="5"/>
  <c r="BG6" i="5"/>
  <c r="BF6" i="5"/>
  <c r="BE6" i="5"/>
  <c r="BD6" i="5"/>
  <c r="BC6" i="5"/>
  <c r="BB6" i="5"/>
  <c r="BA6" i="5"/>
  <c r="AZ6" i="5"/>
  <c r="AY6" i="5"/>
  <c r="AX6" i="5"/>
  <c r="AW6" i="5"/>
  <c r="AU6" i="5"/>
  <c r="AT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Z6" i="5"/>
  <c r="Y6" i="5"/>
  <c r="X6" i="5"/>
  <c r="AU5" i="5"/>
  <c r="AT5" i="5"/>
  <c r="AS5" i="5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Z5" i="5"/>
  <c r="Y5" i="5"/>
  <c r="X5" i="5"/>
  <c r="AU4" i="5"/>
  <c r="AT4" i="5"/>
  <c r="AS4" i="5"/>
  <c r="AR4" i="5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Z4" i="5"/>
  <c r="Y4" i="5"/>
  <c r="X4" i="5"/>
  <c r="AU3" i="5"/>
  <c r="AT3" i="5"/>
  <c r="AS3" i="5"/>
  <c r="AR3" i="5"/>
  <c r="AQ3" i="5"/>
  <c r="AP3" i="5"/>
  <c r="AO3" i="5"/>
  <c r="AN3" i="5"/>
  <c r="AM3" i="5"/>
  <c r="AL3" i="5"/>
  <c r="AK3" i="5"/>
  <c r="AJ3" i="5"/>
  <c r="AI3" i="5"/>
  <c r="AH3" i="5"/>
  <c r="AG3" i="5"/>
  <c r="AF3" i="5"/>
  <c r="AE3" i="5"/>
  <c r="AD3" i="5"/>
  <c r="AC3" i="5"/>
  <c r="AB3" i="5"/>
  <c r="Z3" i="5"/>
  <c r="Y3" i="5"/>
  <c r="X3" i="5"/>
</calcChain>
</file>

<file path=xl/sharedStrings.xml><?xml version="1.0" encoding="utf-8"?>
<sst xmlns="http://schemas.openxmlformats.org/spreadsheetml/2006/main" count="4066" uniqueCount="1545">
  <si>
    <t>类别</t>
  </si>
  <si>
    <t>整机编码</t>
  </si>
  <si>
    <t>结构</t>
  </si>
  <si>
    <t>内机系列</t>
  </si>
  <si>
    <t>外机型号</t>
  </si>
  <si>
    <t>外机平台</t>
  </si>
  <si>
    <t>冷凝器</t>
  </si>
  <si>
    <t>蒸发器</t>
  </si>
  <si>
    <t>最晚发货需求</t>
  </si>
  <si>
    <t>库存</t>
  </si>
  <si>
    <t>顺延</t>
  </si>
  <si>
    <t>2月24日
接单</t>
  </si>
  <si>
    <t>包销</t>
  </si>
  <si>
    <t>需排产</t>
  </si>
  <si>
    <t>周一</t>
  </si>
  <si>
    <t>周二</t>
  </si>
  <si>
    <t>周三</t>
  </si>
  <si>
    <t>周四</t>
  </si>
  <si>
    <t>周五</t>
  </si>
  <si>
    <t>周六</t>
  </si>
  <si>
    <t>周日</t>
  </si>
  <si>
    <t>排产合计</t>
  </si>
  <si>
    <t>下周
顺延</t>
  </si>
  <si>
    <t>备注</t>
  </si>
  <si>
    <t>生产后结余库存</t>
  </si>
  <si>
    <t>期初</t>
  </si>
  <si>
    <t>消化</t>
  </si>
  <si>
    <t>剩余</t>
  </si>
  <si>
    <t>挂机</t>
  </si>
  <si>
    <t>柜机</t>
  </si>
  <si>
    <t>风管机</t>
  </si>
  <si>
    <t>汇总</t>
  </si>
  <si>
    <t>AAABTP00M</t>
  </si>
  <si>
    <t>KFR-35GW/01XCA83TU1套机</t>
  </si>
  <si>
    <t>大J系列</t>
  </si>
  <si>
    <t>KFR-35W/0183T室外机总成</t>
  </si>
  <si>
    <t>1P(20款)</t>
  </si>
  <si>
    <t>φ7（21.65）</t>
  </si>
  <si>
    <t>φ5</t>
  </si>
  <si>
    <t>AAABTQ00M</t>
  </si>
  <si>
    <t>KFR-35GW/02XCA81TU1套机</t>
  </si>
  <si>
    <t>KFR-35W/0281T室外机总成</t>
  </si>
  <si>
    <t>AAC7H5001</t>
  </si>
  <si>
    <t>KFR-35GW/05JTA81TU1套机</t>
  </si>
  <si>
    <t>KFR-35W/0581T室外机总成</t>
  </si>
  <si>
    <t>φ7</t>
  </si>
  <si>
    <t>AAC7X2000</t>
  </si>
  <si>
    <t>KFR-26GW/B0MCA81套机</t>
  </si>
  <si>
    <t>KFR-26W/B081室外机总成</t>
  </si>
  <si>
    <t>AAABTD00K</t>
  </si>
  <si>
    <t>KFR-35GW/B0MCA81套机</t>
  </si>
  <si>
    <t>KFR-35W/B081室外机总成</t>
  </si>
  <si>
    <t>AAC7U9000</t>
  </si>
  <si>
    <t>KFR-35GW/A0MCG81UF套机</t>
  </si>
  <si>
    <t>KFR-35W/A081室外机总成</t>
  </si>
  <si>
    <t>AAAKYC000</t>
  </si>
  <si>
    <t>KFR-35GW/20MCG82UF套机</t>
  </si>
  <si>
    <t>KFR-35W/2082室外机总成</t>
  </si>
  <si>
    <t>φ7（18.186）</t>
  </si>
  <si>
    <t>AACVE0Q00</t>
  </si>
  <si>
    <t>KFR-35GW/A0X1A181套机</t>
  </si>
  <si>
    <t>AAAKYG000</t>
  </si>
  <si>
    <t>KFR-35GW/20MCA82套机</t>
  </si>
  <si>
    <t>AA000N000</t>
  </si>
  <si>
    <t>KFR-35GW/A0MCC82套机</t>
  </si>
  <si>
    <t>KFR-35W/A082室外机总成</t>
  </si>
  <si>
    <t>AAC3B0000</t>
  </si>
  <si>
    <t>KFR-26GW/A1MCD81U1套机</t>
  </si>
  <si>
    <t>KFR-26W/A181室外机总成</t>
  </si>
  <si>
    <t>AAABTB002</t>
  </si>
  <si>
    <t>KFR-26GW/20MCB81U1套机</t>
  </si>
  <si>
    <t>KFR-26W/2081室外机总成</t>
  </si>
  <si>
    <t>1P(19款)</t>
  </si>
  <si>
    <t>AAABTG002</t>
  </si>
  <si>
    <t>KFR-35GW/20MCB81U1套机</t>
  </si>
  <si>
    <t>KFR-35W/2081室外机总成</t>
  </si>
  <si>
    <t>AAABTH00E</t>
  </si>
  <si>
    <t>KFR-35GW/20MCC83套机</t>
  </si>
  <si>
    <t>KFR-35W/20C83室外机总成</t>
  </si>
  <si>
    <t>AAABTX00E</t>
  </si>
  <si>
    <t>KFR-35GW/83@T-Xc套机</t>
  </si>
  <si>
    <t>AAABTJ00M</t>
  </si>
  <si>
    <t>KFR-35GW/02FCC81XU1套机</t>
  </si>
  <si>
    <t>KFR-35W/0281X室外机总成</t>
  </si>
  <si>
    <t>AAC7H8000</t>
  </si>
  <si>
    <t>KFR-35GW/B1GPA81U1(白)套机</t>
  </si>
  <si>
    <t>KFR-35W/B181室外机总成</t>
  </si>
  <si>
    <t>AAC3E8000</t>
  </si>
  <si>
    <t>KFR-32GW/02XCA81TU1套机</t>
  </si>
  <si>
    <t>KFR-32W/0281T室外机总成</t>
  </si>
  <si>
    <t>AACEM2000</t>
  </si>
  <si>
    <t>KFR-35GW/LXCA-1Pro套机</t>
  </si>
  <si>
    <t>KFR-35W/34-1L</t>
  </si>
  <si>
    <t>AACEMA000</t>
  </si>
  <si>
    <t>KFR-35GW/LCD1-1套机</t>
  </si>
  <si>
    <t>KFR-35W/C1-1L</t>
  </si>
  <si>
    <t>AACEMB000</t>
  </si>
  <si>
    <t>KFR-35GW/LCC1-1套机</t>
  </si>
  <si>
    <t>AACEMG000</t>
  </si>
  <si>
    <t>KFR-35GW/LJD1-1套机</t>
  </si>
  <si>
    <t>KFR-35W/J1-1L</t>
  </si>
  <si>
    <t>AACEMCQ00</t>
  </si>
  <si>
    <t>KFR-35GW/LGB1-1套机</t>
  </si>
  <si>
    <t>AAC8U0000</t>
  </si>
  <si>
    <t>KFR-32GW/02FCC81XU1套机</t>
  </si>
  <si>
    <t>B系列</t>
  </si>
  <si>
    <t>KFR-32W/0281X室外机总成</t>
  </si>
  <si>
    <t>AAABTG00P</t>
  </si>
  <si>
    <t>KFR-35GW/02KJA83U1套机</t>
  </si>
  <si>
    <t>K系列</t>
  </si>
  <si>
    <t>KFR-35W/0283室外机总成</t>
  </si>
  <si>
    <t>AAC7H1000</t>
  </si>
  <si>
    <t>KFR-35GW/B1KWA81U1套机</t>
  </si>
  <si>
    <t>AAABTC00H</t>
  </si>
  <si>
    <t>KFR-35GW/01KBB81U1套机</t>
  </si>
  <si>
    <t>KFR-35W/01B81室外机总成</t>
  </si>
  <si>
    <t>AAABTA00E</t>
  </si>
  <si>
    <t>KFR-35GW/02KBB83U1套机</t>
  </si>
  <si>
    <t>AAABTY00J</t>
  </si>
  <si>
    <t>KFR-35GW/B1KPB81U1套机</t>
  </si>
  <si>
    <t>AAABTU00M</t>
  </si>
  <si>
    <t>KFR-26GW/B1KPB81U1套机</t>
  </si>
  <si>
    <t>KFR-26W/B181室外机总成</t>
  </si>
  <si>
    <t>AAABT800F</t>
  </si>
  <si>
    <t>KFR-35GW/12CAA81U1套机</t>
  </si>
  <si>
    <t>KFR-35W/1281室外机总成</t>
  </si>
  <si>
    <t>AAC7U1000</t>
  </si>
  <si>
    <t>KFR-35GW/A2CAA81VU1套机</t>
  </si>
  <si>
    <t>KFR-35W/A281室外机总成</t>
  </si>
  <si>
    <t>AAABT500F</t>
  </si>
  <si>
    <t>KFR-35GW/16CAB81U1套机</t>
  </si>
  <si>
    <t>KFR-35W/1681室外机总成</t>
  </si>
  <si>
    <t>AAABT300F</t>
  </si>
  <si>
    <t>KFR-26GW/16CAB81U1套机</t>
  </si>
  <si>
    <t>KFR-26W/1681室外机总成</t>
  </si>
  <si>
    <t>AACEJ0000</t>
  </si>
  <si>
    <t>KFR-35GW/08KHA83U1套机</t>
  </si>
  <si>
    <t>KFR-35W/0883室外机总成</t>
  </si>
  <si>
    <t>AAC7HY000</t>
  </si>
  <si>
    <t>KFR-35GW/B3KHA81U1套机</t>
  </si>
  <si>
    <t>KFR-35W/B381室外机总成</t>
  </si>
  <si>
    <t>AACEBX000</t>
  </si>
  <si>
    <t>KFR-26GW/B3KHA81U1套机</t>
  </si>
  <si>
    <t>KFR-26W/B381室外机总成</t>
  </si>
  <si>
    <t>AAABT800K</t>
  </si>
  <si>
    <t>KFR-35GW/B1KJA81U1套机</t>
  </si>
  <si>
    <t>AAABTA00K</t>
  </si>
  <si>
    <t>KFR-35GW/B1KTA81U1套机</t>
  </si>
  <si>
    <t>AAABTG00H</t>
  </si>
  <si>
    <t>KFR-35GW/01KGC81U1套机</t>
  </si>
  <si>
    <t>AAABTP00P</t>
  </si>
  <si>
    <t>KFR-26GW/B1KGC81U1套机</t>
  </si>
  <si>
    <t>AAC7HW000</t>
  </si>
  <si>
    <t>KFR-35GW/05MUE81TU1套机</t>
  </si>
  <si>
    <t>T系列</t>
  </si>
  <si>
    <t>AACYV1000</t>
  </si>
  <si>
    <t>KFR-35GW/CAB-1套机</t>
  </si>
  <si>
    <t>KFR-35W/C4-1</t>
  </si>
  <si>
    <t>AACYW0000</t>
  </si>
  <si>
    <t>KFR-26GW/CAB-1套机</t>
  </si>
  <si>
    <t>KFR-26W/C4-1</t>
  </si>
  <si>
    <t>AACJ0A000</t>
  </si>
  <si>
    <t>KFR-35GW/T200-1套机</t>
  </si>
  <si>
    <t>KFR-35W/C3-1</t>
  </si>
  <si>
    <t>AAC7H0003</t>
  </si>
  <si>
    <t>KFR-35GW/C200-1套机</t>
  </si>
  <si>
    <t>AACJ0R000</t>
  </si>
  <si>
    <t>KFR-35GW/J200-1套机</t>
  </si>
  <si>
    <t>AAC7H5000</t>
  </si>
  <si>
    <t>KFR-35GW/B1KPA81U1(白)套机</t>
  </si>
  <si>
    <t>AACXH1000</t>
  </si>
  <si>
    <t>KFR-35GW/Z500-1Pro套机</t>
  </si>
  <si>
    <t>G25B</t>
  </si>
  <si>
    <t>KFR-35W/D2-1</t>
  </si>
  <si>
    <t>AACXHV000</t>
  </si>
  <si>
    <t>KFR-35GW/Z500-1套机</t>
  </si>
  <si>
    <t>KFR-35W/C1-1</t>
  </si>
  <si>
    <t>AACXHQ000</t>
  </si>
  <si>
    <t>KFR-35GW/J500-1套机</t>
  </si>
  <si>
    <t>AACXHP000</t>
  </si>
  <si>
    <t>KFR-35GW/J500-1Pro套机</t>
  </si>
  <si>
    <t>AADBA0000</t>
  </si>
  <si>
    <t>KFR-35GW/Z200-1套机</t>
  </si>
  <si>
    <t>KFR-35W/C7-1</t>
  </si>
  <si>
    <t>AADBA7000</t>
  </si>
  <si>
    <t>KFR-35GW/J300-1套机</t>
  </si>
  <si>
    <t>AADBAU000</t>
  </si>
  <si>
    <t>KFR-35GW/Z300-1套机</t>
  </si>
  <si>
    <t>KFR-35W/B2-1</t>
  </si>
  <si>
    <t>KFR-35G/Z300-1</t>
  </si>
  <si>
    <t>AADBAV000</t>
  </si>
  <si>
    <t>KFR-35GW/Z301-1套机</t>
  </si>
  <si>
    <t>AACZU7000</t>
  </si>
  <si>
    <t>KFR-35GW/E1-1套机</t>
  </si>
  <si>
    <t>G35B</t>
  </si>
  <si>
    <t>KFR-35W/C2-1</t>
  </si>
  <si>
    <t>AACZT1000</t>
  </si>
  <si>
    <t>KFR-26GW/E1-1套机</t>
  </si>
  <si>
    <t>KFR-26W/C2-1</t>
  </si>
  <si>
    <t>AACZU2000</t>
  </si>
  <si>
    <t>KFR-35GW/P2-1套机</t>
  </si>
  <si>
    <t>AACZU1000</t>
  </si>
  <si>
    <t>KFR-35GW/E1-1Plus套机</t>
  </si>
  <si>
    <t>KFR-35W/A3-1</t>
  </si>
  <si>
    <t>AACQP7000</t>
  </si>
  <si>
    <t>KFR-48GW/E1-1套机</t>
  </si>
  <si>
    <t>KFR-48W/A1-1</t>
  </si>
  <si>
    <t>1.5P(20款)</t>
  </si>
  <si>
    <t>AADC70000</t>
  </si>
  <si>
    <t>KFR-46GW/LTA1-1套机</t>
  </si>
  <si>
    <t>G25E</t>
  </si>
  <si>
    <t>AAD4J0Q00</t>
  </si>
  <si>
    <t>KFR-35GW/G100-1套机</t>
  </si>
  <si>
    <t>G25C</t>
  </si>
  <si>
    <t>KFR-35W/Y1-1</t>
  </si>
  <si>
    <t>AAD4J5000</t>
  </si>
  <si>
    <t>KFR-35GW/LTB1-1套机</t>
  </si>
  <si>
    <t>AACEU3000</t>
  </si>
  <si>
    <t>CAS3523FCA(81)VU1套机</t>
  </si>
  <si>
    <t>卡萨帝星悦</t>
  </si>
  <si>
    <t>CAS3523(81)室外机总成</t>
  </si>
  <si>
    <t>AACEU0000</t>
  </si>
  <si>
    <t>CAS3523FCB(81)VU1套机</t>
  </si>
  <si>
    <t>AABMZ2000</t>
  </si>
  <si>
    <t>CAS358GAB(81)U1套机</t>
  </si>
  <si>
    <t>卡萨帝银河</t>
  </si>
  <si>
    <t>CAS358(81)室外机总成</t>
  </si>
  <si>
    <t>AABMZR000</t>
  </si>
  <si>
    <t>CAS358GEA(81)U1套机</t>
  </si>
  <si>
    <t>AABMZ6000</t>
  </si>
  <si>
    <t>CAS358GCA(81)U1套机</t>
  </si>
  <si>
    <t>AABMZ5000</t>
  </si>
  <si>
    <t>CAS268GCA(81)U1套机</t>
  </si>
  <si>
    <t>CAS268(81)室外机总成</t>
  </si>
  <si>
    <t>AACEXW000</t>
  </si>
  <si>
    <t>CAS3521GDB(81)VU1套机</t>
  </si>
  <si>
    <t>CAS3521(81)室外机总成</t>
  </si>
  <si>
    <t>AACEVZ000</t>
  </si>
  <si>
    <t>CAS2621GCD(81)U1套机</t>
  </si>
  <si>
    <t>CAS2621(81)室外机总成</t>
  </si>
  <si>
    <t>AACEX3001</t>
  </si>
  <si>
    <t>CAS3521GCD(81)U1套机</t>
  </si>
  <si>
    <t>AABMZ1001</t>
  </si>
  <si>
    <t>CAS358GEB(81)U1套机</t>
  </si>
  <si>
    <t>AAABTF00N</t>
  </si>
  <si>
    <t>CAS358GFQ(81)U1套机</t>
  </si>
  <si>
    <t>AAD6L0000</t>
  </si>
  <si>
    <t>CAS3530FCC(81)U1套机</t>
  </si>
  <si>
    <t>CAS3530(81)室外机总成</t>
  </si>
  <si>
    <t>AAD750000</t>
  </si>
  <si>
    <t>CAS3527D10(81)U1套机</t>
  </si>
  <si>
    <t>卡萨帝揽光</t>
  </si>
  <si>
    <t>CAS3527(81)室外机总成</t>
  </si>
  <si>
    <t>AAD751000</t>
  </si>
  <si>
    <t>CAS3527D10-A(81)U1套机</t>
  </si>
  <si>
    <t>AAD75F000</t>
  </si>
  <si>
    <t>CAS3527D20(81)U1套机</t>
  </si>
  <si>
    <t>AB91T8012</t>
  </si>
  <si>
    <t>KFR-72LW/06RAC81U1套机</t>
  </si>
  <si>
    <t>帝樽四代</t>
  </si>
  <si>
    <t>KFR-72W/0681室外机总成</t>
  </si>
  <si>
    <t>3P(19款)</t>
  </si>
  <si>
    <t>AB929Y000</t>
  </si>
  <si>
    <t>KFR-72LW/03PAA81U1套机</t>
  </si>
  <si>
    <t>帝樽五代</t>
  </si>
  <si>
    <t>KFR-72W/0381室外机总成</t>
  </si>
  <si>
    <t>3P(20款)</t>
  </si>
  <si>
    <t>AB9292001</t>
  </si>
  <si>
    <t>KFR-50LW/03PAA81U1套机</t>
  </si>
  <si>
    <t>KFR-50W/0381室外机总成</t>
  </si>
  <si>
    <t>AB96KZ000</t>
  </si>
  <si>
    <t>KFR-72LW/81@U1-Ub(金)套机</t>
  </si>
  <si>
    <t>KFR-72W/A581室外机总成</t>
  </si>
  <si>
    <t>2P(20款)</t>
  </si>
  <si>
    <t>AB91S3006</t>
  </si>
  <si>
    <t>KFR-72LW/81@U1-Ht套机</t>
  </si>
  <si>
    <t>KFR-72W/2881室外机总成</t>
  </si>
  <si>
    <t>AB91S2006</t>
  </si>
  <si>
    <t>KFR-72LW/81@U1-He套机</t>
  </si>
  <si>
    <t>AB91SZ004</t>
  </si>
  <si>
    <t>KFR-72LW/81@U1-Hj套机</t>
  </si>
  <si>
    <t>AB91SJ004</t>
  </si>
  <si>
    <t>KFR-72LW/28TAA81U1(浅砂金)套机</t>
  </si>
  <si>
    <t>AB92BK000</t>
  </si>
  <si>
    <t>KFR-72LW/02WDB81TU1套机</t>
  </si>
  <si>
    <t>KFR-72W/0281T室外机总成</t>
  </si>
  <si>
    <t>AB9550000</t>
  </si>
  <si>
    <t>KFR-50LW/02WDB81TU1套机</t>
  </si>
  <si>
    <t>KFR-50W/0281T室外机总成</t>
  </si>
  <si>
    <t>AB96KZ001</t>
  </si>
  <si>
    <t>KFR-72LW/02JTA81TU1套机</t>
  </si>
  <si>
    <t>AB92BA000</t>
  </si>
  <si>
    <t>KFR-72LW/01FCC81XU1套机</t>
  </si>
  <si>
    <t>KFR-72W/0181X室外机总成</t>
  </si>
  <si>
    <t>AB92B9000</t>
  </si>
  <si>
    <t>KFR-50LW/01FCC81XU1套机</t>
  </si>
  <si>
    <t>KFR-50W/0181X室外机总成</t>
  </si>
  <si>
    <t>AB929E003</t>
  </si>
  <si>
    <t>KFR-72LW/28PCA81U1套机</t>
  </si>
  <si>
    <t>AB976L000</t>
  </si>
  <si>
    <t>KFR-50LW/03PCA81U1套机</t>
  </si>
  <si>
    <t>AB929J000</t>
  </si>
  <si>
    <t>KFR-50LW/03KCA81U1套机</t>
  </si>
  <si>
    <t>AB92B2000</t>
  </si>
  <si>
    <t>KFR-50LW/06KCA83U1套机</t>
  </si>
  <si>
    <t>KFR-50W/0683室外机总成</t>
  </si>
  <si>
    <t>AB92B3000</t>
  </si>
  <si>
    <t>KFR-72LW/06KCA83U1套机</t>
  </si>
  <si>
    <t>KFR-72W/0683室外机总成</t>
  </si>
  <si>
    <t>AB91SD004</t>
  </si>
  <si>
    <t>KFR-72LW/28KCA81U1(冰雪白)套机</t>
  </si>
  <si>
    <t>AB9821000</t>
  </si>
  <si>
    <t>KFR-50LW/A2KDB81U1套机</t>
  </si>
  <si>
    <t>KFR-50W/A281室外机总成</t>
  </si>
  <si>
    <t>AB96B5000</t>
  </si>
  <si>
    <t>KFR-72LW/A2KDB81U1套机</t>
  </si>
  <si>
    <t>KFR-72W/A281室外机总成</t>
  </si>
  <si>
    <t>AB98N1Q00</t>
  </si>
  <si>
    <t>KFR-72LW/Z2KES81U1套机</t>
  </si>
  <si>
    <t>KFR-72W/Z281室外机总成</t>
  </si>
  <si>
    <t>3P(12款)</t>
  </si>
  <si>
    <t>AB929K001</t>
  </si>
  <si>
    <t>KFR-72LW/33KDS81U1套机</t>
  </si>
  <si>
    <t>KFR-72W/3381室外机总成</t>
  </si>
  <si>
    <t>AB95D0000</t>
  </si>
  <si>
    <t>KFR-72LW/28DNA81U1(冰雪白)套机</t>
  </si>
  <si>
    <t>AB9553000</t>
  </si>
  <si>
    <t>KFR-50LW/03DNA81U1(冰雪白)套机</t>
  </si>
  <si>
    <t>AB98ZD000</t>
  </si>
  <si>
    <t>KFR-50LW/PD1-1套机</t>
  </si>
  <si>
    <t>静悦</t>
  </si>
  <si>
    <t>AB98XL000</t>
  </si>
  <si>
    <t>KFR-72LW/PD1-1套机</t>
  </si>
  <si>
    <t>AB96KP003</t>
  </si>
  <si>
    <t>KFR-72LW/LTA1-1套机</t>
  </si>
  <si>
    <t>超省电SE</t>
  </si>
  <si>
    <t>KFR-72W/52-1L</t>
  </si>
  <si>
    <t>AB976N000</t>
  </si>
  <si>
    <t>KFR-51LW/LTA1-1套机</t>
  </si>
  <si>
    <t>KFR-51W/30-1L</t>
  </si>
  <si>
    <t>AB96KV003</t>
  </si>
  <si>
    <t>KFR-72LW/LPD1-1套机</t>
  </si>
  <si>
    <t>AB96KU003</t>
  </si>
  <si>
    <t>KFR-72LW/LCD1-1套机</t>
  </si>
  <si>
    <t>KFR-72W/E2-1L</t>
  </si>
  <si>
    <t>AB96KT003</t>
  </si>
  <si>
    <t>KFR-72LW/LCC1-1套机</t>
  </si>
  <si>
    <t>AB98XM000</t>
  </si>
  <si>
    <t>KFR-72LW/KDD-1套机</t>
  </si>
  <si>
    <t>AB961C000</t>
  </si>
  <si>
    <t>KFR-72LW/A5LGA81U1套机</t>
  </si>
  <si>
    <t>超级平台</t>
  </si>
  <si>
    <t>AB9612000</t>
  </si>
  <si>
    <t>KFR-72LW/A1FAA81U1套机</t>
  </si>
  <si>
    <t>KFR-72W/A181室外机总成</t>
  </si>
  <si>
    <t>AB9611000</t>
  </si>
  <si>
    <t>KFR-72LW/A1FAB81U1套机</t>
  </si>
  <si>
    <t>AB961F000</t>
  </si>
  <si>
    <t>KFR-72LW/A5FAC81U1套机</t>
  </si>
  <si>
    <t>AB9690000</t>
  </si>
  <si>
    <t>KFR-50LW/A1FBA81U1套机</t>
  </si>
  <si>
    <t>KFR-50W/A181室外机总成</t>
  </si>
  <si>
    <t>AB96A0000</t>
  </si>
  <si>
    <t>KFR-72LW/A1FBA81U1套机</t>
  </si>
  <si>
    <t>AB961H000</t>
  </si>
  <si>
    <t>KFR-72LW/A5FAD81U1套机</t>
  </si>
  <si>
    <t>AB96A3000</t>
  </si>
  <si>
    <t>KFR-72LW/A5FBB81U1套机</t>
  </si>
  <si>
    <t>AB9693000</t>
  </si>
  <si>
    <t>KFR-50LW/A5FBB81U1套机</t>
  </si>
  <si>
    <t>KFR-50W/A581室外机总成</t>
  </si>
  <si>
    <t>AB9617001</t>
  </si>
  <si>
    <t>KFR-72LW/J200-1套机</t>
  </si>
  <si>
    <t>AB9614001</t>
  </si>
  <si>
    <t>KFR-72LW/T200-1套机</t>
  </si>
  <si>
    <t>AB9611001</t>
  </si>
  <si>
    <t>KFR-72LW/FAC-1Pro套机</t>
  </si>
  <si>
    <t>KFR-72W/B1-1</t>
  </si>
  <si>
    <t>AB9610001</t>
  </si>
  <si>
    <t>KFR-72LW/FAD-1Pro套机</t>
  </si>
  <si>
    <t>AB9613001</t>
  </si>
  <si>
    <t>KFR-72LW/M200-1套机</t>
  </si>
  <si>
    <t>AB98F3000</t>
  </si>
  <si>
    <t>KFR-72LW/W800-1套机</t>
  </si>
  <si>
    <t>E3(聪明风）</t>
  </si>
  <si>
    <t>KFR-72W/B7-1</t>
  </si>
  <si>
    <t>AB98E0000</t>
  </si>
  <si>
    <t>KFR-50LW/N8-1套机</t>
  </si>
  <si>
    <t>KFR-50W/B7-1</t>
  </si>
  <si>
    <t>AB98F0000</t>
  </si>
  <si>
    <t>KFR-72LW/N8-1套机</t>
  </si>
  <si>
    <t>AB98Q1000</t>
  </si>
  <si>
    <t>KFR-50LW/E1-1套机</t>
  </si>
  <si>
    <t>E3(净省电）</t>
  </si>
  <si>
    <t>KFR-50W/B6-1</t>
  </si>
  <si>
    <t>AB98P1000</t>
  </si>
  <si>
    <t>KFR-72LW/E1-1套机</t>
  </si>
  <si>
    <t>KFR-72W/B6-1</t>
  </si>
  <si>
    <t>AB98PB000</t>
  </si>
  <si>
    <t>KFR-72LW/P2-1套机</t>
  </si>
  <si>
    <t>AB98ZC000</t>
  </si>
  <si>
    <t>KFR-50LW/E1-1Plus套机</t>
  </si>
  <si>
    <t>KFR-50W/B2-1</t>
  </si>
  <si>
    <t>AB98F9000</t>
  </si>
  <si>
    <t>KFR-72LW/E1-1Plus套机</t>
  </si>
  <si>
    <t>KFR-72W/E7-1</t>
  </si>
  <si>
    <t>AB98FE000</t>
  </si>
  <si>
    <t>KFR-72LW/B200-1套机</t>
  </si>
  <si>
    <t>E3(省凉静）</t>
  </si>
  <si>
    <t>KFR-72W/B2-1</t>
  </si>
  <si>
    <t>AB98E6000</t>
  </si>
  <si>
    <t>KFR-50LW/B200-1套机</t>
  </si>
  <si>
    <t>AB96AE000</t>
  </si>
  <si>
    <t>KFR-72LW/B700-1套机</t>
  </si>
  <si>
    <t>E3(鲜风宝）</t>
  </si>
  <si>
    <t>KFR-72W/B8-1</t>
  </si>
  <si>
    <t>AB98FV000</t>
  </si>
  <si>
    <t>KFR-72LW/B500-1套机</t>
  </si>
  <si>
    <t>E3(洗空气）</t>
  </si>
  <si>
    <t>AB98P1001</t>
  </si>
  <si>
    <t>KFR-72LW/LX2-1套机</t>
  </si>
  <si>
    <t>KFR-72W/51-1L</t>
  </si>
  <si>
    <t>AB98FS000</t>
  </si>
  <si>
    <t>KFR-72LW/Z600-1套机</t>
  </si>
  <si>
    <t>E3(云溪）</t>
  </si>
  <si>
    <t>KFR-72W/C7-1</t>
  </si>
  <si>
    <t>AB98FU000</t>
  </si>
  <si>
    <t>KFR-72LW/Z300-1套机</t>
  </si>
  <si>
    <t>E3(瑞熙）</t>
  </si>
  <si>
    <t>KFR-72W/D2-1</t>
  </si>
  <si>
    <t>AB98ER000</t>
  </si>
  <si>
    <t>KFR-50LW/Z300-1套机</t>
  </si>
  <si>
    <t>KFR-50W/D2-1</t>
  </si>
  <si>
    <t>AB98X2000</t>
  </si>
  <si>
    <t>KFR-72LW/E2-1套机</t>
  </si>
  <si>
    <t>E3(舒适风）</t>
  </si>
  <si>
    <t>KFR-72W/C2-1</t>
  </si>
  <si>
    <t>AB98Z1000</t>
  </si>
  <si>
    <t>KFR-50LW/E2-1套机</t>
  </si>
  <si>
    <t>KFR-50W/C2-1</t>
  </si>
  <si>
    <t>AB98X1000</t>
  </si>
  <si>
    <t>KFR-72LW/E2-1Pro套机</t>
  </si>
  <si>
    <t>KFR-72W/C5-1</t>
  </si>
  <si>
    <t>AB9947000</t>
  </si>
  <si>
    <t>KFR-72LW/A600-1套机</t>
  </si>
  <si>
    <t>AB9941000</t>
  </si>
  <si>
    <t>KFR-72LW/Z500-1套机</t>
  </si>
  <si>
    <t>AB99D1000</t>
  </si>
  <si>
    <t>KFR-50LW/Z500-1套机</t>
  </si>
  <si>
    <t>AB9943000</t>
  </si>
  <si>
    <t>KFR-72LW/C500-1套机</t>
  </si>
  <si>
    <t>AB9945000</t>
  </si>
  <si>
    <t>KFR-72LW/M500-1套机</t>
  </si>
  <si>
    <t>AB98X7000</t>
  </si>
  <si>
    <t>KFR-72LW/J300-1套机</t>
  </si>
  <si>
    <t>E3(性能王）</t>
  </si>
  <si>
    <t>KFR-72W/E2-1</t>
  </si>
  <si>
    <t>AB98Z4000</t>
  </si>
  <si>
    <t>KFR-50LW/J300-1套机</t>
  </si>
  <si>
    <t>KFR-50W/E2-1</t>
  </si>
  <si>
    <t>AB98X5000</t>
  </si>
  <si>
    <t>KFR-72LW/N3-1套机</t>
  </si>
  <si>
    <t>AB98X9000</t>
  </si>
  <si>
    <t>KFR-72LW/T300-1套机</t>
  </si>
  <si>
    <t>AB98Z5000</t>
  </si>
  <si>
    <t>KFR-50LW/T300-1套机</t>
  </si>
  <si>
    <t>AB98X8000</t>
  </si>
  <si>
    <t>KFR-72LW/W300-1套机</t>
  </si>
  <si>
    <t>AB98XF000</t>
  </si>
  <si>
    <t>KFR-72LW/M300-1套机</t>
  </si>
  <si>
    <t>KFR-72W/D5-1</t>
  </si>
  <si>
    <t>AB98XR000</t>
  </si>
  <si>
    <t>KFR-72LW/A200-1套机</t>
  </si>
  <si>
    <t>AB98P4001</t>
  </si>
  <si>
    <t>KFR-72LW/LX1-1套机</t>
  </si>
  <si>
    <t>AB97C2000</t>
  </si>
  <si>
    <t>KFR-72LW/A5EAA81U1(芊晶灰)套机</t>
  </si>
  <si>
    <t>机械师</t>
  </si>
  <si>
    <t>AB97C1000</t>
  </si>
  <si>
    <t>KFR-72LW/A5EAB81U1(苏黎金)套机</t>
  </si>
  <si>
    <t>AB98PW000</t>
  </si>
  <si>
    <t>KFR-72LW/E3-1套机</t>
  </si>
  <si>
    <t>AB96H1000</t>
  </si>
  <si>
    <t>KFR-72LW/03LKB81TU1套机</t>
  </si>
  <si>
    <t>L柜</t>
  </si>
  <si>
    <t>KFR-72W/0381T室外机总成</t>
  </si>
  <si>
    <t>AB96H3000</t>
  </si>
  <si>
    <t>KFR-72LW/03LKC81TU1套机</t>
  </si>
  <si>
    <t>AB91ST004</t>
  </si>
  <si>
    <t>KFR-72LW/01VEA81TU1套机</t>
  </si>
  <si>
    <t>KFR-72W/0181T室外机总成</t>
  </si>
  <si>
    <t>AB91SF003</t>
  </si>
  <si>
    <t>KFR-72LW/28LBC81U1套机</t>
  </si>
  <si>
    <t>AB97P0000</t>
  </si>
  <si>
    <t>KFR-72LW/81@U1-La(典雅灰)套机</t>
  </si>
  <si>
    <t>KFR-72W/A381室外机总成</t>
  </si>
  <si>
    <t>AB97N1000</t>
  </si>
  <si>
    <t>KFR-50LW/81@U1-La(典雅灰)套机</t>
  </si>
  <si>
    <t>KFR-50W/A381室外机总成</t>
  </si>
  <si>
    <t>AB96B1000</t>
  </si>
  <si>
    <t>KFR-72LW/A3LEA81VU1(紫)套机</t>
  </si>
  <si>
    <t>AB97N5000</t>
  </si>
  <si>
    <t>KFR-50LW/A3LEC81U1(冰雪白)套机</t>
  </si>
  <si>
    <t>1.5P(21款)</t>
  </si>
  <si>
    <t>AB97P2000</t>
  </si>
  <si>
    <t>KFR-72LW/A3LEC81U1(冰雪白)套机</t>
  </si>
  <si>
    <t>AB97P4000</t>
  </si>
  <si>
    <t>KFR-72LW/A3LFA81VU1(晶釉蓝)套机</t>
  </si>
  <si>
    <t>AB91SM003</t>
  </si>
  <si>
    <t>KFR-72LW/28LFB81VU1套机</t>
  </si>
  <si>
    <t>AB98J0000</t>
  </si>
  <si>
    <t>CAP7221GDB(81)VU1套机</t>
  </si>
  <si>
    <t>CAP7221(81)室外机总成</t>
  </si>
  <si>
    <t>AB929E002</t>
  </si>
  <si>
    <t>CAP728GEA(81)U1套机</t>
  </si>
  <si>
    <t>CAP728(81)室外机总成</t>
  </si>
  <si>
    <t>AB929J001</t>
  </si>
  <si>
    <t>CAP728GAB(81)U1套机</t>
  </si>
  <si>
    <t>AB929A002</t>
  </si>
  <si>
    <t>CAP728GCA(81)U1套机</t>
  </si>
  <si>
    <t>AB9299002</t>
  </si>
  <si>
    <t>CAP508GCA(81)U1套机</t>
  </si>
  <si>
    <t>CAP508(81)室外机总成</t>
  </si>
  <si>
    <t>AB929K002</t>
  </si>
  <si>
    <t>CAP728GDA(81)U1套机</t>
  </si>
  <si>
    <t>AB929N003</t>
  </si>
  <si>
    <t>CAP728GEB(81)U1套机</t>
  </si>
  <si>
    <t>AB98T4000</t>
  </si>
  <si>
    <t>CAP7231FCB(81)VU1套机</t>
  </si>
  <si>
    <t>卡萨帝</t>
  </si>
  <si>
    <t>CAP7231(81)室外机总成</t>
  </si>
  <si>
    <t>AB98T5000</t>
  </si>
  <si>
    <t>CAP7231F20(81)U1套机</t>
  </si>
  <si>
    <t>辅料</t>
  </si>
  <si>
    <t>AA1P5KU04</t>
  </si>
  <si>
    <t>NB模块配件</t>
  </si>
  <si>
    <t>AA1P5TU04</t>
  </si>
  <si>
    <t>工程定制4米管-9</t>
  </si>
  <si>
    <t>AB929EU05</t>
  </si>
  <si>
    <t>内销防尘面板</t>
  </si>
  <si>
    <t>AA1P5NU05</t>
  </si>
  <si>
    <t>工程定制1.8米电源线</t>
  </si>
  <si>
    <t>AA1P5YU03</t>
  </si>
  <si>
    <t>工程定制加长5米管-9</t>
  </si>
  <si>
    <t>AA1P5JU04</t>
  </si>
  <si>
    <t>工程定制加长6米管-9</t>
  </si>
  <si>
    <t>AA1P5GU04</t>
  </si>
  <si>
    <t>工程定制加长7米管-9</t>
  </si>
  <si>
    <t>AA1P5GZ0A</t>
  </si>
  <si>
    <t>工程定制加长8米管9米线-9</t>
  </si>
  <si>
    <t>AA1PLPU02</t>
  </si>
  <si>
    <t>工程定制柜机5米管</t>
  </si>
  <si>
    <t>AA1PLQU02</t>
  </si>
  <si>
    <t>工程定制柜机6米管</t>
  </si>
  <si>
    <t>AB929MU05</t>
  </si>
  <si>
    <t>小黄人防尘画帖</t>
  </si>
  <si>
    <t>AB961XZ00</t>
  </si>
  <si>
    <t>HKML/E2-JKCQ除醛模块</t>
  </si>
  <si>
    <t>AAC6PMZ00</t>
  </si>
  <si>
    <t>新风除尘模块HC-CC7384A/TGA</t>
  </si>
  <si>
    <t>AB9231Z02</t>
  </si>
  <si>
    <t>HKML/E3-JKCC除尘模块</t>
  </si>
  <si>
    <t>AACQ90Z00</t>
  </si>
  <si>
    <t>Cat.1模块配件双自锁</t>
  </si>
  <si>
    <t>AAD75KZ00</t>
  </si>
  <si>
    <t>卡萨帝挂机除醛模块HC-CQ2705/CGA</t>
  </si>
  <si>
    <t>单边机</t>
  </si>
  <si>
    <t>AA1PLL002</t>
  </si>
  <si>
    <t>AB9615001</t>
  </si>
  <si>
    <t>KFR-72L/T200-1</t>
  </si>
  <si>
    <t>AA1P5W006</t>
  </si>
  <si>
    <t>AACFU0000</t>
  </si>
  <si>
    <t>AB98P0000</t>
  </si>
  <si>
    <t>KFR-72L/E1-1</t>
  </si>
  <si>
    <t>海外机</t>
  </si>
  <si>
    <t>AAABT2E0R</t>
  </si>
  <si>
    <t>AS12BBBHRA内机(乌兹Haier-静悦-24)</t>
  </si>
  <si>
    <t>AAD330E00</t>
  </si>
  <si>
    <t>1U12MRBFRA外机(乌兹别克Haier-静悦-25)</t>
  </si>
  <si>
    <t>3#</t>
  </si>
  <si>
    <t>AB97W4Z00</t>
  </si>
  <si>
    <t>AP24DFKHRA内机散件(巴基斯坦Haier-KCA)SKD2024</t>
  </si>
  <si>
    <t>6#生产</t>
  </si>
  <si>
    <t>AB97WCZ00</t>
  </si>
  <si>
    <t>AP24DFKHRA内机散件(印度Haier-金色帝尊)SKD2025</t>
  </si>
  <si>
    <t>AB97WDU00</t>
  </si>
  <si>
    <t>AP24DFKHRA内机-印度帝樽-非演示壳体-25</t>
  </si>
  <si>
    <t>AB97Y3E00</t>
  </si>
  <si>
    <t>AP24DFMHRA内机(土耳其sigma-WDA-wifi-24)</t>
  </si>
  <si>
    <t>AZ1DY0E00</t>
  </si>
  <si>
    <t>HBB-1358AD(美国GE-带人感-白-2025)</t>
  </si>
  <si>
    <t>7#生产</t>
  </si>
  <si>
    <t>AZ1DY3E00</t>
  </si>
  <si>
    <t>HBB-1358AD(美国Haier-无人感-白-2025)</t>
  </si>
  <si>
    <t>AE22H5E00</t>
  </si>
  <si>
    <t>HB09ADBHRE内机(美国Haier-FIT-2025)</t>
  </si>
  <si>
    <t>AE22H2E00</t>
  </si>
  <si>
    <t>HB09ADAHRE内机(美国Haier-ARCTIC-2025)</t>
  </si>
  <si>
    <t>AE22H0E00</t>
  </si>
  <si>
    <t>HB12ADAHRE内机(美国Haier-ARCTIC-2025)</t>
  </si>
  <si>
    <t>AE22H3E00</t>
  </si>
  <si>
    <t>HB18ADAHRE内机(美国Haier-ARCTIC-2025)</t>
  </si>
  <si>
    <t>AB97Y0E00</t>
  </si>
  <si>
    <t>AP24DFMHRA内机(欧盟Haier-WDB-wifi-24)</t>
  </si>
  <si>
    <t>6#\7#生产</t>
  </si>
  <si>
    <t>AB97V1E00</t>
  </si>
  <si>
    <t>AP24DFLHRA内机(泰国Haier-LBA单冷) 24</t>
  </si>
  <si>
    <t>AB97Y1E00</t>
  </si>
  <si>
    <t>AP24DFMHRA内机(希腊inventor-WDA红-24)</t>
  </si>
  <si>
    <t>AB98PZU00</t>
  </si>
  <si>
    <t>KFR-72L/B200-1显示壳体</t>
  </si>
  <si>
    <t>AAC7H8E01</t>
  </si>
  <si>
    <t>AS12BBCHRA内机(乌兹Haier-旋翼-24)</t>
  </si>
  <si>
    <t>AAC5U6E00</t>
  </si>
  <si>
    <t>1U12DRCFRA外机(乌兹Haier-旋翼内-25)</t>
  </si>
  <si>
    <t>AB97WBE00</t>
  </si>
  <si>
    <t>AP24DFKHRA内机(中亚Haier-TAA浅砂金-内机电加热-25)</t>
  </si>
  <si>
    <t>AACJC1E00</t>
  </si>
  <si>
    <t>1U24KYCFRA外机(中亚Haier-Ht/WDB内-24)</t>
  </si>
  <si>
    <t>AACGEWE00</t>
  </si>
  <si>
    <t>1U24WRNFRA外机(中亚Haier-LBA内-24)</t>
  </si>
  <si>
    <t>AB9780E00</t>
  </si>
  <si>
    <t>AP24DFNHRA内机(中亚Haier-LBA电加热-WIFI-24)</t>
  </si>
  <si>
    <t>AB97Y2M00</t>
  </si>
  <si>
    <t>AP24DFMHRA内机(东欧hakson-HT金-wifi-24)</t>
  </si>
  <si>
    <t>样机</t>
  </si>
  <si>
    <t>AB98T8U00</t>
  </si>
  <si>
    <t>CAP72F20(81)U1演示壳体</t>
  </si>
  <si>
    <t>AB98TAU00</t>
  </si>
  <si>
    <t>CAP72FCB(81)VU1演示壳体</t>
  </si>
  <si>
    <t>AACVV0000</t>
  </si>
  <si>
    <t>KCS-28QKA8U1</t>
  </si>
  <si>
    <t>AACLR4000</t>
  </si>
  <si>
    <t>KFR-35W/35-1L</t>
  </si>
  <si>
    <t>AAD452000</t>
  </si>
  <si>
    <t>KFR-35G/LTB2-1</t>
  </si>
  <si>
    <t>AAD0000000</t>
  </si>
  <si>
    <t>AACZU0000</t>
  </si>
  <si>
    <t>KFR-35G/E1-1Plus</t>
  </si>
  <si>
    <t>AAD760000</t>
  </si>
  <si>
    <t>AB98X0000</t>
  </si>
  <si>
    <t>KFR-72L/E2-1Pro</t>
  </si>
  <si>
    <t>AB96KQ003</t>
  </si>
  <si>
    <t>KFR-72L/LTA1-1</t>
  </si>
  <si>
    <t>AB98XT000</t>
  </si>
  <si>
    <t>KFR-72L/KDD-1</t>
  </si>
  <si>
    <t>AACG83000</t>
  </si>
  <si>
    <t>KFR-72L/E2-1室内机总成</t>
  </si>
  <si>
    <t>KFR-72W/C2-1室外机总成</t>
  </si>
  <si>
    <t>CAP72FCB(81)VU1室内机总成</t>
  </si>
  <si>
    <t>KFR-72W/52-1L室外机总成</t>
  </si>
  <si>
    <t>KFR-72L/FBB81U1室内机总成</t>
  </si>
  <si>
    <t>AAD4J1Q00</t>
  </si>
  <si>
    <t>KFR-35G/G100-1室内机总成</t>
  </si>
  <si>
    <t>AAD4K0Q00</t>
  </si>
  <si>
    <t>KFR-35W/Y1-1室外机总成</t>
  </si>
  <si>
    <t>AAD6Y0000</t>
  </si>
  <si>
    <t>CAS35D10-A(81)U1室内机总成</t>
  </si>
  <si>
    <t>AAD6Y2000</t>
  </si>
  <si>
    <t>CAS35D20(81)U1室内机总成</t>
  </si>
  <si>
    <t>AA9HUP000</t>
  </si>
  <si>
    <t>CAN3580EAF(81)U1</t>
  </si>
  <si>
    <t>CAN3580(81)</t>
  </si>
  <si>
    <t>AA9KBS000</t>
  </si>
  <si>
    <t>CAN5081EBF(81)U1</t>
  </si>
  <si>
    <t>CAN5081(81)</t>
  </si>
  <si>
    <t>AA9KK8002</t>
  </si>
  <si>
    <t>CAN7582ECF(81)U1</t>
  </si>
  <si>
    <t>CAN7582(81)</t>
  </si>
  <si>
    <t>AC6SA8000</t>
  </si>
  <si>
    <t>CANW7583ED(81)U1</t>
  </si>
  <si>
    <t>CAW7583(81)</t>
  </si>
  <si>
    <t>AC6S8A000</t>
  </si>
  <si>
    <t>CANW3583ED(81)U1</t>
  </si>
  <si>
    <t>CAW3583(81)</t>
  </si>
  <si>
    <t>AACVN0000</t>
  </si>
  <si>
    <t>CANW9083ED(81)U1</t>
  </si>
  <si>
    <t>CAW9083(81)</t>
  </si>
  <si>
    <t>AACVP5001</t>
  </si>
  <si>
    <t>CANW3585EF81U1</t>
  </si>
  <si>
    <t>CAW358581</t>
  </si>
  <si>
    <t>AACVNN000</t>
  </si>
  <si>
    <t>CANW7585EF81U1</t>
  </si>
  <si>
    <t>CAW758581</t>
  </si>
  <si>
    <t>AACVP4001</t>
  </si>
  <si>
    <t>CANW3586EG81U1</t>
  </si>
  <si>
    <t>CAW358681</t>
  </si>
  <si>
    <t>AACYEP000</t>
  </si>
  <si>
    <t>CANW5086EG81U1</t>
  </si>
  <si>
    <t>CAW508681</t>
  </si>
  <si>
    <t>AACVNS000</t>
  </si>
  <si>
    <t>CANW7586EG81U1</t>
  </si>
  <si>
    <t>CAW758681</t>
  </si>
  <si>
    <t>AACVNQ000</t>
  </si>
  <si>
    <t>CANW8084EAX81U1</t>
  </si>
  <si>
    <t>CAW808481</t>
  </si>
  <si>
    <t>AA9KK5001</t>
  </si>
  <si>
    <t>KFRd-35NW/62DBAF21ZCU1套机</t>
  </si>
  <si>
    <t>KFRd-35W/6221ZC</t>
  </si>
  <si>
    <t>35铁壳</t>
  </si>
  <si>
    <t>AA9HUB000</t>
  </si>
  <si>
    <t>KFRd-35NW/70DBB82</t>
  </si>
  <si>
    <t>KFRd-35W/7082</t>
  </si>
  <si>
    <t>AA9HUD000</t>
  </si>
  <si>
    <t>KFRd-35NW/70DBB82ST</t>
  </si>
  <si>
    <t>KFRd-35W/7082ST</t>
  </si>
  <si>
    <t>AA9KK0007</t>
  </si>
  <si>
    <t>KFRD-26NW/61DAA22</t>
  </si>
  <si>
    <t>KFRD-26W/6122</t>
  </si>
  <si>
    <r>
      <rPr>
        <sz val="10"/>
        <color theme="1"/>
        <rFont val="宋体"/>
        <family val="3"/>
        <charset val="134"/>
        <scheme val="minor"/>
      </rPr>
      <t>1.5P</t>
    </r>
    <r>
      <rPr>
        <sz val="10"/>
        <color indexed="8"/>
        <rFont val="宋体"/>
        <family val="3"/>
        <charset val="134"/>
      </rPr>
      <t>(16款)</t>
    </r>
  </si>
  <si>
    <t>AA9KKC001</t>
  </si>
  <si>
    <t>KFRd-26NW/70DAA83</t>
  </si>
  <si>
    <t>KFRd-26W/7083</t>
  </si>
  <si>
    <t>AA9KK4007</t>
  </si>
  <si>
    <t>KFRd-26NW/61DAA21Z</t>
  </si>
  <si>
    <t>KFRd-26W/6121Z</t>
  </si>
  <si>
    <t>AA8MN2000</t>
  </si>
  <si>
    <t>KFRD-36NW/61DBA22</t>
  </si>
  <si>
    <t>KFRd-36W/6122</t>
  </si>
  <si>
    <t>AA9HU9000</t>
  </si>
  <si>
    <t>KFRd-35NW/70DBA82</t>
  </si>
  <si>
    <t>AA9KKD001</t>
  </si>
  <si>
    <t>KFRd-35NW/70DBA83</t>
  </si>
  <si>
    <t>KFRd-35W/7083</t>
  </si>
  <si>
    <t>AA9KK7007</t>
  </si>
  <si>
    <t>KFRD-36NW/61DBA21Z</t>
  </si>
  <si>
    <t>KFRd-36W/6121Z</t>
  </si>
  <si>
    <t>AA9KKN001</t>
  </si>
  <si>
    <t>KFRd-26NW/70DAA83(P)</t>
  </si>
  <si>
    <t>AA9KKE001</t>
  </si>
  <si>
    <t>KFRd-35NW/70DBA83(P)</t>
  </si>
  <si>
    <t>AA9HUH000</t>
  </si>
  <si>
    <t>KFRd-26NW/70EAA81U1</t>
  </si>
  <si>
    <t>KFRd-26W/7081</t>
  </si>
  <si>
    <t>AACVPU000</t>
  </si>
  <si>
    <t>KFRd-26NW/79EJ83P</t>
  </si>
  <si>
    <t>KFRd-26W/7983</t>
  </si>
  <si>
    <t>1P(21款)</t>
  </si>
  <si>
    <t>AACVPV000</t>
  </si>
  <si>
    <t>KFRd-26NW/79EJ83</t>
  </si>
  <si>
    <t>1P(22款)</t>
  </si>
  <si>
    <t>AA9HUF000</t>
  </si>
  <si>
    <t>KFRd-35NW/70EAA81U1</t>
  </si>
  <si>
    <t>KFRd-35W/7081</t>
  </si>
  <si>
    <t>AC6S87000</t>
  </si>
  <si>
    <t>KFRd-35NW/73ED81TU1</t>
  </si>
  <si>
    <t>KFRd-35W/7381T</t>
  </si>
  <si>
    <t>AA9KKPB04</t>
  </si>
  <si>
    <t>KFRd-36NW/61GBA22ST</t>
  </si>
  <si>
    <t>KFRd-36W/6122ST</t>
  </si>
  <si>
    <t>AACVPC000</t>
  </si>
  <si>
    <t>KFRd-35NW/78EB81PU1</t>
  </si>
  <si>
    <t>KFRd-35W/7881</t>
  </si>
  <si>
    <t>AA9KK000M</t>
  </si>
  <si>
    <t>KFR-32NW/01FAA22S(套机)</t>
  </si>
  <si>
    <t>KFR-32W/0122S</t>
  </si>
  <si>
    <t>AC6RTM000</t>
  </si>
  <si>
    <t>KFRd-26NW/74EE81</t>
  </si>
  <si>
    <t>KFRd-26W/7481</t>
  </si>
  <si>
    <t>AC6RTF000</t>
  </si>
  <si>
    <t>KFRd-35NW/74EE81</t>
  </si>
  <si>
    <t>KFRd-35W/7481</t>
  </si>
  <si>
    <t>AC6RTQ000</t>
  </si>
  <si>
    <t>KFRd-26NW/74EE81(P）</t>
  </si>
  <si>
    <t>AACVPG000</t>
  </si>
  <si>
    <t>KFRd-26NW/78EB81U1</t>
  </si>
  <si>
    <t>KFRd-26W/7881</t>
  </si>
  <si>
    <t>AC6RTH000</t>
  </si>
  <si>
    <t>KFRd-35NW/74EE81(P）</t>
  </si>
  <si>
    <t>AC6RTG000</t>
  </si>
  <si>
    <t>KFRd-35NW/75EF81</t>
  </si>
  <si>
    <t>KFRd-35W/7581</t>
  </si>
  <si>
    <t>AA9HUN000</t>
  </si>
  <si>
    <t>KFRd-35NW/70EAD81</t>
  </si>
  <si>
    <t>AA9HUG000</t>
  </si>
  <si>
    <t>KFRd-35NW/70EAF81</t>
  </si>
  <si>
    <t>AC6S86000</t>
  </si>
  <si>
    <t>KFRd-35NW/72ECA81A</t>
  </si>
  <si>
    <t>KFRd-35W/7281A</t>
  </si>
  <si>
    <t>AACVP4000</t>
  </si>
  <si>
    <t>KFRd-35NW/78EA81PU1</t>
  </si>
  <si>
    <t>AACVP7000</t>
  </si>
  <si>
    <t>KFRd-35NW/78EC81U1</t>
  </si>
  <si>
    <t>AACVPB000</t>
  </si>
  <si>
    <t>KFRd-35NW/78EB81U1</t>
  </si>
  <si>
    <t>AACVPZ000</t>
  </si>
  <si>
    <t>KFRd-35NW/78EL81PU1</t>
  </si>
  <si>
    <t>AACVP5000</t>
  </si>
  <si>
    <t>KFRd-35NW/78ED81U1</t>
  </si>
  <si>
    <t>AACVPQ000</t>
  </si>
  <si>
    <t>KFRd-35NW/79EJ83</t>
  </si>
  <si>
    <t>KFRd-35W/7983</t>
  </si>
  <si>
    <t>AACVPP000</t>
  </si>
  <si>
    <t>KFRd-35NW/79EJ83P</t>
  </si>
  <si>
    <t>AACVPY000</t>
  </si>
  <si>
    <t>KFRd-35NW/79EK82</t>
  </si>
  <si>
    <t>KFRd-35W/7982</t>
  </si>
  <si>
    <t>AACYE4000</t>
  </si>
  <si>
    <t>KFRd-50NW/78ED81U1</t>
  </si>
  <si>
    <t>KFRd-50W/7881</t>
  </si>
  <si>
    <t>AACYE3000</t>
  </si>
  <si>
    <t>KFRd-50NW/78EC81U1</t>
  </si>
  <si>
    <t>AA9KBG000</t>
  </si>
  <si>
    <t>KFRd-50NW/71DCA82</t>
  </si>
  <si>
    <t>KFRd-50W/7182</t>
  </si>
  <si>
    <t>AA9KKL001</t>
  </si>
  <si>
    <t>KFRd-50NW/71DCA83</t>
  </si>
  <si>
    <t>KFRd-50W/7183</t>
  </si>
  <si>
    <t>AACYE9000</t>
  </si>
  <si>
    <t>KFRd-50NW/78EB81U1</t>
  </si>
  <si>
    <t>AA9KBP000</t>
  </si>
  <si>
    <t>KFRd-50NW/71EBA81U1</t>
  </si>
  <si>
    <t>KFRd-50W/7181</t>
  </si>
  <si>
    <t>AA9KK6001</t>
  </si>
  <si>
    <t>KFRd-50NW/63DCAF21ZCU1套机</t>
  </si>
  <si>
    <t>KFRd-50W/6321ZC</t>
  </si>
  <si>
    <t>AACYE0000</t>
  </si>
  <si>
    <t>KFRd-50NW/78EA81PU1</t>
  </si>
  <si>
    <t>AACYE8000</t>
  </si>
  <si>
    <t>KFRd-50NW/78EB81PU1</t>
  </si>
  <si>
    <t>AC6RWH000</t>
  </si>
  <si>
    <t>KFRd-50NW/75EF81</t>
  </si>
  <si>
    <t>KFRd-50W/7581</t>
  </si>
  <si>
    <t>AC6RWK000</t>
  </si>
  <si>
    <t>KFRd-50NW/74EE81</t>
  </si>
  <si>
    <t>KFRd-50W/7481</t>
  </si>
  <si>
    <t>AC6RWL000</t>
  </si>
  <si>
    <t>KFRd-50NW/74EE81(P）</t>
  </si>
  <si>
    <t>AA9KK2007</t>
  </si>
  <si>
    <t>KFRD-52NW/62DCA21Z</t>
  </si>
  <si>
    <t>KFRd-52W/6221Z</t>
  </si>
  <si>
    <t>AA9KKF001</t>
  </si>
  <si>
    <t>KFRd-50NW/71DCA83(P)</t>
  </si>
  <si>
    <t>AA9KBK000</t>
  </si>
  <si>
    <t>KFRd-50NW/71DCB82</t>
  </si>
  <si>
    <t>AACYEK000</t>
  </si>
  <si>
    <t>KFRd-50NW/78EL81PU1</t>
  </si>
  <si>
    <t>AA9KBN000</t>
  </si>
  <si>
    <t>KFRD-50NW/71EBF81</t>
  </si>
  <si>
    <t>AA9KBL000</t>
  </si>
  <si>
    <t>KFRd-50NW/71DCB82ST</t>
  </si>
  <si>
    <t>KFRd-50W/7182ST</t>
  </si>
  <si>
    <t>AACYEG000</t>
  </si>
  <si>
    <t>KFRd-50NW/79EJ83</t>
  </si>
  <si>
    <t>KFRd-50W/7983</t>
  </si>
  <si>
    <t>AACYEJ000</t>
  </si>
  <si>
    <t>KFRd-50NW/79EK82</t>
  </si>
  <si>
    <t>KFRd-50W/7982</t>
  </si>
  <si>
    <t>AACYEF000</t>
  </si>
  <si>
    <t>KFRd-50NW/79EJ83P</t>
  </si>
  <si>
    <t>AA9KK3001</t>
  </si>
  <si>
    <t>KFRd-72NW/65DDAF21ZCU1套机</t>
  </si>
  <si>
    <t>KFRd-72W/6521ZC</t>
  </si>
  <si>
    <t>AA9KKX001</t>
  </si>
  <si>
    <t>KFRd-72NW/72DDB82</t>
  </si>
  <si>
    <t>KFRd-72W/7282</t>
  </si>
  <si>
    <t>AA9KKM001</t>
  </si>
  <si>
    <t xml:space="preserve">KFRd-72NW/72DDA83 </t>
  </si>
  <si>
    <t>KFRd-72W/7283</t>
  </si>
  <si>
    <t>AA9KKH001</t>
  </si>
  <si>
    <t>KFRd-72NW/72DDA83(P)</t>
  </si>
  <si>
    <t>AA9KKY001</t>
  </si>
  <si>
    <t>KFRd-72NW/72DDB82ST</t>
  </si>
  <si>
    <t>KFRd-72W/7282ST</t>
  </si>
  <si>
    <t>AA9KG3000</t>
  </si>
  <si>
    <t>KFRD-72NW/64DDA22</t>
  </si>
  <si>
    <t>KFRd-72W/6422</t>
  </si>
  <si>
    <t>AACVNA000</t>
  </si>
  <si>
    <t>KFRd-72NW/78EB81U1</t>
  </si>
  <si>
    <t>KFRd-72W/7881</t>
  </si>
  <si>
    <t>AACVN3000</t>
  </si>
  <si>
    <t>KFRd-72NW/78EC81U1</t>
  </si>
  <si>
    <t>AACVN8000</t>
  </si>
  <si>
    <t>KFRd-72NW/78ED81U1</t>
  </si>
  <si>
    <t>AA9KK9007</t>
  </si>
  <si>
    <t>KFRD-72NW/64DDA21Z</t>
  </si>
  <si>
    <t>KFRd-72W/6421Z</t>
  </si>
  <si>
    <t>AA9KKU001</t>
  </si>
  <si>
    <t>KFRd-72NW/72DDA82</t>
  </si>
  <si>
    <t>AA9KK1002</t>
  </si>
  <si>
    <t>KFRd-72NW/72ECA81U1</t>
  </si>
  <si>
    <t>KFRd-72W/7281</t>
  </si>
  <si>
    <t>AA9KK6002</t>
  </si>
  <si>
    <t>KFRd-72NW/72ECA81A</t>
  </si>
  <si>
    <t>KFRd-72W/7281A</t>
  </si>
  <si>
    <t>AA9KK5002</t>
  </si>
  <si>
    <t>KFRd-72NW/72ECD81</t>
  </si>
  <si>
    <t>AA9KK0002</t>
  </si>
  <si>
    <t>KFRd-72NW/72ECF81</t>
  </si>
  <si>
    <t>AC6RWD000</t>
  </si>
  <si>
    <t>KFRd-72NW/73ED81TU1</t>
  </si>
  <si>
    <t>KFRd-72W/7381T</t>
  </si>
  <si>
    <t>AC6RWE000</t>
  </si>
  <si>
    <t>KFRd-72NW/75EF81</t>
  </si>
  <si>
    <t>KFRd-72W/7581</t>
  </si>
  <si>
    <t>AC6RWN000</t>
  </si>
  <si>
    <t>KFRd-72NW/74EE81(P）</t>
  </si>
  <si>
    <t>KFRd-72W/7481</t>
  </si>
  <si>
    <t>AC6RWP000</t>
  </si>
  <si>
    <t>KFRd-72NW/74EE81</t>
  </si>
  <si>
    <t>AACYF6000</t>
  </si>
  <si>
    <t>KFRd-72NW/79EJ83</t>
  </si>
  <si>
    <t>KFRd-72W/7983</t>
  </si>
  <si>
    <t>AACYF9000</t>
  </si>
  <si>
    <t>KFRd-72NW/79EK82</t>
  </si>
  <si>
    <t>KFRd-72W/7982</t>
  </si>
  <si>
    <t>AACVN4000</t>
  </si>
  <si>
    <t>KFRd-75NW/78EA81PU1</t>
  </si>
  <si>
    <t>KFRd-75W/7881</t>
  </si>
  <si>
    <t>AACVN9000</t>
  </si>
  <si>
    <t>KFRd-72NW/78EB81PU1</t>
  </si>
  <si>
    <t>AACYF5000</t>
  </si>
  <si>
    <t>KFRd-72NW/79EJ83P</t>
  </si>
  <si>
    <t>AACVNK000</t>
  </si>
  <si>
    <t>KFRd-75NW/78EL81PU1</t>
  </si>
  <si>
    <t>AACVNT000</t>
  </si>
  <si>
    <t>KFRd-75NW/74EY81TU1</t>
  </si>
  <si>
    <t>KFRd-75W/7481T</t>
  </si>
  <si>
    <t>AACVNZ000</t>
  </si>
  <si>
    <t>KFRd-75NW/7CEQZ81U1</t>
  </si>
  <si>
    <t>AACVNW000</t>
  </si>
  <si>
    <t>KFRd-86NW/75EYZ81TU1</t>
  </si>
  <si>
    <t>KFRd-86W/7581T</t>
  </si>
  <si>
    <t>AACVNL000</t>
  </si>
  <si>
    <t>KFRd-86NW/74EZ81TU1</t>
  </si>
  <si>
    <t>KFRd-86W/7481T</t>
  </si>
  <si>
    <t>AC6TC0000</t>
  </si>
  <si>
    <t>KFRd-90NW/76EG81U1</t>
  </si>
  <si>
    <t>KFRd-90W/7681</t>
  </si>
  <si>
    <t>AACVNG000</t>
  </si>
  <si>
    <t>KFRd-90NW/78ED81U1</t>
  </si>
  <si>
    <t>KFRd-90W/7881</t>
  </si>
  <si>
    <t>AA9HN2000</t>
  </si>
  <si>
    <t>RFTSAD25MXA</t>
  </si>
  <si>
    <t>/</t>
  </si>
  <si>
    <t>0150827873</t>
  </si>
  <si>
    <t>AA9HQ6000</t>
  </si>
  <si>
    <t>RFTSAD36MXA</t>
  </si>
  <si>
    <t>AA9K8B000</t>
  </si>
  <si>
    <t>RFTSAD50MXA</t>
  </si>
  <si>
    <t>0150827855</t>
  </si>
  <si>
    <t>AA9KKA007</t>
  </si>
  <si>
    <t>RFTSAD60MXA</t>
  </si>
  <si>
    <t>0150840121</t>
  </si>
  <si>
    <t>AC6RW0000</t>
  </si>
  <si>
    <t>RFTSAD60DXA</t>
  </si>
  <si>
    <t>0010739879</t>
  </si>
  <si>
    <t>AC6RW1000</t>
  </si>
  <si>
    <t>RFTSAD50DXA</t>
  </si>
  <si>
    <t>AC6RT1000</t>
  </si>
  <si>
    <t>RFTSAD35DXA</t>
  </si>
  <si>
    <t>0010741432</t>
  </si>
  <si>
    <t>AC6RT0000</t>
  </si>
  <si>
    <t>RFTSAD25DXA</t>
  </si>
  <si>
    <t>AC6SD0000</t>
  </si>
  <si>
    <t>RFC80DXA</t>
  </si>
  <si>
    <t>0010739861</t>
  </si>
  <si>
    <t>2#</t>
  </si>
  <si>
    <t>0010744112</t>
  </si>
  <si>
    <t>AC6S82000</t>
  </si>
  <si>
    <t>AC6S84000</t>
  </si>
  <si>
    <t>AC6S91000</t>
  </si>
  <si>
    <t>AA9KK8001</t>
  </si>
  <si>
    <t>KFRd-26N/DAA83</t>
  </si>
  <si>
    <t>AA9KKV001</t>
  </si>
  <si>
    <t>KFRd-72N/DDA82</t>
  </si>
  <si>
    <t>AA9HUJ000</t>
  </si>
  <si>
    <t>KFRd-35N/EAA81U1</t>
  </si>
  <si>
    <t>AA8MNK000</t>
  </si>
  <si>
    <t>AAA265000</t>
  </si>
  <si>
    <t>AA9KKT001</t>
  </si>
  <si>
    <t>KFRd-35N/DBA83</t>
  </si>
  <si>
    <t>AAAA9X000</t>
  </si>
  <si>
    <t>AAA264000</t>
  </si>
  <si>
    <t>AA9KBH000</t>
  </si>
  <si>
    <t>KFRd-50N/DCA82</t>
  </si>
  <si>
    <t>AA9KKP001</t>
  </si>
  <si>
    <t>KFRd-50N/DCA83</t>
  </si>
  <si>
    <t>AAAA51000</t>
  </si>
  <si>
    <t>AA9KK9001</t>
  </si>
  <si>
    <t>KFRd-72N/DDA83</t>
  </si>
  <si>
    <t>AA9KK2001</t>
  </si>
  <si>
    <t>KFRd-72N/DDAF21ZCU1</t>
  </si>
  <si>
    <t>AA9KKS001</t>
  </si>
  <si>
    <t>AAAA9F000</t>
  </si>
  <si>
    <t>AAAA53000</t>
  </si>
  <si>
    <t>AA9KKJ001</t>
  </si>
  <si>
    <t>AAAA9D000</t>
  </si>
  <si>
    <t>AA9KK3002</t>
  </si>
  <si>
    <t>KFRd-72N/ECA81U1</t>
  </si>
  <si>
    <t>AA9KBR000</t>
  </si>
  <si>
    <t>KFRd-50N/EBA81U1</t>
  </si>
  <si>
    <t>AACVN1000</t>
  </si>
  <si>
    <t>AC6SA7000</t>
  </si>
  <si>
    <t>AC6S89000</t>
  </si>
  <si>
    <t>AAAA9Y000</t>
  </si>
  <si>
    <t>AAAA58000</t>
  </si>
  <si>
    <t>AAA266000</t>
  </si>
  <si>
    <t>AAD2V1U00</t>
  </si>
  <si>
    <t>CXF-01(展示机壳)</t>
  </si>
  <si>
    <t>AAD2V2U00</t>
  </si>
  <si>
    <t>CXF-01（演示机壳）</t>
  </si>
  <si>
    <t>AACVNYU00</t>
  </si>
  <si>
    <t>CAN80EAX81U1（演示机壳）</t>
  </si>
  <si>
    <t>AACYFLU00</t>
  </si>
  <si>
    <t>CAW808481(演示机壳）</t>
  </si>
  <si>
    <t>AACUX0U00</t>
  </si>
  <si>
    <t>CAW3583(81)(展示样壳)</t>
  </si>
  <si>
    <t>壳体</t>
  </si>
  <si>
    <t>AACUS0U00</t>
  </si>
  <si>
    <t>CAN35ED(81)U1(送风样壳)</t>
  </si>
  <si>
    <t>AACUW0U00</t>
  </si>
  <si>
    <t>CAW7583(81)(展示样壳)</t>
  </si>
  <si>
    <t>AC6SA1U00</t>
  </si>
  <si>
    <t>CAN7582(81)(机壳)</t>
  </si>
  <si>
    <t>AACUS1U00</t>
  </si>
  <si>
    <t>CAN75ED(81)U1(送风样壳)</t>
  </si>
  <si>
    <t>AACVS0U00</t>
  </si>
  <si>
    <t>CAW9083(81)(展示样壳)</t>
  </si>
  <si>
    <t>AA9KG5H00</t>
  </si>
  <si>
    <t>KFRd-36N/DBA22（送风壳体）</t>
  </si>
  <si>
    <t>AA9KG7H00</t>
  </si>
  <si>
    <t>KFRd-72N/DDA22（送风壳体）</t>
  </si>
  <si>
    <t>AACV00U00</t>
  </si>
  <si>
    <t>KFRd-35N/EAA81U1(送风样壳)</t>
  </si>
  <si>
    <t>AACUS2U00</t>
  </si>
  <si>
    <t>KFRd-72N/ECA81U1(送风样壳)</t>
  </si>
  <si>
    <t>AA9828U00</t>
  </si>
  <si>
    <t>KFRd-35W/7081(直播样壳)</t>
  </si>
  <si>
    <t>AA9829U00</t>
  </si>
  <si>
    <t>KFRd-35W/7081(展示样壳)</t>
  </si>
  <si>
    <t>AACV40U00</t>
  </si>
  <si>
    <t>KFRd-72W/7281(展示样壳)</t>
  </si>
  <si>
    <t>AACRD0U00</t>
  </si>
  <si>
    <t>KFRd-72W/7281(直播样壳)</t>
  </si>
  <si>
    <t>AACV30U00</t>
  </si>
  <si>
    <t>KFRd-90W/7681(展示样壳)</t>
  </si>
  <si>
    <t>AACR70U00</t>
  </si>
  <si>
    <t>KFRd-90N/EG81U1(送风样壳)</t>
  </si>
  <si>
    <t>AA8MN8H00</t>
  </si>
  <si>
    <t>KFRd-72W/6422（新样壳）</t>
  </si>
  <si>
    <t>AC6SA3U00</t>
  </si>
  <si>
    <t>KFRd-72W/7381T(机壳)</t>
  </si>
  <si>
    <t>AA9828H00</t>
  </si>
  <si>
    <t>KFRd-36W/6122（新样壳）</t>
  </si>
  <si>
    <t>AAA130U07</t>
  </si>
  <si>
    <t>HPB-01A/FAA22S(样壳)</t>
  </si>
  <si>
    <t>AA9H44004</t>
  </si>
  <si>
    <t>KFR-32N/FAA22S(送风壳体)</t>
  </si>
  <si>
    <t>AAABT2U04</t>
  </si>
  <si>
    <t>KFR-35G/TVP81U1显示壳体</t>
  </si>
  <si>
    <t>AAABTFU04</t>
  </si>
  <si>
    <t>KFR-35G/TVA81U1显示壳体</t>
  </si>
  <si>
    <t>AAC3PRU00</t>
  </si>
  <si>
    <t>KFR-35G/MUE81TU1演示壳体</t>
  </si>
  <si>
    <t>AACEX6U01</t>
  </si>
  <si>
    <t>CAS35GCD(81)U1非演示壳体总成</t>
  </si>
  <si>
    <t>AACEX7U01</t>
  </si>
  <si>
    <t>CAS35GCD(81)U1演示壳体总成</t>
  </si>
  <si>
    <t>AACEX4U01</t>
  </si>
  <si>
    <t>CAS35GCD(81)U1壳体-面板(4套)</t>
  </si>
  <si>
    <t>AABMZLU01</t>
  </si>
  <si>
    <t>CAS35FAA(81)U1演示壳体</t>
  </si>
  <si>
    <t>卡萨帝星河</t>
  </si>
  <si>
    <t>AABMZ2U02</t>
  </si>
  <si>
    <t>CAS35FCA(81)U1演示壳体</t>
  </si>
  <si>
    <t>AACEU4U00</t>
  </si>
  <si>
    <t>CAS35FCA(81)VU1演示壳体</t>
  </si>
  <si>
    <t>AACEU7U00</t>
  </si>
  <si>
    <t>CAS35FCB(81)VU1演示壳体</t>
  </si>
  <si>
    <t>AACEU9U00</t>
  </si>
  <si>
    <t>CAS35FCA(81)VU1非演示壳体</t>
  </si>
  <si>
    <t>AACEUBU00</t>
  </si>
  <si>
    <t>CAS35FCB(81)VU1非演示壳体</t>
  </si>
  <si>
    <t>AABMZFU00</t>
  </si>
  <si>
    <t>CAS35GAB(81)U1演示壳体总成</t>
  </si>
  <si>
    <t>AABMZPU00</t>
  </si>
  <si>
    <t>CAS35GDA(81)U1演示壳体总成</t>
  </si>
  <si>
    <t>AABMZHU00</t>
  </si>
  <si>
    <t>CAS35GBA(81)U1演示壳体总成</t>
  </si>
  <si>
    <t>AABMZKU00</t>
  </si>
  <si>
    <t>CAS35GCA(81)U1非演示壳体总成</t>
  </si>
  <si>
    <t>AABMZLU00</t>
  </si>
  <si>
    <t>CAS35GEA(81)U1演示壳体总成</t>
  </si>
  <si>
    <t>AABMZDU01</t>
  </si>
  <si>
    <t>CAS35GFQ(81)U1展示壳体</t>
  </si>
  <si>
    <t>AACEX0U01</t>
  </si>
  <si>
    <t>CAS35GDB(81)VU1非演示壳体总成</t>
  </si>
  <si>
    <t>AACEXZU00</t>
  </si>
  <si>
    <t>CAS35GDB(81)VU1演示壳体</t>
  </si>
  <si>
    <t>AAD755U00</t>
  </si>
  <si>
    <t>CAS35D10-A(81)U1非演示壳体</t>
  </si>
  <si>
    <t>卡萨帝缆光</t>
  </si>
  <si>
    <t>AAD75CU00</t>
  </si>
  <si>
    <t>CAS35D10(81)U1演示壳体</t>
  </si>
  <si>
    <t>AAD753U00</t>
  </si>
  <si>
    <t>CAS35D20(81)U1演示壳体</t>
  </si>
  <si>
    <t>AAD752U00</t>
  </si>
  <si>
    <t>CAS35D20(81)U1非演示壳体</t>
  </si>
  <si>
    <t>AAD6B2U00</t>
  </si>
  <si>
    <t>CAS35FCC(81)U1演示壳体</t>
  </si>
  <si>
    <t>AAABTAU04</t>
  </si>
  <si>
    <t>KFR-35G/TCA81U1显示壳体</t>
  </si>
  <si>
    <t>AAC7U8U00</t>
  </si>
  <si>
    <t>KFR-35G/CAA81VU1显示壳体</t>
  </si>
  <si>
    <t>AAC7H5U03</t>
  </si>
  <si>
    <t>KFR-35G/J200-1-遥控器及标识</t>
  </si>
  <si>
    <t>AAC7H7U03</t>
  </si>
  <si>
    <t>KFR-35G/T200-1-遥控器及标识</t>
  </si>
  <si>
    <t>AB96KJU03</t>
  </si>
  <si>
    <t>KFR-72L/81@U1-Ub(金)演示壳体</t>
  </si>
  <si>
    <t>AB97CEU00</t>
  </si>
  <si>
    <t>KFR-72L/81@U1-Ub(金)-遥控器及标识</t>
  </si>
  <si>
    <t>AB96KLU03</t>
  </si>
  <si>
    <t>KFR-72L/81@U1-Ub(金)显示壳体</t>
  </si>
  <si>
    <t>AB91S6U06</t>
  </si>
  <si>
    <t>KFR-72L/81@U1-Ht显示壳体</t>
  </si>
  <si>
    <t>AB91S8U06</t>
  </si>
  <si>
    <t>KFR-72L/81@U1-Hj显示壳体</t>
  </si>
  <si>
    <t>AB929BU05</t>
  </si>
  <si>
    <t>KFR-72L/WDB81TU1展示壳体</t>
  </si>
  <si>
    <t>AB9292U06</t>
  </si>
  <si>
    <t>KFR-72L/JTA81TU1展示壳体</t>
  </si>
  <si>
    <t>AB9296U06</t>
  </si>
  <si>
    <t>KFR-72L/JTA81TU1演示壳体</t>
  </si>
  <si>
    <t>AB929LU04</t>
  </si>
  <si>
    <t>KFR-72L/WDA81TU1演示壳体</t>
  </si>
  <si>
    <t>AB91SAU06</t>
  </si>
  <si>
    <t>KFR-72L/81@U1-He显示壳体</t>
  </si>
  <si>
    <t>AB95D2U00</t>
  </si>
  <si>
    <t>KFR-72L/DNA81U1(冰雪白)展示壳体</t>
  </si>
  <si>
    <t>AB9298U03</t>
  </si>
  <si>
    <t>KFR-72L/QBA81U1显示壳体</t>
  </si>
  <si>
    <t>AB98P4U02</t>
  </si>
  <si>
    <t>KFR-72L/LPD1-1演示壳体</t>
  </si>
  <si>
    <t>本周排产清理</t>
  </si>
  <si>
    <t>AB961BU00</t>
  </si>
  <si>
    <t>KFR-72L/FAB81U1演示壳体</t>
  </si>
  <si>
    <t>AB96A5U00</t>
  </si>
  <si>
    <t>KFR-72L/FBA81U1演示壳体</t>
  </si>
  <si>
    <t>AB9615U00</t>
  </si>
  <si>
    <t>KFR-72L/FAA81U1演示壳体</t>
  </si>
  <si>
    <t>AB961QU00</t>
  </si>
  <si>
    <t>KFR-72L/FAC81U1演示壳体</t>
  </si>
  <si>
    <t>AB961TU00</t>
  </si>
  <si>
    <t>KFR-72L/FAD81U1演示壳体</t>
  </si>
  <si>
    <t>AB961RU00</t>
  </si>
  <si>
    <t>KFR-72L/FAC81U1显示壳体</t>
  </si>
  <si>
    <t>AB961VU00</t>
  </si>
  <si>
    <t>KFR-72L/FAD81U1显示壳体</t>
  </si>
  <si>
    <t>AB96ABU00</t>
  </si>
  <si>
    <t>KFR-72L/FBB81U1演示壳体</t>
  </si>
  <si>
    <t>AB96A7U00</t>
  </si>
  <si>
    <t>KFR-72L/FBB81U1显示壳体</t>
  </si>
  <si>
    <t>AB96AJU00</t>
  </si>
  <si>
    <t>KFR-72L/M200-1 显示壳体</t>
  </si>
  <si>
    <t>AB96AKU00</t>
  </si>
  <si>
    <t>KFR-72L/M200-1演示壳体</t>
  </si>
  <si>
    <t>AB961MU01</t>
  </si>
  <si>
    <t>KFR-72L/FAD-1Pro显示壳体</t>
  </si>
  <si>
    <t>AB961KU01</t>
  </si>
  <si>
    <t>KFR-72L/FAD-1Pro演示壳体</t>
  </si>
  <si>
    <t>AB96KMU03</t>
  </si>
  <si>
    <t>KFR-72L/FAD-1Pro-遥控器及标识</t>
  </si>
  <si>
    <t>AB961PU01</t>
  </si>
  <si>
    <t>KFR-72L/FAC-1Pro显示壳体</t>
  </si>
  <si>
    <t>AB96KNU03</t>
  </si>
  <si>
    <t>KFR-72L/FAC-1Pro-遥控器及标识</t>
  </si>
  <si>
    <t>AB961HU01</t>
  </si>
  <si>
    <t>KFR-72L/FAC-1Pro演示壳体</t>
  </si>
  <si>
    <t>AB961CU01</t>
  </si>
  <si>
    <t>KFR-72L/J200-1显示壳体</t>
  </si>
  <si>
    <t>AB9618U01</t>
  </si>
  <si>
    <t>KFR-72L/J200-1演示壳体</t>
  </si>
  <si>
    <t>AB96APU00</t>
  </si>
  <si>
    <t>KFR-72L/J200-1-遥控器及标识-</t>
  </si>
  <si>
    <t>AB96ANU00</t>
  </si>
  <si>
    <t>KFR-72L/T200-1-遥控器及标识</t>
  </si>
  <si>
    <t>AB961FU01</t>
  </si>
  <si>
    <t>KFR-72L/T200-1显示壳体</t>
  </si>
  <si>
    <t>AB961DU01</t>
  </si>
  <si>
    <t>KFR-72L/T200-1演示壳体</t>
  </si>
  <si>
    <t>AB961LU00</t>
  </si>
  <si>
    <t>KFR-72L/LGA81U1显示壳体</t>
  </si>
  <si>
    <t>AB961MU00</t>
  </si>
  <si>
    <t>KFR-72L/LGA81U1演示壳体</t>
  </si>
  <si>
    <t>AB98F4U00</t>
  </si>
  <si>
    <t>KFR-72L/W800-1演示壳体</t>
  </si>
  <si>
    <t>AB98FBU00</t>
  </si>
  <si>
    <t>KFR-72L/N8-1演示壳体</t>
  </si>
  <si>
    <t>AB98PKU00</t>
  </si>
  <si>
    <t>KFR-72L/E1-1演示壳体</t>
  </si>
  <si>
    <t>AB98PEU00</t>
  </si>
  <si>
    <t>KFR-72L/P2-1演示壳体</t>
  </si>
  <si>
    <t>AB98PTU00</t>
  </si>
  <si>
    <t>KFR-72L/E1-1Plus演示壳体</t>
  </si>
  <si>
    <t>AB98FQU00</t>
  </si>
  <si>
    <t>KFR-72L/B700-1演示壳体</t>
  </si>
  <si>
    <t>AB98FPU00</t>
  </si>
  <si>
    <t>KFR-72L/B700-1显示壳体</t>
  </si>
  <si>
    <t>AB98PVU00</t>
  </si>
  <si>
    <t>KFR-72L/Z600-1显示壳体</t>
  </si>
  <si>
    <t>AB98PUU00</t>
  </si>
  <si>
    <t>KFR-72L/Z600-1演示壳体</t>
  </si>
  <si>
    <t>AB98P9U01</t>
  </si>
  <si>
    <t>KFR-72L/Z300-1演示壳体</t>
  </si>
  <si>
    <t>AB98P7U01</t>
  </si>
  <si>
    <t>KFR-72L/Z300-1 显示壳体</t>
  </si>
  <si>
    <t>AB98PNU01</t>
  </si>
  <si>
    <t>KFR-72L/E2-1演示壳体</t>
  </si>
  <si>
    <t>AB98XKU00</t>
  </si>
  <si>
    <t>KFR-72L/E2-1pro演示壳体</t>
  </si>
  <si>
    <t>AB994EU00</t>
  </si>
  <si>
    <t>KFR-72L/M500-1演示壳体</t>
  </si>
  <si>
    <t>AB9949U00</t>
  </si>
  <si>
    <t>KFR-72L/M500-1显示壳体</t>
  </si>
  <si>
    <t>AB994DU00</t>
  </si>
  <si>
    <t>KFR-72L/C500-1演示壳体</t>
  </si>
  <si>
    <t>AB994BU00</t>
  </si>
  <si>
    <t>KFR-72L/Z500-1演示壳体</t>
  </si>
  <si>
    <t>AB994CU00</t>
  </si>
  <si>
    <t>KFR-72L/Z500-1显示壳体</t>
  </si>
  <si>
    <t>AB98PDU01</t>
  </si>
  <si>
    <t>KFR-72L/J300-1演示壳体</t>
  </si>
  <si>
    <t>AB98PEU01</t>
  </si>
  <si>
    <t>KFR-72L/T300-1演示壳体</t>
  </si>
  <si>
    <t>AB98F5U01</t>
  </si>
  <si>
    <t>KFR-72L/B500-1演示壳体</t>
  </si>
  <si>
    <t>AB98F6U01</t>
  </si>
  <si>
    <t>KFR-72L/B500-1 显示壳体</t>
  </si>
  <si>
    <t>AB98PCU01</t>
  </si>
  <si>
    <t>KFR-72L/W300-1演示壳体</t>
  </si>
  <si>
    <t>AB98PJU01</t>
  </si>
  <si>
    <t>KFR-72L/W300-1显示壳体</t>
  </si>
  <si>
    <t>AB98PMU01</t>
  </si>
  <si>
    <t>KFR-72L/M300-1显示壳体</t>
  </si>
  <si>
    <t>AB98PGU01</t>
  </si>
  <si>
    <t>KFR-72L/N3-1演示壳体</t>
  </si>
  <si>
    <t>AB98PHU01</t>
  </si>
  <si>
    <t>KFR-72L/N3-1显示壳体</t>
  </si>
  <si>
    <t>AB98PLU01</t>
  </si>
  <si>
    <t>KFR-72L/M300-1演示壳体</t>
  </si>
  <si>
    <t>AB98PXU01</t>
  </si>
  <si>
    <t>KFR-72L/A200-1 显示壳体</t>
  </si>
  <si>
    <t>AB98PRU01</t>
  </si>
  <si>
    <t>KFR-72L/A600-1演示壳体</t>
  </si>
  <si>
    <t>AB98PQU01</t>
  </si>
  <si>
    <t>KFR-72L/A600-1显示壳体</t>
  </si>
  <si>
    <t>AB98F9U01</t>
  </si>
  <si>
    <t>KFR-72L/LX1-1演示壳体</t>
  </si>
  <si>
    <t>AB98P0U02</t>
  </si>
  <si>
    <t>KFR-72L/LX2-1演示壳体</t>
  </si>
  <si>
    <t>AB8Y7TU00</t>
  </si>
  <si>
    <t>KFR-72L/LAA81U1演示壳体</t>
  </si>
  <si>
    <t>AB91S5U03</t>
  </si>
  <si>
    <t>KFR-72L/LEA81U1(紫)显示壳体</t>
  </si>
  <si>
    <t>AB96BBU00</t>
  </si>
  <si>
    <t>KFR-72L/LEA81VU1(紫)显示壳体</t>
  </si>
  <si>
    <t>AB96BCU00</t>
  </si>
  <si>
    <t>KFR-72L/LEA81VU1(紫)演示壳体</t>
  </si>
  <si>
    <t>AB97PLU00</t>
  </si>
  <si>
    <t>KFR-72L/LEA81VU1(紫)-遥控器及标识</t>
  </si>
  <si>
    <t>AB91SZU02</t>
  </si>
  <si>
    <t>KFR-72L/LEA81U1显示壳体</t>
  </si>
  <si>
    <t>AB91SEU02</t>
  </si>
  <si>
    <t>KFR-72L/LBA81VU1(金)演示壳体</t>
  </si>
  <si>
    <t>AB91SQU02</t>
  </si>
  <si>
    <t>KFR-72L/LBA81VU1(星辰蓝)演示壳体</t>
  </si>
  <si>
    <t>AB91SPU03</t>
  </si>
  <si>
    <t>KFR-72L/LBC81U1显示壳体</t>
  </si>
  <si>
    <t>AB91SNU04</t>
  </si>
  <si>
    <t>KFR-72L/LEC81U1显示壳体</t>
  </si>
  <si>
    <t>AB97PGU00</t>
  </si>
  <si>
    <t>KFR-72L/LEC81U1(冰雪白)演示壳体</t>
  </si>
  <si>
    <t>AB97PFU00</t>
  </si>
  <si>
    <t>KFR-72L/LEC81U1(冰雪白)显示壳体</t>
  </si>
  <si>
    <t>AB91S8U03</t>
  </si>
  <si>
    <t>KFR-72L/LFA81VU1演示壳体</t>
  </si>
  <si>
    <t>AB97PJU00</t>
  </si>
  <si>
    <t>KFR-72L/LFA81VU1(晶釉蓝)-遥控器及标识</t>
  </si>
  <si>
    <t>AB97P7U00</t>
  </si>
  <si>
    <t>KFR-72L/LFA81VU1(晶釉蓝)显示壳体</t>
  </si>
  <si>
    <t>AB97P8U00</t>
  </si>
  <si>
    <t>KFR-72L/LFA81VU1(晶釉蓝)演示壳体</t>
  </si>
  <si>
    <t>AB91SLU03</t>
  </si>
  <si>
    <t>KFR-72L/LFB81VU1演示壳体</t>
  </si>
  <si>
    <t>AB929QU05</t>
  </si>
  <si>
    <t>KFR-72L/LKB81TU1演示壳体</t>
  </si>
  <si>
    <t>AB929UU05</t>
  </si>
  <si>
    <t>KFR-72L/LKC81TU1展示壳体</t>
  </si>
  <si>
    <t>AB9295U05</t>
  </si>
  <si>
    <t>KFR-72L/VEA81TU1演示壳体</t>
  </si>
  <si>
    <t>AB9297U05</t>
  </si>
  <si>
    <t>KFR-72L/VDA81TU1演示壳体</t>
  </si>
  <si>
    <t>AB97PAU00</t>
  </si>
  <si>
    <t>KFR-72L/81@U1-La(典雅灰)显示壳体</t>
  </si>
  <si>
    <t>AB97PBU00</t>
  </si>
  <si>
    <t>KFR-72L/81@U1-La(典雅灰)演示壳体</t>
  </si>
  <si>
    <t>AB97PKU00</t>
  </si>
  <si>
    <t>KFR-72L/81@U1-La(典雅灰)-遥控器及标识</t>
  </si>
  <si>
    <t>AB98PXU00</t>
  </si>
  <si>
    <t>KFR-72L/E3-1演示壳体</t>
  </si>
  <si>
    <t>AB91SDU06</t>
  </si>
  <si>
    <t>KFR-72L/EAA81U1演示壳体</t>
  </si>
  <si>
    <t>AB91SRU06</t>
  </si>
  <si>
    <t>KFR-72L/EAB81U1(金)演示壳体</t>
  </si>
  <si>
    <t>AB97C4U00</t>
  </si>
  <si>
    <t>KFR-72L/EAB81U1(苏黎金)演示壳体</t>
  </si>
  <si>
    <t>AB97C8U00</t>
  </si>
  <si>
    <t>KFR-72L/EAB81U1(苏黎金)显示壳体</t>
  </si>
  <si>
    <t>AB97C6U00</t>
  </si>
  <si>
    <t>KFR-72L/EAA81U1(芊晶灰)演示壳体</t>
  </si>
  <si>
    <t>AB97CAU00</t>
  </si>
  <si>
    <t>KFR-72L/EAA81U1(芊晶灰)显示壳体</t>
  </si>
  <si>
    <t>AB97CDU00</t>
  </si>
  <si>
    <t>KFR-72L/EAA81U1(芊晶灰)-遥控器及标识</t>
  </si>
  <si>
    <t>AB97D2U00</t>
  </si>
  <si>
    <t>CAP72GDB(81)VU1非演示壳体</t>
  </si>
  <si>
    <t>AB98J1U00</t>
  </si>
  <si>
    <t>CAP72GDB(81)VU1演示壳体</t>
  </si>
  <si>
    <t>AB9230Z02</t>
  </si>
  <si>
    <t>CAP72GDB(81)苏黎金)-遥控器及标识</t>
  </si>
  <si>
    <t>AB91S9U02</t>
  </si>
  <si>
    <t>CAP72YAB(81)U1演示壳体</t>
  </si>
  <si>
    <t>AB929CU02</t>
  </si>
  <si>
    <t>CAP72GDA(81)U1演示壳体</t>
  </si>
  <si>
    <t>AB8Y70U01</t>
  </si>
  <si>
    <t>CAP72GAB(81)U1演示壳体</t>
  </si>
  <si>
    <t>AB929WU01</t>
  </si>
  <si>
    <t>CAP72GBA(81)U1演示壳体</t>
  </si>
  <si>
    <t>AB929XU01</t>
  </si>
  <si>
    <t>CAP72GCA(81)U1非演示壳体</t>
  </si>
  <si>
    <t>AB929BU02</t>
  </si>
  <si>
    <t>CAP72GEA(81)U1演示壳体</t>
  </si>
  <si>
    <t>AB98T9U00</t>
  </si>
  <si>
    <t>CAP72FCB(81)VU1非演示壳体</t>
  </si>
  <si>
    <t>AB9293U03</t>
  </si>
  <si>
    <t>KFR-72L/81@U1-Ub显示壳体</t>
  </si>
  <si>
    <t>AB91T8U00</t>
  </si>
  <si>
    <t>KFR-72L/RAC81U1演示壳体</t>
  </si>
  <si>
    <t>AB91SMU01</t>
  </si>
  <si>
    <t>KFR-72L/WBB81TU1展示壳体</t>
  </si>
  <si>
    <t>AB91SMU07</t>
  </si>
  <si>
    <t>KFR-72L/TAA81U1显示壳体</t>
  </si>
  <si>
    <t>AB8Y7LU00</t>
  </si>
  <si>
    <t>KFR-72L/WBA81TU1演示壳体</t>
  </si>
  <si>
    <t>AB8Y7QU05</t>
  </si>
  <si>
    <t>KFR-72L/81@U1-Hd显示壳体</t>
  </si>
  <si>
    <t>AB929NU00</t>
  </si>
  <si>
    <t>KFR-72L/DMA81U1演示壳体</t>
  </si>
  <si>
    <t>4月份线体产能安排</t>
  </si>
  <si>
    <t>经营体</t>
  </si>
  <si>
    <t>区域</t>
  </si>
  <si>
    <t>线体</t>
  </si>
  <si>
    <t>可新接</t>
  </si>
  <si>
    <t>延单</t>
  </si>
  <si>
    <t>产能</t>
  </si>
  <si>
    <t>班次</t>
  </si>
  <si>
    <t>外机经营体</t>
  </si>
  <si>
    <t>一期</t>
  </si>
  <si>
    <t>1#陈</t>
  </si>
  <si>
    <t>2#刘（白）</t>
  </si>
  <si>
    <r>
      <rPr>
        <sz val="10"/>
        <rFont val="微软雅黑"/>
        <family val="2"/>
        <charset val="134"/>
      </rPr>
      <t>2</t>
    </r>
    <r>
      <rPr>
        <sz val="11"/>
        <color indexed="8"/>
        <rFont val="微软雅黑"/>
        <family val="2"/>
        <charset val="134"/>
      </rPr>
      <t>#侯（夜）</t>
    </r>
  </si>
  <si>
    <t>二期</t>
  </si>
  <si>
    <t>3#王</t>
  </si>
  <si>
    <t>分体</t>
  </si>
  <si>
    <t>5#于</t>
  </si>
  <si>
    <t>内机经营体</t>
  </si>
  <si>
    <t>6#贾</t>
  </si>
  <si>
    <t>普柜</t>
  </si>
  <si>
    <t>7#汤（白）</t>
  </si>
  <si>
    <t>7#黄（夜）</t>
  </si>
  <si>
    <t>8#朱</t>
  </si>
  <si>
    <t>9#马</t>
  </si>
  <si>
    <t>外机小计</t>
  </si>
  <si>
    <t>内机小计</t>
  </si>
  <si>
    <t>合计</t>
  </si>
  <si>
    <t>配套差异</t>
  </si>
  <si>
    <t>产品</t>
  </si>
  <si>
    <t>内外机</t>
  </si>
  <si>
    <t>系列</t>
  </si>
  <si>
    <t>接单</t>
  </si>
  <si>
    <t>产能需求</t>
  </si>
  <si>
    <t>差异</t>
  </si>
  <si>
    <t>家用</t>
  </si>
  <si>
    <t>内机</t>
  </si>
  <si>
    <t>小计</t>
  </si>
  <si>
    <t>外机</t>
  </si>
  <si>
    <t>到系列接单生产明细</t>
  </si>
  <si>
    <t>柜/挂</t>
  </si>
  <si>
    <t>生产</t>
  </si>
  <si>
    <t>风管机小计</t>
  </si>
  <si>
    <t>星河挂</t>
  </si>
  <si>
    <t>G系列</t>
  </si>
  <si>
    <t>挂机小计</t>
  </si>
  <si>
    <t>柜机小计</t>
  </si>
  <si>
    <t>总计</t>
  </si>
  <si>
    <t>武汉</t>
  </si>
  <si>
    <t>胶州</t>
  </si>
  <si>
    <t>内销接单明细</t>
  </si>
  <si>
    <t>重庆</t>
  </si>
  <si>
    <t>9B10</t>
  </si>
  <si>
    <r>
      <rPr>
        <sz val="11"/>
        <color theme="1"/>
        <rFont val="宋体"/>
        <family val="3"/>
        <charset val="134"/>
        <scheme val="minor"/>
      </rPr>
      <t>9</t>
    </r>
    <r>
      <rPr>
        <sz val="11"/>
        <color indexed="8"/>
        <rFont val="宋体"/>
        <family val="3"/>
        <charset val="134"/>
      </rPr>
      <t>B10</t>
    </r>
  </si>
  <si>
    <t>郑州</t>
  </si>
  <si>
    <t>商用</t>
  </si>
  <si>
    <t>金融接单</t>
  </si>
  <si>
    <t>实消化</t>
  </si>
  <si>
    <t>应消化</t>
  </si>
  <si>
    <t>新包销</t>
  </si>
  <si>
    <t>消后库存</t>
  </si>
  <si>
    <t>生产总计</t>
  </si>
  <si>
    <t>金融库存</t>
  </si>
  <si>
    <t>最终库存</t>
  </si>
  <si>
    <t>合计库存</t>
  </si>
  <si>
    <t>库存趋势</t>
  </si>
  <si>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>3年目标自然台</t>
    </r>
  </si>
  <si>
    <t>23年目标标准台</t>
  </si>
  <si>
    <t>工厂</t>
  </si>
  <si>
    <t>年累计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</si>
  <si>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</si>
  <si>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</si>
  <si>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</si>
  <si>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</si>
  <si>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</si>
  <si>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</si>
  <si>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</si>
  <si>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</si>
  <si>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</si>
  <si>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</si>
  <si>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</si>
  <si>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</si>
  <si>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合肥</t>
  </si>
  <si>
    <t>大连</t>
  </si>
  <si>
    <t>合肥家中机</t>
  </si>
  <si>
    <t>23年合肥目标自然台</t>
  </si>
  <si>
    <t>计划生产</t>
  </si>
  <si>
    <t>实际生产</t>
  </si>
  <si>
    <t>完成率</t>
  </si>
  <si>
    <t>5MM柜机蒸发器</t>
  </si>
  <si>
    <t>两器规格</t>
  </si>
  <si>
    <t>φ5柜机</t>
  </si>
  <si>
    <t>计划</t>
  </si>
  <si>
    <t>T-1天缺口</t>
  </si>
  <si>
    <t>5MM挂机蒸发器</t>
  </si>
  <si>
    <t>φ5挂机</t>
  </si>
  <si>
    <t>调拨补充</t>
  </si>
  <si>
    <t>21.65冷凝器</t>
  </si>
  <si>
    <t>26风管机</t>
  </si>
  <si>
    <t>35风管机</t>
  </si>
  <si>
    <t>50风管机</t>
  </si>
  <si>
    <t>计划小计</t>
  </si>
  <si>
    <t>18.186柜机冷凝器</t>
  </si>
  <si>
    <t>18.186挂机冷凝器</t>
  </si>
  <si>
    <t>合肥空调12月到周排产小单型号分析</t>
  </si>
  <si>
    <t>分类</t>
  </si>
  <si>
    <t>W49周</t>
  </si>
  <si>
    <t>W50周</t>
  </si>
  <si>
    <t>W51周</t>
  </si>
  <si>
    <t>W52周</t>
  </si>
  <si>
    <t>W53周</t>
  </si>
  <si>
    <t>W1周</t>
  </si>
  <si>
    <t>W2周</t>
  </si>
  <si>
    <t>W3周</t>
  </si>
  <si>
    <t>W4周</t>
  </si>
  <si>
    <t>W5周</t>
  </si>
  <si>
    <t>W6周</t>
  </si>
  <si>
    <t>W9周</t>
  </si>
  <si>
    <t>W10周</t>
  </si>
  <si>
    <t>W11周</t>
  </si>
  <si>
    <t>小单型号数占比55%
订单量占比13%</t>
  </si>
  <si>
    <t>小单型号数占比56%；
订单量占比12%</t>
  </si>
  <si>
    <t>小单型号数占比30%；
订单量占比13%</t>
  </si>
  <si>
    <t>小单型号数占比44%；
订单量占比7%</t>
  </si>
  <si>
    <t>小单型号数占比35%；
订单量占比10%</t>
  </si>
  <si>
    <t>小单型号数占比33%；
订单量占比8%</t>
  </si>
  <si>
    <t>小单型号数占比58%；
订单量占比18%</t>
  </si>
  <si>
    <t>小单型号数占比35%；
订单量占比6%</t>
  </si>
  <si>
    <t>小单型号数占比23%；
订单量占比5%</t>
  </si>
  <si>
    <t>小单型号数占比16%；
订单量占比3%</t>
  </si>
  <si>
    <t>小单型号数占比21%；
订单量占比1%</t>
  </si>
  <si>
    <t>小单型号数占比17%；
订单量占比2%</t>
  </si>
  <si>
    <t>SKU</t>
  </si>
  <si>
    <t>订单量</t>
  </si>
  <si>
    <t>量</t>
  </si>
  <si>
    <t>占比</t>
  </si>
  <si>
    <t>小单＜1000</t>
  </si>
  <si>
    <t>大单≥1000</t>
  </si>
  <si>
    <t>小单＜500</t>
  </si>
  <si>
    <t>大单≥500</t>
  </si>
  <si>
    <t>小单型号</t>
  </si>
  <si>
    <t>总量</t>
  </si>
  <si>
    <t>半成品消化-1.23</t>
  </si>
  <si>
    <t>序号</t>
  </si>
  <si>
    <t>物料号</t>
  </si>
  <si>
    <t>物料描述</t>
  </si>
  <si>
    <t>已储备</t>
  </si>
  <si>
    <t>库龄</t>
  </si>
  <si>
    <t>1.23-1.30号消化</t>
  </si>
  <si>
    <t>1.30号结余</t>
  </si>
  <si>
    <t>21-30天</t>
  </si>
  <si>
    <t>31-60天</t>
  </si>
  <si>
    <t>0010732921F</t>
  </si>
  <si>
    <t>21.65挂   冷凝器组</t>
  </si>
  <si>
    <t>0010733873</t>
  </si>
  <si>
    <t>5mm柜   蒸发器组</t>
  </si>
  <si>
    <t>0010734112</t>
  </si>
  <si>
    <t>18.186柜  冷凝器组</t>
  </si>
  <si>
    <t>仅系统滚动消化</t>
  </si>
  <si>
    <t>0010106642K</t>
  </si>
  <si>
    <t>隔板</t>
  </si>
  <si>
    <t>系统 实物都消化</t>
  </si>
  <si>
    <t>机型</t>
  </si>
  <si>
    <t>显示板</t>
  </si>
  <si>
    <t>内电脑板</t>
  </si>
  <si>
    <t>外电脑板</t>
  </si>
  <si>
    <t>压缩机</t>
  </si>
  <si>
    <t>0011800324S</t>
  </si>
  <si>
    <t>0011800832X</t>
  </si>
  <si>
    <t>0011800997AC</t>
  </si>
  <si>
    <t>0010734397</t>
  </si>
  <si>
    <t>0011800832F</t>
  </si>
  <si>
    <t>0011800997CC</t>
  </si>
  <si>
    <t>0010737361</t>
  </si>
  <si>
    <t>0011800387D</t>
  </si>
  <si>
    <t>0011800832R</t>
  </si>
  <si>
    <t>0011800997BA</t>
  </si>
  <si>
    <t>0011801100</t>
  </si>
  <si>
    <t>0011801824E</t>
  </si>
  <si>
    <t>0011801490CQ</t>
  </si>
  <si>
    <t>0010749421</t>
  </si>
  <si>
    <t>0011801125</t>
  </si>
  <si>
    <t>0011800691AN</t>
  </si>
  <si>
    <t>0011800997CD</t>
  </si>
  <si>
    <t>0010744617</t>
  </si>
  <si>
    <t>0011801583R</t>
  </si>
  <si>
    <t>0011800997CA</t>
  </si>
  <si>
    <t>0010737361Z</t>
  </si>
  <si>
    <t>0011801911</t>
  </si>
  <si>
    <t>0011801583P</t>
  </si>
  <si>
    <t>0011801490S</t>
  </si>
  <si>
    <t>0010744383Z</t>
  </si>
  <si>
    <t>0011801490AA</t>
  </si>
  <si>
    <t>0011802046G</t>
  </si>
  <si>
    <t>0011802120C</t>
  </si>
  <si>
    <t>0010744383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</si>
</sst>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4">
    <numFmt numFmtId="41" formatCode="_ * #,##0_ ;_ * \-#,##0_ ;_ * &quot;-&quot;_ ;_ @_ "/>
    <numFmt numFmtId="43" formatCode="_ * #,##0.00_ ;_ * \-#,##0.00_ ;_ * &quot;-&quot;??_ ;_ @_ "/>
    <numFmt numFmtId="177" formatCode="_ &quot;￥&quot;* #,##0.00_ ;_ &quot;￥&quot;* \-#,##0.00_ ;_ &quot;￥&quot;* &quot;-&quot;??_ ;_ @_ "/>
    <numFmt numFmtId="178" formatCode="_-[$$-409]* #,##0_ ;_-[$$-409]* \-#,##0\ ;_-[$$-409]* &quot;-&quot;_ ;_-@_ "/>
    <numFmt numFmtId="179" formatCode="#,##0\ ;\ \(#,##0\)"/>
    <numFmt numFmtId="180" formatCode="[$-F800]dddd\,\ mmmm\ dd\,\ yyyy"/>
    <numFmt numFmtId="181" formatCode="_-&quot;$&quot;* #,##0.00_-;\-&quot;$&quot;* #,##0.00_-;_-&quot;$&quot;* &quot;-&quot;??_-;_-@_-"/>
    <numFmt numFmtId="182" formatCode="#,##0.00&quot;?_);[Red]\(#,##0.00&quot;&quot;?&quot;\)"/>
    <numFmt numFmtId="183" formatCode="#,##0&quot;?_);[Red]\(#,##0&quot;&quot;?&quot;\)"/>
    <numFmt numFmtId="184" formatCode="_-&quot;$&quot;* #,##0_-;\-&quot;$&quot;* #,##0_-;_-&quot;$&quot;* &quot;-&quot;_-;_-@_-"/>
    <numFmt numFmtId="185" formatCode="_-* #,##0.00_-;\-* #,##0.00_-;_-* &quot;-&quot;??_-;_-@_-"/>
    <numFmt numFmtId="186" formatCode="#,##0_-\ [$€-1];#,##0\-\ [$€-1]"/>
    <numFmt numFmtId="187" formatCode="&quot;$&quot;_(#,##0.00_);&quot;$&quot;\(#,##0.00\)"/>
    <numFmt numFmtId="188" formatCode="#,##0.00_ ;[Red]\-#,##0.00;\-"/>
    <numFmt numFmtId="189" formatCode="#,##0.0;[Red]\-#,##0.0"/>
    <numFmt numFmtId="190" formatCode="#,##0_ ;[Red]\-#,##0\ "/>
    <numFmt numFmtId="191" formatCode="0.0000%"/>
    <numFmt numFmtId="192" formatCode=";;;"/>
    <numFmt numFmtId="193" formatCode="#,##0.0_)\x;\(#,##0.0\)\x"/>
    <numFmt numFmtId="194" formatCode="0.0_)\%;\(0.0\)\%"/>
    <numFmt numFmtId="195" formatCode="#,##0;\(#,##0\);&quot;-&quot;"/>
    <numFmt numFmtId="196" formatCode="_-* #,##0.0000000000_-;\-* #,##0.0000000000_-;_-* &quot;-&quot;??_-;_-@_-"/>
    <numFmt numFmtId="197" formatCode="0.0%"/>
    <numFmt numFmtId="198" formatCode="\¥#,##0;\-\¥#,##0"/>
    <numFmt numFmtId="199" formatCode="0_)"/>
    <numFmt numFmtId="200" formatCode="0.0%_);\(0.0%\);\-_)"/>
    <numFmt numFmtId="201" formatCode="0.0%_);\(0.0%\);\ &quot;-&quot;_-;_-@_-"/>
    <numFmt numFmtId="202" formatCode="#,##0.00_);\(#,##0.00\);\-\ "/>
    <numFmt numFmtId="203" formatCode="#,##0.0000"/>
    <numFmt numFmtId="204" formatCode="#.\ \ "/>
    <numFmt numFmtId="205" formatCode="##.\ \ "/>
    <numFmt numFmtId="206" formatCode="_ * #,##0_ ;_ * \(#,##0\)_ ;_ * &quot;-&quot;??_ ;_ @_ "/>
    <numFmt numFmtId="207" formatCode="#,##0.00;[Red]&quot;-&quot;#,##0.00"/>
    <numFmt numFmtId="208" formatCode="#,##0.0"/>
    <numFmt numFmtId="209" formatCode="0&quot;    &quot;"/>
    <numFmt numFmtId="210" formatCode="&quot;$&quot;&quot; &quot;#,##0_);\(&quot;$&quot;&quot; &quot;#,##0\);\-_)"/>
    <numFmt numFmtId="211" formatCode="0%_);\(0%\);\-_)"/>
    <numFmt numFmtId="212" formatCode="&quot;$&quot;&quot; &quot;#,##0.0_);\(&quot;$&quot;&quot; &quot;#,##0.0\);\-_)"/>
    <numFmt numFmtId="213" formatCode="#,##0.0_);\(#,##0.0\);\-_)"/>
    <numFmt numFmtId="214" formatCode="&quot;$&quot;&quot; &quot;#,##0.00_);\(&quot;$&quot;&quot; &quot;#,##0.00\);\-_)"/>
    <numFmt numFmtId="215" formatCode="0.00%_);\(0.00%\);\-_)"/>
    <numFmt numFmtId="216" formatCode="#,##0.00_);\(#,##0.00\);\-_)"/>
    <numFmt numFmtId="217" formatCode="&quot;$&quot;#,##0_);\(&quot;$&quot;#,##0\)"/>
    <numFmt numFmtId="218" formatCode="_(* #,##0.000_);_(* \(#,##0.000\);_(* &quot;-&quot;??_);_(@_)"/>
    <numFmt numFmtId="219" formatCode="#,##0_);\(#,##0\);\-_)"/>
    <numFmt numFmtId="220" formatCode="&quot;$&quot;&quot; &quot;#,##0.000_);\(&quot;$&quot;&quot; &quot;#,##0.000\);\-\ "/>
    <numFmt numFmtId="221" formatCode="#,##0;\-#,##0;&quot;-&quot;"/>
    <numFmt numFmtId="222" formatCode="#,##0.0_);\(#,##0.0\)"/>
    <numFmt numFmtId="223" formatCode="_(* #,##0.0_);_(* \(#,##0.0\);_(* &quot;-&quot;?_);_(@_)"/>
    <numFmt numFmtId="224" formatCode="_(* #,##0.0000_);_(* \(#,##0.0000\);_(* &quot;-&quot;??_);_(@_)"/>
    <numFmt numFmtId="225" formatCode="0.00;[Red]0.00"/>
    <numFmt numFmtId="226" formatCode="mmmm\ d\,\ yyyy"/>
    <numFmt numFmtId="227" formatCode="0.0;[Red]0.0"/>
    <numFmt numFmtId="228" formatCode="#,##0\ &quot;FB&quot;;\-#,##0\ &quot;FB&quot;"/>
    <numFmt numFmtId="229" formatCode="_(&quot;$&quot;* #,##0.00_);_(&quot;$&quot;* \(#,##0.00\);_(&quot;$&quot;* &quot;-&quot;??_);_(@_)"/>
    <numFmt numFmtId="230" formatCode="_(* #,##0.00000_);_(* \(#,##0.00000\);_(* &quot;-&quot;??_);_(@_)"/>
    <numFmt numFmtId="231" formatCode="0.0%;\(0.0%\)"/>
    <numFmt numFmtId="232" formatCode="_-&quot;$&quot;* #,##0.0_-;\-&quot;$&quot;* #,##0.0_-;_-&quot;$&quot;* &quot;-&quot;??_-;_-@_-"/>
    <numFmt numFmtId="233" formatCode="#,##0;[Red]\(#,##0\)"/>
    <numFmt numFmtId="234" formatCode="0.0000000"/>
    <numFmt numFmtId="235" formatCode="&quot;$&quot;#,##0;[Red]&quot;$&quot;&quot;$&quot;&quot;$&quot;&quot;$&quot;&quot;$&quot;&quot;$&quot;&quot;$&quot;\-#,##0"/>
    <numFmt numFmtId="236" formatCode="_(&quot;$&quot;* #,##0_);_(&quot;$&quot;* \(#,##0\);_(&quot;$&quot;* &quot;-&quot;_);_(@_)"/>
    <numFmt numFmtId="237" formatCode="_-* #,##0_-;\-* #,##0_-;_-* &quot;-&quot;_-;_-@_-"/>
    <numFmt numFmtId="238" formatCode="#,##0.0_);\(#,##0.0\);&quot;—&quot;_)"/>
    <numFmt numFmtId="239" formatCode="_ * #,##0.00_ ;_ * \-#,##0.00_ ;_ * \-??_ ;_ @_ "/>
    <numFmt numFmtId="240" formatCode="_(* #,##0.00_);_(* \(#,##0.00\);_(* &quot;-&quot;??_);_(@_)"/>
    <numFmt numFmtId="241" formatCode="#,##0;\(#,##0\)"/>
    <numFmt numFmtId="242" formatCode="#,##0.0;[Red]\(#,##0.0\)"/>
    <numFmt numFmtId="243" formatCode="&quot;$&quot;#,##0.0_);\(&quot;$&quot;#,##0.0\);&quot;—&quot;_)"/>
    <numFmt numFmtId="244" formatCode="&quot;$&quot;&quot; &quot;#,##0.0_);\(&quot;$&quot;&quot; &quot;#,##0.0\)"/>
    <numFmt numFmtId="245" formatCode="&quot;$&quot;&quot; &quot;#,##0.00_);\(&quot;$&quot;&quot; &quot;#,##0.00\)"/>
    <numFmt numFmtId="246" formatCode="&quot;$&quot;&quot; &quot;#,##0.000_);\(&quot;$&quot;&quot; &quot;#,##0.000\)"/>
    <numFmt numFmtId="247" formatCode="&quot;$&quot;#,##0.00_);\(&quot;$&quot;#,##0.00\)"/>
    <numFmt numFmtId="248" formatCode="&quot;\&quot;#,##0.00;&quot;\&quot;&quot;\&quot;&quot;\&quot;&quot;\&quot;&quot;\&quot;&quot;\&quot;&quot;\&quot;&quot;\&quot;\-#,##0.00"/>
    <numFmt numFmtId="249" formatCode="\$#,##0.00;\(\$#,##0.00\)"/>
    <numFmt numFmtId="250" formatCode="d\-mmm\-yy_)"/>
    <numFmt numFmtId="251" formatCode="m/d/yy_)"/>
    <numFmt numFmtId="252" formatCode="m/yy_)"/>
    <numFmt numFmtId="253" formatCode="mmm\-yy_)"/>
    <numFmt numFmtId="254" formatCode="yyyy_)"/>
    <numFmt numFmtId="255" formatCode="#,##0.000000"/>
    <numFmt numFmtId="256" formatCode="_(* #,###.0_);_(* \(#,###.0\);_(* &quot;-&quot;?_);_(@_)"/>
    <numFmt numFmtId="257" formatCode="0.0"/>
    <numFmt numFmtId="258" formatCode="\$#,##0;\(\$#,##0\)"/>
    <numFmt numFmtId="259" formatCode="&quot;$&quot;#,##0.0_);\(&quot;$&quot;#,##0.0\)"/>
    <numFmt numFmtId="260" formatCode="0.00%;[Red]\(0.00%\)"/>
    <numFmt numFmtId="261" formatCode="_ [$€-2]* #,##0.00_ ;_ [$€-2]* \-#,##0.00_ ;_ [$€-2]* &quot;-&quot;??_ "/>
    <numFmt numFmtId="262" formatCode="_(\ #,##0.0_%_);_(\ \(#,##0.0_%\);_(\ &quot; - &quot;_%_);_(@_)"/>
    <numFmt numFmtId="263" formatCode="_(\ #,##0.0%_);_(\ \(#,##0.0%\);_(\ &quot; - &quot;\%_);_(@_)"/>
    <numFmt numFmtId="264" formatCode="#,##0_);\(#,##0\);&quot; - &quot;_);@_)"/>
    <numFmt numFmtId="265" formatCode="\ #,##0.0_);\(#,##0.0\);&quot; - &quot;_);@_)"/>
    <numFmt numFmtId="266" formatCode="\ #,##0.00_);\(#,##0.00\);&quot; - &quot;_);@_)"/>
    <numFmt numFmtId="267" formatCode="\ #,##0.000_);\(#,##0.000\);&quot; - &quot;_);@_)"/>
    <numFmt numFmtId="268" formatCode="d\ mmmm\ yyyy"/>
    <numFmt numFmtId="269" formatCode="#,##0;[Red]\(#,##0\);0"/>
    <numFmt numFmtId="270" formatCode="d\-mmmm\-yyyy"/>
    <numFmt numFmtId="271" formatCode="#,##0.000_);\(#,##0.000\)"/>
    <numFmt numFmtId="272" formatCode="#,##0.0_);[Red]\(#,##0.0\)"/>
    <numFmt numFmtId="273" formatCode="#\ 0/0_)"/>
    <numFmt numFmtId="274" formatCode="#\ 0/8_)"/>
    <numFmt numFmtId="275" formatCode="#\ ?/?_)"/>
    <numFmt numFmtId="276" formatCode="#,##0_);\(#,##0\);&quot;- &quot;;&quot;  &quot;@"/>
    <numFmt numFmtId="277" formatCode="&quot;FY &quot;yyyy_)"/>
    <numFmt numFmtId="278" formatCode="###0_);\(###0\)"/>
    <numFmt numFmtId="279" formatCode="&quot;$&quot;#,##0"/>
    <numFmt numFmtId="280" formatCode="0.00_)"/>
    <numFmt numFmtId="281" formatCode="_-* #,##0\ _€_-;\-* #,##0\ _€_-;_-* &quot;-&quot;\ _€_-;_-@_-"/>
    <numFmt numFmtId="282" formatCode="&quot;$&quot;#,##0.000_);\(&quot;$&quot;#,##0.000\)"/>
    <numFmt numFmtId="283" formatCode="&quot;$&quot;#,##0.0000_);\(&quot;$&quot;#,##0.0000\)"/>
    <numFmt numFmtId="284" formatCode="0.0&quot; x&quot;;\-0.0&quot; x&quot;"/>
    <numFmt numFmtId="285" formatCode="#,##0.0_);\(#,##0.0\);\-\ "/>
    <numFmt numFmtId="286" formatCode="#,##0.0\x_);\(#,##0.0\x\);\-\ "/>
    <numFmt numFmtId="287" formatCode="#,##0.0\x_);\(#,##0.0\x\)"/>
    <numFmt numFmtId="288" formatCode="#,##0.00\x&quot; &quot;;\(#,##0.00\x\);\-"/>
    <numFmt numFmtId="289" formatCode="#,##0.00\x&quot; &quot;;\(#,##0.00\x\)"/>
    <numFmt numFmtId="290" formatCode="[$-F400]h:mm:ss\ AM/PM"/>
    <numFmt numFmtId="291" formatCode="0000"/>
    <numFmt numFmtId="292" formatCode="_ * #,##0_ ;_ * \-#,##0_ ;_ * &quot;-&quot;??_ ;_ @_ "/>
    <numFmt numFmtId="293" formatCode="#,###.0,,\ \ ;\(#,###.0,,\)\ \ "/>
    <numFmt numFmtId="294" formatCode="0.000%"/>
    <numFmt numFmtId="295" formatCode="_-* #,##0.0_-;\-* #,##0.0_-;_-* &quot;-&quot;??_-;_-@_-"/>
    <numFmt numFmtId="296" formatCode="_-* #,##0.00\ _B_E_F_-;\-* #,##0.00\ _B_E_F_-;_-* &quot;-&quot;??\ _B_E_F_-;_-@_-"/>
    <numFmt numFmtId="297" formatCode="0.0%_);\(0.0%\)"/>
    <numFmt numFmtId="298" formatCode="&quot;$&quot;#,##0;\-&quot;$&quot;#,##0"/>
    <numFmt numFmtId="299" formatCode="&quot;Q1 '&quot;yy_)"/>
    <numFmt numFmtId="300" formatCode="&quot;Q2 '&quot;yy_)"/>
    <numFmt numFmtId="301" formatCode="&quot;Q3 '&quot;yy_)"/>
    <numFmt numFmtId="302" formatCode="&quot;Q4 '&quot;yy_)"/>
    <numFmt numFmtId="303" formatCode="#,##0&quot; $&quot;;[Red]\-#,##0&quot; $&quot;"/>
    <numFmt numFmtId="304" formatCode="_-&quot;$&quot;* #,##0.00____;[Red]\(#,##0\)___-;_-* &quot;-&quot;___-;_-@_-"/>
    <numFmt numFmtId="305" formatCode="_-* #,##0____;[Red]\(#,##0\)___-;_-* &quot;-&quot;___-;_-@_-"/>
    <numFmt numFmtId="306" formatCode="0%____;[Red]\(0%\)___;"/>
    <numFmt numFmtId="307" formatCode="#,##0_);\(#,##0\);\-_);&quot;•&quot;&quot; &quot;@_)"/>
    <numFmt numFmtId="308" formatCode="#,##0_);\(#,##0\);\-_);&quot;–&quot;&quot; &quot;@"/>
    <numFmt numFmtId="309" formatCode="#,##0_);\(#,##0\);\-_);&quot;—&quot;&quot; &quot;@"/>
    <numFmt numFmtId="310" formatCode="#,##0,_);[Red]\(#,##0,\);&quot;-  &quot;"/>
    <numFmt numFmtId="311" formatCode="#,##0.00\ &quot;FB&quot;;\-#,##0.00\ &quot;FB&quot;"/>
    <numFmt numFmtId="312" formatCode="#,##0.0,_);[Red]\(#,##0.0,\);&quot;-  &quot;"/>
    <numFmt numFmtId="313" formatCode="#,##0.00\ &quot;FB&quot;;[Red]\-#,##0.00\ &quot;FB&quot;"/>
    <numFmt numFmtId="314" formatCode="#,##0&quot;x&quot;_);\(#,##0&quot;x&quot;\)"/>
    <numFmt numFmtId="315" formatCode="#,##0.0&quot;x&quot;_);\(#,##0.0&quot;x&quot;\)"/>
    <numFmt numFmtId="316" formatCode="#,##0.00&quot;x&quot;_);\(#,##0.00&quot;x&quot;\)"/>
    <numFmt numFmtId="317" formatCode="#,###,\ \ ;\(#,###,\)\ \ "/>
    <numFmt numFmtId="318" formatCode="_-* #,##0\ _k_r_-;\-* #,##0\ _k_r_-;_-* &quot;-&quot;\ _k_r_-;_-@_-"/>
    <numFmt numFmtId="319" formatCode="_-* #,##0.00\ _k_r_-;\-* #,##0.00\ _k_r_-;_-* &quot;-&quot;??\ _k_r_-;_-@_-"/>
    <numFmt numFmtId="320" formatCode="0&quot; &quot;"/>
    <numFmt numFmtId="321" formatCode="#,##0.00_);#,##0.00\)"/>
    <numFmt numFmtId="322" formatCode="0.00000&quot;  &quot;"/>
    <numFmt numFmtId="323" formatCode="_-&quot;Ł&quot;* #,##0_-;\-&quot;Ł&quot;* #,##0_-;_-&quot;Ł&quot;* &quot;-&quot;_-;_-@_-"/>
    <numFmt numFmtId="324" formatCode="_ &quot;\&quot;* #,##0_ ;_ &quot;\&quot;* \-#,##0_ ;_ &quot;\&quot;* &quot;-&quot;_ ;_ @_ "/>
    <numFmt numFmtId="325" formatCode="[$-409]d/mmm/yy;@"/>
    <numFmt numFmtId="326" formatCode="[$-409]mmm/yy;@"/>
    <numFmt numFmtId="327" formatCode="0_);[Red]\(0\)"/>
    <numFmt numFmtId="328" formatCode="0.00_);[Red]\(0.00\)"/>
    <numFmt numFmtId="329" formatCode="#,##0[$р.-419]_);[Red]\(#,##0[$р.-419]\)"/>
    <numFmt numFmtId="330" formatCode="\¥#,##0.00;\¥\-#,##0.00"/>
    <numFmt numFmtId="331" formatCode="0.00_ "/>
    <numFmt numFmtId="332" formatCode="_ [$€]* #,##0.00_ ;_ [$€]* \-#,##0.00_ ;_ [$€]* &quot;-&quot;??_ ;_ @_ "/>
    <numFmt numFmtId="333" formatCode="d/m/yy"/>
    <numFmt numFmtId="334" formatCode="[$-409]d\-mmm;@"/>
    <numFmt numFmtId="335" formatCode="0.0000000000_ "/>
    <numFmt numFmtId="336" formatCode="[$-804]aaaa;@"/>
    <numFmt numFmtId="337" formatCode="_-* #,##0.00\ [$€-1]_-;\-* #,##0.00\ [$€-1]_-;_-* &quot;-&quot;??\ [$€-1]_-"/>
    <numFmt numFmtId="338" formatCode="_-* #,##0.00\ _€_-;\-* #,##0.00\ _€_-;_-* &quot;-&quot;??\ _€_-;_-@_-"/>
    <numFmt numFmtId="339" formatCode="_ \¥* #,##0.00_ ;_ \¥* \-#,##0.00_ ;_ \¥* &quot;-&quot;??_ ;_ @_ "/>
    <numFmt numFmtId="340" formatCode="_-&quot;NT$&quot;* #,##0.00_-;\-&quot;NT$&quot;* #,##0.00_-;_-&quot;NT$&quot;* &quot;-&quot;??_-;_-@_-"/>
    <numFmt numFmtId="341" formatCode="&quot;\&quot;#,##0;[Red]&quot;\&quot;&quot;\&quot;\-#,##0"/>
    <numFmt numFmtId="342" formatCode="&quot;\&quot;#,##0.00;[Red]&quot;\&quot;&quot;\&quot;&quot;\&quot;&quot;\&quot;&quot;\&quot;&quot;\&quot;\-#,##0.00"/>
    <numFmt numFmtId="343" formatCode="&quot;\&quot;#,##0.00;[Red]&quot;\&quot;\-#,##0.00"/>
    <numFmt numFmtId="344" formatCode="&quot;\&quot;#,##0;[Red]&quot;\&quot;\-#,##0"/>
    <numFmt numFmtId="345" formatCode="0_ "/>
    <numFmt numFmtId="346" formatCode="&quot;$&quot;#,##0.00_);[Red]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\(&quot;$&quot;#,##0.00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\)"/>
    <numFmt numFmtId="347" formatCode="m/d;@"/>
    <numFmt numFmtId="348" formatCode="m&quot;月&quot;d&quot;日&quot;;@"/>
  </numFmts>
  <fonts count="362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indexed="8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6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rgb="FF00000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2"/>
      <name val="微软雅黑"/>
      <family val="2"/>
      <charset val="134"/>
    </font>
    <font>
      <sz val="10"/>
      <name val="微软雅黑"/>
      <family val="2"/>
      <charset val="134"/>
    </font>
    <font>
      <sz val="10"/>
      <name val="Arial"/>
      <family val="2"/>
    </font>
    <font>
      <b/>
      <sz val="10"/>
      <color rgb="FFFF0000"/>
      <name val="微软雅黑"/>
      <family val="2"/>
      <charset val="134"/>
    </font>
    <font>
      <sz val="11"/>
      <name val="微软雅黑"/>
      <family val="2"/>
      <charset val="134"/>
    </font>
    <font>
      <sz val="11"/>
      <name val="Arial"/>
      <family val="2"/>
    </font>
    <font>
      <sz val="12"/>
      <name val="Verdana"/>
      <family val="2"/>
    </font>
    <font>
      <b/>
      <sz val="10"/>
      <color rgb="FFFF0000"/>
      <name val="Arial"/>
      <family val="2"/>
    </font>
    <font>
      <sz val="14"/>
      <color theme="0"/>
      <name val="宋体"/>
      <family val="3"/>
      <charset val="134"/>
    </font>
    <font>
      <sz val="12"/>
      <color theme="0"/>
      <name val="宋体"/>
      <family val="3"/>
      <charset val="134"/>
    </font>
    <font>
      <sz val="9"/>
      <name val="微软雅黑"/>
      <family val="2"/>
      <charset val="134"/>
    </font>
    <font>
      <sz val="11"/>
      <color indexed="8"/>
      <name val="宋体"/>
      <family val="3"/>
      <charset val="134"/>
      <scheme val="minor"/>
    </font>
    <font>
      <sz val="12"/>
      <name val="宋体"/>
      <family val="3"/>
      <charset val="134"/>
    </font>
    <font>
      <sz val="12"/>
      <color theme="0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theme="0"/>
      <name val="微软雅黑"/>
      <family val="2"/>
      <charset val="134"/>
    </font>
    <font>
      <b/>
      <sz val="15"/>
      <color theme="3"/>
      <name val="宋体"/>
      <family val="3"/>
      <charset val="134"/>
      <scheme val="minor"/>
    </font>
    <font>
      <b/>
      <sz val="13"/>
      <color theme="3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indexed="8"/>
      <name val="MS Sans Serif"/>
      <family val="1"/>
    </font>
    <font>
      <sz val="12"/>
      <name val="Times New Roman"/>
      <family val="1"/>
    </font>
    <font>
      <sz val="12"/>
      <color indexed="8"/>
      <name val="宋体"/>
      <family val="3"/>
      <charset val="134"/>
    </font>
    <font>
      <sz val="11"/>
      <color rgb="FF006100"/>
      <name val="宋体"/>
      <family val="3"/>
      <charset val="134"/>
      <scheme val="minor"/>
    </font>
    <font>
      <sz val="12"/>
      <name val="新細明體"/>
      <charset val="134"/>
    </font>
    <font>
      <sz val="10"/>
      <name val="Helv"/>
      <family val="2"/>
    </font>
    <font>
      <b/>
      <sz val="12"/>
      <name val="宋体"/>
      <family val="3"/>
      <charset val="134"/>
    </font>
    <font>
      <sz val="9"/>
      <name val="Geneva"/>
      <family val="1"/>
    </font>
    <font>
      <sz val="12"/>
      <name val="System"/>
      <charset val="134"/>
    </font>
    <font>
      <sz val="11"/>
      <name val="￥i￠￢￠?o"/>
      <family val="3"/>
      <charset val="134"/>
    </font>
    <font>
      <b/>
      <sz val="10"/>
      <name val="MS Sans Serif"/>
      <family val="2"/>
    </font>
    <font>
      <b/>
      <sz val="10"/>
      <name val="宋体"/>
      <family val="3"/>
      <charset val="134"/>
    </font>
    <font>
      <sz val="10"/>
      <name val="Geneva"/>
      <family val="1"/>
    </font>
    <font>
      <b/>
      <sz val="8"/>
      <name val="Arial"/>
      <family val="2"/>
    </font>
    <font>
      <b/>
      <sz val="10"/>
      <name val="Arial"/>
      <family val="2"/>
    </font>
    <font>
      <b/>
      <i/>
      <sz val="8"/>
      <name val="Arial"/>
      <family val="2"/>
    </font>
    <font>
      <i/>
      <sz val="10"/>
      <name val="Arial"/>
      <family val="2"/>
    </font>
    <font>
      <i/>
      <sz val="8"/>
      <name val="Arial"/>
      <family val="2"/>
    </font>
    <font>
      <b/>
      <i/>
      <sz val="10"/>
      <name val="Arial"/>
      <family val="2"/>
    </font>
    <font>
      <sz val="8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11"/>
      <color indexed="9"/>
      <name val="宋体"/>
      <family val="3"/>
      <charset val="134"/>
    </font>
    <font>
      <sz val="10"/>
      <name val="Times New Roman"/>
      <family val="1"/>
    </font>
    <font>
      <sz val="9"/>
      <name val="Arial"/>
      <family val="2"/>
    </font>
    <font>
      <sz val="12"/>
      <name val="ⓒoUAAA¨u"/>
      <family val="3"/>
      <charset val="129"/>
    </font>
    <font>
      <sz val="10"/>
      <color indexed="9"/>
      <name val="Arial"/>
      <family val="2"/>
    </font>
    <font>
      <i/>
      <sz val="10"/>
      <color indexed="13"/>
      <name val="Arial"/>
      <family val="2"/>
    </font>
    <font>
      <sz val="10"/>
      <color indexed="13"/>
      <name val="Arial"/>
      <family val="2"/>
    </font>
    <font>
      <sz val="10"/>
      <color indexed="8"/>
      <name val="Arial"/>
      <family val="2"/>
    </font>
    <font>
      <sz val="10"/>
      <name val="Courier"/>
      <family val="3"/>
    </font>
    <font>
      <i/>
      <sz val="10"/>
      <color indexed="32"/>
      <name val="Arial Narrow"/>
      <family val="2"/>
    </font>
    <font>
      <u/>
      <sz val="10"/>
      <color indexed="12"/>
      <name val="Arial"/>
      <family val="2"/>
    </font>
    <font>
      <sz val="10"/>
      <color indexed="12"/>
      <name val="Courier"/>
      <family val="3"/>
    </font>
    <font>
      <sz val="13"/>
      <name val="Tms Rmn"/>
      <family val="1"/>
    </font>
    <font>
      <sz val="6"/>
      <name val="Arial"/>
      <family val="2"/>
    </font>
    <font>
      <b/>
      <sz val="6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b/>
      <sz val="9"/>
      <name val="Symbol"/>
      <family val="1"/>
      <charset val="2"/>
    </font>
    <font>
      <b/>
      <u/>
      <sz val="9"/>
      <name val="Arial"/>
      <family val="2"/>
    </font>
    <font>
      <i/>
      <sz val="12"/>
      <color indexed="8"/>
      <name val="Times New Roman"/>
      <family val="1"/>
    </font>
    <font>
      <b/>
      <u/>
      <sz val="10"/>
      <name val="Arial"/>
      <family val="2"/>
    </font>
    <font>
      <sz val="10"/>
      <name val="Arial Narrow"/>
      <family val="2"/>
    </font>
    <font>
      <b/>
      <sz val="11"/>
      <name val="Arial"/>
      <family val="2"/>
    </font>
    <font>
      <b/>
      <i/>
      <sz val="11"/>
      <name val="Arial"/>
      <family val="2"/>
    </font>
    <font>
      <b/>
      <u/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u/>
      <sz val="12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u/>
      <sz val="16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u/>
      <sz val="18"/>
      <name val="Arial"/>
      <family val="2"/>
    </font>
    <font>
      <sz val="8"/>
      <color indexed="12"/>
      <name val="Univers (E1)"/>
      <family val="1"/>
    </font>
    <font>
      <sz val="11"/>
      <color indexed="8"/>
      <name val="Calibri"/>
      <family val="2"/>
    </font>
    <font>
      <sz val="11"/>
      <color indexed="8"/>
      <name val="宋体"/>
      <family val="3"/>
      <charset val="134"/>
    </font>
    <font>
      <sz val="11"/>
      <color theme="1"/>
      <name val="等线"/>
      <family val="3"/>
      <charset val="134"/>
    </font>
    <font>
      <b/>
      <sz val="24"/>
      <name val="Arial"/>
      <family val="2"/>
    </font>
    <font>
      <b/>
      <i/>
      <sz val="24"/>
      <name val="Arial"/>
      <family val="2"/>
    </font>
    <font>
      <b/>
      <u/>
      <sz val="24"/>
      <name val="Arial"/>
      <family val="2"/>
    </font>
    <font>
      <sz val="11"/>
      <color indexed="9"/>
      <name val="Calibri"/>
      <family val="2"/>
    </font>
    <font>
      <sz val="11"/>
      <color indexed="13"/>
      <name val="宋体"/>
      <family val="3"/>
      <charset val="134"/>
    </font>
    <font>
      <sz val="11"/>
      <color theme="0"/>
      <name val="等线"/>
      <family val="3"/>
      <charset val="134"/>
    </font>
    <font>
      <sz val="11"/>
      <color indexed="42"/>
      <name val="宋体"/>
      <family val="3"/>
      <charset val="134"/>
    </font>
    <font>
      <sz val="10"/>
      <name val="Book Antiqua"/>
      <family val="1"/>
    </font>
    <font>
      <b/>
      <sz val="10"/>
      <name val="Book Antiqua"/>
      <family val="1"/>
    </font>
    <font>
      <sz val="12"/>
      <color indexed="9"/>
      <name val="宋体"/>
      <family val="3"/>
      <charset val="134"/>
    </font>
    <font>
      <b/>
      <sz val="12"/>
      <name val="MS Sans Serif"/>
      <family val="2"/>
    </font>
    <font>
      <i/>
      <sz val="12"/>
      <name val="宋体"/>
      <family val="3"/>
      <charset val="134"/>
    </font>
    <font>
      <sz val="9"/>
      <name val="AGaramond"/>
      <family val="1"/>
    </font>
    <font>
      <u/>
      <sz val="10"/>
      <color indexed="36"/>
      <name val="Arial"/>
      <family val="2"/>
    </font>
    <font>
      <sz val="8"/>
      <name val="Times New Roman"/>
      <family val="1"/>
    </font>
    <font>
      <sz val="8"/>
      <color indexed="12"/>
      <name val="Helv"/>
      <family val="2"/>
    </font>
    <font>
      <sz val="12"/>
      <name val="¹UAAA¼"/>
      <family val="3"/>
      <charset val="134"/>
    </font>
    <font>
      <sz val="10"/>
      <color indexed="9"/>
      <name val="Gill Sans MT"/>
      <family val="1"/>
    </font>
    <font>
      <b/>
      <sz val="10"/>
      <color indexed="9"/>
      <name val="Gill Sans MT"/>
      <family val="2"/>
    </font>
    <font>
      <b/>
      <sz val="24"/>
      <name val="Times New Roman"/>
      <family val="1"/>
    </font>
    <font>
      <sz val="11"/>
      <color indexed="20"/>
      <name val="Calibri"/>
      <family val="2"/>
    </font>
    <font>
      <sz val="8"/>
      <color indexed="10"/>
      <name val="Arial"/>
      <family val="2"/>
    </font>
    <font>
      <sz val="10"/>
      <color indexed="18"/>
      <name val="MS Sans Serif"/>
      <family val="2"/>
    </font>
    <font>
      <strike/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10"/>
      <name val="Helvetica"/>
      <family val="2"/>
    </font>
    <font>
      <sz val="12"/>
      <color indexed="8"/>
      <name val="Times New Roman"/>
      <family val="1"/>
    </font>
    <font>
      <sz val="11"/>
      <name val="Times New Roman"/>
      <family val="1"/>
    </font>
    <font>
      <sz val="12"/>
      <color indexed="10"/>
      <name val="Times New Roman"/>
      <family val="1"/>
    </font>
    <font>
      <b/>
      <sz val="12"/>
      <color indexed="8"/>
      <name val="Times New Roman"/>
      <family val="1"/>
    </font>
    <font>
      <sz val="10"/>
      <color indexed="12"/>
      <name val="Arial"/>
      <family val="2"/>
    </font>
    <font>
      <b/>
      <sz val="11"/>
      <color indexed="52"/>
      <name val="Calibri"/>
      <family val="2"/>
    </font>
    <font>
      <b/>
      <sz val="11"/>
      <color indexed="52"/>
      <name val="宋体"/>
      <family val="3"/>
      <charset val="134"/>
    </font>
    <font>
      <sz val="10"/>
      <name val="MS Sans Serif"/>
      <family val="2"/>
    </font>
    <font>
      <b/>
      <sz val="10"/>
      <name val="Helv"/>
      <family val="2"/>
    </font>
    <font>
      <b/>
      <sz val="11"/>
      <color indexed="9"/>
      <name val="Calibri"/>
      <family val="2"/>
    </font>
    <font>
      <sz val="10"/>
      <name val="Courier New"/>
      <family val="3"/>
    </font>
    <font>
      <b/>
      <sz val="13"/>
      <name val="Tms Rmn"/>
      <family val="1"/>
    </font>
    <font>
      <sz val="10"/>
      <name val="Arial CE"/>
      <charset val="238"/>
    </font>
    <font>
      <sz val="10"/>
      <name val="Verdana"/>
      <family val="2"/>
    </font>
    <font>
      <sz val="8"/>
      <name val="Palatino"/>
      <family val="1"/>
    </font>
    <font>
      <sz val="9"/>
      <color theme="1"/>
      <name val="微软雅黑"/>
      <family val="2"/>
      <charset val="134"/>
    </font>
    <font>
      <sz val="10"/>
      <color indexed="0"/>
      <name val="MS Sans Serif"/>
      <family val="2"/>
    </font>
    <font>
      <sz val="10"/>
      <name val="BERNHARD"/>
      <family val="1"/>
    </font>
    <font>
      <sz val="10"/>
      <name val="MS Serif"/>
      <family val="1"/>
    </font>
    <font>
      <sz val="8"/>
      <name val="Helv"/>
      <family val="2"/>
    </font>
    <font>
      <b/>
      <sz val="10"/>
      <color indexed="39"/>
      <name val="Times New Roman"/>
      <family val="1"/>
    </font>
    <font>
      <u/>
      <sz val="8"/>
      <color indexed="12"/>
      <name val="Times New Roman"/>
      <family val="1"/>
    </font>
    <font>
      <u val="doubleAccounting"/>
      <sz val="10"/>
      <name val="Times New Roman"/>
      <family val="1"/>
    </font>
    <font>
      <strike/>
      <sz val="12"/>
      <name val="宋体"/>
      <family val="3"/>
      <charset val="134"/>
    </font>
    <font>
      <sz val="1"/>
      <color indexed="8"/>
      <name val="Courier"/>
      <family val="3"/>
    </font>
    <font>
      <sz val="9"/>
      <name val="Tms Rmn"/>
      <family val="1"/>
    </font>
    <font>
      <sz val="8"/>
      <color indexed="12"/>
      <name val="Times New Roman"/>
      <family val="1"/>
    </font>
    <font>
      <u val="doubleAccounting"/>
      <sz val="10"/>
      <name val="Arial"/>
      <family val="2"/>
    </font>
    <font>
      <b/>
      <sz val="8"/>
      <color indexed="10"/>
      <name val="Arial"/>
      <family val="2"/>
    </font>
    <font>
      <b/>
      <sz val="11"/>
      <color indexed="8"/>
      <name val="Calibri"/>
      <family val="2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sz val="9"/>
      <name val="Times New Roman"/>
      <family val="1"/>
    </font>
    <font>
      <sz val="9"/>
      <name val="Arial CE"/>
      <charset val="238"/>
    </font>
    <font>
      <i/>
      <sz val="11"/>
      <color indexed="23"/>
      <name val="Calibri"/>
      <family val="2"/>
    </font>
    <font>
      <i/>
      <sz val="10"/>
      <name val="Arial Narrow"/>
      <family val="2"/>
    </font>
    <font>
      <b/>
      <sz val="10"/>
      <color indexed="32"/>
      <name val="Arial Narrow"/>
      <family val="2"/>
    </font>
    <font>
      <sz val="14"/>
      <name val="Arial"/>
      <family val="2"/>
    </font>
    <font>
      <b/>
      <sz val="12"/>
      <color indexed="55"/>
      <name val="Arial"/>
      <family val="2"/>
    </font>
    <font>
      <b/>
      <sz val="11"/>
      <name val="Times New Roman"/>
      <family val="1"/>
    </font>
    <font>
      <b/>
      <sz val="10"/>
      <name val="Times New Roman"/>
      <family val="1"/>
    </font>
    <font>
      <b/>
      <i/>
      <sz val="9.5"/>
      <name val="Times New Roman"/>
      <family val="1"/>
    </font>
    <font>
      <sz val="10"/>
      <color indexed="32"/>
      <name val="Arial Narrow"/>
      <family val="2"/>
    </font>
    <font>
      <b/>
      <sz val="14"/>
      <color indexed="32"/>
      <name val="Arial"/>
      <family val="2"/>
    </font>
    <font>
      <sz val="8"/>
      <color indexed="32"/>
      <name val="Arial Narrow"/>
      <family val="2"/>
    </font>
    <font>
      <b/>
      <sz val="10"/>
      <name val="Arial Narrow"/>
      <family val="2"/>
    </font>
    <font>
      <b/>
      <i/>
      <sz val="10"/>
      <name val="Arial Narrow"/>
      <family val="2"/>
    </font>
    <font>
      <sz val="12"/>
      <name val="Helv"/>
      <family val="2"/>
    </font>
    <font>
      <sz val="7"/>
      <name val="Palatino"/>
      <family val="1"/>
    </font>
    <font>
      <sz val="10"/>
      <color indexed="18"/>
      <name val="Arial"/>
      <family val="2"/>
    </font>
    <font>
      <b/>
      <sz val="12"/>
      <name val="Times New Roman"/>
      <family val="1"/>
    </font>
    <font>
      <sz val="12"/>
      <color indexed="12"/>
      <name val="Arial"/>
      <family val="2"/>
    </font>
    <font>
      <sz val="9"/>
      <name val="GillSans"/>
      <family val="1"/>
    </font>
    <font>
      <sz val="9"/>
      <name val="GillSans Light"/>
      <family val="1"/>
    </font>
    <font>
      <sz val="11"/>
      <color indexed="17"/>
      <name val="Calibri"/>
      <family val="2"/>
    </font>
    <font>
      <b/>
      <sz val="10"/>
      <color indexed="8"/>
      <name val="MS Sans Serif"/>
      <family val="2"/>
    </font>
    <font>
      <sz val="6"/>
      <color indexed="16"/>
      <name val="Palatino"/>
      <family val="1"/>
    </font>
    <font>
      <b/>
      <sz val="12"/>
      <name val="Helv"/>
      <family val="2"/>
    </font>
    <font>
      <b/>
      <sz val="11"/>
      <color indexed="56"/>
      <name val="Calibri"/>
      <family val="2"/>
    </font>
    <font>
      <sz val="9"/>
      <name val="Helv"/>
      <family val="2"/>
    </font>
    <font>
      <sz val="11"/>
      <color indexed="62"/>
      <name val="Calibri"/>
      <family val="2"/>
    </font>
    <font>
      <sz val="11"/>
      <color indexed="62"/>
      <name val="宋体"/>
      <family val="3"/>
      <charset val="134"/>
    </font>
    <font>
      <i/>
      <sz val="10"/>
      <color indexed="8"/>
      <name val="Gill Sans MT"/>
      <family val="2"/>
    </font>
    <font>
      <sz val="10"/>
      <color indexed="14"/>
      <name val="Arial"/>
      <family val="2"/>
    </font>
    <font>
      <sz val="11"/>
      <color indexed="52"/>
      <name val="Calibri"/>
      <family val="2"/>
    </font>
    <font>
      <sz val="12"/>
      <color indexed="9"/>
      <name val="Helv"/>
      <family val="2"/>
    </font>
    <font>
      <sz val="8"/>
      <color indexed="8"/>
      <name val="Helv"/>
      <family val="2"/>
    </font>
    <font>
      <sz val="12"/>
      <color indexed="14"/>
      <name val="宋体"/>
      <family val="3"/>
      <charset val="134"/>
    </font>
    <font>
      <sz val="9"/>
      <color indexed="8"/>
      <name val="Arial"/>
      <family val="2"/>
    </font>
    <font>
      <b/>
      <sz val="11"/>
      <name val="Helv"/>
      <family val="2"/>
    </font>
    <font>
      <i/>
      <sz val="12"/>
      <name val="Times New Roman"/>
      <family val="1"/>
    </font>
    <font>
      <i/>
      <sz val="10"/>
      <color indexed="12"/>
      <name val="Times New Roman"/>
      <family val="1"/>
    </font>
    <font>
      <sz val="12"/>
      <color indexed="12"/>
      <name val="Times New Roman"/>
      <family val="1"/>
    </font>
    <font>
      <sz val="12"/>
      <color indexed="8"/>
      <name val="Arial"/>
      <family val="2"/>
    </font>
    <font>
      <i/>
      <sz val="10"/>
      <name val="Times New Roman"/>
      <family val="1"/>
    </font>
    <font>
      <sz val="11"/>
      <color indexed="60"/>
      <name val="Calibri"/>
      <family val="2"/>
    </font>
    <font>
      <sz val="12"/>
      <color indexed="39"/>
      <name val="Times New Roman"/>
      <family val="1"/>
    </font>
    <font>
      <sz val="7"/>
      <name val="Small Fonts"/>
      <charset val="134"/>
    </font>
    <font>
      <b/>
      <i/>
      <sz val="16"/>
      <name val="Helv"/>
      <family val="2"/>
    </font>
    <font>
      <sz val="8"/>
      <name val="Helvetica"/>
      <family val="2"/>
    </font>
    <font>
      <sz val="8"/>
      <color indexed="12"/>
      <name val="Arial"/>
      <family val="2"/>
    </font>
    <font>
      <i/>
      <sz val="10"/>
      <color indexed="63"/>
      <name val="Arial"/>
      <family val="2"/>
    </font>
    <font>
      <sz val="10"/>
      <color indexed="63"/>
      <name val="Arial"/>
      <family val="2"/>
    </font>
    <font>
      <sz val="10"/>
      <color indexed="9"/>
      <name val="MS Sans Serif"/>
      <family val="2"/>
    </font>
    <font>
      <sz val="11"/>
      <name val="‚l‚r –¾’©"/>
      <charset val="128"/>
    </font>
    <font>
      <b/>
      <sz val="11"/>
      <color indexed="63"/>
      <name val="Calibri"/>
      <family val="2"/>
    </font>
    <font>
      <b/>
      <sz val="11"/>
      <color indexed="63"/>
      <name val="宋体"/>
      <family val="3"/>
      <charset val="134"/>
    </font>
    <font>
      <sz val="10"/>
      <color indexed="16"/>
      <name val="Helvetica-Black"/>
      <family val="2"/>
    </font>
    <font>
      <sz val="10"/>
      <color indexed="10"/>
      <name val="Arial"/>
      <family val="2"/>
    </font>
    <font>
      <sz val="10"/>
      <name val="Tms Rmn"/>
      <family val="1"/>
    </font>
    <font>
      <sz val="8"/>
      <name val="Arial MT"/>
      <family val="2"/>
    </font>
    <font>
      <b/>
      <i/>
      <sz val="10"/>
      <color indexed="10"/>
      <name val="Arial"/>
      <family val="2"/>
    </font>
    <font>
      <sz val="8"/>
      <color indexed="16"/>
      <name val="Century Schoolbook"/>
      <family val="1"/>
    </font>
    <font>
      <b/>
      <sz val="11"/>
      <color theme="1"/>
      <name val="宋体"/>
      <family val="3"/>
      <charset val="134"/>
      <scheme val="minor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8"/>
      <color indexed="9"/>
      <name val="Arial Narrow"/>
      <family val="2"/>
    </font>
    <font>
      <b/>
      <i/>
      <sz val="8"/>
      <color indexed="9"/>
      <name val="Arial Narrow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b/>
      <sz val="12"/>
      <color indexed="8"/>
      <name val="Arial"/>
      <family val="2"/>
    </font>
    <font>
      <sz val="10"/>
      <color indexed="56"/>
      <name val="Arial"/>
      <family val="2"/>
    </font>
    <font>
      <sz val="10"/>
      <color indexed="39"/>
      <name val="Arial"/>
      <family val="2"/>
    </font>
    <font>
      <sz val="12"/>
      <color indexed="9"/>
      <name val="Arial"/>
      <family val="2"/>
    </font>
    <font>
      <i/>
      <sz val="12"/>
      <color indexed="9"/>
      <name val="Arial"/>
      <family val="2"/>
    </font>
    <font>
      <sz val="8"/>
      <color indexed="9"/>
      <name val="Arial Narrow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i/>
      <sz val="11"/>
      <color indexed="9"/>
      <name val="Arial"/>
      <family val="2"/>
    </font>
    <font>
      <b/>
      <sz val="11"/>
      <color indexed="18"/>
      <name val="Arial Narrow"/>
      <family val="2"/>
    </font>
    <font>
      <sz val="19"/>
      <color indexed="48"/>
      <name val="Arial"/>
      <family val="2"/>
    </font>
    <font>
      <b/>
      <i/>
      <sz val="10"/>
      <name val="Times New Roman"/>
      <family val="1"/>
    </font>
    <font>
      <b/>
      <sz val="18"/>
      <color indexed="62"/>
      <name val="Cambria"/>
      <family val="1"/>
    </font>
    <font>
      <u val="singleAccounting"/>
      <sz val="10"/>
      <name val="Arial"/>
      <family val="2"/>
    </font>
    <font>
      <u val="singleAccounting"/>
      <sz val="10"/>
      <name val="Times New Roman"/>
      <family val="1"/>
    </font>
    <font>
      <b/>
      <sz val="10"/>
      <color indexed="9"/>
      <name val="MS Sans Serif"/>
      <family val="2"/>
    </font>
    <font>
      <sz val="10"/>
      <color indexed="62"/>
      <name val="Arial"/>
      <family val="2"/>
    </font>
    <font>
      <b/>
      <sz val="8"/>
      <color indexed="8"/>
      <name val="Helv"/>
      <family val="2"/>
    </font>
    <font>
      <sz val="11"/>
      <color indexed="9"/>
      <name val="Arial Narrow"/>
      <family val="2"/>
    </font>
    <font>
      <b/>
      <sz val="9"/>
      <name val="Palatino"/>
      <family val="1"/>
    </font>
    <font>
      <sz val="9"/>
      <color indexed="21"/>
      <name val="Helvetica-Black"/>
      <family val="2"/>
    </font>
    <font>
      <sz val="9"/>
      <name val="Helvetica-Black"/>
      <family val="2"/>
    </font>
    <font>
      <b/>
      <sz val="14"/>
      <color indexed="8"/>
      <name val="Times New Roman"/>
      <family val="1"/>
    </font>
    <font>
      <sz val="11"/>
      <color rgb="FF000000"/>
      <name val="宋体"/>
      <family val="3"/>
      <charset val="134"/>
    </font>
    <font>
      <sz val="8.5"/>
      <name val="MS Sans Serif"/>
      <family val="2"/>
    </font>
    <font>
      <sz val="12"/>
      <color indexed="12"/>
      <name val="Arial MT"/>
      <family val="2"/>
    </font>
    <font>
      <b/>
      <sz val="9"/>
      <name val="Times New Roman"/>
      <family val="1"/>
    </font>
    <font>
      <b/>
      <sz val="16"/>
      <color indexed="62"/>
      <name val="Arial"/>
      <family val="2"/>
    </font>
    <font>
      <u/>
      <sz val="8"/>
      <name val="Times New Roman"/>
      <family val="1"/>
    </font>
    <font>
      <b/>
      <sz val="8"/>
      <name val="Times New Roman"/>
      <family val="1"/>
    </font>
    <font>
      <b/>
      <sz val="11"/>
      <color indexed="8"/>
      <name val="宋体"/>
      <family val="3"/>
      <charset val="134"/>
    </font>
    <font>
      <u/>
      <sz val="12"/>
      <name val="宋体"/>
      <family val="3"/>
      <charset val="134"/>
    </font>
    <font>
      <b/>
      <u/>
      <sz val="8"/>
      <name val="Arial"/>
      <family val="2"/>
    </font>
    <font>
      <sz val="8"/>
      <color indexed="12"/>
      <name val="Arial MT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8"/>
      <color indexed="9"/>
      <name val="Arial"/>
      <family val="2"/>
    </font>
    <font>
      <b/>
      <u/>
      <sz val="8"/>
      <name val="Times New Roman"/>
      <family val="1"/>
    </font>
    <font>
      <sz val="11"/>
      <name val="明朝"/>
      <charset val="134"/>
    </font>
    <font>
      <sz val="12"/>
      <name val="นูลมรผ"/>
      <family val="1"/>
    </font>
    <font>
      <sz val="11"/>
      <color indexed="8"/>
      <name val="等线"/>
      <family val="3"/>
      <charset val="134"/>
    </font>
    <font>
      <sz val="11"/>
      <color rgb="FF000000"/>
      <name val="宋体"/>
      <family val="3"/>
      <charset val="134"/>
      <scheme val="minor"/>
    </font>
    <font>
      <sz val="14"/>
      <name val="柧挬"/>
      <charset val="134"/>
    </font>
    <font>
      <b/>
      <sz val="15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5"/>
      <color theme="3"/>
      <name val="等线"/>
      <family val="3"/>
      <charset val="134"/>
    </font>
    <font>
      <b/>
      <sz val="18"/>
      <color theme="3"/>
      <name val="宋体"/>
      <family val="3"/>
      <charset val="134"/>
      <scheme val="major"/>
    </font>
    <font>
      <b/>
      <sz val="18"/>
      <color indexed="56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3"/>
      <color theme="3"/>
      <name val="等线"/>
      <family val="3"/>
      <charset val="134"/>
    </font>
    <font>
      <b/>
      <sz val="11"/>
      <color indexed="62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theme="3"/>
      <name val="等线"/>
      <family val="3"/>
      <charset val="134"/>
    </font>
    <font>
      <b/>
      <sz val="18"/>
      <color theme="3"/>
      <name val="等线 Light"/>
      <family val="3"/>
      <charset val="134"/>
    </font>
    <font>
      <sz val="11"/>
      <name val="ＭＳ Ｐゴシック"/>
      <charset val="134"/>
    </font>
    <font>
      <sz val="11"/>
      <color rgb="FF9C0006"/>
      <name val="宋体"/>
      <family val="3"/>
      <charset val="134"/>
      <scheme val="minor"/>
    </font>
    <font>
      <sz val="11"/>
      <color indexed="3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rgb="FF9C0006"/>
      <name val="等线"/>
      <family val="3"/>
      <charset val="134"/>
    </font>
    <font>
      <sz val="11"/>
      <color indexed="37"/>
      <name val="宋体"/>
      <family val="3"/>
      <charset val="134"/>
    </font>
    <font>
      <sz val="11"/>
      <color indexed="20"/>
      <name val="Tahoma"/>
      <family val="2"/>
    </font>
    <font>
      <sz val="11"/>
      <color indexed="26"/>
      <name val="宋体"/>
      <family val="3"/>
      <charset val="134"/>
    </font>
    <font>
      <sz val="10"/>
      <color indexed="20"/>
      <name val="Arial"/>
      <family val="2"/>
    </font>
    <font>
      <sz val="12"/>
      <color indexed="20"/>
      <name val="宋体"/>
      <family val="3"/>
      <charset val="134"/>
    </font>
    <font>
      <sz val="12"/>
      <color indexed="16"/>
      <name val="宋体"/>
      <family val="3"/>
      <charset val="134"/>
    </font>
    <font>
      <sz val="9"/>
      <color indexed="20"/>
      <name val="宋体"/>
      <family val="3"/>
      <charset val="134"/>
    </font>
    <font>
      <sz val="12"/>
      <color indexed="20"/>
      <name val="华文细黑"/>
      <family val="3"/>
      <charset val="134"/>
    </font>
    <font>
      <sz val="11"/>
      <color indexed="14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Tahoma"/>
      <family val="2"/>
    </font>
    <font>
      <sz val="12"/>
      <color indexed="8"/>
      <name val="华文细黑"/>
      <family val="3"/>
      <charset val="134"/>
    </font>
    <font>
      <u/>
      <sz val="12"/>
      <color indexed="12"/>
      <name val="宋体"/>
      <family val="3"/>
      <charset val="134"/>
    </font>
    <font>
      <u/>
      <sz val="7.5"/>
      <color indexed="12"/>
      <name val="Helv"/>
      <family val="2"/>
    </font>
    <font>
      <u/>
      <sz val="11"/>
      <color theme="10"/>
      <name val="宋体"/>
      <family val="3"/>
      <charset val="134"/>
      <scheme val="minor"/>
    </font>
    <font>
      <u/>
      <sz val="11"/>
      <color theme="10"/>
      <name val="等线"/>
      <family val="3"/>
      <charset val="134"/>
    </font>
    <font>
      <u/>
      <sz val="11"/>
      <color theme="10"/>
      <name val="宋体"/>
      <family val="3"/>
      <charset val="134"/>
    </font>
    <font>
      <u/>
      <sz val="11"/>
      <color indexed="12"/>
      <name val="宋体"/>
      <family val="3"/>
      <charset val="134"/>
    </font>
    <font>
      <u/>
      <sz val="11"/>
      <color rgb="FF0000FF"/>
      <name val="等线"/>
      <family val="3"/>
      <charset val="134"/>
    </font>
    <font>
      <u/>
      <sz val="12"/>
      <color theme="10"/>
      <name val="宋体"/>
      <family val="3"/>
      <charset val="134"/>
    </font>
    <font>
      <u/>
      <sz val="10.8"/>
      <color indexed="12"/>
      <name val="宋体"/>
      <family val="3"/>
      <charset val="134"/>
    </font>
    <font>
      <u/>
      <sz val="11"/>
      <color rgb="FF0000FF"/>
      <name val="宋体"/>
      <family val="3"/>
      <charset val="134"/>
      <scheme val="minor"/>
    </font>
    <font>
      <sz val="11"/>
      <color indexed="58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rgb="FF006100"/>
      <name val="等线"/>
      <family val="3"/>
      <charset val="134"/>
    </font>
    <font>
      <sz val="11"/>
      <color indexed="38"/>
      <name val="宋体"/>
      <family val="3"/>
      <charset val="134"/>
    </font>
    <font>
      <sz val="11"/>
      <color indexed="17"/>
      <name val="Tahoma"/>
      <family val="2"/>
    </font>
    <font>
      <sz val="10"/>
      <color indexed="17"/>
      <name val="Arial"/>
      <family val="2"/>
    </font>
    <font>
      <sz val="12"/>
      <color indexed="17"/>
      <name val="宋体"/>
      <family val="3"/>
      <charset val="134"/>
    </font>
    <font>
      <sz val="9"/>
      <color indexed="17"/>
      <name val="宋体"/>
      <family val="3"/>
      <charset val="134"/>
    </font>
    <font>
      <sz val="12"/>
      <color indexed="17"/>
      <name val="华文细黑"/>
      <family val="3"/>
      <charset val="134"/>
    </font>
    <font>
      <sz val="11"/>
      <color indexed="21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theme="1"/>
      <name val="等线"/>
      <family val="3"/>
      <charset val="134"/>
    </font>
    <font>
      <sz val="9"/>
      <color indexed="8"/>
      <name val="新細明體"/>
      <charset val="134"/>
    </font>
    <font>
      <sz val="9"/>
      <name val="新細明體"/>
      <charset val="134"/>
    </font>
    <font>
      <b/>
      <sz val="11"/>
      <color rgb="FFFA7D00"/>
      <name val="宋体"/>
      <family val="3"/>
      <charset val="134"/>
      <scheme val="minor"/>
    </font>
    <font>
      <b/>
      <sz val="11"/>
      <color rgb="FFFA7D00"/>
      <name val="等线"/>
      <family val="3"/>
      <charset val="134"/>
    </font>
    <font>
      <b/>
      <sz val="11"/>
      <color indexed="53"/>
      <name val="宋体"/>
      <family val="3"/>
      <charset val="134"/>
    </font>
    <font>
      <b/>
      <sz val="11"/>
      <color theme="0"/>
      <name val="宋体"/>
      <family val="3"/>
      <charset val="134"/>
      <scheme val="minor"/>
    </font>
    <font>
      <b/>
      <sz val="11"/>
      <color indexed="13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theme="0"/>
      <name val="等线"/>
      <family val="3"/>
      <charset val="134"/>
    </font>
    <font>
      <b/>
      <sz val="11"/>
      <color indexed="42"/>
      <name val="宋体"/>
      <family val="3"/>
      <charset val="134"/>
    </font>
    <font>
      <i/>
      <sz val="11"/>
      <color rgb="FF7F7F7F"/>
      <name val="宋体"/>
      <family val="3"/>
      <charset val="134"/>
      <scheme val="minor"/>
    </font>
    <font>
      <i/>
      <sz val="11"/>
      <color indexed="23"/>
      <name val="宋体"/>
      <family val="3"/>
      <charset val="134"/>
    </font>
    <font>
      <i/>
      <sz val="11"/>
      <color rgb="FF7F7F7F"/>
      <name val="等线"/>
      <family val="3"/>
      <charset val="134"/>
    </font>
    <font>
      <sz val="11"/>
      <color rgb="FFFF0000"/>
      <name val="宋体"/>
      <family val="3"/>
      <charset val="134"/>
      <scheme val="minor"/>
    </font>
    <font>
      <sz val="11"/>
      <color indexed="5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rgb="FFFF0000"/>
      <name val="等线"/>
      <family val="3"/>
      <charset val="134"/>
    </font>
    <font>
      <sz val="11"/>
      <color rgb="FFFA7D00"/>
      <name val="宋体"/>
      <family val="3"/>
      <charset val="134"/>
      <scheme val="minor"/>
    </font>
    <font>
      <sz val="11"/>
      <color indexed="52"/>
      <name val="宋体"/>
      <family val="3"/>
      <charset val="134"/>
    </font>
    <font>
      <sz val="11"/>
      <color rgb="FFFA7D00"/>
      <name val="等线"/>
      <family val="3"/>
      <charset val="134"/>
    </font>
    <font>
      <sz val="14"/>
      <name val="뼻뮝"/>
      <family val="3"/>
      <charset val="129"/>
    </font>
    <font>
      <sz val="12"/>
      <name val="官帕眉"/>
      <charset val="134"/>
    </font>
    <font>
      <sz val="10"/>
      <name val="奔覆眉"/>
      <charset val="134"/>
    </font>
    <font>
      <b/>
      <sz val="12"/>
      <color indexed="8"/>
      <name val="宋体"/>
      <family val="3"/>
      <charset val="134"/>
    </font>
    <font>
      <sz val="11"/>
      <color rgb="FF9C6500"/>
      <name val="宋体"/>
      <family val="3"/>
      <charset val="134"/>
      <scheme val="minor"/>
    </font>
    <font>
      <sz val="11"/>
      <color rgb="FF9C6500"/>
      <name val="等线"/>
      <family val="3"/>
      <charset val="134"/>
    </font>
    <font>
      <b/>
      <sz val="11"/>
      <color rgb="FF3F3F3F"/>
      <name val="宋体"/>
      <family val="3"/>
      <charset val="134"/>
      <scheme val="minor"/>
    </font>
    <font>
      <b/>
      <sz val="11"/>
      <color rgb="FF3F3F3F"/>
      <name val="等线"/>
      <family val="3"/>
      <charset val="134"/>
    </font>
    <font>
      <sz val="11"/>
      <color rgb="FF3F3F76"/>
      <name val="宋体"/>
      <family val="3"/>
      <charset val="134"/>
      <scheme val="minor"/>
    </font>
    <font>
      <sz val="11"/>
      <color rgb="FF3F3F76"/>
      <name val="等线"/>
      <family val="3"/>
      <charset val="134"/>
    </font>
    <font>
      <sz val="9.5"/>
      <name val="Arial"/>
      <family val="2"/>
    </font>
    <font>
      <sz val="12"/>
      <name val="Courier"/>
      <family val="3"/>
    </font>
    <font>
      <sz val="12"/>
      <name val="柧挬"/>
      <charset val="134"/>
    </font>
    <font>
      <sz val="12"/>
      <name val="뼻뮝"/>
      <family val="3"/>
      <charset val="129"/>
    </font>
    <font>
      <sz val="10"/>
      <name val="돋움체"/>
      <family val="3"/>
      <charset val="129"/>
    </font>
    <font>
      <sz val="12"/>
      <name val="바탕체"/>
      <family val="3"/>
      <charset val="129"/>
    </font>
    <font>
      <sz val="10"/>
      <color indexed="8"/>
      <name val="宋体"/>
      <family val="3"/>
      <charset val="134"/>
    </font>
    <font>
      <sz val="11"/>
      <color indexed="8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21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5239112521744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676503799554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8" tint="0.79970702230903046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8" tint="0.79940183721427049"/>
        <bgColor indexed="64"/>
      </patternFill>
    </fill>
    <fill>
      <patternFill patternType="solid">
        <fgColor theme="7" tint="0.79940183721427049"/>
        <bgColor indexed="64"/>
      </patternFill>
    </fill>
    <fill>
      <patternFill patternType="solid">
        <fgColor theme="7" tint="0.79949339274269848"/>
        <bgColor indexed="64"/>
      </patternFill>
    </fill>
    <fill>
      <patternFill patternType="solid">
        <fgColor theme="7" tint="0.799371318704794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3713187047945"/>
        <bgColor indexed="64"/>
      </patternFill>
    </fill>
    <fill>
      <patternFill patternType="solid">
        <fgColor theme="4" tint="0.79952391125217448"/>
        <bgColor indexed="64"/>
      </patternFill>
    </fill>
    <fill>
      <patternFill patternType="solid">
        <fgColor theme="4" tint="0.7995544297616504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79949339274269848"/>
        <bgColor indexed="64"/>
      </patternFill>
    </fill>
    <fill>
      <patternFill patternType="solid">
        <fgColor theme="4" tint="0.79970702230903046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4" tint="0.7993408001953185"/>
        <bgColor indexed="64"/>
      </patternFill>
    </fill>
    <fill>
      <patternFill patternType="solid">
        <fgColor theme="4" tint="0.79973754081850645"/>
        <bgColor indexed="64"/>
      </patternFill>
    </fill>
    <fill>
      <patternFill patternType="solid">
        <fgColor theme="4" tint="0.79967650379955446"/>
        <bgColor indexed="64"/>
      </patternFill>
    </fill>
    <fill>
      <patternFill patternType="solid">
        <fgColor theme="4" tint="0.799645985290078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7993713187047945"/>
        <bgColor indexed="64"/>
      </patternFill>
    </fill>
    <fill>
      <patternFill patternType="solid">
        <fgColor theme="5" tint="0.79952391125217448"/>
        <bgColor indexed="64"/>
      </patternFill>
    </fill>
    <fill>
      <patternFill patternType="solid">
        <fgColor theme="5" tint="0.79955442976165048"/>
        <bgColor indexed="64"/>
      </patternFill>
    </fill>
    <fill>
      <patternFill patternType="solid">
        <fgColor theme="5" tint="0.79949339274269848"/>
        <bgColor indexed="64"/>
      </patternFill>
    </fill>
    <fill>
      <patternFill patternType="solid">
        <fgColor theme="5" tint="0.79970702230903046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theme="5" tint="0.79973754081850645"/>
        <bgColor indexed="64"/>
      </patternFill>
    </fill>
    <fill>
      <patternFill patternType="solid">
        <fgColor theme="5" tint="0.79967650379955446"/>
        <bgColor indexed="64"/>
      </patternFill>
    </fill>
    <fill>
      <patternFill patternType="solid">
        <fgColor theme="5" tint="0.79964598529007846"/>
        <bgColor indexed="64"/>
      </patternFill>
    </fill>
    <fill>
      <patternFill patternType="solid">
        <fgColor theme="6" tint="0.7993713187047945"/>
        <bgColor indexed="64"/>
      </patternFill>
    </fill>
    <fill>
      <patternFill patternType="solid">
        <fgColor theme="6" tint="0.79952391125217448"/>
        <bgColor indexed="64"/>
      </patternFill>
    </fill>
    <fill>
      <patternFill patternType="solid">
        <fgColor theme="6" tint="0.79955442976165048"/>
        <bgColor indexed="64"/>
      </patternFill>
    </fill>
    <fill>
      <patternFill patternType="solid">
        <fgColor theme="6" tint="0.79949339274269848"/>
        <bgColor indexed="64"/>
      </patternFill>
    </fill>
    <fill>
      <patternFill patternType="solid">
        <fgColor theme="6" tint="0.79970702230903046"/>
        <bgColor indexed="64"/>
      </patternFill>
    </fill>
    <fill>
      <patternFill patternType="solid">
        <fgColor theme="6" tint="0.7993408001953185"/>
        <bgColor indexed="64"/>
      </patternFill>
    </fill>
    <fill>
      <patternFill patternType="solid">
        <fgColor theme="6" tint="0.79973754081850645"/>
        <bgColor indexed="64"/>
      </patternFill>
    </fill>
    <fill>
      <patternFill patternType="solid">
        <fgColor theme="6" tint="0.79967650379955446"/>
        <bgColor indexed="64"/>
      </patternFill>
    </fill>
    <fill>
      <patternFill patternType="solid">
        <fgColor theme="6" tint="0.79964598529007846"/>
        <bgColor indexed="64"/>
      </patternFill>
    </fill>
    <fill>
      <patternFill patternType="solid">
        <fgColor theme="7" tint="0.79955442976165048"/>
        <bgColor indexed="64"/>
      </patternFill>
    </fill>
    <fill>
      <patternFill patternType="solid">
        <fgColor theme="7" tint="0.79970702230903046"/>
        <bgColor indexed="64"/>
      </patternFill>
    </fill>
    <fill>
      <patternFill patternType="solid">
        <fgColor theme="7" tint="0.7993408001953185"/>
        <bgColor indexed="64"/>
      </patternFill>
    </fill>
    <fill>
      <patternFill patternType="solid">
        <fgColor theme="7" tint="0.79973754081850645"/>
        <bgColor indexed="64"/>
      </patternFill>
    </fill>
    <fill>
      <patternFill patternType="solid">
        <fgColor theme="7" tint="0.79967650379955446"/>
        <bgColor indexed="64"/>
      </patternFill>
    </fill>
    <fill>
      <patternFill patternType="solid">
        <fgColor theme="7" tint="0.79964598529007846"/>
        <bgColor indexed="64"/>
      </patternFill>
    </fill>
    <fill>
      <patternFill patternType="solid">
        <fgColor theme="8" tint="0.7993713187047945"/>
        <bgColor indexed="64"/>
      </patternFill>
    </fill>
    <fill>
      <patternFill patternType="solid">
        <fgColor theme="8" tint="0.79952391125217448"/>
        <bgColor indexed="64"/>
      </patternFill>
    </fill>
    <fill>
      <patternFill patternType="solid">
        <fgColor theme="8" tint="0.79955442976165048"/>
        <bgColor indexed="64"/>
      </patternFill>
    </fill>
    <fill>
      <patternFill patternType="solid">
        <fgColor theme="8" tint="0.79949339274269848"/>
        <bgColor indexed="64"/>
      </patternFill>
    </fill>
    <fill>
      <patternFill patternType="solid">
        <fgColor theme="8" tint="0.7993408001953185"/>
        <bgColor indexed="64"/>
      </patternFill>
    </fill>
    <fill>
      <patternFill patternType="solid">
        <fgColor theme="8" tint="0.79973754081850645"/>
        <bgColor indexed="64"/>
      </patternFill>
    </fill>
    <fill>
      <patternFill patternType="solid">
        <fgColor theme="8" tint="0.79964598529007846"/>
        <bgColor indexed="64"/>
      </patternFill>
    </fill>
    <fill>
      <patternFill patternType="solid">
        <fgColor theme="9" tint="0.7993713187047945"/>
        <bgColor indexed="64"/>
      </patternFill>
    </fill>
    <fill>
      <patternFill patternType="solid">
        <fgColor theme="9" tint="0.79952391125217448"/>
        <bgColor indexed="64"/>
      </patternFill>
    </fill>
    <fill>
      <patternFill patternType="solid">
        <fgColor theme="9" tint="0.79955442976165048"/>
        <bgColor indexed="64"/>
      </patternFill>
    </fill>
    <fill>
      <patternFill patternType="solid">
        <fgColor theme="9" tint="0.79949339274269848"/>
        <bgColor indexed="64"/>
      </patternFill>
    </fill>
    <fill>
      <patternFill patternType="solid">
        <fgColor theme="9" tint="0.79970702230903046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theme="9" tint="0.79973754081850645"/>
        <bgColor indexed="64"/>
      </patternFill>
    </fill>
    <fill>
      <patternFill patternType="solid">
        <fgColor theme="9" tint="0.79967650379955446"/>
        <bgColor indexed="64"/>
      </patternFill>
    </fill>
    <fill>
      <patternFill patternType="solid">
        <fgColor theme="9" tint="0.799645985290078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 tint="0.39936521500289923"/>
        <bgColor indexed="64"/>
      </patternFill>
    </fill>
    <fill>
      <patternFill patternType="solid">
        <fgColor theme="4" tint="0.39951780755027927"/>
        <bgColor indexed="64"/>
      </patternFill>
    </fill>
    <fill>
      <patternFill patternType="solid">
        <fgColor theme="4" tint="0.39954832605975527"/>
        <bgColor indexed="64"/>
      </patternFill>
    </fill>
    <fill>
      <patternFill patternType="solid">
        <fgColor theme="4" tint="0.39948728904080327"/>
        <bgColor indexed="64"/>
      </patternFill>
    </fill>
    <fill>
      <patternFill patternType="solid">
        <fgColor theme="4" tint="0.39970091860713525"/>
        <bgColor indexed="64"/>
      </patternFill>
    </fill>
    <fill>
      <patternFill patternType="solid">
        <fgColor theme="4" tint="0.39973143711661124"/>
        <bgColor indexed="64"/>
      </patternFill>
    </fill>
    <fill>
      <patternFill patternType="solid">
        <fgColor theme="4" tint="0.39967040009765925"/>
        <bgColor indexed="64"/>
      </patternFill>
    </fill>
    <fill>
      <patternFill patternType="solid">
        <fgColor theme="4" tint="0.39963988158818325"/>
        <bgColor indexed="64"/>
      </patternFill>
    </fill>
    <fill>
      <patternFill patternType="solid">
        <fgColor theme="4" tint="0.39960936307870726"/>
        <bgColor indexed="64"/>
      </patternFill>
    </fill>
    <fill>
      <patternFill patternType="solid">
        <fgColor theme="4" tint="0.39921262245551925"/>
        <bgColor indexed="64"/>
      </patternFill>
    </fill>
    <fill>
      <patternFill patternType="solid">
        <fgColor theme="5" tint="0.39936521500289923"/>
        <bgColor indexed="64"/>
      </patternFill>
    </fill>
    <fill>
      <patternFill patternType="solid">
        <fgColor theme="5" tint="0.39951780755027927"/>
        <bgColor indexed="64"/>
      </patternFill>
    </fill>
    <fill>
      <patternFill patternType="solid">
        <fgColor theme="5" tint="0.39954832605975527"/>
        <bgColor indexed="64"/>
      </patternFill>
    </fill>
    <fill>
      <patternFill patternType="solid">
        <fgColor theme="5" tint="0.39948728904080327"/>
        <bgColor indexed="64"/>
      </patternFill>
    </fill>
    <fill>
      <patternFill patternType="solid">
        <fgColor theme="5" tint="0.39970091860713525"/>
        <bgColor indexed="64"/>
      </patternFill>
    </fill>
    <fill>
      <patternFill patternType="solid">
        <fgColor theme="5" tint="0.39973143711661124"/>
        <bgColor indexed="64"/>
      </patternFill>
    </fill>
    <fill>
      <patternFill patternType="solid">
        <fgColor theme="5" tint="0.39967040009765925"/>
        <bgColor indexed="64"/>
      </patternFill>
    </fill>
    <fill>
      <patternFill patternType="solid">
        <fgColor theme="5" tint="0.39963988158818325"/>
        <bgColor indexed="64"/>
      </patternFill>
    </fill>
    <fill>
      <patternFill patternType="solid">
        <fgColor theme="5" tint="0.39960936307870726"/>
        <bgColor indexed="64"/>
      </patternFill>
    </fill>
    <fill>
      <patternFill patternType="solid">
        <fgColor theme="5" tint="0.39921262245551925"/>
        <bgColor indexed="64"/>
      </patternFill>
    </fill>
    <fill>
      <patternFill patternType="solid">
        <fgColor theme="6" tint="0.39936521500289923"/>
        <bgColor indexed="64"/>
      </patternFill>
    </fill>
    <fill>
      <patternFill patternType="solid">
        <fgColor theme="6" tint="0.39951780755027927"/>
        <bgColor indexed="64"/>
      </patternFill>
    </fill>
    <fill>
      <patternFill patternType="solid">
        <fgColor theme="6" tint="0.39954832605975527"/>
        <bgColor indexed="64"/>
      </patternFill>
    </fill>
    <fill>
      <patternFill patternType="solid">
        <fgColor theme="6" tint="0.39948728904080327"/>
        <bgColor indexed="64"/>
      </patternFill>
    </fill>
    <fill>
      <patternFill patternType="solid">
        <fgColor theme="6" tint="0.39970091860713525"/>
        <bgColor indexed="64"/>
      </patternFill>
    </fill>
    <fill>
      <patternFill patternType="solid">
        <fgColor theme="6" tint="0.39973143711661124"/>
        <bgColor indexed="64"/>
      </patternFill>
    </fill>
    <fill>
      <patternFill patternType="solid">
        <fgColor theme="6" tint="0.39967040009765925"/>
        <bgColor indexed="64"/>
      </patternFill>
    </fill>
    <fill>
      <patternFill patternType="solid">
        <fgColor theme="6" tint="0.39963988158818325"/>
        <bgColor indexed="64"/>
      </patternFill>
    </fill>
    <fill>
      <patternFill patternType="solid">
        <fgColor theme="6" tint="0.39960936307870726"/>
        <bgColor indexed="64"/>
      </patternFill>
    </fill>
    <fill>
      <patternFill patternType="solid">
        <fgColor theme="6" tint="0.39921262245551925"/>
        <bgColor indexed="64"/>
      </patternFill>
    </fill>
    <fill>
      <patternFill patternType="solid">
        <fgColor theme="7" tint="0.39936521500289923"/>
        <bgColor indexed="64"/>
      </patternFill>
    </fill>
    <fill>
      <patternFill patternType="solid">
        <fgColor theme="7" tint="0.39951780755027927"/>
        <bgColor indexed="64"/>
      </patternFill>
    </fill>
    <fill>
      <patternFill patternType="solid">
        <fgColor theme="7" tint="0.39954832605975527"/>
        <bgColor indexed="64"/>
      </patternFill>
    </fill>
    <fill>
      <patternFill patternType="solid">
        <fgColor theme="7" tint="0.39948728904080327"/>
        <bgColor indexed="64"/>
      </patternFill>
    </fill>
    <fill>
      <patternFill patternType="solid">
        <fgColor theme="7" tint="0.39970091860713525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theme="7" tint="0.39973143711661124"/>
        <bgColor indexed="64"/>
      </patternFill>
    </fill>
    <fill>
      <patternFill patternType="solid">
        <fgColor theme="7" tint="0.39967040009765925"/>
        <bgColor indexed="64"/>
      </patternFill>
    </fill>
    <fill>
      <patternFill patternType="solid">
        <fgColor theme="7" tint="0.39963988158818325"/>
        <bgColor indexed="64"/>
      </patternFill>
    </fill>
    <fill>
      <patternFill patternType="solid">
        <fgColor theme="7" tint="0.39960936307870726"/>
        <bgColor indexed="64"/>
      </patternFill>
    </fill>
    <fill>
      <patternFill patternType="solid">
        <fgColor theme="7" tint="0.39921262245551925"/>
        <bgColor indexed="64"/>
      </patternFill>
    </fill>
    <fill>
      <patternFill patternType="solid">
        <fgColor theme="8" tint="0.39936521500289923"/>
        <bgColor indexed="64"/>
      </patternFill>
    </fill>
    <fill>
      <patternFill patternType="solid">
        <fgColor theme="8" tint="0.39951780755027927"/>
        <bgColor indexed="64"/>
      </patternFill>
    </fill>
    <fill>
      <patternFill patternType="solid">
        <fgColor theme="8" tint="0.39954832605975527"/>
        <bgColor indexed="64"/>
      </patternFill>
    </fill>
    <fill>
      <patternFill patternType="solid">
        <fgColor theme="8" tint="0.39948728904080327"/>
        <bgColor indexed="64"/>
      </patternFill>
    </fill>
    <fill>
      <patternFill patternType="solid">
        <fgColor theme="8" tint="0.39970091860713525"/>
        <bgColor indexed="64"/>
      </patternFill>
    </fill>
    <fill>
      <patternFill patternType="solid">
        <fgColor theme="8" tint="0.39973143711661124"/>
        <bgColor indexed="64"/>
      </patternFill>
    </fill>
    <fill>
      <patternFill patternType="solid">
        <fgColor theme="8" tint="0.39967040009765925"/>
        <bgColor indexed="64"/>
      </patternFill>
    </fill>
    <fill>
      <patternFill patternType="solid">
        <fgColor theme="8" tint="0.39963988158818325"/>
        <bgColor indexed="64"/>
      </patternFill>
    </fill>
    <fill>
      <patternFill patternType="solid">
        <fgColor theme="8" tint="0.39960936307870726"/>
        <bgColor indexed="64"/>
      </patternFill>
    </fill>
    <fill>
      <patternFill patternType="solid">
        <fgColor theme="8" tint="0.39921262245551925"/>
        <bgColor indexed="64"/>
      </patternFill>
    </fill>
    <fill>
      <patternFill patternType="solid">
        <fgColor theme="9" tint="0.39936521500289923"/>
        <bgColor indexed="64"/>
      </patternFill>
    </fill>
    <fill>
      <patternFill patternType="solid">
        <fgColor theme="9" tint="0.39951780755027927"/>
        <bgColor indexed="64"/>
      </patternFill>
    </fill>
    <fill>
      <patternFill patternType="solid">
        <fgColor theme="9" tint="0.39954832605975527"/>
        <bgColor indexed="64"/>
      </patternFill>
    </fill>
    <fill>
      <patternFill patternType="solid">
        <fgColor theme="9" tint="0.39948728904080327"/>
        <bgColor indexed="64"/>
      </patternFill>
    </fill>
    <fill>
      <patternFill patternType="solid">
        <fgColor theme="9" tint="0.39970091860713525"/>
        <bgColor indexed="64"/>
      </patternFill>
    </fill>
    <fill>
      <patternFill patternType="solid">
        <fgColor theme="9" tint="0.39973143711661124"/>
        <bgColor indexed="64"/>
      </patternFill>
    </fill>
    <fill>
      <patternFill patternType="solid">
        <fgColor theme="9" tint="0.39967040009765925"/>
        <bgColor indexed="64"/>
      </patternFill>
    </fill>
    <fill>
      <patternFill patternType="solid">
        <fgColor theme="9" tint="0.39963988158818325"/>
        <bgColor indexed="64"/>
      </patternFill>
    </fill>
    <fill>
      <patternFill patternType="solid">
        <fgColor theme="9" tint="0.39960936307870726"/>
        <bgColor indexed="64"/>
      </patternFill>
    </fill>
    <fill>
      <patternFill patternType="solid">
        <fgColor theme="9" tint="0.39921262245551925"/>
        <bgColor indexed="64"/>
      </patternFill>
    </fill>
    <fill>
      <patternFill patternType="solid">
        <fgColor indexed="65"/>
        <bgColor indexed="64"/>
      </patternFill>
    </fill>
    <fill>
      <patternFill patternType="gray0625">
        <fgColor indexed="10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8"/>
        <bgColor indexed="64"/>
      </patternFill>
    </fill>
    <fill>
      <patternFill patternType="lightGray">
        <fgColor indexed="1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mediumGray">
        <fgColor indexed="22"/>
      </patternFill>
    </fill>
    <fill>
      <patternFill patternType="solid">
        <fgColor indexed="2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48"/>
        <b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5"/>
        <bgColor indexed="45"/>
      </patternFill>
    </fill>
    <fill>
      <patternFill patternType="solid">
        <fgColor indexed="14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8"/>
        <bgColor indexed="64"/>
      </patternFill>
    </fill>
    <fill>
      <patternFill patternType="lightUp">
        <fgColor indexed="9"/>
        <bgColor indexed="22"/>
      </patternFill>
    </fill>
    <fill>
      <patternFill patternType="solid">
        <fgColor indexed="62"/>
        <bgColor indexed="64"/>
      </patternFill>
    </fill>
  </fills>
  <borders count="8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hair">
        <color indexed="22"/>
      </bottom>
      <diagonal/>
    </border>
    <border>
      <left/>
      <right/>
      <top style="thin">
        <color indexed="32"/>
      </top>
      <bottom style="thin">
        <color indexed="32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ck">
        <color indexed="9"/>
      </left>
      <right style="thick">
        <color indexed="9"/>
      </right>
      <top style="thick">
        <color indexed="9"/>
      </top>
      <bottom style="thick">
        <color indexed="9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hair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4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dashed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theme="4" tint="0.39936521500289923"/>
      </bottom>
      <diagonal/>
    </border>
    <border>
      <left/>
      <right/>
      <top/>
      <bottom style="medium">
        <color theme="4" tint="0.39951780755027927"/>
      </bottom>
      <diagonal/>
    </border>
    <border>
      <left/>
      <right/>
      <top/>
      <bottom style="medium">
        <color theme="4" tint="0.39954832605975527"/>
      </bottom>
      <diagonal/>
    </border>
    <border>
      <left/>
      <right/>
      <top/>
      <bottom style="medium">
        <color theme="4" tint="0.39948728904080327"/>
      </bottom>
      <diagonal/>
    </border>
    <border>
      <left/>
      <right/>
      <top/>
      <bottom style="medium">
        <color theme="4" tint="0.3997009186071352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theme="4" tint="0.39973143711661124"/>
      </bottom>
      <diagonal/>
    </border>
    <border>
      <left/>
      <right/>
      <top/>
      <bottom style="medium">
        <color theme="4" tint="0.39967040009765925"/>
      </bottom>
      <diagonal/>
    </border>
    <border>
      <left/>
      <right/>
      <top/>
      <bottom style="medium">
        <color theme="4" tint="0.39963988158818325"/>
      </bottom>
      <diagonal/>
    </border>
    <border>
      <left/>
      <right/>
      <top/>
      <bottom style="medium">
        <color theme="4" tint="0.39960936307870726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medium">
        <color theme="4" tint="0.3992126224555192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1295">
    <xf numFmtId="0" fontId="0" fillId="0" borderId="0"/>
    <xf numFmtId="9" fontId="361" fillId="0" borderId="0" applyFont="0" applyFill="0" applyBorder="0" applyAlignment="0" applyProtection="0">
      <alignment vertical="center"/>
    </xf>
    <xf numFmtId="0" fontId="16" fillId="0" borderId="0"/>
    <xf numFmtId="178" fontId="16" fillId="0" borderId="0"/>
    <xf numFmtId="178" fontId="37" fillId="0" borderId="0"/>
    <xf numFmtId="179" fontId="16" fillId="0" borderId="0"/>
    <xf numFmtId="178" fontId="16" fillId="0" borderId="0" applyFont="0" applyFill="0" applyBorder="0" applyProtection="0">
      <alignment horizontal="right"/>
    </xf>
    <xf numFmtId="178" fontId="16" fillId="0" borderId="0" applyFont="0" applyFill="0" applyBorder="0" applyAlignment="0" applyProtection="0"/>
    <xf numFmtId="0" fontId="26" fillId="0" borderId="1" applyNumberFormat="0" applyFont="0" applyFill="0" applyProtection="0">
      <alignment horizontal="center" vertical="center"/>
    </xf>
    <xf numFmtId="0" fontId="26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6" fillId="0" borderId="1" applyNumberFormat="0" applyFont="0" applyFill="0" applyProtection="0">
      <alignment horizontal="left" vertical="center"/>
    </xf>
    <xf numFmtId="49" fontId="38" fillId="0" borderId="0" applyFill="0" applyBorder="0" applyProtection="0">
      <alignment horizontal="right" vertical="center"/>
    </xf>
    <xf numFmtId="0" fontId="39" fillId="0" borderId="0" applyNumberFormat="0" applyFill="0" applyBorder="0" applyAlignment="0" applyProtection="0">
      <alignment vertical="center"/>
    </xf>
    <xf numFmtId="178" fontId="40" fillId="35" borderId="0" applyNumberFormat="0" applyBorder="0" applyAlignment="0" applyProtection="0">
      <alignment vertical="center"/>
    </xf>
    <xf numFmtId="180" fontId="40" fillId="35" borderId="0" applyNumberFormat="0" applyBorder="0" applyAlignment="0" applyProtection="0">
      <alignment vertical="center"/>
    </xf>
    <xf numFmtId="181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4" fontId="16" fillId="0" borderId="0" applyFont="0" applyFill="0" applyBorder="0" applyAlignment="0" applyProtection="0"/>
    <xf numFmtId="0" fontId="41" fillId="0" borderId="0"/>
    <xf numFmtId="178" fontId="26" fillId="0" borderId="0"/>
    <xf numFmtId="0" fontId="26" fillId="0" borderId="0" applyNumberFormat="0" applyFont="0" applyFill="0" applyBorder="0" applyProtection="0">
      <alignment vertical="center"/>
    </xf>
    <xf numFmtId="0" fontId="26" fillId="0" borderId="0" applyNumberFormat="0" applyFont="0" applyFill="0" applyBorder="0" applyAlignment="0" applyProtection="0">
      <alignment vertical="center"/>
    </xf>
    <xf numFmtId="178" fontId="42" fillId="0" borderId="0"/>
    <xf numFmtId="0" fontId="16" fillId="0" borderId="0" applyFont="0" applyFill="0" applyBorder="0" applyAlignment="0" applyProtection="0"/>
    <xf numFmtId="0" fontId="43" fillId="0" borderId="0"/>
    <xf numFmtId="0" fontId="44" fillId="0" borderId="0"/>
    <xf numFmtId="178" fontId="45" fillId="0" borderId="0"/>
    <xf numFmtId="185" fontId="46" fillId="0" borderId="0" applyFont="0" applyFill="0" applyBorder="0" applyAlignment="0" applyProtection="0"/>
    <xf numFmtId="178" fontId="38" fillId="0" borderId="0"/>
    <xf numFmtId="178" fontId="47" fillId="0" borderId="0" applyNumberFormat="0" applyFill="0" applyBorder="0" applyAlignment="0" applyProtection="0"/>
    <xf numFmtId="186" fontId="26" fillId="0" borderId="0"/>
    <xf numFmtId="0" fontId="48" fillId="0" borderId="0"/>
    <xf numFmtId="178" fontId="16" fillId="0" borderId="0">
      <alignment horizontal="justify" vertical="justify" textRotation="127" wrapText="1"/>
      <protection hidden="1"/>
    </xf>
    <xf numFmtId="178" fontId="49" fillId="0" borderId="0"/>
    <xf numFmtId="178" fontId="50" fillId="48" borderId="0"/>
    <xf numFmtId="178" fontId="16" fillId="48" borderId="0"/>
    <xf numFmtId="178" fontId="51" fillId="48" borderId="0"/>
    <xf numFmtId="178" fontId="52" fillId="48" borderId="0"/>
    <xf numFmtId="178" fontId="53" fillId="48" borderId="0"/>
    <xf numFmtId="178" fontId="54" fillId="48" borderId="0"/>
    <xf numFmtId="178" fontId="55" fillId="48" borderId="0"/>
    <xf numFmtId="178" fontId="56" fillId="48" borderId="0"/>
    <xf numFmtId="178" fontId="57" fillId="48" borderId="0"/>
    <xf numFmtId="178" fontId="58" fillId="48" borderId="0"/>
    <xf numFmtId="187" fontId="16" fillId="0" borderId="0" applyFont="0" applyFill="0" applyBorder="0" applyAlignment="0" applyProtection="0"/>
    <xf numFmtId="4" fontId="16" fillId="49" borderId="0"/>
    <xf numFmtId="188" fontId="16" fillId="49" borderId="19"/>
    <xf numFmtId="189" fontId="16" fillId="49" borderId="19"/>
    <xf numFmtId="39" fontId="16" fillId="49" borderId="19"/>
    <xf numFmtId="2" fontId="16" fillId="49" borderId="19"/>
    <xf numFmtId="190" fontId="56" fillId="50" borderId="19"/>
    <xf numFmtId="40" fontId="16" fillId="49" borderId="19"/>
    <xf numFmtId="191" fontId="16" fillId="0" borderId="0" applyFont="0" applyFill="0" applyBorder="0" applyAlignment="0" applyProtection="0"/>
    <xf numFmtId="192" fontId="16" fillId="0" borderId="0" applyNumberFormat="0" applyFont="0" applyFill="0" applyBorder="0" applyAlignment="0" applyProtection="0">
      <alignment horizontal="justify" vertical="justify" textRotation="255" wrapText="1" indent="15" shrinkToFit="1"/>
      <protection hidden="1"/>
    </xf>
    <xf numFmtId="178" fontId="59" fillId="0" borderId="0"/>
    <xf numFmtId="0" fontId="42" fillId="0" borderId="0"/>
    <xf numFmtId="180" fontId="42" fillId="0" borderId="0"/>
    <xf numFmtId="0" fontId="16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3" fontId="61" fillId="0" borderId="0"/>
    <xf numFmtId="178" fontId="53" fillId="51" borderId="0"/>
    <xf numFmtId="178" fontId="53" fillId="0" borderId="0" applyBorder="0"/>
    <xf numFmtId="178" fontId="53" fillId="49" borderId="0"/>
    <xf numFmtId="193" fontId="16" fillId="0" borderId="0" applyFont="0" applyFill="0" applyBorder="0" applyAlignment="0" applyProtection="0"/>
    <xf numFmtId="194" fontId="16" fillId="0" borderId="0" applyFont="0" applyFill="0" applyBorder="0" applyAlignment="0" applyProtection="0"/>
    <xf numFmtId="178" fontId="62" fillId="0" borderId="0"/>
    <xf numFmtId="178" fontId="63" fillId="52" borderId="0"/>
    <xf numFmtId="178" fontId="64" fillId="53" borderId="0"/>
    <xf numFmtId="178" fontId="65" fillId="54" borderId="0"/>
    <xf numFmtId="178" fontId="57" fillId="0" borderId="0"/>
    <xf numFmtId="178" fontId="58" fillId="0" borderId="0"/>
    <xf numFmtId="178" fontId="56" fillId="0" borderId="0"/>
    <xf numFmtId="0" fontId="26" fillId="0" borderId="0">
      <alignment vertical="center"/>
    </xf>
    <xf numFmtId="0" fontId="38" fillId="0" borderId="0"/>
    <xf numFmtId="0" fontId="26" fillId="0" borderId="0" applyProtection="0"/>
    <xf numFmtId="0" fontId="16" fillId="0" borderId="0" applyProtection="0"/>
    <xf numFmtId="0" fontId="16" fillId="0" borderId="0" applyProtection="0">
      <alignment vertical="center"/>
    </xf>
    <xf numFmtId="0" fontId="49" fillId="0" borderId="0"/>
    <xf numFmtId="0" fontId="66" fillId="0" borderId="0">
      <alignment vertical="top"/>
    </xf>
    <xf numFmtId="178" fontId="67" fillId="0" borderId="0"/>
    <xf numFmtId="195" fontId="68" fillId="0" borderId="20">
      <alignment horizontal="left" vertical="center"/>
    </xf>
    <xf numFmtId="178" fontId="69" fillId="0" borderId="0" applyNumberFormat="0" applyFill="0" applyBorder="0" applyAlignment="0" applyProtection="0">
      <alignment vertical="top"/>
      <protection locked="0"/>
    </xf>
    <xf numFmtId="37" fontId="70" fillId="0" borderId="0" applyFont="0" applyFill="0" applyBorder="0" applyAlignment="0" applyProtection="0">
      <protection locked="0"/>
    </xf>
    <xf numFmtId="196" fontId="26" fillId="0" borderId="0" applyFont="0" applyFill="0" applyBorder="0" applyAlignment="0" applyProtection="0"/>
    <xf numFmtId="197" fontId="71" fillId="0" borderId="0" applyFont="0" applyFill="0" applyBorder="0" applyAlignment="0" applyProtection="0"/>
    <xf numFmtId="40" fontId="16" fillId="0" borderId="0" applyFont="0" applyFill="0" applyBorder="0" applyAlignment="0" applyProtection="0"/>
    <xf numFmtId="10" fontId="71" fillId="0" borderId="0" applyFont="0" applyFill="0" applyBorder="0" applyAlignment="0" applyProtection="0"/>
    <xf numFmtId="198" fontId="26" fillId="0" borderId="0" applyFont="0" applyFill="0" applyBorder="0" applyAlignment="0" applyProtection="0"/>
    <xf numFmtId="199" fontId="38" fillId="0" borderId="21" applyBorder="0">
      <alignment horizontal="right"/>
    </xf>
    <xf numFmtId="3" fontId="72" fillId="0" borderId="7" applyNumberFormat="0" applyFill="0" applyBorder="0" applyAlignment="0" applyProtection="0"/>
    <xf numFmtId="3" fontId="73" fillId="0" borderId="7" applyNumberFormat="0" applyFill="0" applyBorder="0" applyAlignment="0" applyProtection="0"/>
    <xf numFmtId="3" fontId="74" fillId="0" borderId="7" applyNumberFormat="0" applyFill="0" applyBorder="0" applyAlignment="0" applyProtection="0"/>
    <xf numFmtId="3" fontId="75" fillId="0" borderId="7" applyNumberFormat="0" applyFill="0" applyBorder="0" applyAlignment="0" applyProtection="0"/>
    <xf numFmtId="3" fontId="56" fillId="0" borderId="22" applyNumberFormat="0" applyFill="0" applyBorder="0" applyProtection="0"/>
    <xf numFmtId="3" fontId="50" fillId="0" borderId="7" applyNumberFormat="0" applyFill="0" applyBorder="0" applyAlignment="0" applyProtection="0"/>
    <xf numFmtId="3" fontId="52" fillId="0" borderId="7" applyNumberFormat="0" applyFill="0" applyBorder="0" applyAlignment="0" applyProtection="0"/>
    <xf numFmtId="178" fontId="54" fillId="0" borderId="0" applyNumberFormat="0" applyFill="0" applyBorder="0" applyAlignment="0" applyProtection="0"/>
    <xf numFmtId="3" fontId="61" fillId="0" borderId="7" applyNumberFormat="0" applyFill="0" applyBorder="0" applyAlignment="0" applyProtection="0"/>
    <xf numFmtId="3" fontId="58" fillId="0" borderId="7" applyNumberFormat="0" applyFill="0" applyBorder="0" applyAlignment="0" applyProtection="0"/>
    <xf numFmtId="3" fontId="57" fillId="0" borderId="7" applyNumberFormat="0" applyFill="0" applyBorder="0" applyAlignment="0" applyProtection="0"/>
    <xf numFmtId="197" fontId="76" fillId="0" borderId="8" applyNumberFormat="0" applyFill="0" applyBorder="0" applyProtection="0">
      <alignment horizontal="center"/>
    </xf>
    <xf numFmtId="3" fontId="77" fillId="0" borderId="7" applyNumberFormat="0" applyFill="0" applyBorder="0" applyAlignment="0" applyProtection="0"/>
    <xf numFmtId="200" fontId="78" fillId="0" borderId="0">
      <alignment horizontal="right"/>
    </xf>
    <xf numFmtId="199" fontId="38" fillId="53" borderId="23"/>
    <xf numFmtId="195" fontId="16" fillId="0" borderId="0" applyFont="0" applyFill="0" applyBorder="0" applyAlignment="0" applyProtection="0"/>
    <xf numFmtId="178" fontId="16" fillId="0" borderId="0" applyNumberFormat="0" applyFill="0" applyBorder="0" applyAlignment="0" applyProtection="0"/>
    <xf numFmtId="178" fontId="51" fillId="0" borderId="0" applyNumberFormat="0" applyFill="0" applyBorder="0" applyAlignment="0" applyProtection="0"/>
    <xf numFmtId="3" fontId="55" fillId="0" borderId="7" applyNumberFormat="0" applyFill="0" applyBorder="0" applyAlignment="0" applyProtection="0"/>
    <xf numFmtId="178" fontId="79" fillId="0" borderId="0" applyNumberFormat="0" applyFill="0" applyBorder="0" applyAlignment="0" applyProtection="0"/>
    <xf numFmtId="201" fontId="80" fillId="0" borderId="21" applyFont="0" applyFill="0" applyBorder="0" applyAlignment="0" applyProtection="0"/>
    <xf numFmtId="3" fontId="19" fillId="0" borderId="7" applyNumberFormat="0" applyFill="0" applyBorder="0" applyAlignment="0" applyProtection="0"/>
    <xf numFmtId="3" fontId="81" fillId="0" borderId="7" applyNumberFormat="0" applyFill="0" applyBorder="0" applyAlignment="0" applyProtection="0"/>
    <xf numFmtId="3" fontId="82" fillId="0" borderId="7" applyNumberFormat="0" applyFill="0" applyBorder="0" applyAlignment="0" applyProtection="0"/>
    <xf numFmtId="3" fontId="83" fillId="0" borderId="7" applyNumberFormat="0" applyFill="0" applyBorder="0" applyAlignment="0" applyProtection="0"/>
    <xf numFmtId="3" fontId="84" fillId="0" borderId="7" applyNumberFormat="0" applyFill="0" applyBorder="0" applyAlignment="0" applyProtection="0"/>
    <xf numFmtId="178" fontId="85" fillId="0" borderId="0" applyNumberFormat="0" applyFill="0" applyBorder="0" applyAlignment="0" applyProtection="0"/>
    <xf numFmtId="3" fontId="86" fillId="0" borderId="7" applyNumberFormat="0" applyFill="0" applyBorder="0" applyAlignment="0" applyProtection="0"/>
    <xf numFmtId="178" fontId="87" fillId="0" borderId="0" applyNumberFormat="0" applyFill="0" applyBorder="0" applyAlignment="0" applyProtection="0"/>
    <xf numFmtId="178" fontId="88" fillId="0" borderId="0" applyNumberFormat="0" applyFill="0" applyBorder="0" applyAlignment="0" applyProtection="0"/>
    <xf numFmtId="3" fontId="89" fillId="0" borderId="7" applyNumberFormat="0" applyFill="0" applyBorder="0" applyAlignment="0" applyProtection="0"/>
    <xf numFmtId="178" fontId="90" fillId="0" borderId="0" applyNumberFormat="0" applyFill="0" applyBorder="0" applyAlignment="0" applyProtection="0"/>
    <xf numFmtId="178" fontId="91" fillId="0" borderId="0" applyNumberFormat="0" applyFill="0" applyBorder="0" applyAlignment="0" applyProtection="0"/>
    <xf numFmtId="3" fontId="92" fillId="0" borderId="7" applyNumberFormat="0" applyFill="0" applyBorder="0" applyAlignment="0" applyProtection="0"/>
    <xf numFmtId="178" fontId="93" fillId="0" borderId="0" applyNumberFormat="0" applyFill="0" applyBorder="0" applyAlignment="0" applyProtection="0"/>
    <xf numFmtId="178" fontId="94" fillId="0" borderId="0" applyNumberFormat="0" applyFill="0" applyBorder="0" applyAlignment="0" applyProtection="0"/>
    <xf numFmtId="3" fontId="95" fillId="0" borderId="7" applyNumberFormat="0" applyFill="0" applyBorder="0" applyAlignment="0" applyProtection="0"/>
    <xf numFmtId="178" fontId="96" fillId="0" borderId="0" applyNumberFormat="0" applyFill="0" applyBorder="0" applyAlignment="0" applyProtection="0"/>
    <xf numFmtId="37" fontId="38" fillId="0" borderId="0"/>
    <xf numFmtId="4" fontId="97" fillId="0" borderId="0" applyFont="0" applyFill="0" applyBorder="0" applyAlignment="0" applyProtection="0"/>
    <xf numFmtId="0" fontId="98" fillId="55" borderId="0" applyNumberFormat="0" applyBorder="0" applyAlignment="0" applyProtection="0"/>
    <xf numFmtId="186" fontId="99" fillId="55" borderId="0" applyNumberFormat="0" applyBorder="0" applyAlignment="0" applyProtection="0">
      <alignment vertical="center"/>
    </xf>
    <xf numFmtId="0" fontId="98" fillId="56" borderId="0" applyNumberFormat="0" applyBorder="0" applyAlignment="0" applyProtection="0"/>
    <xf numFmtId="186" fontId="99" fillId="56" borderId="0" applyNumberFormat="0" applyBorder="0" applyAlignment="0" applyProtection="0">
      <alignment vertical="center"/>
    </xf>
    <xf numFmtId="0" fontId="98" fillId="50" borderId="0" applyNumberFormat="0" applyBorder="0" applyAlignment="0" applyProtection="0"/>
    <xf numFmtId="186" fontId="99" fillId="50" borderId="0" applyNumberFormat="0" applyBorder="0" applyAlignment="0" applyProtection="0">
      <alignment vertical="center"/>
    </xf>
    <xf numFmtId="0" fontId="98" fillId="57" borderId="0" applyNumberFormat="0" applyBorder="0" applyAlignment="0" applyProtection="0"/>
    <xf numFmtId="186" fontId="99" fillId="57" borderId="0" applyNumberFormat="0" applyBorder="0" applyAlignment="0" applyProtection="0">
      <alignment vertical="center"/>
    </xf>
    <xf numFmtId="0" fontId="98" fillId="51" borderId="0" applyNumberFormat="0" applyBorder="0" applyAlignment="0" applyProtection="0"/>
    <xf numFmtId="186" fontId="99" fillId="51" borderId="0" applyNumberFormat="0" applyBorder="0" applyAlignment="0" applyProtection="0">
      <alignment vertical="center"/>
    </xf>
    <xf numFmtId="0" fontId="98" fillId="58" borderId="0" applyNumberFormat="0" applyBorder="0" applyAlignment="0" applyProtection="0"/>
    <xf numFmtId="186" fontId="99" fillId="58" borderId="0" applyNumberFormat="0" applyBorder="0" applyAlignment="0" applyProtection="0">
      <alignment vertical="center"/>
    </xf>
    <xf numFmtId="0" fontId="361" fillId="59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361" fillId="60" borderId="0" applyNumberFormat="0" applyBorder="0" applyAlignment="0" applyProtection="0">
      <alignment vertical="center"/>
    </xf>
    <xf numFmtId="0" fontId="361" fillId="61" borderId="0" applyNumberFormat="0" applyBorder="0" applyAlignment="0" applyProtection="0">
      <alignment vertical="center"/>
    </xf>
    <xf numFmtId="0" fontId="99" fillId="62" borderId="0" applyNumberFormat="0" applyBorder="0" applyAlignment="0" applyProtection="0">
      <alignment vertical="center"/>
    </xf>
    <xf numFmtId="0" fontId="361" fillId="63" borderId="0" applyNumberFormat="0" applyBorder="0" applyAlignment="0" applyProtection="0">
      <alignment vertical="center"/>
    </xf>
    <xf numFmtId="0" fontId="361" fillId="64" borderId="0" applyNumberFormat="0" applyBorder="0" applyAlignment="0" applyProtection="0">
      <alignment vertical="center"/>
    </xf>
    <xf numFmtId="0" fontId="99" fillId="65" borderId="0" applyNumberFormat="0" applyBorder="0" applyAlignment="0" applyProtection="0">
      <alignment vertical="center"/>
    </xf>
    <xf numFmtId="0" fontId="361" fillId="66" borderId="0" applyNumberFormat="0" applyBorder="0" applyAlignment="0" applyProtection="0">
      <alignment vertical="center"/>
    </xf>
    <xf numFmtId="0" fontId="99" fillId="55" borderId="0" applyProtection="0"/>
    <xf numFmtId="178" fontId="361" fillId="67" borderId="0" applyNumberFormat="0" applyBorder="0" applyAlignment="0" applyProtection="0">
      <alignment vertical="center"/>
    </xf>
    <xf numFmtId="0" fontId="100" fillId="64" borderId="0" applyNumberFormat="0" applyBorder="0" applyAlignment="0" applyProtection="0">
      <alignment vertical="center"/>
    </xf>
    <xf numFmtId="0" fontId="361" fillId="68" borderId="0" applyNumberFormat="0" applyBorder="0" applyAlignment="0" applyProtection="0">
      <alignment vertical="center"/>
    </xf>
    <xf numFmtId="0" fontId="100" fillId="68" borderId="0" applyNumberFormat="0" applyBorder="0" applyAlignment="0" applyProtection="0">
      <alignment vertical="center"/>
    </xf>
    <xf numFmtId="0" fontId="361" fillId="69" borderId="0" applyNumberFormat="0" applyBorder="0" applyAlignment="0" applyProtection="0">
      <alignment vertical="center"/>
    </xf>
    <xf numFmtId="0" fontId="100" fillId="69" borderId="0" applyNumberFormat="0" applyBorder="0" applyAlignment="0" applyProtection="0">
      <alignment vertical="center"/>
    </xf>
    <xf numFmtId="0" fontId="99" fillId="70" borderId="0" applyNumberFormat="0" applyBorder="0" applyAlignment="0" applyProtection="0">
      <alignment vertical="center"/>
    </xf>
    <xf numFmtId="0" fontId="361" fillId="71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361" fillId="72" borderId="0" applyNumberFormat="0" applyBorder="0" applyAlignment="0" applyProtection="0">
      <alignment vertical="center"/>
    </xf>
    <xf numFmtId="0" fontId="361" fillId="73" borderId="0" applyNumberFormat="0" applyBorder="0" applyAlignment="0" applyProtection="0">
      <alignment vertical="center"/>
    </xf>
    <xf numFmtId="0" fontId="361" fillId="74" borderId="0" applyNumberFormat="0" applyBorder="0" applyAlignment="0" applyProtection="0">
      <alignment vertical="center"/>
    </xf>
    <xf numFmtId="0" fontId="361" fillId="75" borderId="0" applyNumberFormat="0" applyBorder="0" applyAlignment="0" applyProtection="0">
      <alignment vertical="center"/>
    </xf>
    <xf numFmtId="0" fontId="361" fillId="76" borderId="0" applyNumberFormat="0" applyBorder="0" applyAlignment="0" applyProtection="0">
      <alignment vertical="center"/>
    </xf>
    <xf numFmtId="0" fontId="99" fillId="56" borderId="0" applyProtection="0"/>
    <xf numFmtId="178" fontId="361" fillId="77" borderId="0" applyNumberFormat="0" applyBorder="0" applyAlignment="0" applyProtection="0">
      <alignment vertical="center"/>
    </xf>
    <xf numFmtId="0" fontId="100" fillId="75" borderId="0" applyNumberFormat="0" applyBorder="0" applyAlignment="0" applyProtection="0">
      <alignment vertical="center"/>
    </xf>
    <xf numFmtId="0" fontId="361" fillId="78" borderId="0" applyNumberFormat="0" applyBorder="0" applyAlignment="0" applyProtection="0">
      <alignment vertical="center"/>
    </xf>
    <xf numFmtId="0" fontId="100" fillId="78" borderId="0" applyNumberFormat="0" applyBorder="0" applyAlignment="0" applyProtection="0">
      <alignment vertical="center"/>
    </xf>
    <xf numFmtId="0" fontId="361" fillId="79" borderId="0" applyNumberFormat="0" applyBorder="0" applyAlignment="0" applyProtection="0">
      <alignment vertical="center"/>
    </xf>
    <xf numFmtId="0" fontId="100" fillId="79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361" fillId="80" borderId="0" applyNumberFormat="0" applyBorder="0" applyAlignment="0" applyProtection="0">
      <alignment vertical="center"/>
    </xf>
    <xf numFmtId="0" fontId="99" fillId="50" borderId="0" applyNumberFormat="0" applyBorder="0" applyAlignment="0" applyProtection="0">
      <alignment vertical="center"/>
    </xf>
    <xf numFmtId="0" fontId="361" fillId="81" borderId="0" applyNumberFormat="0" applyBorder="0" applyAlignment="0" applyProtection="0">
      <alignment vertical="center"/>
    </xf>
    <xf numFmtId="0" fontId="361" fillId="82" borderId="0" applyNumberFormat="0" applyBorder="0" applyAlignment="0" applyProtection="0">
      <alignment vertical="center"/>
    </xf>
    <xf numFmtId="0" fontId="361" fillId="83" borderId="0" applyNumberFormat="0" applyBorder="0" applyAlignment="0" applyProtection="0">
      <alignment vertical="center"/>
    </xf>
    <xf numFmtId="0" fontId="361" fillId="84" borderId="0" applyNumberFormat="0" applyBorder="0" applyAlignment="0" applyProtection="0">
      <alignment vertical="center"/>
    </xf>
    <xf numFmtId="0" fontId="361" fillId="85" borderId="0" applyNumberFormat="0" applyBorder="0" applyAlignment="0" applyProtection="0">
      <alignment vertical="center"/>
    </xf>
    <xf numFmtId="0" fontId="99" fillId="50" borderId="0" applyProtection="0"/>
    <xf numFmtId="178" fontId="361" fillId="86" borderId="0" applyNumberFormat="0" applyBorder="0" applyAlignment="0" applyProtection="0">
      <alignment vertical="center"/>
    </xf>
    <xf numFmtId="0" fontId="100" fillId="84" borderId="0" applyNumberFormat="0" applyBorder="0" applyAlignment="0" applyProtection="0">
      <alignment vertical="center"/>
    </xf>
    <xf numFmtId="0" fontId="361" fillId="87" borderId="0" applyNumberFormat="0" applyBorder="0" applyAlignment="0" applyProtection="0">
      <alignment vertical="center"/>
    </xf>
    <xf numFmtId="0" fontId="100" fillId="87" borderId="0" applyNumberFormat="0" applyBorder="0" applyAlignment="0" applyProtection="0">
      <alignment vertical="center"/>
    </xf>
    <xf numFmtId="0" fontId="361" fillId="88" borderId="0" applyNumberFormat="0" applyBorder="0" applyAlignment="0" applyProtection="0">
      <alignment vertical="center"/>
    </xf>
    <xf numFmtId="0" fontId="100" fillId="88" borderId="0" applyNumberFormat="0" applyBorder="0" applyAlignment="0" applyProtection="0">
      <alignment vertical="center"/>
    </xf>
    <xf numFmtId="0" fontId="99" fillId="49" borderId="0" applyNumberFormat="0" applyBorder="0" applyAlignment="0" applyProtection="0">
      <alignment vertical="center"/>
    </xf>
    <xf numFmtId="0" fontId="361" fillId="29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89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90" borderId="0" applyNumberFormat="0" applyBorder="0" applyAlignment="0" applyProtection="0">
      <alignment vertical="center"/>
    </xf>
    <xf numFmtId="0" fontId="361" fillId="91" borderId="0" applyNumberFormat="0" applyBorder="0" applyAlignment="0" applyProtection="0">
      <alignment vertical="center"/>
    </xf>
    <xf numFmtId="0" fontId="99" fillId="57" borderId="0" applyProtection="0"/>
    <xf numFmtId="178" fontId="361" fillId="92" borderId="0" applyNumberFormat="0" applyBorder="0" applyAlignment="0" applyProtection="0">
      <alignment vertical="center"/>
    </xf>
    <xf numFmtId="0" fontId="100" fillId="90" borderId="0" applyNumberFormat="0" applyBorder="0" applyAlignment="0" applyProtection="0">
      <alignment vertical="center"/>
    </xf>
    <xf numFmtId="0" fontId="361" fillId="93" borderId="0" applyNumberFormat="0" applyBorder="0" applyAlignment="0" applyProtection="0">
      <alignment vertical="center"/>
    </xf>
    <xf numFmtId="0" fontId="100" fillId="93" borderId="0" applyNumberFormat="0" applyBorder="0" applyAlignment="0" applyProtection="0">
      <alignment vertical="center"/>
    </xf>
    <xf numFmtId="0" fontId="361" fillId="94" borderId="0" applyNumberFormat="0" applyBorder="0" applyAlignment="0" applyProtection="0">
      <alignment vertical="center"/>
    </xf>
    <xf numFmtId="0" fontId="100" fillId="94" borderId="0" applyNumberFormat="0" applyBorder="0" applyAlignment="0" applyProtection="0">
      <alignment vertical="center"/>
    </xf>
    <xf numFmtId="0" fontId="361" fillId="95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361" fillId="96" borderId="0" applyNumberFormat="0" applyBorder="0" applyAlignment="0" applyProtection="0">
      <alignment vertical="center"/>
    </xf>
    <xf numFmtId="0" fontId="361" fillId="97" borderId="0" applyNumberFormat="0" applyBorder="0" applyAlignment="0" applyProtection="0">
      <alignment vertical="center"/>
    </xf>
    <xf numFmtId="0" fontId="361" fillId="98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99" borderId="0" applyNumberFormat="0" applyBorder="0" applyAlignment="0" applyProtection="0">
      <alignment vertical="center"/>
    </xf>
    <xf numFmtId="0" fontId="99" fillId="51" borderId="0" applyProtection="0"/>
    <xf numFmtId="178" fontId="361" fillId="10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361" fillId="101" borderId="0" applyNumberFormat="0" applyBorder="0" applyAlignment="0" applyProtection="0">
      <alignment vertical="center"/>
    </xf>
    <xf numFmtId="0" fontId="100" fillId="101" borderId="0" applyNumberFormat="0" applyBorder="0" applyAlignment="0" applyProtection="0">
      <alignment vertical="center"/>
    </xf>
    <xf numFmtId="0" fontId="361" fillId="102" borderId="0" applyNumberFormat="0" applyBorder="0" applyAlignment="0" applyProtection="0">
      <alignment vertical="center"/>
    </xf>
    <xf numFmtId="0" fontId="361" fillId="103" borderId="0" applyNumberFormat="0" applyBorder="0" applyAlignment="0" applyProtection="0">
      <alignment vertical="center"/>
    </xf>
    <xf numFmtId="0" fontId="361" fillId="104" borderId="0" applyNumberFormat="0" applyBorder="0" applyAlignment="0" applyProtection="0">
      <alignment vertical="center"/>
    </xf>
    <xf numFmtId="0" fontId="361" fillId="105" borderId="0" applyNumberFormat="0" applyBorder="0" applyAlignment="0" applyProtection="0">
      <alignment vertical="center"/>
    </xf>
    <xf numFmtId="0" fontId="361" fillId="106" borderId="0" applyNumberFormat="0" applyBorder="0" applyAlignment="0" applyProtection="0">
      <alignment vertical="center"/>
    </xf>
    <xf numFmtId="0" fontId="361" fillId="107" borderId="0" applyNumberFormat="0" applyBorder="0" applyAlignment="0" applyProtection="0">
      <alignment vertical="center"/>
    </xf>
    <xf numFmtId="0" fontId="99" fillId="58" borderId="0" applyProtection="0"/>
    <xf numFmtId="178" fontId="361" fillId="108" borderId="0" applyNumberFormat="0" applyBorder="0" applyAlignment="0" applyProtection="0">
      <alignment vertical="center"/>
    </xf>
    <xf numFmtId="0" fontId="100" fillId="106" borderId="0" applyNumberFormat="0" applyBorder="0" applyAlignment="0" applyProtection="0">
      <alignment vertical="center"/>
    </xf>
    <xf numFmtId="0" fontId="361" fillId="109" borderId="0" applyNumberFormat="0" applyBorder="0" applyAlignment="0" applyProtection="0">
      <alignment vertical="center"/>
    </xf>
    <xf numFmtId="0" fontId="100" fillId="109" borderId="0" applyNumberFormat="0" applyBorder="0" applyAlignment="0" applyProtection="0">
      <alignment vertical="center"/>
    </xf>
    <xf numFmtId="0" fontId="361" fillId="110" borderId="0" applyNumberFormat="0" applyBorder="0" applyAlignment="0" applyProtection="0">
      <alignment vertical="center"/>
    </xf>
    <xf numFmtId="0" fontId="100" fillId="110" borderId="0" applyNumberFormat="0" applyBorder="0" applyAlignment="0" applyProtection="0">
      <alignment vertical="center"/>
    </xf>
    <xf numFmtId="178" fontId="101" fillId="0" borderId="0" applyNumberFormat="0" applyFill="0" applyBorder="0" applyAlignment="0" applyProtection="0"/>
    <xf numFmtId="3" fontId="102" fillId="0" borderId="7" applyNumberFormat="0" applyFill="0" applyBorder="0" applyAlignment="0" applyProtection="0"/>
    <xf numFmtId="178" fontId="103" fillId="0" borderId="0" applyNumberFormat="0" applyFill="0" applyBorder="0" applyAlignment="0" applyProtection="0"/>
    <xf numFmtId="202" fontId="38" fillId="0" borderId="24" applyBorder="0">
      <alignment horizontal="right"/>
    </xf>
    <xf numFmtId="203" fontId="97" fillId="0" borderId="0" applyFont="0" applyFill="0" applyBorder="0" applyAlignment="0" applyProtection="0"/>
    <xf numFmtId="0" fontId="98" fillId="111" borderId="0" applyNumberFormat="0" applyBorder="0" applyAlignment="0" applyProtection="0"/>
    <xf numFmtId="186" fontId="99" fillId="111" borderId="0" applyNumberFormat="0" applyBorder="0" applyAlignment="0" applyProtection="0">
      <alignment vertical="center"/>
    </xf>
    <xf numFmtId="0" fontId="98" fillId="112" borderId="0" applyNumberFormat="0" applyBorder="0" applyAlignment="0" applyProtection="0"/>
    <xf numFmtId="186" fontId="99" fillId="112" borderId="0" applyNumberFormat="0" applyBorder="0" applyAlignment="0" applyProtection="0">
      <alignment vertical="center"/>
    </xf>
    <xf numFmtId="0" fontId="98" fillId="113" borderId="0" applyNumberFormat="0" applyBorder="0" applyAlignment="0" applyProtection="0"/>
    <xf numFmtId="186" fontId="99" fillId="113" borderId="0" applyNumberFormat="0" applyBorder="0" applyAlignment="0" applyProtection="0">
      <alignment vertical="center"/>
    </xf>
    <xf numFmtId="0" fontId="98" fillId="114" borderId="0" applyNumberFormat="0" applyBorder="0" applyAlignment="0" applyProtection="0"/>
    <xf numFmtId="186" fontId="99" fillId="114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99" fillId="111" borderId="0" applyNumberFormat="0" applyBorder="0" applyAlignment="0" applyProtection="0">
      <alignment vertical="center"/>
    </xf>
    <xf numFmtId="0" fontId="99" fillId="48" borderId="0" applyNumberFormat="0" applyBorder="0" applyAlignment="0" applyProtection="0">
      <alignment vertical="center"/>
    </xf>
    <xf numFmtId="0" fontId="99" fillId="111" borderId="0" applyProtection="0"/>
    <xf numFmtId="178" fontId="361" fillId="16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361" fillId="40" borderId="0" applyNumberFormat="0" applyBorder="0" applyAlignment="0" applyProtection="0">
      <alignment vertical="center"/>
    </xf>
    <xf numFmtId="0" fontId="99" fillId="112" borderId="0" applyNumberFormat="0" applyBorder="0" applyAlignment="0" applyProtection="0">
      <alignment vertical="center"/>
    </xf>
    <xf numFmtId="0" fontId="99" fillId="112" borderId="0" applyProtection="0"/>
    <xf numFmtId="178" fontId="361" fillId="40" borderId="0" applyNumberFormat="0" applyBorder="0" applyAlignment="0" applyProtection="0">
      <alignment vertical="center"/>
    </xf>
    <xf numFmtId="0" fontId="100" fillId="40" borderId="0" applyNumberFormat="0" applyBorder="0" applyAlignment="0" applyProtection="0">
      <alignment vertical="center"/>
    </xf>
    <xf numFmtId="0" fontId="361" fillId="8" borderId="0" applyNumberFormat="0" applyBorder="0" applyAlignment="0" applyProtection="0">
      <alignment vertical="center"/>
    </xf>
    <xf numFmtId="0" fontId="99" fillId="113" borderId="0" applyNumberFormat="0" applyBorder="0" applyAlignment="0" applyProtection="0">
      <alignment vertical="center"/>
    </xf>
    <xf numFmtId="0" fontId="99" fillId="113" borderId="0" applyProtection="0"/>
    <xf numFmtId="178" fontId="361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99" fillId="115" borderId="0" applyNumberFormat="0" applyBorder="0" applyAlignment="0" applyProtection="0">
      <alignment vertical="center"/>
    </xf>
    <xf numFmtId="0" fontId="361" fillId="43" borderId="0" applyNumberFormat="0" applyBorder="0" applyAlignment="0" applyProtection="0">
      <alignment vertical="center"/>
    </xf>
    <xf numFmtId="178" fontId="361" fillId="43" borderId="0" applyNumberFormat="0" applyBorder="0" applyAlignment="0" applyProtection="0">
      <alignment vertical="center"/>
    </xf>
    <xf numFmtId="0" fontId="100" fillId="43" borderId="0" applyNumberFormat="0" applyBorder="0" applyAlignment="0" applyProtection="0">
      <alignment vertical="center"/>
    </xf>
    <xf numFmtId="0" fontId="361" fillId="45" borderId="0" applyNumberFormat="0" applyBorder="0" applyAlignment="0" applyProtection="0">
      <alignment vertical="center"/>
    </xf>
    <xf numFmtId="178" fontId="361" fillId="45" borderId="0" applyNumberFormat="0" applyBorder="0" applyAlignment="0" applyProtection="0">
      <alignment vertical="center"/>
    </xf>
    <xf numFmtId="0" fontId="100" fillId="45" borderId="0" applyNumberFormat="0" applyBorder="0" applyAlignment="0" applyProtection="0">
      <alignment vertical="center"/>
    </xf>
    <xf numFmtId="0" fontId="361" fillId="47" borderId="0" applyNumberFormat="0" applyBorder="0" applyAlignment="0" applyProtection="0">
      <alignment vertical="center"/>
    </xf>
    <xf numFmtId="0" fontId="99" fillId="114" borderId="0" applyNumberFormat="0" applyBorder="0" applyAlignment="0" applyProtection="0">
      <alignment vertical="center"/>
    </xf>
    <xf numFmtId="0" fontId="99" fillId="114" borderId="0" applyProtection="0"/>
    <xf numFmtId="178" fontId="361" fillId="47" borderId="0" applyNumberFormat="0" applyBorder="0" applyAlignment="0" applyProtection="0">
      <alignment vertical="center"/>
    </xf>
    <xf numFmtId="0" fontId="100" fillId="47" borderId="0" applyNumberFormat="0" applyBorder="0" applyAlignment="0" applyProtection="0">
      <alignment vertical="center"/>
    </xf>
    <xf numFmtId="0" fontId="104" fillId="25" borderId="0" applyNumberFormat="0" applyBorder="0" applyAlignment="0" applyProtection="0"/>
    <xf numFmtId="0" fontId="104" fillId="112" borderId="0" applyNumberFormat="0" applyBorder="0" applyAlignment="0" applyProtection="0"/>
    <xf numFmtId="0" fontId="104" fillId="113" borderId="0" applyNumberFormat="0" applyBorder="0" applyAlignment="0" applyProtection="0"/>
    <xf numFmtId="0" fontId="104" fillId="116" borderId="0" applyNumberFormat="0" applyBorder="0" applyAlignment="0" applyProtection="0"/>
    <xf numFmtId="0" fontId="104" fillId="117" borderId="0" applyNumberFormat="0" applyBorder="0" applyAlignment="0" applyProtection="0"/>
    <xf numFmtId="0" fontId="104" fillId="118" borderId="0" applyNumberFormat="0" applyBorder="0" applyAlignment="0" applyProtection="0"/>
    <xf numFmtId="0" fontId="28" fillId="119" borderId="0" applyNumberFormat="0" applyBorder="0" applyAlignment="0" applyProtection="0">
      <alignment vertical="center"/>
    </xf>
    <xf numFmtId="0" fontId="28" fillId="120" borderId="0" applyNumberFormat="0" applyBorder="0" applyAlignment="0" applyProtection="0">
      <alignment vertical="center"/>
    </xf>
    <xf numFmtId="0" fontId="28" fillId="121" borderId="0" applyNumberFormat="0" applyBorder="0" applyAlignment="0" applyProtection="0">
      <alignment vertical="center"/>
    </xf>
    <xf numFmtId="0" fontId="28" fillId="122" borderId="0" applyNumberFormat="0" applyBorder="0" applyAlignment="0" applyProtection="0">
      <alignment vertical="center"/>
    </xf>
    <xf numFmtId="0" fontId="28" fillId="123" borderId="0" applyNumberFormat="0" applyBorder="0" applyAlignment="0" applyProtection="0">
      <alignment vertical="center"/>
    </xf>
    <xf numFmtId="0" fontId="105" fillId="117" borderId="0" applyNumberFormat="0" applyBorder="0" applyAlignment="0" applyProtection="0">
      <alignment vertical="center"/>
    </xf>
    <xf numFmtId="0" fontId="59" fillId="25" borderId="0" applyProtection="0"/>
    <xf numFmtId="0" fontId="59" fillId="25" borderId="0" applyNumberFormat="0" applyBorder="0" applyAlignment="0" applyProtection="0">
      <alignment vertical="center"/>
    </xf>
    <xf numFmtId="178" fontId="28" fillId="124" borderId="0" applyNumberFormat="0" applyBorder="0" applyAlignment="0" applyProtection="0">
      <alignment vertical="center"/>
    </xf>
    <xf numFmtId="0" fontId="106" fillId="125" borderId="0" applyNumberFormat="0" applyBorder="0" applyAlignment="0" applyProtection="0">
      <alignment vertical="center"/>
    </xf>
    <xf numFmtId="0" fontId="106" fillId="123" borderId="0" applyNumberFormat="0" applyBorder="0" applyAlignment="0" applyProtection="0">
      <alignment vertical="center"/>
    </xf>
    <xf numFmtId="0" fontId="106" fillId="126" borderId="0" applyNumberFormat="0" applyBorder="0" applyAlignment="0" applyProtection="0">
      <alignment vertical="center"/>
    </xf>
    <xf numFmtId="0" fontId="106" fillId="127" borderId="0" applyNumberFormat="0" applyBorder="0" applyAlignment="0" applyProtection="0">
      <alignment vertical="center"/>
    </xf>
    <xf numFmtId="0" fontId="107" fillId="117" borderId="0" applyNumberFormat="0" applyBorder="0" applyAlignment="0" applyProtection="0">
      <alignment vertical="center"/>
    </xf>
    <xf numFmtId="0" fontId="28" fillId="125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28" fillId="128" borderId="0" applyNumberFormat="0" applyBorder="0" applyAlignment="0" applyProtection="0">
      <alignment vertical="center"/>
    </xf>
    <xf numFmtId="0" fontId="28" fillId="129" borderId="0" applyNumberFormat="0" applyBorder="0" applyAlignment="0" applyProtection="0">
      <alignment vertical="center"/>
    </xf>
    <xf numFmtId="0" fontId="28" fillId="130" borderId="0" applyNumberFormat="0" applyBorder="0" applyAlignment="0" applyProtection="0">
      <alignment vertical="center"/>
    </xf>
    <xf numFmtId="0" fontId="28" fillId="131" borderId="0" applyNumberFormat="0" applyBorder="0" applyAlignment="0" applyProtection="0">
      <alignment vertical="center"/>
    </xf>
    <xf numFmtId="0" fontId="28" fillId="132" borderId="0" applyNumberFormat="0" applyBorder="0" applyAlignment="0" applyProtection="0">
      <alignment vertical="center"/>
    </xf>
    <xf numFmtId="0" fontId="28" fillId="133" borderId="0" applyNumberFormat="0" applyBorder="0" applyAlignment="0" applyProtection="0">
      <alignment vertical="center"/>
    </xf>
    <xf numFmtId="0" fontId="105" fillId="70" borderId="0" applyNumberFormat="0" applyBorder="0" applyAlignment="0" applyProtection="0">
      <alignment vertical="center"/>
    </xf>
    <xf numFmtId="0" fontId="59" fillId="112" borderId="0" applyProtection="0"/>
    <xf numFmtId="0" fontId="59" fillId="112" borderId="0" applyNumberFormat="0" applyBorder="0" applyAlignment="0" applyProtection="0">
      <alignment vertical="center"/>
    </xf>
    <xf numFmtId="178" fontId="28" fillId="134" borderId="0" applyNumberFormat="0" applyBorder="0" applyAlignment="0" applyProtection="0">
      <alignment vertical="center"/>
    </xf>
    <xf numFmtId="0" fontId="106" fillId="135" borderId="0" applyNumberFormat="0" applyBorder="0" applyAlignment="0" applyProtection="0">
      <alignment vertical="center"/>
    </xf>
    <xf numFmtId="0" fontId="106" fillId="133" borderId="0" applyNumberFormat="0" applyBorder="0" applyAlignment="0" applyProtection="0">
      <alignment vertical="center"/>
    </xf>
    <xf numFmtId="0" fontId="106" fillId="136" borderId="0" applyNumberFormat="0" applyBorder="0" applyAlignment="0" applyProtection="0">
      <alignment vertical="center"/>
    </xf>
    <xf numFmtId="0" fontId="106" fillId="137" borderId="0" applyNumberFormat="0" applyBorder="0" applyAlignment="0" applyProtection="0">
      <alignment vertical="center"/>
    </xf>
    <xf numFmtId="0" fontId="107" fillId="112" borderId="0" applyNumberFormat="0" applyBorder="0" applyAlignment="0" applyProtection="0">
      <alignment vertical="center"/>
    </xf>
    <xf numFmtId="0" fontId="28" fillId="135" borderId="0" applyNumberFormat="0" applyBorder="0" applyAlignment="0" applyProtection="0">
      <alignment vertical="center"/>
    </xf>
    <xf numFmtId="0" fontId="105" fillId="112" borderId="0" applyNumberFormat="0" applyBorder="0" applyAlignment="0" applyProtection="0">
      <alignment vertical="center"/>
    </xf>
    <xf numFmtId="0" fontId="28" fillId="138" borderId="0" applyNumberFormat="0" applyBorder="0" applyAlignment="0" applyProtection="0">
      <alignment vertical="center"/>
    </xf>
    <xf numFmtId="0" fontId="28" fillId="139" borderId="0" applyNumberFormat="0" applyBorder="0" applyAlignment="0" applyProtection="0">
      <alignment vertical="center"/>
    </xf>
    <xf numFmtId="0" fontId="28" fillId="140" borderId="0" applyNumberFormat="0" applyBorder="0" applyAlignment="0" applyProtection="0">
      <alignment vertical="center"/>
    </xf>
    <xf numFmtId="0" fontId="28" fillId="141" borderId="0" applyNumberFormat="0" applyBorder="0" applyAlignment="0" applyProtection="0">
      <alignment vertical="center"/>
    </xf>
    <xf numFmtId="0" fontId="28" fillId="142" borderId="0" applyNumberFormat="0" applyBorder="0" applyAlignment="0" applyProtection="0">
      <alignment vertical="center"/>
    </xf>
    <xf numFmtId="0" fontId="28" fillId="143" borderId="0" applyNumberFormat="0" applyBorder="0" applyAlignment="0" applyProtection="0">
      <alignment vertical="center"/>
    </xf>
    <xf numFmtId="0" fontId="59" fillId="113" borderId="0" applyProtection="0"/>
    <xf numFmtId="0" fontId="59" fillId="113" borderId="0" applyNumberFormat="0" applyBorder="0" applyAlignment="0" applyProtection="0">
      <alignment vertical="center"/>
    </xf>
    <xf numFmtId="178" fontId="28" fillId="144" borderId="0" applyNumberFormat="0" applyBorder="0" applyAlignment="0" applyProtection="0">
      <alignment vertical="center"/>
    </xf>
    <xf numFmtId="0" fontId="106" fillId="145" borderId="0" applyNumberFormat="0" applyBorder="0" applyAlignment="0" applyProtection="0">
      <alignment vertical="center"/>
    </xf>
    <xf numFmtId="0" fontId="106" fillId="143" borderId="0" applyNumberFormat="0" applyBorder="0" applyAlignment="0" applyProtection="0">
      <alignment vertical="center"/>
    </xf>
    <xf numFmtId="0" fontId="106" fillId="146" borderId="0" applyNumberFormat="0" applyBorder="0" applyAlignment="0" applyProtection="0">
      <alignment vertical="center"/>
    </xf>
    <xf numFmtId="0" fontId="106" fillId="147" borderId="0" applyNumberFormat="0" applyBorder="0" applyAlignment="0" applyProtection="0">
      <alignment vertical="center"/>
    </xf>
    <xf numFmtId="0" fontId="107" fillId="115" borderId="0" applyNumberFormat="0" applyBorder="0" applyAlignment="0" applyProtection="0">
      <alignment vertical="center"/>
    </xf>
    <xf numFmtId="0" fontId="28" fillId="145" borderId="0" applyNumberFormat="0" applyBorder="0" applyAlignment="0" applyProtection="0">
      <alignment vertical="center"/>
    </xf>
    <xf numFmtId="0" fontId="28" fillId="148" borderId="0" applyNumberFormat="0" applyBorder="0" applyAlignment="0" applyProtection="0">
      <alignment vertical="center"/>
    </xf>
    <xf numFmtId="0" fontId="28" fillId="149" borderId="0" applyNumberFormat="0" applyBorder="0" applyAlignment="0" applyProtection="0">
      <alignment vertical="center"/>
    </xf>
    <xf numFmtId="0" fontId="28" fillId="150" borderId="0" applyNumberFormat="0" applyBorder="0" applyAlignment="0" applyProtection="0">
      <alignment vertical="center"/>
    </xf>
    <xf numFmtId="0" fontId="28" fillId="151" borderId="0" applyNumberFormat="0" applyBorder="0" applyAlignment="0" applyProtection="0">
      <alignment vertical="center"/>
    </xf>
    <xf numFmtId="0" fontId="28" fillId="152" borderId="0" applyNumberFormat="0" applyBorder="0" applyAlignment="0" applyProtection="0">
      <alignment vertical="center"/>
    </xf>
    <xf numFmtId="0" fontId="28" fillId="153" borderId="0" applyNumberFormat="0" applyBorder="0" applyAlignment="0" applyProtection="0">
      <alignment vertical="center"/>
    </xf>
    <xf numFmtId="0" fontId="59" fillId="154" borderId="0" applyProtection="0"/>
    <xf numFmtId="0" fontId="59" fillId="116" borderId="0" applyNumberFormat="0" applyBorder="0" applyAlignment="0" applyProtection="0">
      <alignment vertical="center"/>
    </xf>
    <xf numFmtId="178" fontId="28" fillId="155" borderId="0" applyNumberFormat="0" applyBorder="0" applyAlignment="0" applyProtection="0">
      <alignment vertical="center"/>
    </xf>
    <xf numFmtId="0" fontId="106" fillId="156" borderId="0" applyNumberFormat="0" applyBorder="0" applyAlignment="0" applyProtection="0">
      <alignment vertical="center"/>
    </xf>
    <xf numFmtId="0" fontId="106" fillId="153" borderId="0" applyNumberFormat="0" applyBorder="0" applyAlignment="0" applyProtection="0">
      <alignment vertical="center"/>
    </xf>
    <xf numFmtId="0" fontId="106" fillId="157" borderId="0" applyNumberFormat="0" applyBorder="0" applyAlignment="0" applyProtection="0">
      <alignment vertical="center"/>
    </xf>
    <xf numFmtId="0" fontId="106" fillId="158" borderId="0" applyNumberFormat="0" applyBorder="0" applyAlignment="0" applyProtection="0">
      <alignment vertical="center"/>
    </xf>
    <xf numFmtId="0" fontId="107" fillId="48" borderId="0" applyNumberFormat="0" applyBorder="0" applyAlignment="0" applyProtection="0">
      <alignment vertical="center"/>
    </xf>
    <xf numFmtId="0" fontId="28" fillId="156" borderId="0" applyNumberFormat="0" applyBorder="0" applyAlignment="0" applyProtection="0">
      <alignment vertical="center"/>
    </xf>
    <xf numFmtId="0" fontId="28" fillId="159" borderId="0" applyNumberFormat="0" applyBorder="0" applyAlignment="0" applyProtection="0">
      <alignment vertical="center"/>
    </xf>
    <xf numFmtId="0" fontId="28" fillId="160" borderId="0" applyNumberFormat="0" applyBorder="0" applyAlignment="0" applyProtection="0">
      <alignment vertical="center"/>
    </xf>
    <xf numFmtId="0" fontId="28" fillId="161" borderId="0" applyNumberFormat="0" applyBorder="0" applyAlignment="0" applyProtection="0">
      <alignment vertical="center"/>
    </xf>
    <xf numFmtId="0" fontId="28" fillId="162" borderId="0" applyNumberFormat="0" applyBorder="0" applyAlignment="0" applyProtection="0">
      <alignment vertical="center"/>
    </xf>
    <xf numFmtId="0" fontId="28" fillId="163" borderId="0" applyNumberFormat="0" applyBorder="0" applyAlignment="0" applyProtection="0">
      <alignment vertical="center"/>
    </xf>
    <xf numFmtId="0" fontId="28" fillId="164" borderId="0" applyNumberFormat="0" applyBorder="0" applyAlignment="0" applyProtection="0">
      <alignment vertical="center"/>
    </xf>
    <xf numFmtId="0" fontId="59" fillId="117" borderId="0" applyProtection="0"/>
    <xf numFmtId="0" fontId="59" fillId="117" borderId="0" applyNumberFormat="0" applyBorder="0" applyAlignment="0" applyProtection="0">
      <alignment vertical="center"/>
    </xf>
    <xf numFmtId="178" fontId="28" fillId="165" borderId="0" applyNumberFormat="0" applyBorder="0" applyAlignment="0" applyProtection="0">
      <alignment vertical="center"/>
    </xf>
    <xf numFmtId="0" fontId="106" fillId="166" borderId="0" applyNumberFormat="0" applyBorder="0" applyAlignment="0" applyProtection="0">
      <alignment vertical="center"/>
    </xf>
    <xf numFmtId="0" fontId="106" fillId="164" borderId="0" applyNumberFormat="0" applyBorder="0" applyAlignment="0" applyProtection="0">
      <alignment vertical="center"/>
    </xf>
    <xf numFmtId="0" fontId="106" fillId="167" borderId="0" applyNumberFormat="0" applyBorder="0" applyAlignment="0" applyProtection="0">
      <alignment vertical="center"/>
    </xf>
    <xf numFmtId="0" fontId="106" fillId="168" borderId="0" applyNumberFormat="0" applyBorder="0" applyAlignment="0" applyProtection="0">
      <alignment vertical="center"/>
    </xf>
    <xf numFmtId="0" fontId="28" fillId="166" borderId="0" applyNumberFormat="0" applyBorder="0" applyAlignment="0" applyProtection="0">
      <alignment vertical="center"/>
    </xf>
    <xf numFmtId="0" fontId="105" fillId="111" borderId="0" applyNumberFormat="0" applyBorder="0" applyAlignment="0" applyProtection="0">
      <alignment vertical="center"/>
    </xf>
    <xf numFmtId="0" fontId="28" fillId="169" borderId="0" applyNumberFormat="0" applyBorder="0" applyAlignment="0" applyProtection="0">
      <alignment vertical="center"/>
    </xf>
    <xf numFmtId="0" fontId="28" fillId="170" borderId="0" applyNumberFormat="0" applyBorder="0" applyAlignment="0" applyProtection="0">
      <alignment vertical="center"/>
    </xf>
    <xf numFmtId="0" fontId="28" fillId="171" borderId="0" applyNumberFormat="0" applyBorder="0" applyAlignment="0" applyProtection="0">
      <alignment vertical="center"/>
    </xf>
    <xf numFmtId="0" fontId="28" fillId="172" borderId="0" applyNumberFormat="0" applyBorder="0" applyAlignment="0" applyProtection="0">
      <alignment vertical="center"/>
    </xf>
    <xf numFmtId="0" fontId="28" fillId="173" borderId="0" applyNumberFormat="0" applyBorder="0" applyAlignment="0" applyProtection="0">
      <alignment vertical="center"/>
    </xf>
    <xf numFmtId="0" fontId="28" fillId="174" borderId="0" applyNumberFormat="0" applyBorder="0" applyAlignment="0" applyProtection="0">
      <alignment vertical="center"/>
    </xf>
    <xf numFmtId="0" fontId="105" fillId="58" borderId="0" applyNumberFormat="0" applyBorder="0" applyAlignment="0" applyProtection="0">
      <alignment vertical="center"/>
    </xf>
    <xf numFmtId="0" fontId="59" fillId="118" borderId="0" applyProtection="0"/>
    <xf numFmtId="0" fontId="59" fillId="118" borderId="0" applyNumberFormat="0" applyBorder="0" applyAlignment="0" applyProtection="0">
      <alignment vertical="center"/>
    </xf>
    <xf numFmtId="178" fontId="28" fillId="175" borderId="0" applyNumberFormat="0" applyBorder="0" applyAlignment="0" applyProtection="0">
      <alignment vertical="center"/>
    </xf>
    <xf numFmtId="0" fontId="106" fillId="176" borderId="0" applyNumberFormat="0" applyBorder="0" applyAlignment="0" applyProtection="0">
      <alignment vertical="center"/>
    </xf>
    <xf numFmtId="0" fontId="106" fillId="174" borderId="0" applyNumberFormat="0" applyBorder="0" applyAlignment="0" applyProtection="0">
      <alignment vertical="center"/>
    </xf>
    <xf numFmtId="0" fontId="106" fillId="177" borderId="0" applyNumberFormat="0" applyBorder="0" applyAlignment="0" applyProtection="0">
      <alignment vertical="center"/>
    </xf>
    <xf numFmtId="0" fontId="106" fillId="178" borderId="0" applyNumberFormat="0" applyBorder="0" applyAlignment="0" applyProtection="0">
      <alignment vertical="center"/>
    </xf>
    <xf numFmtId="0" fontId="107" fillId="58" borderId="0" applyNumberFormat="0" applyBorder="0" applyAlignment="0" applyProtection="0">
      <alignment vertical="center"/>
    </xf>
    <xf numFmtId="0" fontId="28" fillId="176" borderId="0" applyNumberFormat="0" applyBorder="0" applyAlignment="0" applyProtection="0">
      <alignment vertical="center"/>
    </xf>
    <xf numFmtId="0" fontId="28" fillId="179" borderId="0" applyNumberFormat="0" applyBorder="0" applyAlignment="0" applyProtection="0">
      <alignment vertical="center"/>
    </xf>
    <xf numFmtId="178" fontId="56" fillId="0" borderId="12" applyNumberFormat="0" applyBorder="0"/>
    <xf numFmtId="178" fontId="62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108" fillId="0" borderId="1">
      <alignment horizontal="center"/>
    </xf>
    <xf numFmtId="0" fontId="108" fillId="0" borderId="1">
      <alignment horizontal="center"/>
    </xf>
    <xf numFmtId="178" fontId="109" fillId="0" borderId="0"/>
    <xf numFmtId="0" fontId="109" fillId="0" borderId="0"/>
    <xf numFmtId="178" fontId="109" fillId="0" borderId="25" applyFill="0">
      <alignment horizontal="center"/>
      <protection locked="0"/>
    </xf>
    <xf numFmtId="0" fontId="109" fillId="0" borderId="25" applyFill="0">
      <alignment horizontal="center"/>
      <protection locked="0"/>
    </xf>
    <xf numFmtId="178" fontId="108" fillId="0" borderId="0" applyFill="0">
      <alignment horizontal="center"/>
      <protection locked="0"/>
    </xf>
    <xf numFmtId="0" fontId="108" fillId="0" borderId="0" applyFill="0">
      <alignment horizontal="center"/>
      <protection locked="0"/>
    </xf>
    <xf numFmtId="178" fontId="108" fillId="180" borderId="0"/>
    <xf numFmtId="0" fontId="108" fillId="180" borderId="0"/>
    <xf numFmtId="178" fontId="108" fillId="0" borderId="0">
      <protection locked="0"/>
    </xf>
    <xf numFmtId="0" fontId="108" fillId="0" borderId="0">
      <protection locked="0"/>
    </xf>
    <xf numFmtId="178" fontId="108" fillId="0" borderId="0"/>
    <xf numFmtId="0" fontId="108" fillId="0" borderId="0"/>
    <xf numFmtId="204" fontId="108" fillId="0" borderId="0"/>
    <xf numFmtId="205" fontId="108" fillId="0" borderId="0"/>
    <xf numFmtId="178" fontId="109" fillId="181" borderId="0">
      <alignment horizontal="right"/>
    </xf>
    <xf numFmtId="0" fontId="109" fillId="181" borderId="0">
      <alignment horizontal="right"/>
    </xf>
    <xf numFmtId="178" fontId="16" fillId="0" borderId="26" applyNumberFormat="0">
      <alignment horizontal="center" vertical="top" wrapText="1"/>
    </xf>
    <xf numFmtId="178" fontId="16" fillId="0" borderId="27">
      <alignment vertical="top"/>
    </xf>
    <xf numFmtId="37" fontId="60" fillId="0" borderId="0" applyNumberFormat="0" applyFont="0" applyFill="0" applyBorder="0" applyProtection="0">
      <alignment horizontal="centerContinuous"/>
    </xf>
    <xf numFmtId="178" fontId="110" fillId="182" borderId="0" applyNumberFormat="0" applyBorder="0" applyAlignment="0" applyProtection="0"/>
    <xf numFmtId="178" fontId="39" fillId="183" borderId="0" applyNumberFormat="0" applyBorder="0" applyAlignment="0" applyProtection="0"/>
    <xf numFmtId="0" fontId="39" fillId="183" borderId="0" applyNumberFormat="0" applyBorder="0" applyAlignment="0" applyProtection="0"/>
    <xf numFmtId="178" fontId="110" fillId="184" borderId="0" applyNumberFormat="0" applyBorder="0" applyAlignment="0" applyProtection="0"/>
    <xf numFmtId="0" fontId="110" fillId="184" borderId="0" applyNumberFormat="0" applyBorder="0" applyAlignment="0" applyProtection="0"/>
    <xf numFmtId="0" fontId="110" fillId="182" borderId="0" applyNumberFormat="0" applyBorder="0" applyAlignment="0" applyProtection="0"/>
    <xf numFmtId="178" fontId="110" fillId="185" borderId="0" applyNumberFormat="0" applyBorder="0" applyAlignment="0" applyProtection="0"/>
    <xf numFmtId="178" fontId="39" fillId="186" borderId="0" applyNumberFormat="0" applyBorder="0" applyAlignment="0" applyProtection="0"/>
    <xf numFmtId="0" fontId="39" fillId="186" borderId="0" applyNumberFormat="0" applyBorder="0" applyAlignment="0" applyProtection="0"/>
    <xf numFmtId="178" fontId="39" fillId="187" borderId="0" applyNumberFormat="0" applyBorder="0" applyAlignment="0" applyProtection="0"/>
    <xf numFmtId="0" fontId="39" fillId="187" borderId="0" applyNumberFormat="0" applyBorder="0" applyAlignment="0" applyProtection="0"/>
    <xf numFmtId="178" fontId="110" fillId="188" borderId="0" applyNumberFormat="0" applyBorder="0" applyAlignment="0" applyProtection="0"/>
    <xf numFmtId="0" fontId="110" fillId="188" borderId="0" applyNumberFormat="0" applyBorder="0" applyAlignment="0" applyProtection="0"/>
    <xf numFmtId="0" fontId="110" fillId="185" borderId="0" applyNumberFormat="0" applyBorder="0" applyAlignment="0" applyProtection="0"/>
    <xf numFmtId="178" fontId="39" fillId="189" borderId="0" applyNumberFormat="0" applyBorder="0" applyAlignment="0" applyProtection="0"/>
    <xf numFmtId="0" fontId="39" fillId="189" borderId="0" applyNumberFormat="0" applyBorder="0" applyAlignment="0" applyProtection="0"/>
    <xf numFmtId="178" fontId="110" fillId="187" borderId="0" applyNumberFormat="0" applyBorder="0" applyAlignment="0" applyProtection="0"/>
    <xf numFmtId="0" fontId="110" fillId="187" borderId="0" applyNumberFormat="0" applyBorder="0" applyAlignment="0" applyProtection="0"/>
    <xf numFmtId="178" fontId="110" fillId="190" borderId="0" applyNumberFormat="0" applyBorder="0" applyAlignment="0" applyProtection="0"/>
    <xf numFmtId="178" fontId="39" fillId="191" borderId="0" applyNumberFormat="0" applyBorder="0" applyAlignment="0" applyProtection="0"/>
    <xf numFmtId="0" fontId="39" fillId="191" borderId="0" applyNumberFormat="0" applyBorder="0" applyAlignment="0" applyProtection="0"/>
    <xf numFmtId="0" fontId="110" fillId="190" borderId="0" applyNumberFormat="0" applyBorder="0" applyAlignment="0" applyProtection="0"/>
    <xf numFmtId="178" fontId="110" fillId="192" borderId="0" applyNumberFormat="0" applyBorder="0" applyAlignment="0" applyProtection="0"/>
    <xf numFmtId="178" fontId="39" fillId="193" borderId="0" applyNumberFormat="0" applyBorder="0" applyAlignment="0" applyProtection="0"/>
    <xf numFmtId="0" fontId="39" fillId="193" borderId="0" applyNumberFormat="0" applyBorder="0" applyAlignment="0" applyProtection="0"/>
    <xf numFmtId="178" fontId="110" fillId="193" borderId="0" applyNumberFormat="0" applyBorder="0" applyAlignment="0" applyProtection="0"/>
    <xf numFmtId="0" fontId="110" fillId="193" borderId="0" applyNumberFormat="0" applyBorder="0" applyAlignment="0" applyProtection="0"/>
    <xf numFmtId="0" fontId="110" fillId="192" borderId="0" applyNumberFormat="0" applyBorder="0" applyAlignment="0" applyProtection="0"/>
    <xf numFmtId="178" fontId="111" fillId="0" borderId="0" applyFont="0" applyFill="0" applyBorder="0" applyAlignment="0" applyProtection="0"/>
    <xf numFmtId="178" fontId="56" fillId="0" borderId="0" applyNumberFormat="0" applyAlignment="0"/>
    <xf numFmtId="0" fontId="112" fillId="0" borderId="0" applyNumberFormat="0" applyFill="0" applyBorder="0" applyAlignment="0" applyProtection="0">
      <alignment vertical="center"/>
    </xf>
    <xf numFmtId="206" fontId="16" fillId="0" borderId="0"/>
    <xf numFmtId="0" fontId="113" fillId="0" borderId="0"/>
    <xf numFmtId="178" fontId="114" fillId="0" borderId="0" applyNumberFormat="0" applyFill="0" applyBorder="0" applyAlignment="0" applyProtection="0">
      <alignment vertical="top"/>
      <protection locked="0"/>
    </xf>
    <xf numFmtId="178" fontId="115" fillId="0" borderId="0">
      <alignment horizontal="center" wrapText="1"/>
      <protection locked="0"/>
    </xf>
    <xf numFmtId="0" fontId="115" fillId="0" borderId="0">
      <alignment horizontal="center" wrapText="1"/>
      <protection locked="0"/>
    </xf>
    <xf numFmtId="0" fontId="16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178" fontId="116" fillId="0" borderId="7">
      <protection hidden="1"/>
    </xf>
    <xf numFmtId="207" fontId="117" fillId="0" borderId="0" applyFont="0" applyFill="0" applyBorder="0" applyAlignment="0" applyProtection="0"/>
    <xf numFmtId="0" fontId="43" fillId="0" borderId="0" applyNumberFormat="0" applyFill="0" applyBorder="0" applyAlignment="0" applyProtection="0">
      <alignment vertical="center"/>
    </xf>
    <xf numFmtId="2" fontId="118" fillId="194" borderId="0">
      <alignment vertical="center"/>
    </xf>
    <xf numFmtId="2" fontId="119" fillId="194" borderId="0">
      <alignment vertical="center"/>
    </xf>
    <xf numFmtId="9" fontId="16" fillId="0" borderId="28" applyNumberFormat="0" applyFont="0" applyFill="0" applyAlignment="0" applyProtection="0"/>
    <xf numFmtId="9" fontId="16" fillId="0" borderId="2" applyNumberFormat="0" applyFont="0" applyFill="0" applyAlignment="0" applyProtection="0"/>
    <xf numFmtId="37" fontId="120" fillId="0" borderId="29" applyNumberFormat="0" applyFont="0" applyFill="0" applyAlignment="0" applyProtection="0">
      <alignment horizontal="centerContinuous"/>
    </xf>
    <xf numFmtId="9" fontId="16" fillId="0" borderId="30" applyNumberFormat="0" applyFont="0" applyFill="0" applyAlignment="0" applyProtection="0"/>
    <xf numFmtId="9" fontId="16" fillId="0" borderId="31" applyNumberFormat="0" applyFont="0" applyFill="0" applyAlignment="0" applyProtection="0"/>
    <xf numFmtId="0" fontId="121" fillId="56" borderId="0" applyNumberFormat="0" applyBorder="0" applyAlignment="0" applyProtection="0"/>
    <xf numFmtId="178" fontId="50" fillId="65" borderId="23" applyNumberFormat="0" applyBorder="0" applyAlignment="0">
      <alignment horizontal="center" vertical="center"/>
      <protection locked="0"/>
    </xf>
    <xf numFmtId="208" fontId="16" fillId="0" borderId="26">
      <alignment vertical="top"/>
      <protection locked="0"/>
    </xf>
    <xf numFmtId="208" fontId="53" fillId="0" borderId="26">
      <alignment vertical="top"/>
    </xf>
    <xf numFmtId="208" fontId="122" fillId="0" borderId="8" applyFont="0" applyFill="0" applyBorder="0" applyAlignment="0">
      <alignment vertical="top"/>
      <protection hidden="1"/>
    </xf>
    <xf numFmtId="178" fontId="37" fillId="0" borderId="0" applyBorder="0">
      <alignment horizontal="left" vertical="top" wrapText="1"/>
      <protection locked="0"/>
    </xf>
    <xf numFmtId="178" fontId="37" fillId="0" borderId="0" applyBorder="0">
      <alignment vertical="top"/>
      <protection locked="0"/>
    </xf>
    <xf numFmtId="209" fontId="123" fillId="0" borderId="0" applyBorder="0">
      <alignment vertical="top"/>
      <protection locked="0"/>
    </xf>
    <xf numFmtId="1" fontId="37" fillId="48" borderId="0" applyBorder="0">
      <alignment vertical="top"/>
    </xf>
    <xf numFmtId="178" fontId="16" fillId="0" borderId="26" applyNumberFormat="0">
      <alignment horizontal="left" vertical="top" wrapText="1"/>
    </xf>
    <xf numFmtId="178" fontId="124" fillId="0" borderId="0" applyNumberFormat="0" applyFill="0" applyBorder="0" applyAlignment="0" applyProtection="0"/>
    <xf numFmtId="178" fontId="125" fillId="0" borderId="0" applyNumberFormat="0" applyFill="0" applyBorder="0" applyAlignment="0" applyProtection="0">
      <protection locked="0"/>
    </xf>
    <xf numFmtId="210" fontId="60" fillId="0" borderId="0" applyFont="0" applyFill="0" applyBorder="0" applyAlignment="0" applyProtection="0"/>
    <xf numFmtId="211" fontId="60" fillId="0" borderId="0" applyFont="0" applyFill="0" applyBorder="0" applyAlignment="0" applyProtection="0"/>
    <xf numFmtId="199" fontId="60" fillId="0" borderId="0" applyFont="0" applyFill="0" applyBorder="0" applyAlignment="0" applyProtection="0"/>
    <xf numFmtId="212" fontId="60" fillId="0" borderId="0" applyFont="0" applyFill="0" applyBorder="0" applyAlignment="0" applyProtection="0"/>
    <xf numFmtId="213" fontId="60" fillId="0" borderId="0" applyFont="0" applyFill="0" applyBorder="0" applyAlignment="0" applyProtection="0"/>
    <xf numFmtId="214" fontId="60" fillId="0" borderId="0" applyFont="0" applyFill="0" applyBorder="0" applyAlignment="0" applyProtection="0"/>
    <xf numFmtId="215" fontId="60" fillId="0" borderId="0" applyFont="0" applyFill="0" applyBorder="0" applyAlignment="0" applyProtection="0"/>
    <xf numFmtId="216" fontId="60" fillId="0" borderId="0" applyFont="0" applyFill="0" applyBorder="0" applyAlignment="0" applyProtection="0"/>
    <xf numFmtId="178" fontId="126" fillId="0" borderId="27" applyNumberFormat="0" applyFill="0" applyBorder="0" applyAlignment="0" applyProtection="0">
      <protection locked="0"/>
    </xf>
    <xf numFmtId="217" fontId="47" fillId="0" borderId="11" applyAlignment="0" applyProtection="0"/>
    <xf numFmtId="218" fontId="127" fillId="0" borderId="0" applyFont="0" applyFill="0" applyBorder="0" applyAlignment="0" applyProtection="0"/>
    <xf numFmtId="199" fontId="38" fillId="53" borderId="0"/>
    <xf numFmtId="178" fontId="117" fillId="0" borderId="0"/>
    <xf numFmtId="210" fontId="128" fillId="0" borderId="0" applyFont="0" applyFill="0" applyBorder="0" applyAlignment="0" applyProtection="0">
      <alignment horizontal="right"/>
    </xf>
    <xf numFmtId="199" fontId="38" fillId="0" borderId="0"/>
    <xf numFmtId="219" fontId="129" fillId="0" borderId="0" applyNumberFormat="0"/>
    <xf numFmtId="199" fontId="130" fillId="0" borderId="0"/>
    <xf numFmtId="210" fontId="131" fillId="48" borderId="32" applyNumberFormat="0" applyFont="0" applyBorder="0">
      <alignment horizontal="right"/>
    </xf>
    <xf numFmtId="212" fontId="16" fillId="0" borderId="0" applyFont="0" applyFill="0" applyBorder="0" applyAlignment="0" applyProtection="0"/>
    <xf numFmtId="214" fontId="16" fillId="0" borderId="0" applyFont="0" applyFill="0" applyBorder="0" applyAlignment="0" applyProtection="0"/>
    <xf numFmtId="220" fontId="16" fillId="0" borderId="0" applyFont="0" applyFill="0" applyBorder="0" applyAlignment="0" applyProtection="0"/>
    <xf numFmtId="3" fontId="132" fillId="0" borderId="0" applyNumberFormat="0" applyFill="0" applyBorder="0" applyAlignment="0" applyProtection="0"/>
    <xf numFmtId="178" fontId="66" fillId="0" borderId="0" applyFill="0" applyBorder="0" applyAlignment="0"/>
    <xf numFmtId="221" fontId="66" fillId="0" borderId="0" applyFill="0" applyBorder="0" applyAlignment="0"/>
    <xf numFmtId="222" fontId="42" fillId="0" borderId="0" applyFill="0" applyBorder="0" applyAlignment="0"/>
    <xf numFmtId="223" fontId="16" fillId="0" borderId="0" applyFill="0" applyBorder="0" applyAlignment="0"/>
    <xf numFmtId="224" fontId="42" fillId="0" borderId="0" applyFill="0" applyBorder="0" applyAlignment="0"/>
    <xf numFmtId="225" fontId="16" fillId="0" borderId="0" applyFill="0" applyBorder="0" applyAlignment="0"/>
    <xf numFmtId="226" fontId="16" fillId="0" borderId="0" applyFill="0" applyBorder="0" applyAlignment="0"/>
    <xf numFmtId="227" fontId="16" fillId="0" borderId="0" applyFill="0" applyBorder="0" applyAlignment="0"/>
    <xf numFmtId="228" fontId="16" fillId="0" borderId="0" applyFill="0" applyBorder="0" applyAlignment="0"/>
    <xf numFmtId="229" fontId="42" fillId="0" borderId="0" applyFill="0" applyBorder="0" applyAlignment="0"/>
    <xf numFmtId="230" fontId="16" fillId="0" borderId="0" applyFill="0" applyBorder="0" applyAlignment="0"/>
    <xf numFmtId="231" fontId="42" fillId="0" borderId="0" applyFill="0" applyBorder="0" applyAlignment="0"/>
    <xf numFmtId="0" fontId="133" fillId="48" borderId="33" applyNumberFormat="0" applyAlignment="0" applyProtection="0"/>
    <xf numFmtId="186" fontId="134" fillId="48" borderId="33" applyNumberFormat="0" applyAlignment="0" applyProtection="0">
      <alignment vertical="center"/>
    </xf>
    <xf numFmtId="40" fontId="135" fillId="0" borderId="0" applyFont="0" applyFill="0" applyBorder="0" applyAlignment="0" applyProtection="0"/>
    <xf numFmtId="232" fontId="16" fillId="195" borderId="0" applyNumberFormat="0" applyFont="0" applyBorder="0" applyAlignment="0"/>
    <xf numFmtId="178" fontId="136" fillId="0" borderId="0"/>
    <xf numFmtId="0" fontId="136" fillId="0" borderId="0"/>
    <xf numFmtId="0" fontId="26" fillId="0" borderId="0" applyNumberFormat="0" applyFont="0" applyFill="0" applyBorder="0" applyProtection="0">
      <alignment horizontal="center" vertical="center"/>
    </xf>
    <xf numFmtId="0" fontId="137" fillId="52" borderId="34" applyNumberFormat="0" applyAlignment="0" applyProtection="0"/>
    <xf numFmtId="200" fontId="38" fillId="53" borderId="0"/>
    <xf numFmtId="178" fontId="138" fillId="0" borderId="0" applyNumberFormat="0" applyFill="0" applyBorder="0" applyAlignment="0" applyProtection="0"/>
    <xf numFmtId="178" fontId="139" fillId="0" borderId="2" applyNumberFormat="0" applyFill="0" applyProtection="0">
      <alignment horizontal="center"/>
    </xf>
    <xf numFmtId="0" fontId="139" fillId="0" borderId="2" applyNumberFormat="0" applyFill="0" applyProtection="0">
      <alignment horizontal="center"/>
    </xf>
    <xf numFmtId="186" fontId="56" fillId="111" borderId="35">
      <alignment horizontal="center" wrapText="1"/>
    </xf>
    <xf numFmtId="178" fontId="43" fillId="0" borderId="0" applyNumberFormat="0" applyFill="0" applyBorder="0" applyAlignment="0" applyProtection="0"/>
    <xf numFmtId="233" fontId="140" fillId="111" borderId="0" applyNumberFormat="0" applyFont="0" applyBorder="0" applyAlignment="0" applyProtection="0"/>
    <xf numFmtId="178" fontId="50" fillId="0" borderId="6">
      <alignment horizontal="center"/>
    </xf>
    <xf numFmtId="234" fontId="16" fillId="0" borderId="0"/>
    <xf numFmtId="235" fontId="16" fillId="0" borderId="0"/>
    <xf numFmtId="178" fontId="58" fillId="0" borderId="0" applyFont="0" applyFill="0" applyBorder="0" applyAlignment="0" applyProtection="0">
      <alignment horizontal="centerContinuous"/>
    </xf>
    <xf numFmtId="178" fontId="16" fillId="0" borderId="0" applyFont="0" applyFill="0" applyBorder="0" applyAlignment="0" applyProtection="0">
      <alignment horizontal="centerContinuous"/>
    </xf>
    <xf numFmtId="236" fontId="26" fillId="0" borderId="0" applyFont="0" applyFill="0" applyBorder="0" applyAlignment="0" applyProtection="0"/>
    <xf numFmtId="237" fontId="141" fillId="0" borderId="0" applyFont="0" applyFill="0" applyBorder="0" applyAlignment="0" applyProtection="0">
      <alignment vertical="center"/>
    </xf>
    <xf numFmtId="238" fontId="16" fillId="0" borderId="0"/>
    <xf numFmtId="229" fontId="42" fillId="0" borderId="0" applyFont="0" applyFill="0" applyBorder="0" applyAlignment="0" applyProtection="0"/>
    <xf numFmtId="222" fontId="60" fillId="0" borderId="0" applyFont="0" applyFill="0" applyBorder="0" applyAlignment="0" applyProtection="0"/>
    <xf numFmtId="39" fontId="60" fillId="0" borderId="0" applyFont="0" applyFill="0" applyBorder="0" applyAlignment="0" applyProtection="0"/>
    <xf numFmtId="178" fontId="142" fillId="0" borderId="0" applyFont="0" applyFill="0" applyBorder="0" applyAlignment="0" applyProtection="0">
      <alignment horizontal="right"/>
    </xf>
    <xf numFmtId="239" fontId="26" fillId="0" borderId="0" applyFill="0" applyAlignment="0" applyProtection="0"/>
    <xf numFmtId="240" fontId="361" fillId="0" borderId="0" applyFont="0" applyFill="0" applyBorder="0" applyAlignment="0" applyProtection="0"/>
    <xf numFmtId="43" fontId="26" fillId="0" borderId="0" applyFont="0" applyFill="0" applyBorder="0" applyAlignment="0" applyProtection="0"/>
    <xf numFmtId="240" fontId="66" fillId="0" borderId="0" applyFont="0" applyFill="0" applyBorder="0" applyAlignment="0" applyProtection="0"/>
    <xf numFmtId="43" fontId="143" fillId="0" borderId="0" applyFont="0" applyFill="0" applyBorder="0" applyAlignment="0" applyProtection="0">
      <alignment vertical="center"/>
    </xf>
    <xf numFmtId="241" fontId="60" fillId="0" borderId="0"/>
    <xf numFmtId="37" fontId="71" fillId="0" borderId="0" applyFont="0" applyFill="0" applyBorder="0" applyAlignment="0" applyProtection="0"/>
    <xf numFmtId="222" fontId="71" fillId="0" borderId="0" applyFont="0" applyFill="0" applyBorder="0" applyAlignment="0" applyProtection="0"/>
    <xf numFmtId="39" fontId="71" fillId="0" borderId="0" applyFont="0" applyFill="0" applyBorder="0" applyAlignment="0" applyProtection="0"/>
    <xf numFmtId="178" fontId="144" fillId="0" borderId="0" applyNumberFormat="0" applyFill="0" applyBorder="0" applyAlignment="0" applyProtection="0"/>
    <xf numFmtId="0" fontId="145" fillId="0" borderId="0"/>
    <xf numFmtId="178" fontId="146" fillId="0" borderId="0" applyNumberFormat="0" applyAlignment="0">
      <alignment horizontal="left"/>
    </xf>
    <xf numFmtId="0" fontId="146" fillId="0" borderId="0" applyNumberFormat="0" applyAlignment="0">
      <alignment horizontal="left"/>
    </xf>
    <xf numFmtId="178" fontId="67" fillId="0" borderId="0" applyNumberFormat="0" applyAlignment="0"/>
    <xf numFmtId="0" fontId="67" fillId="0" borderId="0" applyNumberFormat="0" applyAlignment="0"/>
    <xf numFmtId="242" fontId="41" fillId="0" borderId="0" applyFont="0" applyFill="0" applyBorder="0" applyAlignment="0" applyProtection="0"/>
    <xf numFmtId="236" fontId="84" fillId="0" borderId="0" applyFont="0" applyFill="0" applyBorder="0" applyAlignment="0" applyProtection="0"/>
    <xf numFmtId="243" fontId="16" fillId="0" borderId="0"/>
    <xf numFmtId="222" fontId="42" fillId="0" borderId="0" applyFont="0" applyFill="0" applyBorder="0" applyAlignment="0" applyProtection="0"/>
    <xf numFmtId="244" fontId="60" fillId="0" borderId="0" applyFont="0" applyFill="0" applyBorder="0" applyAlignment="0" applyProtection="0"/>
    <xf numFmtId="245" fontId="60" fillId="0" borderId="0" applyFont="0" applyFill="0" applyBorder="0" applyAlignment="0" applyProtection="0"/>
    <xf numFmtId="246" fontId="60" fillId="0" borderId="0" applyFont="0" applyFill="0" applyBorder="0" applyAlignment="0" applyProtection="0"/>
    <xf numFmtId="217" fontId="71" fillId="0" borderId="0" applyFont="0" applyFill="0" applyBorder="0" applyAlignment="0" applyProtection="0"/>
    <xf numFmtId="247" fontId="71" fillId="0" borderId="0" applyFont="0" applyFill="0" applyBorder="0" applyAlignment="0" applyProtection="0"/>
    <xf numFmtId="248" fontId="16" fillId="0" borderId="0" applyFont="0" applyFill="0" applyBorder="0" applyAlignment="0" applyProtection="0"/>
    <xf numFmtId="249" fontId="60" fillId="0" borderId="0"/>
    <xf numFmtId="247" fontId="147" fillId="0" borderId="0" applyFill="0" applyBorder="0" applyProtection="0"/>
    <xf numFmtId="15" fontId="56" fillId="0" borderId="0" applyFill="0" applyBorder="0" applyProtection="0">
      <alignment horizontal="center" vertical="center"/>
    </xf>
    <xf numFmtId="250" fontId="60" fillId="0" borderId="0" applyFont="0" applyFill="0" applyBorder="0" applyAlignment="0" applyProtection="0"/>
    <xf numFmtId="251" fontId="60" fillId="0" borderId="0" applyFont="0" applyFill="0" applyBorder="0" applyAlignment="0" applyProtection="0"/>
    <xf numFmtId="252" fontId="60" fillId="0" borderId="0" applyFont="0" applyFill="0" applyBorder="0" applyAlignment="0" applyProtection="0"/>
    <xf numFmtId="253" fontId="60" fillId="0" borderId="0" applyFont="0" applyFill="0" applyBorder="0" applyAlignment="0" applyProtection="0"/>
    <xf numFmtId="254" fontId="148" fillId="0" borderId="2" applyFont="0" applyFill="0" applyBorder="0" applyAlignment="0" applyProtection="0">
      <alignment horizontal="right"/>
    </xf>
    <xf numFmtId="255" fontId="16" fillId="0" borderId="0">
      <protection locked="0"/>
    </xf>
    <xf numFmtId="178" fontId="142" fillId="0" borderId="0" applyFont="0" applyFill="0" applyBorder="0" applyAlignment="0" applyProtection="0"/>
    <xf numFmtId="14" fontId="66" fillId="0" borderId="0" applyFill="0" applyBorder="0" applyAlignment="0"/>
    <xf numFmtId="15" fontId="125" fillId="0" borderId="0" applyFont="0" applyFill="0" applyBorder="0" applyAlignment="0" applyProtection="0">
      <protection locked="0"/>
    </xf>
    <xf numFmtId="14" fontId="149" fillId="0" borderId="0">
      <alignment horizontal="right"/>
      <protection locked="0"/>
    </xf>
    <xf numFmtId="236" fontId="150" fillId="0" borderId="0"/>
    <xf numFmtId="256" fontId="150" fillId="0" borderId="0"/>
    <xf numFmtId="0" fontId="26" fillId="0" borderId="0" applyNumberFormat="0" applyFont="0" applyFill="0" applyBorder="0" applyProtection="0">
      <alignment horizontal="left" vertical="center" indent="2"/>
    </xf>
    <xf numFmtId="0" fontId="151" fillId="0" borderId="0" applyNumberFormat="0" applyFill="0" applyBorder="0" applyAlignment="0" applyProtection="0">
      <alignment vertical="center"/>
    </xf>
    <xf numFmtId="38" fontId="135" fillId="0" borderId="36">
      <alignment vertical="center"/>
    </xf>
    <xf numFmtId="237" fontId="16" fillId="0" borderId="0" applyFont="0" applyFill="0" applyBorder="0" applyAlignment="0" applyProtection="0"/>
    <xf numFmtId="185" fontId="16" fillId="0" borderId="0" applyFont="0" applyFill="0" applyBorder="0" applyAlignment="0" applyProtection="0"/>
    <xf numFmtId="0" fontId="152" fillId="0" borderId="0">
      <protection locked="0"/>
    </xf>
    <xf numFmtId="257" fontId="153" fillId="0" borderId="0"/>
    <xf numFmtId="258" fontId="60" fillId="0" borderId="0"/>
    <xf numFmtId="259" fontId="115" fillId="0" borderId="0"/>
    <xf numFmtId="259" fontId="154" fillId="0" borderId="0">
      <protection locked="0"/>
    </xf>
    <xf numFmtId="247" fontId="115" fillId="0" borderId="0"/>
    <xf numFmtId="236" fontId="60" fillId="0" borderId="0"/>
    <xf numFmtId="178" fontId="142" fillId="0" borderId="37" applyNumberFormat="0" applyFont="0" applyFill="0" applyAlignment="0" applyProtection="0"/>
    <xf numFmtId="236" fontId="155" fillId="0" borderId="0" applyFill="0" applyBorder="0" applyAlignment="0" applyProtection="0"/>
    <xf numFmtId="3" fontId="122" fillId="115" borderId="7">
      <protection locked="0"/>
    </xf>
    <xf numFmtId="3" fontId="156" fillId="62" borderId="7"/>
    <xf numFmtId="0" fontId="157" fillId="196" borderId="0" applyNumberFormat="0" applyBorder="0" applyAlignment="0" applyProtection="0"/>
    <xf numFmtId="0" fontId="157" fillId="197" borderId="0" applyNumberFormat="0" applyBorder="0" applyAlignment="0" applyProtection="0"/>
    <xf numFmtId="0" fontId="157" fillId="198" borderId="0" applyNumberFormat="0" applyBorder="0" applyAlignment="0" applyProtection="0"/>
    <xf numFmtId="0" fontId="158" fillId="0" borderId="0">
      <protection locked="0"/>
    </xf>
    <xf numFmtId="178" fontId="132" fillId="0" borderId="0" applyFill="0" applyBorder="0" applyAlignment="0"/>
    <xf numFmtId="178" fontId="159" fillId="0" borderId="0" applyNumberFormat="0" applyAlignment="0">
      <alignment horizontal="left"/>
    </xf>
    <xf numFmtId="0" fontId="159" fillId="0" borderId="0" applyNumberFormat="0" applyAlignment="0">
      <alignment horizontal="left"/>
    </xf>
    <xf numFmtId="178" fontId="160" fillId="0" borderId="0">
      <alignment horizontal="left"/>
    </xf>
    <xf numFmtId="0" fontId="160" fillId="0" borderId="0">
      <alignment horizontal="left"/>
    </xf>
    <xf numFmtId="178" fontId="56" fillId="62" borderId="1"/>
    <xf numFmtId="0" fontId="56" fillId="62" borderId="1"/>
    <xf numFmtId="233" fontId="161" fillId="0" borderId="0">
      <alignment horizontal="right"/>
    </xf>
    <xf numFmtId="260" fontId="161" fillId="0" borderId="0">
      <alignment horizontal="right"/>
    </xf>
    <xf numFmtId="261" fontId="5" fillId="0" borderId="0" applyFont="0" applyFill="0" applyBorder="0" applyAlignment="0" applyProtection="0"/>
    <xf numFmtId="0" fontId="162" fillId="0" borderId="0" applyNumberFormat="0" applyFill="0" applyBorder="0" applyAlignment="0" applyProtection="0"/>
    <xf numFmtId="178" fontId="38" fillId="0" borderId="0" applyNumberFormat="0" applyFill="0" applyBorder="0" applyAlignment="0" applyProtection="0"/>
    <xf numFmtId="49" fontId="80" fillId="0" borderId="0" applyNumberFormat="0" applyFill="0" applyBorder="0" applyProtection="0">
      <alignment horizontal="center" vertical="top"/>
    </xf>
    <xf numFmtId="262" fontId="163" fillId="0" borderId="0" applyBorder="0">
      <alignment horizontal="right" vertical="top"/>
    </xf>
    <xf numFmtId="263" fontId="80" fillId="0" borderId="0" applyBorder="0">
      <alignment horizontal="right" vertical="top"/>
    </xf>
    <xf numFmtId="263" fontId="163" fillId="0" borderId="0" applyBorder="0">
      <alignment horizontal="right" vertical="top"/>
    </xf>
    <xf numFmtId="264" fontId="80" fillId="0" borderId="0" applyFill="0" applyBorder="0">
      <alignment horizontal="right" vertical="top"/>
    </xf>
    <xf numFmtId="265" fontId="80" fillId="0" borderId="0" applyFill="0" applyBorder="0">
      <alignment horizontal="right" vertical="top"/>
    </xf>
    <xf numFmtId="266" fontId="80" fillId="0" borderId="0" applyFill="0" applyBorder="0">
      <alignment horizontal="right" vertical="top"/>
    </xf>
    <xf numFmtId="267" fontId="80" fillId="0" borderId="0" applyFill="0" applyBorder="0">
      <alignment horizontal="right" vertical="top"/>
    </xf>
    <xf numFmtId="178" fontId="164" fillId="0" borderId="0">
      <alignment horizontal="left"/>
    </xf>
    <xf numFmtId="178" fontId="164" fillId="0" borderId="20">
      <alignment horizontal="right" wrapText="1"/>
    </xf>
    <xf numFmtId="195" fontId="68" fillId="0" borderId="20">
      <alignment horizontal="left"/>
    </xf>
    <xf numFmtId="178" fontId="165" fillId="0" borderId="0">
      <alignment vertical="center"/>
    </xf>
    <xf numFmtId="268" fontId="165" fillId="0" borderId="0">
      <alignment horizontal="left" vertical="center"/>
    </xf>
    <xf numFmtId="269" fontId="166" fillId="0" borderId="0">
      <alignment vertical="center"/>
    </xf>
    <xf numFmtId="178" fontId="88" fillId="0" borderId="0">
      <alignment vertical="center"/>
    </xf>
    <xf numFmtId="195" fontId="167" fillId="0" borderId="0" applyFill="0" applyBorder="0">
      <alignment vertical="top"/>
    </xf>
    <xf numFmtId="195" fontId="168" fillId="0" borderId="0" applyFill="0" applyBorder="0" applyProtection="0">
      <alignment vertical="top"/>
    </xf>
    <xf numFmtId="195" fontId="169" fillId="0" borderId="0">
      <alignment vertical="top"/>
    </xf>
    <xf numFmtId="195" fontId="80" fillId="0" borderId="0">
      <alignment horizontal="center"/>
    </xf>
    <xf numFmtId="195" fontId="170" fillId="0" borderId="20">
      <alignment horizontal="center"/>
    </xf>
    <xf numFmtId="237" fontId="80" fillId="0" borderId="20" applyFill="0" applyBorder="0" applyProtection="0">
      <alignment horizontal="right" vertical="top"/>
    </xf>
    <xf numFmtId="268" fontId="84" fillId="0" borderId="0">
      <alignment horizontal="left" vertical="center"/>
    </xf>
    <xf numFmtId="195" fontId="84" fillId="0" borderId="0"/>
    <xf numFmtId="195" fontId="91" fillId="0" borderId="0"/>
    <xf numFmtId="195" fontId="171" fillId="0" borderId="0"/>
    <xf numFmtId="195" fontId="16" fillId="0" borderId="0"/>
    <xf numFmtId="195" fontId="172" fillId="0" borderId="0">
      <alignment horizontal="left" vertical="top"/>
    </xf>
    <xf numFmtId="178" fontId="80" fillId="0" borderId="0" applyFill="0" applyBorder="0">
      <alignment horizontal="left" vertical="top" wrapText="1"/>
    </xf>
    <xf numFmtId="178" fontId="173" fillId="0" borderId="0">
      <alignment horizontal="left" vertical="top" wrapText="1"/>
    </xf>
    <xf numFmtId="178" fontId="174" fillId="0" borderId="0">
      <alignment horizontal="left" vertical="top" wrapText="1"/>
    </xf>
    <xf numFmtId="178" fontId="163" fillId="0" borderId="0">
      <alignment horizontal="left" vertical="top" wrapText="1"/>
    </xf>
    <xf numFmtId="178" fontId="175" fillId="0" borderId="0"/>
    <xf numFmtId="270" fontId="16" fillId="0" borderId="0" applyFill="0" applyBorder="0" applyAlignment="0" applyProtection="0"/>
    <xf numFmtId="2" fontId="16" fillId="0" borderId="0" applyFill="0" applyBorder="0" applyAlignment="0" applyProtection="0"/>
    <xf numFmtId="3" fontId="16" fillId="0" borderId="0" applyFill="0" applyBorder="0" applyAlignment="0" applyProtection="0"/>
    <xf numFmtId="2" fontId="16" fillId="0" borderId="0" applyFont="0" applyFill="0" applyBorder="0" applyAlignment="0" applyProtection="0"/>
    <xf numFmtId="271" fontId="147" fillId="0" borderId="0" applyFill="0" applyBorder="0" applyProtection="0"/>
    <xf numFmtId="178" fontId="176" fillId="0" borderId="0" applyFill="0" applyBorder="0" applyProtection="0">
      <alignment horizontal="left"/>
    </xf>
    <xf numFmtId="272" fontId="56" fillId="70" borderId="1" applyFont="0" applyBorder="0" applyAlignment="0" applyProtection="0">
      <alignment vertical="top"/>
    </xf>
    <xf numFmtId="273" fontId="60" fillId="0" borderId="0" applyFont="0" applyFill="0" applyBorder="0" applyAlignment="0" applyProtection="0"/>
    <xf numFmtId="274" fontId="60" fillId="0" borderId="0" applyFont="0" applyFill="0" applyBorder="0" applyAlignment="0" applyProtection="0"/>
    <xf numFmtId="275" fontId="60" fillId="0" borderId="0" applyFont="0" applyFill="0" applyBorder="0" applyAlignment="0" applyProtection="0"/>
    <xf numFmtId="276" fontId="177" fillId="0" borderId="0" applyNumberFormat="0" applyFill="0" applyBorder="0" applyAlignment="0" applyProtection="0"/>
    <xf numFmtId="277" fontId="178" fillId="0" borderId="0" applyFont="0" applyFill="0" applyBorder="0" applyAlignment="0" applyProtection="0">
      <alignment horizontal="left"/>
    </xf>
    <xf numFmtId="278" fontId="179" fillId="0" borderId="0" applyFont="0" applyFill="0" applyBorder="0" applyAlignment="0" applyProtection="0"/>
    <xf numFmtId="178" fontId="135" fillId="0" borderId="0" applyFont="0" applyFill="0" applyBorder="0" applyProtection="0"/>
    <xf numFmtId="178" fontId="16" fillId="0" borderId="26" applyNumberFormat="0">
      <alignment horizontal="center" vertical="top"/>
    </xf>
    <xf numFmtId="178" fontId="37" fillId="48" borderId="0" applyBorder="0">
      <alignment vertical="top"/>
      <protection locked="0"/>
    </xf>
    <xf numFmtId="0" fontId="180" fillId="0" borderId="0"/>
    <xf numFmtId="0" fontId="181" fillId="0" borderId="0"/>
    <xf numFmtId="0" fontId="182" fillId="50" borderId="0" applyNumberFormat="0" applyBorder="0" applyAlignment="0" applyProtection="0"/>
    <xf numFmtId="38" fontId="56" fillId="48" borderId="0" applyNumberFormat="0" applyBorder="0" applyAlignment="0" applyProtection="0"/>
    <xf numFmtId="178" fontId="16" fillId="0" borderId="2" applyFill="0" applyProtection="0">
      <alignment horizontal="centerContinuous"/>
    </xf>
    <xf numFmtId="0" fontId="43" fillId="0" borderId="0" applyNumberFormat="0" applyFill="0" applyBorder="0" applyProtection="0">
      <alignment horizontal="left" vertical="center"/>
    </xf>
    <xf numFmtId="178" fontId="183" fillId="48" borderId="0" applyBorder="0">
      <alignment horizontal="left" vertical="top" wrapText="1"/>
    </xf>
    <xf numFmtId="178" fontId="184" fillId="0" borderId="0" applyProtection="0">
      <alignment horizontal="right"/>
    </xf>
    <xf numFmtId="0" fontId="185" fillId="0" borderId="0">
      <alignment horizontal="left"/>
    </xf>
    <xf numFmtId="178" fontId="85" fillId="0" borderId="38" applyNumberFormat="0" applyAlignment="0" applyProtection="0">
      <alignment horizontal="left" vertical="center"/>
    </xf>
    <xf numFmtId="0" fontId="85" fillId="0" borderId="38" applyNumberFormat="0" applyAlignment="0" applyProtection="0">
      <alignment horizontal="left" vertical="center"/>
    </xf>
    <xf numFmtId="178" fontId="85" fillId="0" borderId="5">
      <alignment horizontal="left" vertical="center"/>
    </xf>
    <xf numFmtId="0" fontId="85" fillId="0" borderId="5">
      <alignment horizontal="left" vertical="center"/>
    </xf>
    <xf numFmtId="178" fontId="16" fillId="0" borderId="2" applyFill="0" applyProtection="0">
      <alignment horizontal="center" wrapText="1"/>
    </xf>
    <xf numFmtId="0" fontId="186" fillId="0" borderId="39" applyNumberFormat="0" applyFill="0" applyAlignment="0" applyProtection="0"/>
    <xf numFmtId="0" fontId="186" fillId="0" borderId="0" applyNumberFormat="0" applyFill="0" applyBorder="0" applyAlignment="0" applyProtection="0"/>
    <xf numFmtId="178" fontId="187" fillId="0" borderId="0"/>
    <xf numFmtId="192" fontId="60" fillId="0" borderId="0" applyFont="0" applyFill="0" applyBorder="0" applyAlignment="0" applyProtection="0"/>
    <xf numFmtId="178" fontId="16" fillId="0" borderId="0">
      <alignment horizontal="center"/>
    </xf>
    <xf numFmtId="178" fontId="149" fillId="0" borderId="0" applyNumberFormat="0" applyFill="0" applyBorder="0" applyAlignment="0" applyProtection="0">
      <alignment vertical="top"/>
      <protection locked="0"/>
    </xf>
    <xf numFmtId="0" fontId="188" fillId="58" borderId="33" applyNumberFormat="0" applyAlignment="0" applyProtection="0"/>
    <xf numFmtId="10" fontId="56" fillId="70" borderId="1" applyNumberFormat="0" applyBorder="0" applyAlignment="0" applyProtection="0"/>
    <xf numFmtId="10" fontId="56" fillId="49" borderId="1" applyNumberFormat="0" applyBorder="0" applyAlignment="0" applyProtection="0"/>
    <xf numFmtId="186" fontId="189" fillId="58" borderId="33" applyNumberFormat="0" applyAlignment="0" applyProtection="0">
      <alignment vertical="center"/>
    </xf>
    <xf numFmtId="222" fontId="175" fillId="199" borderId="0"/>
    <xf numFmtId="279" fontId="56" fillId="49" borderId="0" applyNumberFormat="0" applyFont="0" applyBorder="0" applyAlignment="0" applyProtection="0">
      <alignment horizontal="center"/>
      <protection locked="0"/>
    </xf>
    <xf numFmtId="197" fontId="56" fillId="49" borderId="2" applyNumberFormat="0" applyFont="0" applyAlignment="0" applyProtection="0">
      <alignment horizontal="center"/>
      <protection locked="0"/>
    </xf>
    <xf numFmtId="178" fontId="190" fillId="0" borderId="0"/>
    <xf numFmtId="1" fontId="16" fillId="0" borderId="26">
      <alignment horizontal="center" vertical="top"/>
    </xf>
    <xf numFmtId="280" fontId="115" fillId="0" borderId="0">
      <alignment horizontal="left"/>
    </xf>
    <xf numFmtId="2" fontId="53" fillId="0" borderId="1"/>
    <xf numFmtId="178" fontId="49" fillId="0" borderId="2" applyNumberFormat="0" applyFont="0" applyFill="0" applyAlignment="0" applyProtection="0"/>
    <xf numFmtId="178" fontId="191" fillId="0" borderId="0" applyFill="0" applyBorder="0" applyAlignment="0"/>
    <xf numFmtId="0" fontId="192" fillId="0" borderId="40" applyNumberFormat="0" applyFill="0" applyAlignment="0" applyProtection="0"/>
    <xf numFmtId="222" fontId="193" fillId="200" borderId="0"/>
    <xf numFmtId="229" fontId="38" fillId="0" borderId="0">
      <alignment horizontal="justify"/>
    </xf>
    <xf numFmtId="178" fontId="194" fillId="0" borderId="7">
      <alignment horizontal="left"/>
      <protection locked="0"/>
    </xf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281" fontId="16" fillId="0" borderId="0" applyFont="0" applyFill="0" applyBorder="0" applyAlignment="0" applyProtection="0"/>
    <xf numFmtId="222" fontId="195" fillId="0" borderId="0"/>
    <xf numFmtId="178" fontId="196" fillId="55" borderId="0" applyBorder="0" applyAlignment="0">
      <alignment horizontal="center"/>
    </xf>
    <xf numFmtId="178" fontId="197" fillId="0" borderId="25"/>
    <xf numFmtId="0" fontId="197" fillId="0" borderId="25"/>
    <xf numFmtId="282" fontId="38" fillId="0" borderId="0" applyFont="0" applyFill="0" applyBorder="0" applyAlignment="0" applyProtection="0"/>
    <xf numFmtId="283" fontId="38" fillId="0" borderId="0" applyFont="0" applyFill="0" applyBorder="0" applyAlignment="0" applyProtection="0"/>
    <xf numFmtId="229" fontId="16" fillId="0" borderId="0" applyFont="0" applyFill="0" applyBorder="0" applyAlignment="0" applyProtection="0"/>
    <xf numFmtId="247" fontId="16" fillId="0" borderId="0" applyFill="0" applyBorder="0" applyAlignment="0" applyProtection="0"/>
    <xf numFmtId="217" fontId="16" fillId="0" borderId="0" applyFill="0" applyBorder="0" applyAlignment="0" applyProtection="0"/>
    <xf numFmtId="284" fontId="16" fillId="0" borderId="2" applyFont="0" applyFill="0" applyBorder="0" applyAlignment="0" applyProtection="0">
      <alignment horizontal="centerContinuous"/>
    </xf>
    <xf numFmtId="219" fontId="38" fillId="0" borderId="0" applyNumberFormat="0" applyFill="0" applyBorder="0"/>
    <xf numFmtId="200" fontId="198" fillId="0" borderId="41">
      <alignment horizontal="right"/>
    </xf>
    <xf numFmtId="219" fontId="16" fillId="0" borderId="0" applyFont="0" applyFill="0" applyBorder="0" applyAlignment="0" applyProtection="0"/>
    <xf numFmtId="200" fontId="199" fillId="53" borderId="7">
      <alignment horizontal="right" vertical="center"/>
    </xf>
    <xf numFmtId="210" fontId="38" fillId="0" borderId="0" applyNumberFormat="0" applyFont="0" applyAlignment="0">
      <alignment horizontal="right"/>
    </xf>
    <xf numFmtId="199" fontId="38" fillId="53" borderId="21"/>
    <xf numFmtId="219" fontId="200" fillId="0" borderId="0"/>
    <xf numFmtId="37" fontId="38" fillId="0" borderId="0">
      <alignment horizontal="center"/>
    </xf>
    <xf numFmtId="285" fontId="16" fillId="0" borderId="0" applyFont="0" applyFill="0" applyBorder="0" applyAlignment="0" applyProtection="0"/>
    <xf numFmtId="200" fontId="178" fillId="53" borderId="7">
      <alignment horizontal="right"/>
    </xf>
    <xf numFmtId="286" fontId="201" fillId="0" borderId="0" applyFont="0" applyFill="0" applyBorder="0" applyAlignment="0" applyProtection="0"/>
    <xf numFmtId="202" fontId="16" fillId="0" borderId="0" applyFont="0" applyFill="0" applyBorder="0" applyAlignment="0" applyProtection="0"/>
    <xf numFmtId="287" fontId="129" fillId="0" borderId="0"/>
    <xf numFmtId="288" fontId="202" fillId="0" borderId="0" applyFont="0" applyFill="0" applyBorder="0" applyAlignment="0" applyProtection="0"/>
    <xf numFmtId="199" fontId="60" fillId="0" borderId="0"/>
    <xf numFmtId="271" fontId="16" fillId="0" borderId="0" applyFont="0" applyFill="0" applyBorder="0" applyAlignment="0" applyProtection="0"/>
    <xf numFmtId="289" fontId="38" fillId="53" borderId="0"/>
    <xf numFmtId="178" fontId="16" fillId="0" borderId="0" applyNumberFormat="0" applyFill="0" applyBorder="0" applyProtection="0">
      <alignment horizontal="right" vertical="center"/>
    </xf>
    <xf numFmtId="0" fontId="203" fillId="115" borderId="0" applyNumberFormat="0" applyBorder="0" applyAlignment="0" applyProtection="0"/>
    <xf numFmtId="178" fontId="60" fillId="0" borderId="0"/>
    <xf numFmtId="200" fontId="204" fillId="0" borderId="0" applyNumberFormat="0" applyFont="0" applyAlignment="0">
      <alignment horizontal="center"/>
    </xf>
    <xf numFmtId="37" fontId="16" fillId="0" borderId="0" applyFont="0" applyFill="0" applyBorder="0" applyAlignment="0" applyProtection="0"/>
    <xf numFmtId="199" fontId="198" fillId="53" borderId="0"/>
    <xf numFmtId="200" fontId="198" fillId="0" borderId="0">
      <alignment horizontal="right"/>
    </xf>
    <xf numFmtId="37" fontId="205" fillId="0" borderId="0"/>
    <xf numFmtId="180" fontId="26" fillId="0" borderId="0">
      <alignment vertical="center"/>
    </xf>
    <xf numFmtId="280" fontId="206" fillId="0" borderId="0"/>
    <xf numFmtId="197" fontId="26" fillId="0" borderId="0"/>
    <xf numFmtId="178" fontId="361" fillId="0" borderId="0">
      <alignment vertical="center"/>
    </xf>
    <xf numFmtId="290" fontId="26" fillId="0" borderId="0">
      <alignment vertical="center"/>
    </xf>
    <xf numFmtId="178" fontId="141" fillId="0" borderId="0">
      <alignment vertical="center"/>
    </xf>
    <xf numFmtId="178" fontId="361" fillId="0" borderId="0"/>
    <xf numFmtId="178" fontId="39" fillId="0" borderId="0">
      <alignment vertical="center"/>
    </xf>
    <xf numFmtId="178" fontId="66" fillId="0" borderId="0">
      <alignment vertical="center"/>
    </xf>
    <xf numFmtId="222" fontId="200" fillId="0" borderId="0">
      <alignment horizontal="left"/>
      <protection locked="0"/>
    </xf>
    <xf numFmtId="222" fontId="178" fillId="0" borderId="0">
      <alignment horizontal="left"/>
      <protection locked="0"/>
    </xf>
    <xf numFmtId="178" fontId="207" fillId="0" borderId="0" applyFill="0" applyBorder="0" applyAlignment="0" applyProtection="0"/>
    <xf numFmtId="0" fontId="16" fillId="49" borderId="42" applyNumberFormat="0" applyFont="0" applyAlignment="0" applyProtection="0"/>
    <xf numFmtId="186" fontId="99" fillId="49" borderId="42" applyNumberFormat="0" applyFont="0" applyAlignment="0" applyProtection="0">
      <alignment vertical="center"/>
    </xf>
    <xf numFmtId="291" fontId="16" fillId="0" borderId="21">
      <alignment vertical="top"/>
    </xf>
    <xf numFmtId="222" fontId="56" fillId="0" borderId="0"/>
    <xf numFmtId="222" fontId="208" fillId="0" borderId="0">
      <protection locked="0"/>
    </xf>
    <xf numFmtId="280" fontId="115" fillId="0" borderId="0"/>
    <xf numFmtId="1" fontId="50" fillId="0" borderId="0" applyFont="0" applyFill="0" applyBorder="0" applyAlignment="0" applyProtection="0">
      <protection locked="0"/>
    </xf>
    <xf numFmtId="292" fontId="209" fillId="0" borderId="0" applyFill="0" applyBorder="0" applyProtection="0">
      <alignment horizontal="right" vertical="center"/>
    </xf>
    <xf numFmtId="292" fontId="210" fillId="0" borderId="0" applyFill="0" applyBorder="0" applyProtection="0">
      <alignment horizontal="right" vertical="center"/>
    </xf>
    <xf numFmtId="293" fontId="51" fillId="0" borderId="43" applyFont="0" applyFill="0" applyBorder="0" applyAlignment="0">
      <alignment horizontal="left" indent="1"/>
    </xf>
    <xf numFmtId="178" fontId="111" fillId="0" borderId="0"/>
    <xf numFmtId="178" fontId="211" fillId="154" borderId="0" applyBorder="0">
      <alignment horizontal="left" vertical="top" wrapText="1"/>
    </xf>
    <xf numFmtId="38" fontId="212" fillId="0" borderId="0" applyFont="0" applyFill="0" applyBorder="0" applyAlignment="0" applyProtection="0"/>
    <xf numFmtId="0" fontId="99" fillId="0" borderId="0"/>
    <xf numFmtId="197" fontId="16" fillId="0" borderId="0" applyFont="0" applyFill="0" applyBorder="0" applyAlignment="0" applyProtection="0"/>
    <xf numFmtId="178" fontId="88" fillId="49" borderId="3" applyNumberFormat="0">
      <alignment horizontal="left" vertical="center"/>
    </xf>
    <xf numFmtId="178" fontId="55" fillId="0" borderId="0"/>
    <xf numFmtId="0" fontId="213" fillId="48" borderId="44" applyNumberFormat="0" applyAlignment="0" applyProtection="0"/>
    <xf numFmtId="186" fontId="214" fillId="48" borderId="44" applyNumberFormat="0" applyAlignment="0" applyProtection="0">
      <alignment vertical="center"/>
    </xf>
    <xf numFmtId="40" fontId="66" fillId="70" borderId="0">
      <alignment horizontal="right"/>
    </xf>
    <xf numFmtId="178" fontId="126" fillId="48" borderId="0"/>
    <xf numFmtId="199" fontId="38" fillId="0" borderId="0">
      <alignment horizontal="right"/>
    </xf>
    <xf numFmtId="219" fontId="38" fillId="0" borderId="0">
      <alignment horizontal="right"/>
    </xf>
    <xf numFmtId="211" fontId="16" fillId="0" borderId="0" applyFont="0" applyFill="0" applyBorder="0" applyAlignment="0" applyProtection="0"/>
    <xf numFmtId="200" fontId="16" fillId="0" borderId="0" applyFont="0" applyFill="0" applyBorder="0" applyAlignment="0" applyProtection="0"/>
    <xf numFmtId="210" fontId="38" fillId="0" borderId="45" applyNumberFormat="0" applyBorder="0">
      <alignment horizontal="right"/>
    </xf>
    <xf numFmtId="215" fontId="16" fillId="0" borderId="0" applyFont="0" applyFill="0" applyBorder="0" applyAlignment="0" applyProtection="0"/>
    <xf numFmtId="294" fontId="16" fillId="0" borderId="0" applyFont="0" applyFill="0" applyBorder="0" applyAlignment="0" applyProtection="0"/>
    <xf numFmtId="1" fontId="215" fillId="0" borderId="0" applyProtection="0">
      <alignment horizontal="right" vertical="center"/>
    </xf>
    <xf numFmtId="14" fontId="115" fillId="0" borderId="0">
      <alignment horizontal="center" wrapText="1"/>
      <protection locked="0"/>
    </xf>
    <xf numFmtId="227" fontId="16" fillId="0" borderId="0" applyFont="0" applyFill="0" applyBorder="0" applyAlignment="0" applyProtection="0"/>
    <xf numFmtId="228" fontId="16" fillId="0" borderId="0" applyFont="0" applyFill="0" applyBorder="0" applyAlignment="0" applyProtection="0"/>
    <xf numFmtId="295" fontId="16" fillId="0" borderId="0" applyFont="0" applyFill="0" applyBorder="0" applyAlignment="0" applyProtection="0"/>
    <xf numFmtId="296" fontId="16" fillId="0" borderId="0" applyFont="0" applyFill="0" applyBorder="0" applyAlignment="0" applyProtection="0"/>
    <xf numFmtId="297" fontId="60" fillId="0" borderId="0" applyFont="0" applyFill="0" applyBorder="0" applyAlignment="0" applyProtection="0"/>
    <xf numFmtId="10" fontId="1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42" fillId="0" borderId="0" applyFont="0" applyFill="0" applyBorder="0" applyAlignment="0" applyProtection="0"/>
    <xf numFmtId="197" fontId="115" fillId="0" borderId="0"/>
    <xf numFmtId="197" fontId="154" fillId="0" borderId="0"/>
    <xf numFmtId="10" fontId="115" fillId="0" borderId="0"/>
    <xf numFmtId="10" fontId="154" fillId="0" borderId="0">
      <protection locked="0"/>
    </xf>
    <xf numFmtId="9" fontId="135" fillId="0" borderId="46" applyNumberFormat="0" applyBorder="0"/>
    <xf numFmtId="294" fontId="147" fillId="0" borderId="0" applyFill="0" applyBorder="0" applyProtection="0"/>
    <xf numFmtId="178" fontId="63" fillId="0" borderId="0">
      <alignment vertical="top"/>
      <protection hidden="1"/>
    </xf>
    <xf numFmtId="199" fontId="60" fillId="0" borderId="23"/>
    <xf numFmtId="10" fontId="16" fillId="0" borderId="0" applyFill="0" applyBorder="0" applyAlignment="0" applyProtection="0"/>
    <xf numFmtId="13" fontId="16" fillId="0" borderId="0" applyFont="0" applyFill="0" applyProtection="0"/>
    <xf numFmtId="222" fontId="38" fillId="0" borderId="0" applyNumberFormat="0" applyFont="0" applyBorder="0"/>
    <xf numFmtId="178" fontId="56" fillId="48" borderId="1"/>
    <xf numFmtId="0" fontId="56" fillId="48" borderId="1"/>
    <xf numFmtId="178" fontId="216" fillId="0" borderId="0" applyFill="0" applyBorder="0" applyAlignment="0"/>
    <xf numFmtId="4" fontId="160" fillId="0" borderId="0">
      <alignment horizontal="right"/>
    </xf>
    <xf numFmtId="298" fontId="217" fillId="0" borderId="0"/>
    <xf numFmtId="178" fontId="50" fillId="48" borderId="1" applyNumberFormat="0" applyFont="0" applyAlignment="0" applyProtection="0"/>
    <xf numFmtId="279" fontId="56" fillId="48" borderId="0" applyNumberFormat="0" applyFont="0" applyBorder="0" applyAlignment="0" applyProtection="0">
      <alignment horizontal="center"/>
      <protection locked="0"/>
    </xf>
    <xf numFmtId="37" fontId="218" fillId="0" borderId="0" applyNumberFormat="0" applyFill="0" applyBorder="0" applyAlignment="0"/>
    <xf numFmtId="9" fontId="16" fillId="0" borderId="0" applyFont="0" applyFill="0" applyBorder="0" applyAlignment="0" applyProtection="0"/>
    <xf numFmtId="178" fontId="135" fillId="0" borderId="0" applyNumberFormat="0" applyFont="0" applyFill="0" applyBorder="0" applyAlignment="0" applyProtection="0">
      <alignment horizontal="left"/>
    </xf>
    <xf numFmtId="0" fontId="135" fillId="0" borderId="0" applyNumberFormat="0" applyFont="0" applyFill="0" applyBorder="0" applyAlignment="0" applyProtection="0">
      <alignment horizontal="left"/>
    </xf>
    <xf numFmtId="15" fontId="135" fillId="0" borderId="0" applyFont="0" applyFill="0" applyBorder="0" applyAlignment="0" applyProtection="0"/>
    <xf numFmtId="4" fontId="135" fillId="0" borderId="0" applyFont="0" applyFill="0" applyBorder="0" applyAlignment="0" applyProtection="0"/>
    <xf numFmtId="178" fontId="47" fillId="0" borderId="25">
      <alignment horizontal="center"/>
    </xf>
    <xf numFmtId="0" fontId="47" fillId="0" borderId="25">
      <alignment horizontal="center"/>
    </xf>
    <xf numFmtId="3" fontId="135" fillId="0" borderId="0" applyFont="0" applyFill="0" applyBorder="0" applyAlignment="0" applyProtection="0"/>
    <xf numFmtId="178" fontId="135" fillId="201" borderId="0" applyNumberFormat="0" applyFont="0" applyBorder="0" applyAlignment="0" applyProtection="0"/>
    <xf numFmtId="208" fontId="16" fillId="0" borderId="0" applyFill="0" applyBorder="0" applyAlignment="0" applyProtection="0"/>
    <xf numFmtId="299" fontId="38" fillId="0" borderId="0" applyFont="0" applyFill="0" applyBorder="0" applyAlignment="0" applyProtection="0"/>
    <xf numFmtId="300" fontId="38" fillId="0" borderId="0" applyFont="0" applyFill="0" applyBorder="0" applyAlignment="0" applyProtection="0"/>
    <xf numFmtId="301" fontId="38" fillId="0" borderId="0" applyFont="0" applyFill="0" applyBorder="0" applyAlignment="0" applyProtection="0"/>
    <xf numFmtId="302" fontId="38" fillId="0" borderId="0" applyFont="0" applyFill="0" applyBorder="0" applyAlignment="0" applyProtection="0"/>
    <xf numFmtId="3" fontId="219" fillId="0" borderId="27" applyNumberFormat="0" applyFill="0" applyBorder="0" applyAlignment="0" applyProtection="0"/>
    <xf numFmtId="49" fontId="61" fillId="0" borderId="0">
      <alignment horizontal="right"/>
    </xf>
    <xf numFmtId="4" fontId="220" fillId="0" borderId="0">
      <alignment horizontal="right"/>
    </xf>
    <xf numFmtId="303" fontId="38" fillId="0" borderId="0" applyNumberFormat="0" applyFill="0" applyBorder="0" applyAlignment="0" applyProtection="0">
      <alignment horizontal="left"/>
    </xf>
    <xf numFmtId="41" fontId="60" fillId="0" borderId="0" applyFont="0" applyFill="0" applyBorder="0" applyAlignment="0" applyProtection="0"/>
    <xf numFmtId="0" fontId="221" fillId="0" borderId="0" applyNumberFormat="0" applyFill="0" applyBorder="0" applyAlignment="0" applyProtection="0">
      <alignment vertical="center"/>
    </xf>
    <xf numFmtId="0" fontId="361" fillId="0" borderId="0"/>
    <xf numFmtId="0" fontId="361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66" fillId="0" borderId="0">
      <alignment horizontal="center" vertical="center"/>
    </xf>
    <xf numFmtId="4" fontId="222" fillId="115" borderId="47" applyNumberFormat="0" applyProtection="0">
      <alignment vertical="center"/>
    </xf>
    <xf numFmtId="4" fontId="223" fillId="115" borderId="47" applyNumberFormat="0" applyProtection="0">
      <alignment vertical="center"/>
    </xf>
    <xf numFmtId="4" fontId="224" fillId="202" borderId="42">
      <alignment vertical="center"/>
    </xf>
    <xf numFmtId="4" fontId="225" fillId="202" borderId="42">
      <alignment vertical="center"/>
    </xf>
    <xf numFmtId="4" fontId="224" fillId="203" borderId="42">
      <alignment vertical="center"/>
    </xf>
    <xf numFmtId="4" fontId="225" fillId="203" borderId="42">
      <alignment vertical="center"/>
    </xf>
    <xf numFmtId="4" fontId="222" fillId="115" borderId="47" applyNumberFormat="0" applyProtection="0">
      <alignment horizontal="left" vertical="center" indent="1"/>
    </xf>
    <xf numFmtId="178" fontId="222" fillId="115" borderId="47" applyNumberFormat="0" applyProtection="0">
      <alignment horizontal="left" vertical="top" indent="1"/>
    </xf>
    <xf numFmtId="0" fontId="222" fillId="115" borderId="47" applyNumberFormat="0" applyProtection="0">
      <alignment horizontal="left" vertical="top" indent="1"/>
    </xf>
    <xf numFmtId="4" fontId="222" fillId="204" borderId="0" applyNumberFormat="0" applyProtection="0">
      <alignment horizontal="left" vertical="center" indent="1"/>
    </xf>
    <xf numFmtId="4" fontId="226" fillId="203" borderId="48" applyNumberFormat="0" applyProtection="0">
      <alignment vertical="center"/>
    </xf>
    <xf numFmtId="4" fontId="66" fillId="56" borderId="47" applyNumberFormat="0" applyProtection="0">
      <alignment horizontal="right" vertical="center"/>
    </xf>
    <xf numFmtId="4" fontId="66" fillId="112" borderId="47" applyNumberFormat="0" applyProtection="0">
      <alignment horizontal="right" vertical="center"/>
    </xf>
    <xf numFmtId="4" fontId="66" fillId="203" borderId="47" applyNumberFormat="0" applyProtection="0">
      <alignment horizontal="right" vertical="center"/>
    </xf>
    <xf numFmtId="4" fontId="19" fillId="58" borderId="48" applyNumberFormat="0" applyProtection="0">
      <alignment vertical="center"/>
    </xf>
    <xf numFmtId="4" fontId="66" fillId="114" borderId="47" applyNumberFormat="0" applyProtection="0">
      <alignment horizontal="right" vertical="center"/>
    </xf>
    <xf numFmtId="4" fontId="66" fillId="118" borderId="47" applyNumberFormat="0" applyProtection="0">
      <alignment horizontal="right" vertical="center"/>
    </xf>
    <xf numFmtId="4" fontId="66" fillId="205" borderId="47" applyNumberFormat="0" applyProtection="0">
      <alignment horizontal="right" vertical="center"/>
    </xf>
    <xf numFmtId="4" fontId="226" fillId="202" borderId="48" applyNumberFormat="0" applyProtection="0">
      <alignment vertical="center"/>
    </xf>
    <xf numFmtId="4" fontId="66" fillId="206" borderId="47" applyNumberFormat="0" applyProtection="0">
      <alignment horizontal="right" vertical="center"/>
    </xf>
    <xf numFmtId="4" fontId="66" fillId="207" borderId="47" applyNumberFormat="0" applyProtection="0">
      <alignment horizontal="right" vertical="center"/>
    </xf>
    <xf numFmtId="4" fontId="66" fillId="113" borderId="47" applyNumberFormat="0" applyProtection="0">
      <alignment horizontal="right" vertical="center"/>
    </xf>
    <xf numFmtId="4" fontId="227" fillId="203" borderId="48" applyNumberFormat="0" applyProtection="0">
      <alignment vertical="center"/>
    </xf>
    <xf numFmtId="4" fontId="222" fillId="208" borderId="49" applyNumberFormat="0" applyProtection="0">
      <alignment horizontal="left" vertical="center" indent="1"/>
    </xf>
    <xf numFmtId="4" fontId="66" fillId="209" borderId="0" applyNumberFormat="0" applyProtection="0">
      <alignment horizontal="left" vertical="center" indent="1"/>
    </xf>
    <xf numFmtId="4" fontId="228" fillId="53" borderId="0" applyNumberFormat="0" applyProtection="0">
      <alignment horizontal="left" vertical="center" indent="1"/>
    </xf>
    <xf numFmtId="4" fontId="66" fillId="204" borderId="47" applyNumberFormat="0" applyProtection="0">
      <alignment horizontal="right" vertical="center"/>
    </xf>
    <xf numFmtId="4" fontId="229" fillId="70" borderId="48">
      <alignment horizontal="left" vertical="center" indent="1"/>
    </xf>
    <xf numFmtId="4" fontId="66" fillId="204" borderId="0" applyNumberFormat="0" applyProtection="0">
      <alignment horizontal="left" vertical="center" indent="1"/>
    </xf>
    <xf numFmtId="178" fontId="16" fillId="53" borderId="47" applyNumberFormat="0" applyProtection="0">
      <alignment horizontal="left" vertical="center" indent="1"/>
    </xf>
    <xf numFmtId="0" fontId="16" fillId="53" borderId="47" applyNumberFormat="0" applyProtection="0">
      <alignment horizontal="left" vertical="center" indent="1"/>
    </xf>
    <xf numFmtId="178" fontId="16" fillId="53" borderId="47" applyNumberFormat="0" applyProtection="0">
      <alignment horizontal="left" vertical="top" indent="1"/>
    </xf>
    <xf numFmtId="0" fontId="16" fillId="53" borderId="47" applyNumberFormat="0" applyProtection="0">
      <alignment horizontal="left" vertical="top" indent="1"/>
    </xf>
    <xf numFmtId="178" fontId="16" fillId="204" borderId="47" applyNumberFormat="0" applyProtection="0">
      <alignment horizontal="left" vertical="center" indent="1"/>
    </xf>
    <xf numFmtId="0" fontId="16" fillId="204" borderId="47" applyNumberFormat="0" applyProtection="0">
      <alignment horizontal="left" vertical="center" indent="1"/>
    </xf>
    <xf numFmtId="178" fontId="16" fillId="204" borderId="47" applyNumberFormat="0" applyProtection="0">
      <alignment horizontal="left" vertical="top" indent="1"/>
    </xf>
    <xf numFmtId="0" fontId="16" fillId="204" borderId="47" applyNumberFormat="0" applyProtection="0">
      <alignment horizontal="left" vertical="top" indent="1"/>
    </xf>
    <xf numFmtId="178" fontId="16" fillId="111" borderId="47" applyNumberFormat="0" applyProtection="0">
      <alignment horizontal="left" vertical="center" indent="1"/>
    </xf>
    <xf numFmtId="0" fontId="16" fillId="111" borderId="47" applyNumberFormat="0" applyProtection="0">
      <alignment horizontal="left" vertical="center" indent="1"/>
    </xf>
    <xf numFmtId="178" fontId="16" fillId="111" borderId="47" applyNumberFormat="0" applyProtection="0">
      <alignment horizontal="left" vertical="top" indent="1"/>
    </xf>
    <xf numFmtId="0" fontId="16" fillId="111" borderId="47" applyNumberFormat="0" applyProtection="0">
      <alignment horizontal="left" vertical="top" indent="1"/>
    </xf>
    <xf numFmtId="178" fontId="16" fillId="209" borderId="47" applyNumberFormat="0" applyProtection="0">
      <alignment horizontal="left" vertical="center" indent="1"/>
    </xf>
    <xf numFmtId="0" fontId="16" fillId="209" borderId="47" applyNumberFormat="0" applyProtection="0">
      <alignment horizontal="left" vertical="center" indent="1"/>
    </xf>
    <xf numFmtId="178" fontId="16" fillId="209" borderId="47" applyNumberFormat="0" applyProtection="0">
      <alignment horizontal="left" vertical="top" indent="1"/>
    </xf>
    <xf numFmtId="0" fontId="16" fillId="209" borderId="47" applyNumberFormat="0" applyProtection="0">
      <alignment horizontal="left" vertical="top" indent="1"/>
    </xf>
    <xf numFmtId="0" fontId="16" fillId="70" borderId="1" applyNumberFormat="0">
      <protection locked="0"/>
    </xf>
    <xf numFmtId="4" fontId="66" fillId="49" borderId="47" applyNumberFormat="0" applyProtection="0">
      <alignment vertical="center"/>
    </xf>
    <xf numFmtId="4" fontId="230" fillId="49" borderId="47" applyNumberFormat="0" applyProtection="0">
      <alignment vertical="center"/>
    </xf>
    <xf numFmtId="4" fontId="231" fillId="202" borderId="48">
      <alignment vertical="center"/>
    </xf>
    <xf numFmtId="4" fontId="232" fillId="202" borderId="48">
      <alignment vertical="center"/>
    </xf>
    <xf numFmtId="4" fontId="231" fillId="203" borderId="48">
      <alignment vertical="center"/>
    </xf>
    <xf numFmtId="4" fontId="232" fillId="203" borderId="48">
      <alignment vertical="center"/>
    </xf>
    <xf numFmtId="4" fontId="66" fillId="49" borderId="47" applyNumberFormat="0" applyProtection="0">
      <alignment horizontal="left" vertical="center" indent="1"/>
    </xf>
    <xf numFmtId="178" fontId="66" fillId="49" borderId="47" applyNumberFormat="0" applyProtection="0">
      <alignment horizontal="left" vertical="top" indent="1"/>
    </xf>
    <xf numFmtId="0" fontId="66" fillId="49" borderId="47" applyNumberFormat="0" applyProtection="0">
      <alignment horizontal="left" vertical="top" indent="1"/>
    </xf>
    <xf numFmtId="4" fontId="66" fillId="209" borderId="47" applyNumberFormat="0" applyProtection="0">
      <alignment horizontal="right" vertical="center"/>
    </xf>
    <xf numFmtId="4" fontId="230" fillId="209" borderId="47" applyNumberFormat="0" applyProtection="0">
      <alignment horizontal="right" vertical="center"/>
    </xf>
    <xf numFmtId="4" fontId="233" fillId="202" borderId="42">
      <alignment vertical="center"/>
    </xf>
    <xf numFmtId="4" fontId="66" fillId="204" borderId="47" applyNumberFormat="0" applyProtection="0">
      <alignment horizontal="left" vertical="center" indent="1"/>
    </xf>
    <xf numFmtId="178" fontId="66" fillId="204" borderId="47" applyNumberFormat="0" applyProtection="0">
      <alignment horizontal="left" vertical="top" indent="1"/>
    </xf>
    <xf numFmtId="0" fontId="66" fillId="204" borderId="47" applyNumberFormat="0" applyProtection="0">
      <alignment horizontal="left" vertical="top" indent="1"/>
    </xf>
    <xf numFmtId="4" fontId="234" fillId="70" borderId="48">
      <alignment vertical="center"/>
    </xf>
    <xf numFmtId="4" fontId="235" fillId="70" borderId="48">
      <alignment vertical="center"/>
    </xf>
    <xf numFmtId="4" fontId="227" fillId="202" borderId="48">
      <alignment vertical="center"/>
    </xf>
    <xf numFmtId="4" fontId="236" fillId="202" borderId="48">
      <alignment vertical="center"/>
    </xf>
    <xf numFmtId="4" fontId="227" fillId="203" borderId="48">
      <alignment vertical="center"/>
    </xf>
    <xf numFmtId="4" fontId="236" fillId="203" borderId="48">
      <alignment vertical="center"/>
    </xf>
    <xf numFmtId="4" fontId="237" fillId="49" borderId="48">
      <alignment horizontal="left" vertical="center" indent="1"/>
    </xf>
    <xf numFmtId="4" fontId="238" fillId="199" borderId="0" applyNumberFormat="0" applyProtection="0">
      <alignment horizontal="left" vertical="center" indent="1"/>
    </xf>
    <xf numFmtId="4" fontId="216" fillId="209" borderId="47" applyNumberFormat="0" applyProtection="0">
      <alignment horizontal="right" vertical="center"/>
    </xf>
    <xf numFmtId="178" fontId="239" fillId="0" borderId="0">
      <alignment horizontal="left"/>
    </xf>
    <xf numFmtId="0" fontId="239" fillId="0" borderId="0">
      <alignment horizontal="left"/>
    </xf>
    <xf numFmtId="178" fontId="141" fillId="70" borderId="0"/>
    <xf numFmtId="0" fontId="240" fillId="0" borderId="0" applyNumberFormat="0" applyFill="0" applyBorder="0" applyAlignment="0" applyProtection="0"/>
    <xf numFmtId="236" fontId="241" fillId="0" borderId="0" applyFill="0" applyBorder="0" applyAlignment="0" applyProtection="0"/>
    <xf numFmtId="281" fontId="242" fillId="0" borderId="0"/>
    <xf numFmtId="256" fontId="242" fillId="0" borderId="0"/>
    <xf numFmtId="43" fontId="56" fillId="0" borderId="23"/>
    <xf numFmtId="233" fontId="161" fillId="0" borderId="50" applyFont="0"/>
    <xf numFmtId="3" fontId="56" fillId="0" borderId="0"/>
    <xf numFmtId="2" fontId="51" fillId="0" borderId="51"/>
    <xf numFmtId="178" fontId="243" fillId="154" borderId="0" applyBorder="0">
      <alignment horizontal="left" vertical="top" wrapText="1"/>
    </xf>
    <xf numFmtId="178" fontId="47" fillId="70" borderId="0"/>
    <xf numFmtId="178" fontId="244" fillId="62" borderId="52" applyProtection="0"/>
    <xf numFmtId="178" fontId="197" fillId="0" borderId="0"/>
    <xf numFmtId="0" fontId="197" fillId="0" borderId="0"/>
    <xf numFmtId="178" fontId="37" fillId="201" borderId="0" applyBorder="0">
      <alignment horizontal="left" vertical="top" wrapText="1"/>
    </xf>
    <xf numFmtId="40" fontId="245" fillId="0" borderId="0" applyBorder="0">
      <alignment horizontal="right"/>
    </xf>
    <xf numFmtId="178" fontId="50" fillId="48" borderId="0" applyNumberFormat="0" applyFont="0" applyBorder="0" applyAlignment="0" applyProtection="0"/>
    <xf numFmtId="268" fontId="246" fillId="194" borderId="0">
      <alignment horizontal="center"/>
    </xf>
    <xf numFmtId="304" fontId="80" fillId="0" borderId="53" applyFill="0" applyBorder="0" applyProtection="0">
      <alignment vertical="center"/>
    </xf>
    <xf numFmtId="178" fontId="247" fillId="0" borderId="0" applyBorder="0" applyProtection="0">
      <alignment vertical="center"/>
    </xf>
    <xf numFmtId="178" fontId="247" fillId="0" borderId="2" applyBorder="0" applyProtection="0">
      <alignment horizontal="right" vertical="center"/>
    </xf>
    <xf numFmtId="178" fontId="248" fillId="210" borderId="0" applyBorder="0" applyProtection="0">
      <alignment horizontal="centerContinuous" vertical="center"/>
    </xf>
    <xf numFmtId="178" fontId="248" fillId="194" borderId="2" applyBorder="0" applyProtection="0">
      <alignment horizontal="centerContinuous" vertical="center"/>
    </xf>
    <xf numFmtId="3" fontId="58" fillId="0" borderId="0" applyNumberFormat="0"/>
    <xf numFmtId="305" fontId="80" fillId="0" borderId="7"/>
    <xf numFmtId="306" fontId="80" fillId="0" borderId="7">
      <alignment vertical="center"/>
    </xf>
    <xf numFmtId="178" fontId="249" fillId="0" borderId="0" applyFill="0" applyBorder="0" applyProtection="0">
      <alignment horizontal="left"/>
    </xf>
    <xf numFmtId="178" fontId="176" fillId="0" borderId="12" applyFill="0" applyBorder="0" applyProtection="0">
      <alignment horizontal="left" vertical="top"/>
    </xf>
    <xf numFmtId="178" fontId="250" fillId="0" borderId="0"/>
    <xf numFmtId="178" fontId="125" fillId="0" borderId="11" applyNumberFormat="0" applyFont="0" applyFill="0" applyAlignment="0" applyProtection="0">
      <protection locked="0"/>
    </xf>
    <xf numFmtId="178" fontId="125" fillId="0" borderId="54" applyNumberFormat="0" applyFont="0" applyFill="0" applyAlignment="0" applyProtection="0">
      <protection locked="0"/>
    </xf>
    <xf numFmtId="0" fontId="251" fillId="0" borderId="0">
      <alignment vertical="center"/>
    </xf>
    <xf numFmtId="0" fontId="26" fillId="0" borderId="1" applyFill="0"/>
    <xf numFmtId="38" fontId="16" fillId="0" borderId="0" applyFont="0" applyFill="0" applyBorder="0" applyAlignment="0" applyProtection="0"/>
    <xf numFmtId="178" fontId="252" fillId="0" borderId="0" applyNumberFormat="0" applyFont="0" applyFill="0" applyBorder="0" applyProtection="0">
      <alignment vertical="top" wrapText="1"/>
    </xf>
    <xf numFmtId="49" fontId="56" fillId="0" borderId="0">
      <alignment horizontal="left"/>
    </xf>
    <xf numFmtId="178" fontId="50" fillId="0" borderId="0" applyNumberFormat="0" applyFill="0" applyBorder="0" applyAlignment="0" applyProtection="0"/>
    <xf numFmtId="307" fontId="60" fillId="0" borderId="0" applyFont="0" applyFill="0" applyBorder="0" applyAlignment="0" applyProtection="0"/>
    <xf numFmtId="308" fontId="60" fillId="0" borderId="0" applyFont="0" applyFill="0" applyBorder="0" applyAlignment="0" applyProtection="0"/>
    <xf numFmtId="309" fontId="60" fillId="0" borderId="0" applyFont="0" applyFill="0" applyBorder="0" applyAlignment="0" applyProtection="0"/>
    <xf numFmtId="49" fontId="66" fillId="0" borderId="0" applyFill="0" applyBorder="0" applyAlignment="0"/>
    <xf numFmtId="310" fontId="16" fillId="0" borderId="0" applyFill="0" applyBorder="0" applyAlignment="0"/>
    <xf numFmtId="311" fontId="16" fillId="0" borderId="0" applyFill="0" applyBorder="0" applyAlignment="0"/>
    <xf numFmtId="312" fontId="16" fillId="0" borderId="0" applyFill="0" applyBorder="0" applyAlignment="0"/>
    <xf numFmtId="313" fontId="16" fillId="0" borderId="0" applyFill="0" applyBorder="0" applyAlignment="0"/>
    <xf numFmtId="0" fontId="43" fillId="0" borderId="0" applyNumberFormat="0" applyFill="0" applyBorder="0" applyProtection="0">
      <alignment horizontal="center" vertical="center"/>
    </xf>
    <xf numFmtId="222" fontId="253" fillId="0" borderId="0"/>
    <xf numFmtId="18" fontId="125" fillId="0" borderId="0" applyFont="0" applyFill="0" applyBorder="0" applyAlignment="0" applyProtection="0">
      <protection locked="0"/>
    </xf>
    <xf numFmtId="314" fontId="60" fillId="0" borderId="0" applyFont="0" applyFill="0" applyBorder="0" applyAlignment="0" applyProtection="0"/>
    <xf numFmtId="315" fontId="60" fillId="0" borderId="0" applyFont="0" applyFill="0" applyBorder="0" applyAlignment="0" applyProtection="0"/>
    <xf numFmtId="316" fontId="60" fillId="0" borderId="0" applyFont="0" applyFill="0" applyBorder="0" applyAlignment="0" applyProtection="0"/>
    <xf numFmtId="0" fontId="38" fillId="0" borderId="0" applyNumberFormat="0" applyFill="0" applyBorder="0" applyAlignment="0" applyProtection="0"/>
    <xf numFmtId="178" fontId="254" fillId="0" borderId="0">
      <alignment horizontal="center"/>
    </xf>
    <xf numFmtId="0" fontId="254" fillId="0" borderId="0">
      <alignment horizontal="center"/>
    </xf>
    <xf numFmtId="3" fontId="255" fillId="0" borderId="0"/>
    <xf numFmtId="280" fontId="168" fillId="0" borderId="0">
      <alignment horizontal="centerContinuous"/>
    </xf>
    <xf numFmtId="280" fontId="256" fillId="0" borderId="55">
      <alignment horizontal="centerContinuous"/>
    </xf>
    <xf numFmtId="280" fontId="257" fillId="0" borderId="0">
      <alignment horizontal="centerContinuous"/>
      <protection locked="0"/>
    </xf>
    <xf numFmtId="280" fontId="257" fillId="0" borderId="0">
      <alignment horizontal="left"/>
    </xf>
    <xf numFmtId="178" fontId="58" fillId="0" borderId="5">
      <alignment horizontal="center" wrapText="1"/>
    </xf>
    <xf numFmtId="178" fontId="147" fillId="48" borderId="7"/>
    <xf numFmtId="186" fontId="258" fillId="0" borderId="56" applyNumberFormat="0" applyFill="0" applyAlignment="0" applyProtection="0">
      <alignment vertical="center"/>
    </xf>
    <xf numFmtId="255" fontId="16" fillId="0" borderId="57">
      <protection locked="0"/>
    </xf>
    <xf numFmtId="37" fontId="88" fillId="0" borderId="58" applyNumberFormat="0" applyFill="0" applyBorder="0">
      <alignment horizontal="left" vertical="center" indent="5"/>
    </xf>
    <xf numFmtId="317" fontId="16" fillId="0" borderId="0">
      <alignment horizontal="right"/>
    </xf>
    <xf numFmtId="318" fontId="16" fillId="0" borderId="0" applyFont="0" applyFill="0" applyBorder="0" applyAlignment="0" applyProtection="0"/>
    <xf numFmtId="319" fontId="16" fillId="0" borderId="0" applyFont="0" applyFill="0" applyBorder="0" applyAlignment="0" applyProtection="0"/>
    <xf numFmtId="320" fontId="178" fillId="0" borderId="21" applyNumberFormat="0" applyFont="0" applyFill="0" applyAlignment="0" applyProtection="0">
      <alignment horizontal="centerContinuous"/>
    </xf>
    <xf numFmtId="0" fontId="259" fillId="0" borderId="0" applyNumberFormat="0" applyFill="0" applyBorder="0" applyAlignment="0" applyProtection="0">
      <alignment vertical="center"/>
    </xf>
    <xf numFmtId="178" fontId="260" fillId="0" borderId="0">
      <alignment vertical="top"/>
      <protection hidden="1"/>
    </xf>
    <xf numFmtId="37" fontId="261" fillId="0" borderId="0" applyNumberFormat="0" applyFill="0" applyBorder="0" applyAlignment="0" applyProtection="0"/>
    <xf numFmtId="178" fontId="262" fillId="0" borderId="0">
      <alignment vertical="top"/>
    </xf>
    <xf numFmtId="219" fontId="200" fillId="0" borderId="0" applyNumberFormat="0" applyFont="0" applyFill="0" applyBorder="0">
      <alignment horizontal="right"/>
    </xf>
    <xf numFmtId="321" fontId="26" fillId="0" borderId="0" applyFont="0" applyFill="0" applyBorder="0" applyAlignment="0" applyProtection="0"/>
    <xf numFmtId="322" fontId="26" fillId="0" borderId="0" applyFont="0" applyFill="0" applyBorder="0" applyAlignment="0" applyProtection="0"/>
    <xf numFmtId="178" fontId="16" fillId="0" borderId="0">
      <alignment horizontal="center" textRotation="180"/>
    </xf>
    <xf numFmtId="323" fontId="16" fillId="0" borderId="0" applyFont="0" applyFill="0" applyBorder="0" applyAlignment="0" applyProtection="0"/>
    <xf numFmtId="0" fontId="263" fillId="0" borderId="0" applyNumberFormat="0" applyFill="0" applyBorder="0" applyAlignment="0" applyProtection="0"/>
    <xf numFmtId="178" fontId="51" fillId="0" borderId="0">
      <alignment horizontal="left"/>
    </xf>
    <xf numFmtId="257" fontId="61" fillId="0" borderId="59" applyBorder="0">
      <alignment vertical="top"/>
      <protection locked="0"/>
    </xf>
    <xf numFmtId="257" fontId="61" fillId="0" borderId="60" applyBorder="0">
      <alignment vertical="top"/>
    </xf>
    <xf numFmtId="178" fontId="50" fillId="70" borderId="0" applyNumberFormat="0" applyFont="0" applyAlignment="0" applyProtection="0"/>
    <xf numFmtId="178" fontId="50" fillId="70" borderId="11" applyNumberFormat="0" applyFont="0" applyAlignment="0" applyProtection="0">
      <protection locked="0"/>
    </xf>
    <xf numFmtId="178" fontId="264" fillId="0" borderId="0" applyNumberFormat="0" applyFill="0" applyBorder="0" applyAlignment="0" applyProtection="0"/>
    <xf numFmtId="199" fontId="265" fillId="0" borderId="0">
      <alignment horizontal="right"/>
      <protection locked="0"/>
    </xf>
    <xf numFmtId="197" fontId="127" fillId="0" borderId="0" applyFont="0" applyFill="0" applyBorder="0" applyAlignment="0" applyProtection="0"/>
    <xf numFmtId="9" fontId="266" fillId="0" borderId="0" applyFont="0" applyFill="0" applyBorder="0" applyAlignment="0" applyProtection="0"/>
    <xf numFmtId="41" fontId="267" fillId="0" borderId="0" applyFont="0" applyFill="0" applyBorder="0" applyAlignment="0" applyProtection="0"/>
    <xf numFmtId="324" fontId="267" fillId="0" borderId="0" applyFont="0" applyFill="0" applyBorder="0" applyAlignment="0" applyProtection="0"/>
    <xf numFmtId="178" fontId="267" fillId="0" borderId="0"/>
    <xf numFmtId="178" fontId="80" fillId="0" borderId="0"/>
    <xf numFmtId="237" fontId="38" fillId="0" borderId="0" applyFont="0" applyFill="0" applyBorder="0" applyAlignment="0" applyProtection="0"/>
    <xf numFmtId="185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99" fillId="0" borderId="0" applyFont="0" applyFill="0" applyBorder="0" applyAlignment="0" applyProtection="0">
      <alignment vertical="center"/>
    </xf>
    <xf numFmtId="9" fontId="268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99" fillId="0" borderId="0" applyFont="0" applyFill="0" applyBorder="0" applyAlignment="0" applyProtection="0"/>
    <xf numFmtId="9" fontId="143" fillId="0" borderId="0" applyFont="0" applyFill="0" applyBorder="0" applyAlignment="0" applyProtection="0">
      <alignment vertical="center"/>
    </xf>
    <xf numFmtId="178" fontId="270" fillId="0" borderId="0" applyFont="0" applyFill="0" applyBorder="0" applyAlignment="0" applyProtection="0"/>
    <xf numFmtId="0" fontId="33" fillId="0" borderId="61" applyNumberFormat="0" applyFill="0" applyAlignment="0" applyProtection="0">
      <alignment vertical="center"/>
    </xf>
    <xf numFmtId="0" fontId="271" fillId="0" borderId="62" applyNumberFormat="0" applyFill="0" applyAlignment="0" applyProtection="0">
      <alignment vertical="center"/>
    </xf>
    <xf numFmtId="0" fontId="272" fillId="0" borderId="63" applyProtection="0"/>
    <xf numFmtId="0" fontId="272" fillId="0" borderId="63" applyNumberFormat="0" applyFill="0" applyAlignment="0" applyProtection="0">
      <alignment vertical="center"/>
    </xf>
    <xf numFmtId="178" fontId="33" fillId="0" borderId="61" applyNumberFormat="0" applyFill="0" applyAlignment="0" applyProtection="0">
      <alignment vertical="center"/>
    </xf>
    <xf numFmtId="0" fontId="273" fillId="0" borderId="61" applyNumberFormat="0" applyFill="0" applyAlignment="0" applyProtection="0">
      <alignment vertical="center"/>
    </xf>
    <xf numFmtId="0" fontId="271" fillId="0" borderId="64" applyNumberFormat="0" applyFill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5" fillId="0" borderId="0" applyNumberFormat="0" applyFill="0" applyBorder="0" applyAlignment="0" applyProtection="0">
      <alignment vertical="center"/>
    </xf>
    <xf numFmtId="0" fontId="276" fillId="0" borderId="0" applyNumberFormat="0" applyFill="0" applyBorder="0" applyAlignment="0" applyProtection="0">
      <alignment vertical="center"/>
    </xf>
    <xf numFmtId="0" fontId="34" fillId="0" borderId="65" applyNumberFormat="0" applyFill="0" applyAlignment="0" applyProtection="0">
      <alignment vertical="center"/>
    </xf>
    <xf numFmtId="0" fontId="277" fillId="0" borderId="66" applyNumberFormat="0" applyFill="0" applyAlignment="0" applyProtection="0">
      <alignment vertical="center"/>
    </xf>
    <xf numFmtId="0" fontId="278" fillId="0" borderId="66" applyProtection="0"/>
    <xf numFmtId="0" fontId="278" fillId="0" borderId="66" applyNumberFormat="0" applyFill="0" applyAlignment="0" applyProtection="0">
      <alignment vertical="center"/>
    </xf>
    <xf numFmtId="178" fontId="34" fillId="0" borderId="65" applyNumberFormat="0" applyFill="0" applyAlignment="0" applyProtection="0">
      <alignment vertical="center"/>
    </xf>
    <xf numFmtId="0" fontId="279" fillId="0" borderId="65" applyNumberFormat="0" applyFill="0" applyAlignment="0" applyProtection="0">
      <alignment vertical="center"/>
    </xf>
    <xf numFmtId="0" fontId="277" fillId="0" borderId="48" applyNumberFormat="0" applyFill="0" applyAlignment="0" applyProtection="0">
      <alignment vertical="center"/>
    </xf>
    <xf numFmtId="0" fontId="35" fillId="0" borderId="67" applyNumberFormat="0" applyFill="0" applyAlignment="0" applyProtection="0">
      <alignment vertical="center"/>
    </xf>
    <xf numFmtId="0" fontId="35" fillId="0" borderId="68" applyNumberFormat="0" applyFill="0" applyAlignment="0" applyProtection="0">
      <alignment vertical="center"/>
    </xf>
    <xf numFmtId="0" fontId="35" fillId="0" borderId="69" applyNumberFormat="0" applyFill="0" applyAlignment="0" applyProtection="0">
      <alignment vertical="center"/>
    </xf>
    <xf numFmtId="0" fontId="35" fillId="0" borderId="70" applyNumberFormat="0" applyFill="0" applyAlignment="0" applyProtection="0">
      <alignment vertical="center"/>
    </xf>
    <xf numFmtId="0" fontId="35" fillId="0" borderId="71" applyNumberFormat="0" applyFill="0" applyAlignment="0" applyProtection="0">
      <alignment vertical="center"/>
    </xf>
    <xf numFmtId="0" fontId="280" fillId="0" borderId="72" applyNumberFormat="0" applyFill="0" applyAlignment="0" applyProtection="0">
      <alignment vertical="center"/>
    </xf>
    <xf numFmtId="0" fontId="281" fillId="0" borderId="39" applyProtection="0"/>
    <xf numFmtId="0" fontId="281" fillId="0" borderId="39" applyNumberFormat="0" applyFill="0" applyAlignment="0" applyProtection="0">
      <alignment vertical="center"/>
    </xf>
    <xf numFmtId="178" fontId="35" fillId="0" borderId="73" applyNumberFormat="0" applyFill="0" applyAlignment="0" applyProtection="0">
      <alignment vertical="center"/>
    </xf>
    <xf numFmtId="0" fontId="282" fillId="0" borderId="74" applyNumberFormat="0" applyFill="0" applyAlignment="0" applyProtection="0">
      <alignment vertical="center"/>
    </xf>
    <xf numFmtId="0" fontId="282" fillId="0" borderId="71" applyNumberFormat="0" applyFill="0" applyAlignment="0" applyProtection="0">
      <alignment vertical="center"/>
    </xf>
    <xf numFmtId="0" fontId="282" fillId="0" borderId="75" applyNumberFormat="0" applyFill="0" applyAlignment="0" applyProtection="0">
      <alignment vertical="center"/>
    </xf>
    <xf numFmtId="0" fontId="282" fillId="0" borderId="76" applyNumberFormat="0" applyFill="0" applyAlignment="0" applyProtection="0">
      <alignment vertical="center"/>
    </xf>
    <xf numFmtId="0" fontId="35" fillId="0" borderId="74" applyNumberFormat="0" applyFill="0" applyAlignment="0" applyProtection="0">
      <alignment vertical="center"/>
    </xf>
    <xf numFmtId="0" fontId="280" fillId="0" borderId="77" applyNumberFormat="0" applyFill="0" applyAlignment="0" applyProtection="0">
      <alignment vertical="center"/>
    </xf>
    <xf numFmtId="0" fontId="35" fillId="0" borderId="78" applyNumberFormat="0" applyFill="0" applyAlignment="0" applyProtection="0">
      <alignment vertical="center"/>
    </xf>
    <xf numFmtId="0" fontId="280" fillId="0" borderId="0" applyNumberFormat="0" applyFill="0" applyBorder="0" applyAlignment="0" applyProtection="0">
      <alignment vertical="center"/>
    </xf>
    <xf numFmtId="0" fontId="281" fillId="0" borderId="0" applyProtection="0"/>
    <xf numFmtId="0" fontId="281" fillId="0" borderId="0" applyNumberFormat="0" applyFill="0" applyBorder="0" applyAlignment="0" applyProtection="0">
      <alignment vertical="center"/>
    </xf>
    <xf numFmtId="178" fontId="35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75" fillId="0" borderId="0" applyProtection="0"/>
    <xf numFmtId="178" fontId="274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84" fillId="0" borderId="0">
      <alignment vertical="center"/>
    </xf>
    <xf numFmtId="178" fontId="61" fillId="0" borderId="0"/>
    <xf numFmtId="178" fontId="276" fillId="0" borderId="0" applyNumberFormat="0" applyFill="0" applyBorder="0" applyAlignment="0" applyProtection="0"/>
    <xf numFmtId="0" fontId="276" fillId="0" borderId="0" applyNumberFormat="0" applyFill="0" applyBorder="0" applyAlignment="0" applyProtection="0"/>
    <xf numFmtId="0" fontId="285" fillId="36" borderId="0" applyNumberFormat="0" applyBorder="0" applyAlignment="0" applyProtection="0">
      <alignment vertical="center"/>
    </xf>
    <xf numFmtId="0" fontId="286" fillId="56" borderId="0" applyNumberFormat="0" applyBorder="0" applyAlignment="0" applyProtection="0">
      <alignment vertical="center"/>
    </xf>
    <xf numFmtId="0" fontId="287" fillId="56" borderId="0" applyProtection="0"/>
    <xf numFmtId="0" fontId="287" fillId="56" borderId="0" applyNumberFormat="0" applyBorder="0" applyAlignment="0" applyProtection="0">
      <alignment vertical="center"/>
    </xf>
    <xf numFmtId="178" fontId="285" fillId="36" borderId="0" applyNumberFormat="0" applyBorder="0" applyAlignment="0" applyProtection="0">
      <alignment vertical="center"/>
    </xf>
    <xf numFmtId="0" fontId="288" fillId="36" borderId="0" applyNumberFormat="0" applyBorder="0" applyAlignment="0" applyProtection="0">
      <alignment vertical="center"/>
    </xf>
    <xf numFmtId="0" fontId="286" fillId="70" borderId="0" applyNumberFormat="0" applyBorder="0" applyAlignment="0" applyProtection="0">
      <alignment vertical="center"/>
    </xf>
    <xf numFmtId="0" fontId="289" fillId="70" borderId="0" applyNumberFormat="0" applyBorder="0" applyAlignment="0" applyProtection="0">
      <alignment vertical="center"/>
    </xf>
    <xf numFmtId="0" fontId="290" fillId="56" borderId="0" applyNumberFormat="0" applyBorder="0" applyAlignment="0" applyProtection="0">
      <alignment vertical="center"/>
    </xf>
    <xf numFmtId="178" fontId="291" fillId="114" borderId="0" applyNumberFormat="0" applyBorder="0" applyAlignment="0" applyProtection="0">
      <alignment vertical="center"/>
    </xf>
    <xf numFmtId="0" fontId="291" fillId="114" borderId="0" applyNumberFormat="0" applyBorder="0" applyAlignment="0" applyProtection="0">
      <alignment vertical="center"/>
    </xf>
    <xf numFmtId="178" fontId="292" fillId="56" borderId="0" applyNumberFormat="0" applyBorder="0" applyAlignment="0" applyProtection="0">
      <alignment vertical="center"/>
    </xf>
    <xf numFmtId="186" fontId="287" fillId="56" borderId="0" applyNumberFormat="0" applyBorder="0" applyAlignment="0" applyProtection="0">
      <alignment vertical="center"/>
    </xf>
    <xf numFmtId="0" fontId="293" fillId="56" borderId="0" applyNumberFormat="0" applyBorder="0" applyAlignment="0" applyProtection="0">
      <alignment vertical="center"/>
    </xf>
    <xf numFmtId="178" fontId="287" fillId="56" borderId="0" applyNumberFormat="0" applyBorder="0" applyAlignment="0" applyProtection="0">
      <alignment vertical="center"/>
    </xf>
    <xf numFmtId="178" fontId="294" fillId="211" borderId="0" applyNumberFormat="0" applyBorder="0" applyAlignment="0" applyProtection="0"/>
    <xf numFmtId="0" fontId="294" fillId="211" borderId="0" applyNumberFormat="0" applyBorder="0" applyAlignment="0" applyProtection="0"/>
    <xf numFmtId="0" fontId="295" fillId="56" borderId="0" applyNumberFormat="0" applyBorder="0" applyAlignment="0" applyProtection="0">
      <alignment vertical="center"/>
    </xf>
    <xf numFmtId="178" fontId="59" fillId="62" borderId="0" applyNumberFormat="0" applyBorder="0" applyAlignment="0" applyProtection="0">
      <alignment vertical="center"/>
    </xf>
    <xf numFmtId="0" fontId="59" fillId="62" borderId="0" applyNumberFormat="0" applyBorder="0" applyAlignment="0" applyProtection="0">
      <alignment vertical="center"/>
    </xf>
    <xf numFmtId="0" fontId="296" fillId="56" borderId="0" applyNumberFormat="0" applyBorder="0" applyAlignment="0" applyProtection="0">
      <alignment vertical="center"/>
    </xf>
    <xf numFmtId="0" fontId="297" fillId="212" borderId="0" applyNumberFormat="0" applyBorder="0" applyAlignment="0" applyProtection="0">
      <alignment vertical="center"/>
    </xf>
    <xf numFmtId="0" fontId="121" fillId="56" borderId="0" applyNumberFormat="0" applyBorder="0" applyAlignment="0" applyProtection="0">
      <alignment vertical="center"/>
    </xf>
    <xf numFmtId="0" fontId="361" fillId="0" borderId="0"/>
    <xf numFmtId="325" fontId="99" fillId="0" borderId="0">
      <protection locked="0"/>
    </xf>
    <xf numFmtId="0" fontId="100" fillId="0" borderId="0">
      <alignment vertical="center"/>
    </xf>
    <xf numFmtId="0" fontId="99" fillId="0" borderId="0">
      <alignment vertical="center"/>
    </xf>
    <xf numFmtId="178" fontId="99" fillId="0" borderId="0">
      <alignment vertical="center"/>
    </xf>
    <xf numFmtId="0" fontId="16" fillId="0" borderId="0">
      <alignment shrinkToFit="1"/>
    </xf>
    <xf numFmtId="178" fontId="26" fillId="0" borderId="0">
      <alignment vertical="center"/>
    </xf>
    <xf numFmtId="0" fontId="298" fillId="0" borderId="0">
      <alignment vertical="center"/>
    </xf>
    <xf numFmtId="326" fontId="361" fillId="0" borderId="0">
      <alignment vertical="center"/>
    </xf>
    <xf numFmtId="0" fontId="269" fillId="0" borderId="0">
      <alignment vertical="center"/>
    </xf>
    <xf numFmtId="178" fontId="269" fillId="0" borderId="0">
      <alignment vertical="center"/>
    </xf>
    <xf numFmtId="327" fontId="99" fillId="0" borderId="0">
      <alignment vertical="center"/>
    </xf>
    <xf numFmtId="182" fontId="26" fillId="0" borderId="0">
      <alignment vertical="center"/>
    </xf>
    <xf numFmtId="180" fontId="361" fillId="0" borderId="0">
      <alignment vertical="center"/>
    </xf>
    <xf numFmtId="0" fontId="11" fillId="0" borderId="0">
      <alignment vertical="center"/>
    </xf>
    <xf numFmtId="0" fontId="26" fillId="0" borderId="0">
      <alignment wrapText="1"/>
    </xf>
    <xf numFmtId="0" fontId="25" fillId="0" borderId="0">
      <alignment vertical="center"/>
    </xf>
    <xf numFmtId="325" fontId="26" fillId="0" borderId="0">
      <protection locked="0"/>
    </xf>
    <xf numFmtId="325" fontId="299" fillId="0" borderId="0"/>
    <xf numFmtId="328" fontId="16" fillId="0" borderId="0"/>
    <xf numFmtId="283" fontId="361" fillId="0" borderId="0">
      <alignment vertical="center"/>
    </xf>
    <xf numFmtId="327" fontId="26" fillId="0" borderId="0"/>
    <xf numFmtId="180" fontId="26" fillId="0" borderId="0"/>
    <xf numFmtId="329" fontId="361" fillId="0" borderId="0"/>
    <xf numFmtId="0" fontId="26" fillId="0" borderId="0" applyProtection="0">
      <alignment vertical="center"/>
    </xf>
    <xf numFmtId="325" fontId="26" fillId="0" borderId="0"/>
    <xf numFmtId="0" fontId="5" fillId="0" borderId="0"/>
    <xf numFmtId="0" fontId="100" fillId="0" borderId="0"/>
    <xf numFmtId="327" fontId="361" fillId="0" borderId="0">
      <alignment vertical="center"/>
    </xf>
    <xf numFmtId="330" fontId="361" fillId="0" borderId="0">
      <alignment vertical="center"/>
    </xf>
    <xf numFmtId="331" fontId="361" fillId="0" borderId="0">
      <alignment vertical="center"/>
    </xf>
    <xf numFmtId="290" fontId="361" fillId="0" borderId="0">
      <alignment vertical="center"/>
    </xf>
    <xf numFmtId="186" fontId="361" fillId="0" borderId="0">
      <alignment vertical="center"/>
    </xf>
    <xf numFmtId="186" fontId="99" fillId="0" borderId="0">
      <alignment vertical="center"/>
    </xf>
    <xf numFmtId="332" fontId="361" fillId="0" borderId="0">
      <alignment vertical="center"/>
    </xf>
    <xf numFmtId="333" fontId="361" fillId="0" borderId="0">
      <alignment vertical="center"/>
    </xf>
    <xf numFmtId="0" fontId="99" fillId="0" borderId="0" applyNumberFormat="0" applyFill="0" applyBorder="0" applyAlignment="0" applyProtection="0">
      <alignment vertical="center"/>
    </xf>
    <xf numFmtId="261" fontId="361" fillId="0" borderId="0">
      <alignment vertical="center"/>
    </xf>
    <xf numFmtId="334" fontId="361" fillId="0" borderId="0">
      <alignment vertical="center"/>
    </xf>
    <xf numFmtId="180" fontId="99" fillId="0" borderId="0">
      <alignment vertical="center"/>
    </xf>
    <xf numFmtId="186" fontId="99" fillId="0" borderId="0"/>
    <xf numFmtId="335" fontId="26" fillId="0" borderId="0"/>
    <xf numFmtId="186" fontId="25" fillId="0" borderId="0">
      <alignment vertical="center"/>
    </xf>
    <xf numFmtId="180" fontId="361" fillId="0" borderId="0"/>
    <xf numFmtId="0" fontId="99" fillId="0" borderId="0" applyProtection="0">
      <alignment vertical="center"/>
    </xf>
    <xf numFmtId="0" fontId="300" fillId="0" borderId="0">
      <alignment vertical="center"/>
    </xf>
    <xf numFmtId="0" fontId="16" fillId="0" borderId="0" applyNumberFormat="0" applyFont="0" applyFill="0" applyBorder="0" applyAlignment="0" applyProtection="0"/>
    <xf numFmtId="336" fontId="361" fillId="0" borderId="0">
      <alignment vertical="center"/>
    </xf>
    <xf numFmtId="337" fontId="361" fillId="0" borderId="0">
      <alignment vertical="center"/>
    </xf>
    <xf numFmtId="327" fontId="99" fillId="0" borderId="0">
      <protection locked="0"/>
    </xf>
    <xf numFmtId="43" fontId="361" fillId="0" borderId="0">
      <alignment vertical="center"/>
    </xf>
    <xf numFmtId="0" fontId="20" fillId="0" borderId="0">
      <alignment vertical="center"/>
    </xf>
    <xf numFmtId="0" fontId="361" fillId="0" borderId="0"/>
    <xf numFmtId="328" fontId="361" fillId="0" borderId="0">
      <alignment vertical="center"/>
    </xf>
    <xf numFmtId="178" fontId="301" fillId="0" borderId="0" applyNumberFormat="0" applyFill="0" applyBorder="0" applyAlignment="0" applyProtection="0">
      <alignment vertical="top"/>
      <protection locked="0"/>
    </xf>
    <xf numFmtId="0" fontId="302" fillId="0" borderId="0" applyNumberFormat="0" applyFill="0" applyBorder="0" applyAlignment="0" applyProtection="0">
      <alignment vertical="top"/>
      <protection locked="0"/>
    </xf>
    <xf numFmtId="0" fontId="303" fillId="0" borderId="0" applyNumberFormat="0" applyFill="0" applyBorder="0" applyAlignment="0" applyProtection="0">
      <alignment vertical="center"/>
    </xf>
    <xf numFmtId="0" fontId="304" fillId="0" borderId="0" applyNumberFormat="0" applyFill="0" applyBorder="0" applyAlignment="0" applyProtection="0">
      <alignment vertical="center"/>
    </xf>
    <xf numFmtId="0" fontId="303" fillId="0" borderId="0" applyNumberFormat="0" applyFill="0" applyBorder="0" applyAlignment="0" applyProtection="0"/>
    <xf numFmtId="0" fontId="305" fillId="0" borderId="0" applyNumberFormat="0" applyFill="0" applyBorder="0" applyAlignment="0" applyProtection="0">
      <alignment vertical="top"/>
      <protection locked="0"/>
    </xf>
    <xf numFmtId="0" fontId="306" fillId="0" borderId="0" applyNumberFormat="0" applyFill="0" applyBorder="0" applyAlignment="0" applyProtection="0">
      <alignment vertical="top"/>
      <protection locked="0"/>
    </xf>
    <xf numFmtId="0" fontId="307" fillId="0" borderId="0" applyNumberFormat="0" applyFill="0" applyBorder="0" applyAlignment="0" applyProtection="0">
      <alignment vertical="center"/>
    </xf>
    <xf numFmtId="0" fontId="308" fillId="0" borderId="0" applyNumberFormat="0" applyFill="0" applyBorder="0" applyAlignment="0" applyProtection="0"/>
    <xf numFmtId="0" fontId="301" fillId="0" borderId="0"/>
    <xf numFmtId="0" fontId="309" fillId="0" borderId="0" applyNumberFormat="0" applyFill="0" applyBorder="0" applyAlignment="0" applyProtection="0">
      <alignment vertical="top"/>
      <protection locked="0"/>
    </xf>
    <xf numFmtId="0" fontId="301" fillId="0" borderId="0" applyNumberFormat="0" applyFill="0" applyBorder="0" applyAlignment="0" applyProtection="0">
      <alignment vertical="top"/>
      <protection locked="0"/>
    </xf>
    <xf numFmtId="0" fontId="310" fillId="0" borderId="0" applyNumberFormat="0" applyFill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11" fillId="50" borderId="0" applyNumberFormat="0" applyBorder="0" applyAlignment="0" applyProtection="0">
      <alignment vertical="center"/>
    </xf>
    <xf numFmtId="0" fontId="312" fillId="50" borderId="0" applyNumberFormat="0" applyBorder="0" applyAlignment="0" applyProtection="0">
      <alignment vertical="center"/>
    </xf>
    <xf numFmtId="0" fontId="313" fillId="35" borderId="0" applyNumberFormat="0" applyBorder="0" applyAlignment="0" applyProtection="0">
      <alignment vertical="center"/>
    </xf>
    <xf numFmtId="178" fontId="314" fillId="213" borderId="0" applyNumberFormat="0" applyBorder="0" applyAlignment="0" applyProtection="0">
      <alignment vertical="center"/>
    </xf>
    <xf numFmtId="0" fontId="314" fillId="213" borderId="0" applyNumberFormat="0" applyBorder="0" applyAlignment="0" applyProtection="0">
      <alignment vertical="center"/>
    </xf>
    <xf numFmtId="0" fontId="315" fillId="50" borderId="0" applyNumberFormat="0" applyBorder="0" applyAlignment="0" applyProtection="0">
      <alignment vertical="center"/>
    </xf>
    <xf numFmtId="178" fontId="316" fillId="50" borderId="0" applyNumberFormat="0" applyBorder="0" applyAlignment="0" applyProtection="0">
      <alignment vertical="center"/>
    </xf>
    <xf numFmtId="186" fontId="312" fillId="50" borderId="0" applyNumberFormat="0" applyBorder="0" applyAlignment="0" applyProtection="0">
      <alignment vertical="center"/>
    </xf>
    <xf numFmtId="0" fontId="317" fillId="50" borderId="0" applyNumberFormat="0" applyBorder="0" applyAlignment="0" applyProtection="0">
      <alignment vertical="center"/>
    </xf>
    <xf numFmtId="178" fontId="312" fillId="50" borderId="0" applyNumberFormat="0" applyBorder="0" applyAlignment="0" applyProtection="0">
      <alignment vertical="center"/>
    </xf>
    <xf numFmtId="178" fontId="312" fillId="213" borderId="0" applyNumberFormat="0" applyBorder="0" applyAlignment="0" applyProtection="0">
      <alignment vertical="center"/>
    </xf>
    <xf numFmtId="0" fontId="312" fillId="213" borderId="0" applyNumberFormat="0" applyBorder="0" applyAlignment="0" applyProtection="0">
      <alignment vertical="center"/>
    </xf>
    <xf numFmtId="178" fontId="317" fillId="189" borderId="0" applyNumberFormat="0" applyBorder="0" applyAlignment="0" applyProtection="0"/>
    <xf numFmtId="0" fontId="317" fillId="189" borderId="0" applyNumberFormat="0" applyBorder="0" applyAlignment="0" applyProtection="0"/>
    <xf numFmtId="0" fontId="318" fillId="50" borderId="0" applyNumberFormat="0" applyBorder="0" applyAlignment="0" applyProtection="0">
      <alignment vertical="center"/>
    </xf>
    <xf numFmtId="0" fontId="319" fillId="50" borderId="0" applyNumberFormat="0" applyBorder="0" applyAlignment="0" applyProtection="0">
      <alignment vertical="center"/>
    </xf>
    <xf numFmtId="178" fontId="320" fillId="214" borderId="0" applyNumberFormat="0" applyBorder="0" applyAlignment="0" applyProtection="0">
      <alignment vertical="center"/>
    </xf>
    <xf numFmtId="0" fontId="320" fillId="214" borderId="0" applyNumberFormat="0" applyBorder="0" applyAlignment="0" applyProtection="0">
      <alignment vertical="center"/>
    </xf>
    <xf numFmtId="0" fontId="321" fillId="50" borderId="0" applyNumberFormat="0" applyBorder="0" applyAlignment="0" applyProtection="0">
      <alignment vertical="center"/>
    </xf>
    <xf numFmtId="0" fontId="182" fillId="50" borderId="0" applyNumberFormat="0" applyBorder="0" applyAlignment="0" applyProtection="0">
      <alignment vertical="center"/>
    </xf>
    <xf numFmtId="338" fontId="16" fillId="0" borderId="0" applyFont="0" applyFill="0" applyBorder="0" applyAlignment="0" applyProtection="0"/>
    <xf numFmtId="0" fontId="221" fillId="0" borderId="18" applyNumberFormat="0" applyFill="0" applyAlignment="0" applyProtection="0">
      <alignment vertical="center"/>
    </xf>
    <xf numFmtId="0" fontId="258" fillId="0" borderId="79" applyNumberFormat="0" applyFill="0" applyAlignment="0" applyProtection="0">
      <alignment vertical="center"/>
    </xf>
    <xf numFmtId="0" fontId="258" fillId="0" borderId="56" applyProtection="0"/>
    <xf numFmtId="0" fontId="258" fillId="0" borderId="56" applyNumberFormat="0" applyFill="0" applyAlignment="0" applyProtection="0">
      <alignment vertical="center"/>
    </xf>
    <xf numFmtId="178" fontId="221" fillId="0" borderId="18" applyNumberFormat="0" applyFill="0" applyAlignment="0" applyProtection="0">
      <alignment vertical="center"/>
    </xf>
    <xf numFmtId="0" fontId="322" fillId="0" borderId="18" applyNumberFormat="0" applyFill="0" applyAlignment="0" applyProtection="0">
      <alignment vertical="center"/>
    </xf>
    <xf numFmtId="178" fontId="258" fillId="0" borderId="56" applyNumberFormat="0" applyFill="0" applyAlignment="0" applyProtection="0">
      <alignment vertical="center"/>
    </xf>
    <xf numFmtId="0" fontId="258" fillId="0" borderId="80" applyNumberFormat="0" applyFill="0" applyAlignment="0" applyProtection="0">
      <alignment vertical="center"/>
    </xf>
    <xf numFmtId="339" fontId="361" fillId="0" borderId="0" applyFont="0" applyFill="0" applyBorder="0" applyAlignment="0" applyProtection="0">
      <alignment vertical="center"/>
    </xf>
    <xf numFmtId="177" fontId="99" fillId="0" borderId="0" applyFont="0" applyFill="0" applyBorder="0" applyAlignment="0" applyProtection="0">
      <alignment vertical="center"/>
    </xf>
    <xf numFmtId="184" fontId="323" fillId="0" borderId="0" applyFont="0" applyFill="0" applyBorder="0" applyAlignment="0" applyProtection="0"/>
    <xf numFmtId="184" fontId="41" fillId="0" borderId="0" applyFont="0" applyFill="0" applyBorder="0" applyAlignment="0" applyProtection="0"/>
    <xf numFmtId="340" fontId="324" fillId="0" borderId="0" applyFont="0" applyFill="0" applyBorder="0" applyAlignment="0" applyProtection="0"/>
    <xf numFmtId="0" fontId="325" fillId="33" borderId="14" applyNumberFormat="0" applyAlignment="0" applyProtection="0">
      <alignment vertical="center"/>
    </xf>
    <xf numFmtId="0" fontId="134" fillId="62" borderId="33" applyNumberFormat="0" applyAlignment="0" applyProtection="0">
      <alignment vertical="center"/>
    </xf>
    <xf numFmtId="0" fontId="134" fillId="48" borderId="33" applyProtection="0"/>
    <xf numFmtId="0" fontId="134" fillId="48" borderId="33" applyNumberFormat="0" applyAlignment="0" applyProtection="0">
      <alignment vertical="center"/>
    </xf>
    <xf numFmtId="178" fontId="325" fillId="33" borderId="14" applyNumberFormat="0" applyAlignment="0" applyProtection="0">
      <alignment vertical="center"/>
    </xf>
    <xf numFmtId="0" fontId="326" fillId="33" borderId="14" applyNumberFormat="0" applyAlignment="0" applyProtection="0">
      <alignment vertical="center"/>
    </xf>
    <xf numFmtId="178" fontId="134" fillId="48" borderId="33" applyNumberFormat="0" applyAlignment="0" applyProtection="0">
      <alignment vertical="center"/>
    </xf>
    <xf numFmtId="0" fontId="134" fillId="70" borderId="33" applyNumberFormat="0" applyAlignment="0" applyProtection="0">
      <alignment vertical="center"/>
    </xf>
    <xf numFmtId="0" fontId="327" fillId="62" borderId="33" applyNumberFormat="0" applyAlignment="0" applyProtection="0">
      <alignment vertical="center"/>
    </xf>
    <xf numFmtId="0" fontId="328" fillId="34" borderId="16" applyNumberFormat="0" applyAlignment="0" applyProtection="0">
      <alignment vertical="center"/>
    </xf>
    <xf numFmtId="0" fontId="329" fillId="52" borderId="34" applyNumberFormat="0" applyAlignment="0" applyProtection="0">
      <alignment vertical="center"/>
    </xf>
    <xf numFmtId="0" fontId="330" fillId="52" borderId="34" applyProtection="0"/>
    <xf numFmtId="0" fontId="330" fillId="52" borderId="34" applyNumberFormat="0" applyAlignment="0" applyProtection="0">
      <alignment vertical="center"/>
    </xf>
    <xf numFmtId="178" fontId="328" fillId="34" borderId="16" applyNumberFormat="0" applyAlignment="0" applyProtection="0">
      <alignment vertical="center"/>
    </xf>
    <xf numFmtId="0" fontId="331" fillId="34" borderId="16" applyNumberFormat="0" applyAlignment="0" applyProtection="0">
      <alignment vertical="center"/>
    </xf>
    <xf numFmtId="0" fontId="332" fillId="52" borderId="34" applyNumberFormat="0" applyAlignment="0" applyProtection="0">
      <alignment vertical="center"/>
    </xf>
    <xf numFmtId="0" fontId="333" fillId="0" borderId="0" applyNumberFormat="0" applyFill="0" applyBorder="0" applyAlignment="0" applyProtection="0">
      <alignment vertical="center"/>
    </xf>
    <xf numFmtId="0" fontId="334" fillId="0" borderId="0" applyNumberFormat="0" applyFill="0" applyBorder="0" applyAlignment="0" applyProtection="0">
      <alignment vertical="center"/>
    </xf>
    <xf numFmtId="0" fontId="334" fillId="0" borderId="0" applyProtection="0"/>
    <xf numFmtId="178" fontId="333" fillId="0" borderId="0" applyNumberFormat="0" applyFill="0" applyBorder="0" applyAlignment="0" applyProtection="0">
      <alignment vertical="center"/>
    </xf>
    <xf numFmtId="0" fontId="335" fillId="0" borderId="0" applyNumberFormat="0" applyFill="0" applyBorder="0" applyAlignment="0" applyProtection="0">
      <alignment vertical="center"/>
    </xf>
    <xf numFmtId="0" fontId="336" fillId="0" borderId="0" applyNumberFormat="0" applyFill="0" applyBorder="0" applyAlignment="0" applyProtection="0">
      <alignment vertical="center"/>
    </xf>
    <xf numFmtId="0" fontId="337" fillId="0" borderId="0" applyNumberFormat="0" applyFill="0" applyBorder="0" applyAlignment="0" applyProtection="0">
      <alignment vertical="center"/>
    </xf>
    <xf numFmtId="0" fontId="338" fillId="0" borderId="0" applyProtection="0"/>
    <xf numFmtId="0" fontId="338" fillId="0" borderId="0" applyNumberFormat="0" applyFill="0" applyBorder="0" applyAlignment="0" applyProtection="0">
      <alignment vertical="center"/>
    </xf>
    <xf numFmtId="178" fontId="336" fillId="0" borderId="0" applyNumberFormat="0" applyFill="0" applyBorder="0" applyAlignment="0" applyProtection="0">
      <alignment vertical="center"/>
    </xf>
    <xf numFmtId="0" fontId="339" fillId="0" borderId="0" applyNumberFormat="0" applyFill="0" applyBorder="0" applyAlignment="0" applyProtection="0">
      <alignment vertical="center"/>
    </xf>
    <xf numFmtId="0" fontId="26" fillId="0" borderId="0"/>
    <xf numFmtId="0" fontId="298" fillId="0" borderId="0" applyNumberFormat="0" applyFill="0" applyBorder="0" applyAlignment="0" applyProtection="0">
      <alignment vertical="center"/>
    </xf>
    <xf numFmtId="0" fontId="340" fillId="0" borderId="17" applyNumberFormat="0" applyFill="0" applyAlignment="0" applyProtection="0">
      <alignment vertical="center"/>
    </xf>
    <xf numFmtId="0" fontId="341" fillId="0" borderId="40" applyNumberFormat="0" applyFill="0" applyAlignment="0" applyProtection="0">
      <alignment vertical="center"/>
    </xf>
    <xf numFmtId="0" fontId="341" fillId="0" borderId="40" applyProtection="0"/>
    <xf numFmtId="178" fontId="340" fillId="0" borderId="17" applyNumberFormat="0" applyFill="0" applyAlignment="0" applyProtection="0">
      <alignment vertical="center"/>
    </xf>
    <xf numFmtId="0" fontId="342" fillId="0" borderId="17" applyNumberFormat="0" applyFill="0" applyAlignment="0" applyProtection="0">
      <alignment vertical="center"/>
    </xf>
    <xf numFmtId="0" fontId="337" fillId="0" borderId="40" applyNumberFormat="0" applyFill="0" applyAlignment="0" applyProtection="0">
      <alignment vertical="center"/>
    </xf>
    <xf numFmtId="341" fontId="16" fillId="0" borderId="0" applyFont="0" applyFill="0" applyBorder="0" applyAlignment="0" applyProtection="0"/>
    <xf numFmtId="342" fontId="16" fillId="0" borderId="0" applyFont="0" applyFill="0" applyBorder="0" applyAlignment="0" applyProtection="0"/>
    <xf numFmtId="1" fontId="38" fillId="0" borderId="0"/>
    <xf numFmtId="40" fontId="343" fillId="0" borderId="0" applyFont="0" applyFill="0" applyBorder="0" applyAlignment="0" applyProtection="0"/>
    <xf numFmtId="343" fontId="344" fillId="0" borderId="0" applyFont="0" applyFill="0" applyBorder="0" applyAlignment="0" applyProtection="0"/>
    <xf numFmtId="344" fontId="344" fillId="0" borderId="0" applyFont="0" applyFill="0" applyBorder="0" applyAlignment="0" applyProtection="0"/>
    <xf numFmtId="184" fontId="38" fillId="0" borderId="0" applyFont="0" applyFill="0" applyBorder="0" applyAlignment="0" applyProtection="0"/>
    <xf numFmtId="181" fontId="38" fillId="0" borderId="0" applyFont="0" applyFill="0" applyBorder="0" applyAlignment="0" applyProtection="0"/>
    <xf numFmtId="43" fontId="60" fillId="0" borderId="0" applyFont="0" applyFill="0" applyBorder="0" applyAlignment="0" applyProtection="0"/>
    <xf numFmtId="41" fontId="26" fillId="0" borderId="0" applyFont="0" applyFill="0" applyBorder="0" applyAlignment="0" applyProtection="0"/>
    <xf numFmtId="43" fontId="99" fillId="0" borderId="0" applyFont="0" applyFill="0" applyBorder="0" applyAlignment="0" applyProtection="0">
      <alignment vertical="center"/>
    </xf>
    <xf numFmtId="43" fontId="361" fillId="0" borderId="0" applyFont="0" applyFill="0" applyBorder="0" applyAlignment="0" applyProtection="0"/>
    <xf numFmtId="43" fontId="26" fillId="0" borderId="0" applyFont="0" applyFill="0" applyBorder="0" applyAlignment="0" applyProtection="0">
      <alignment vertical="center"/>
    </xf>
    <xf numFmtId="240" fontId="99" fillId="0" borderId="0" applyFont="0" applyFill="0" applyBorder="0" applyAlignment="0" applyProtection="0">
      <alignment vertical="center"/>
    </xf>
    <xf numFmtId="43" fontId="99" fillId="0" borderId="0">
      <alignment vertical="center"/>
    </xf>
    <xf numFmtId="43" fontId="361" fillId="0" borderId="0" applyFont="0" applyFill="0" applyBorder="0" applyAlignment="0" applyProtection="0">
      <alignment vertical="center"/>
    </xf>
    <xf numFmtId="240" fontId="26" fillId="0" borderId="0" applyFont="0" applyFill="0" applyBorder="0" applyAlignment="0" applyProtection="0">
      <alignment vertical="center"/>
    </xf>
    <xf numFmtId="327" fontId="26" fillId="0" borderId="0" applyFont="0" applyFill="0" applyBorder="0" applyAlignment="0" applyProtection="0">
      <alignment vertical="center"/>
    </xf>
    <xf numFmtId="345" fontId="26" fillId="0" borderId="0" applyFont="0" applyFill="0" applyBorder="0" applyAlignment="0" applyProtection="0">
      <alignment vertical="center"/>
    </xf>
    <xf numFmtId="237" fontId="361" fillId="0" borderId="0" applyFont="0" applyFill="0" applyBorder="0" applyAlignment="0" applyProtection="0">
      <alignment vertical="center"/>
    </xf>
    <xf numFmtId="41" fontId="99" fillId="0" borderId="0" applyFont="0" applyFill="0" applyBorder="0" applyAlignment="0" applyProtection="0">
      <alignment vertical="center"/>
    </xf>
    <xf numFmtId="178" fontId="345" fillId="0" borderId="0"/>
    <xf numFmtId="178" fontId="346" fillId="196" borderId="0" applyNumberFormat="0" applyBorder="0" applyAlignment="0" applyProtection="0"/>
    <xf numFmtId="0" fontId="346" fillId="196" borderId="0" applyNumberFormat="0" applyBorder="0" applyAlignment="0" applyProtection="0"/>
    <xf numFmtId="178" fontId="346" fillId="197" borderId="0" applyNumberFormat="0" applyBorder="0" applyAlignment="0" applyProtection="0"/>
    <xf numFmtId="0" fontId="346" fillId="197" borderId="0" applyNumberFormat="0" applyBorder="0" applyAlignment="0" applyProtection="0"/>
    <xf numFmtId="178" fontId="346" fillId="215" borderId="0" applyNumberFormat="0" applyBorder="0" applyAlignment="0" applyProtection="0"/>
    <xf numFmtId="0" fontId="346" fillId="215" borderId="0" applyNumberFormat="0" applyBorder="0" applyAlignment="0" applyProtection="0"/>
    <xf numFmtId="0" fontId="28" fillId="38" borderId="0" applyNumberFormat="0" applyBorder="0" applyAlignment="0" applyProtection="0">
      <alignment vertical="center"/>
    </xf>
    <xf numFmtId="0" fontId="59" fillId="216" borderId="0" applyNumberFormat="0" applyBorder="0" applyAlignment="0" applyProtection="0">
      <alignment vertical="center"/>
    </xf>
    <xf numFmtId="0" fontId="59" fillId="216" borderId="0" applyProtection="0"/>
    <xf numFmtId="178" fontId="28" fillId="38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28" fillId="216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59" fillId="203" borderId="0" applyNumberFormat="0" applyBorder="0" applyAlignment="0" applyProtection="0">
      <alignment vertical="center"/>
    </xf>
    <xf numFmtId="0" fontId="59" fillId="203" borderId="0" applyProtection="0"/>
    <xf numFmtId="178" fontId="28" fillId="39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5" fillId="205" borderId="0" applyNumberFormat="0" applyBorder="0" applyAlignment="0" applyProtection="0">
      <alignment vertical="center"/>
    </xf>
    <xf numFmtId="0" fontId="107" fillId="203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59" fillId="206" borderId="0" applyNumberFormat="0" applyBorder="0" applyAlignment="0" applyProtection="0">
      <alignment vertical="center"/>
    </xf>
    <xf numFmtId="0" fontId="59" fillId="206" borderId="0" applyProtection="0"/>
    <xf numFmtId="178" fontId="28" fillId="41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7" fillId="206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178" fontId="28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7" fillId="53" borderId="0" applyNumberFormat="0" applyBorder="0" applyAlignment="0" applyProtection="0">
      <alignment vertical="center"/>
    </xf>
    <xf numFmtId="0" fontId="28" fillId="116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178" fontId="28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59" fillId="205" borderId="0" applyNumberFormat="0" applyBorder="0" applyAlignment="0" applyProtection="0">
      <alignment vertical="center"/>
    </xf>
    <xf numFmtId="0" fontId="59" fillId="205" borderId="0" applyProtection="0"/>
    <xf numFmtId="178" fontId="28" fillId="46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7" fillId="205" borderId="0" applyNumberFormat="0" applyBorder="0" applyAlignment="0" applyProtection="0">
      <alignment vertical="center"/>
    </xf>
    <xf numFmtId="0" fontId="347" fillId="37" borderId="0" applyNumberFormat="0" applyBorder="0" applyAlignment="0" applyProtection="0">
      <alignment vertical="center"/>
    </xf>
    <xf numFmtId="0" fontId="321" fillId="115" borderId="0" applyNumberFormat="0" applyBorder="0" applyAlignment="0" applyProtection="0">
      <alignment vertical="center"/>
    </xf>
    <xf numFmtId="0" fontId="321" fillId="115" borderId="0" applyProtection="0"/>
    <xf numFmtId="178" fontId="347" fillId="37" borderId="0" applyNumberFormat="0" applyBorder="0" applyAlignment="0" applyProtection="0">
      <alignment vertical="center"/>
    </xf>
    <xf numFmtId="0" fontId="348" fillId="37" borderId="0" applyNumberFormat="0" applyBorder="0" applyAlignment="0" applyProtection="0">
      <alignment vertical="center"/>
    </xf>
    <xf numFmtId="0" fontId="349" fillId="33" borderId="15" applyNumberFormat="0" applyAlignment="0" applyProtection="0">
      <alignment vertical="center"/>
    </xf>
    <xf numFmtId="0" fontId="214" fillId="48" borderId="44" applyNumberFormat="0" applyAlignment="0" applyProtection="0">
      <alignment vertical="center"/>
    </xf>
    <xf numFmtId="0" fontId="214" fillId="48" borderId="44" applyProtection="0"/>
    <xf numFmtId="178" fontId="349" fillId="33" borderId="15" applyNumberFormat="0" applyAlignment="0" applyProtection="0">
      <alignment vertical="center"/>
    </xf>
    <xf numFmtId="0" fontId="350" fillId="33" borderId="15" applyNumberFormat="0" applyAlignment="0" applyProtection="0">
      <alignment vertical="center"/>
    </xf>
    <xf numFmtId="178" fontId="214" fillId="48" borderId="44" applyNumberFormat="0" applyAlignment="0" applyProtection="0">
      <alignment vertical="center"/>
    </xf>
    <xf numFmtId="0" fontId="214" fillId="70" borderId="44" applyNumberFormat="0" applyAlignment="0" applyProtection="0">
      <alignment vertical="center"/>
    </xf>
    <xf numFmtId="0" fontId="349" fillId="48" borderId="15" applyNumberFormat="0" applyAlignment="0" applyProtection="0">
      <alignment vertical="center"/>
    </xf>
    <xf numFmtId="0" fontId="351" fillId="32" borderId="14" applyNumberFormat="0" applyAlignment="0" applyProtection="0">
      <alignment vertical="center"/>
    </xf>
    <xf numFmtId="0" fontId="189" fillId="58" borderId="33" applyNumberFormat="0" applyAlignment="0" applyProtection="0">
      <alignment vertical="center"/>
    </xf>
    <xf numFmtId="0" fontId="189" fillId="58" borderId="33" applyProtection="0"/>
    <xf numFmtId="178" fontId="351" fillId="32" borderId="14" applyNumberFormat="0" applyAlignment="0" applyProtection="0">
      <alignment vertical="center"/>
    </xf>
    <xf numFmtId="0" fontId="352" fillId="32" borderId="14" applyNumberFormat="0" applyAlignment="0" applyProtection="0">
      <alignment vertical="center"/>
    </xf>
    <xf numFmtId="0" fontId="189" fillId="70" borderId="33">
      <alignment vertical="center"/>
    </xf>
    <xf numFmtId="178" fontId="189" fillId="58" borderId="33" applyNumberFormat="0" applyAlignment="0" applyProtection="0">
      <alignment vertical="center"/>
    </xf>
    <xf numFmtId="346" fontId="49" fillId="0" borderId="0" applyFont="0" applyFill="0" applyBorder="0" applyAlignment="0" applyProtection="0"/>
    <xf numFmtId="178" fontId="26" fillId="31" borderId="13" applyNumberFormat="0" applyFont="0" applyAlignment="0" applyProtection="0">
      <alignment vertical="center"/>
    </xf>
    <xf numFmtId="180" fontId="26" fillId="31" borderId="13" applyNumberFormat="0" applyFont="0" applyAlignment="0" applyProtection="0">
      <alignment vertical="center"/>
    </xf>
    <xf numFmtId="180" fontId="28" fillId="46" borderId="0" applyNumberFormat="0" applyBorder="0" applyAlignment="0" applyProtection="0">
      <alignment vertical="center"/>
    </xf>
    <xf numFmtId="0" fontId="48" fillId="0" borderId="0">
      <alignment vertical="center"/>
    </xf>
    <xf numFmtId="0" fontId="353" fillId="0" borderId="0">
      <alignment vertical="center"/>
    </xf>
    <xf numFmtId="180" fontId="28" fillId="174" borderId="0" applyNumberFormat="0" applyBorder="0" applyAlignment="0" applyProtection="0">
      <alignment vertical="center"/>
    </xf>
    <xf numFmtId="0" fontId="354" fillId="0" borderId="0"/>
    <xf numFmtId="328" fontId="42" fillId="0" borderId="0"/>
    <xf numFmtId="334" fontId="361" fillId="0" borderId="0"/>
    <xf numFmtId="178" fontId="343" fillId="0" borderId="0" applyFont="0" applyFill="0" applyBorder="0" applyAlignment="0" applyProtection="0"/>
    <xf numFmtId="178" fontId="355" fillId="0" borderId="0"/>
    <xf numFmtId="40" fontId="270" fillId="0" borderId="0" applyFont="0" applyFill="0" applyBorder="0" applyAlignment="0" applyProtection="0"/>
    <xf numFmtId="38" fontId="270" fillId="0" borderId="0" applyFont="0" applyFill="0" applyBorder="0" applyAlignment="0" applyProtection="0"/>
    <xf numFmtId="0" fontId="99" fillId="49" borderId="42" applyNumberFormat="0" applyFont="0" applyAlignment="0" applyProtection="0">
      <alignment vertical="center"/>
    </xf>
    <xf numFmtId="0" fontId="26" fillId="49" borderId="42" applyNumberFormat="0" applyFont="0" applyAlignment="0" applyProtection="0">
      <alignment vertical="center"/>
    </xf>
    <xf numFmtId="0" fontId="26" fillId="49" borderId="42" applyProtection="0"/>
    <xf numFmtId="0" fontId="99" fillId="31" borderId="13" applyNumberFormat="0" applyFont="0" applyAlignment="0" applyProtection="0">
      <alignment vertical="center"/>
    </xf>
    <xf numFmtId="178" fontId="361" fillId="31" borderId="13" applyNumberFormat="0" applyFont="0" applyAlignment="0" applyProtection="0">
      <alignment vertical="center"/>
    </xf>
    <xf numFmtId="0" fontId="268" fillId="31" borderId="13" applyNumberFormat="0" applyFont="0" applyAlignment="0" applyProtection="0">
      <alignment vertical="center"/>
    </xf>
    <xf numFmtId="178" fontId="99" fillId="49" borderId="42" applyNumberFormat="0" applyFont="0" applyAlignment="0" applyProtection="0">
      <alignment vertical="center"/>
    </xf>
    <xf numFmtId="185" fontId="16" fillId="0" borderId="1" applyNumberFormat="0"/>
    <xf numFmtId="178" fontId="356" fillId="0" borderId="0"/>
    <xf numFmtId="240" fontId="16" fillId="0" borderId="0" applyFont="0" applyFill="0" applyBorder="0" applyAlignment="0" applyProtection="0"/>
    <xf numFmtId="178" fontId="357" fillId="0" borderId="0" applyFont="0" applyFill="0" applyBorder="0" applyAlignment="0" applyProtection="0"/>
    <xf numFmtId="178" fontId="358" fillId="0" borderId="0" applyFont="0" applyFill="0" applyBorder="0" applyAlignment="0" applyProtection="0"/>
    <xf numFmtId="178" fontId="284" fillId="0" borderId="0" applyFont="0" applyFill="0" applyBorder="0" applyAlignment="0" applyProtection="0"/>
    <xf numFmtId="178" fontId="358" fillId="0" borderId="0"/>
    <xf numFmtId="0" fontId="361" fillId="0" borderId="0">
      <alignment vertical="center"/>
    </xf>
  </cellStyleXfs>
  <cellXfs count="22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347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NumberFormat="1" applyFont="1" applyFill="1" applyBorder="1" applyAlignment="1">
      <alignment horizontal="center" vertical="center"/>
    </xf>
    <xf numFmtId="0" fontId="3" fillId="6" borderId="1" xfId="0" applyNumberFormat="1" applyFont="1" applyFill="1" applyBorder="1" applyAlignment="1">
      <alignment horizontal="center" vertical="center"/>
    </xf>
    <xf numFmtId="0" fontId="3" fillId="8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0" fontId="4" fillId="11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12" borderId="1" xfId="0" applyNumberFormat="1" applyFont="1" applyFill="1" applyBorder="1" applyAlignment="1">
      <alignment horizontal="center" vertical="center"/>
    </xf>
    <xf numFmtId="0" fontId="3" fillId="13" borderId="1" xfId="0" applyNumberFormat="1" applyFont="1" applyFill="1" applyBorder="1" applyAlignment="1">
      <alignment horizontal="center" vertical="center"/>
    </xf>
    <xf numFmtId="0" fontId="5" fillId="14" borderId="1" xfId="0" applyNumberFormat="1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5" fillId="14" borderId="1" xfId="0" applyNumberFormat="1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14" borderId="1" xfId="0" applyNumberFormat="1" applyFont="1" applyFill="1" applyBorder="1" applyAlignment="1">
      <alignment horizontal="center" vertical="center"/>
    </xf>
    <xf numFmtId="0" fontId="2" fillId="14" borderId="1" xfId="0" applyNumberFormat="1" applyFont="1" applyFill="1" applyBorder="1" applyAlignment="1">
      <alignment horizontal="center" vertical="center" wrapText="1"/>
    </xf>
    <xf numFmtId="0" fontId="2" fillId="15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/>
    </xf>
    <xf numFmtId="0" fontId="2" fillId="5" borderId="1" xfId="0" applyNumberFormat="1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 wrapText="1"/>
    </xf>
    <xf numFmtId="345" fontId="9" fillId="17" borderId="1" xfId="0" applyNumberFormat="1" applyFont="1" applyFill="1" applyBorder="1" applyAlignment="1">
      <alignment horizontal="center" vertical="center" wrapText="1"/>
    </xf>
    <xf numFmtId="345" fontId="9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345" fontId="8" fillId="0" borderId="1" xfId="0" applyNumberFormat="1" applyFont="1" applyBorder="1" applyAlignment="1">
      <alignment horizontal="center" vertical="center"/>
    </xf>
    <xf numFmtId="0" fontId="8" fillId="18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345" fontId="10" fillId="18" borderId="1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3" xfId="803" applyFont="1" applyBorder="1" applyAlignment="1">
      <alignment horizontal="center" vertical="center"/>
    </xf>
    <xf numFmtId="0" fontId="13" fillId="19" borderId="1" xfId="803" applyFont="1" applyFill="1" applyBorder="1" applyAlignment="1">
      <alignment horizontal="center" vertical="center"/>
    </xf>
    <xf numFmtId="0" fontId="11" fillId="0" borderId="1" xfId="803" applyFont="1" applyFill="1" applyBorder="1" applyAlignment="1">
      <alignment horizontal="center" vertical="center"/>
    </xf>
    <xf numFmtId="9" fontId="11" fillId="0" borderId="1" xfId="1" applyFont="1" applyFill="1" applyBorder="1" applyAlignment="1">
      <alignment horizontal="center" vertical="center"/>
    </xf>
    <xf numFmtId="0" fontId="11" fillId="16" borderId="3" xfId="803" applyFont="1" applyFill="1" applyBorder="1" applyAlignment="1">
      <alignment horizontal="center" vertical="center"/>
    </xf>
    <xf numFmtId="0" fontId="11" fillId="16" borderId="1" xfId="803" applyFont="1" applyFill="1" applyBorder="1" applyAlignment="1">
      <alignment horizontal="center" vertical="center"/>
    </xf>
    <xf numFmtId="0" fontId="361" fillId="0" borderId="0" xfId="1048"/>
    <xf numFmtId="0" fontId="15" fillId="20" borderId="1" xfId="1048" applyFont="1" applyFill="1" applyBorder="1" applyAlignment="1">
      <alignment horizontal="center" vertical="center"/>
    </xf>
    <xf numFmtId="58" fontId="15" fillId="20" borderId="1" xfId="1048" applyNumberFormat="1" applyFont="1" applyFill="1" applyBorder="1" applyAlignment="1">
      <alignment horizontal="center" vertical="center"/>
    </xf>
    <xf numFmtId="0" fontId="15" fillId="0" borderId="1" xfId="1048" applyFont="1" applyFill="1" applyBorder="1" applyAlignment="1">
      <alignment horizontal="center" vertical="center"/>
    </xf>
    <xf numFmtId="0" fontId="16" fillId="18" borderId="1" xfId="1048" applyFont="1" applyFill="1" applyBorder="1" applyAlignment="1">
      <alignment horizontal="center" vertical="center"/>
    </xf>
    <xf numFmtId="0" fontId="16" fillId="0" borderId="1" xfId="1048" applyFont="1" applyFill="1" applyBorder="1" applyAlignment="1">
      <alignment horizontal="center" vertical="center"/>
    </xf>
    <xf numFmtId="0" fontId="361" fillId="0" borderId="1" xfId="1048" applyBorder="1"/>
    <xf numFmtId="0" fontId="16" fillId="21" borderId="1" xfId="1048" applyFont="1" applyFill="1" applyBorder="1" applyAlignment="1">
      <alignment horizontal="center" vertical="center"/>
    </xf>
    <xf numFmtId="0" fontId="15" fillId="22" borderId="1" xfId="1048" applyFont="1" applyFill="1" applyBorder="1" applyAlignment="1">
      <alignment horizontal="center" vertical="center"/>
    </xf>
    <xf numFmtId="0" fontId="17" fillId="0" borderId="1" xfId="1048" applyFont="1" applyFill="1" applyBorder="1" applyAlignment="1">
      <alignment horizontal="center" vertical="center"/>
    </xf>
    <xf numFmtId="0" fontId="18" fillId="20" borderId="1" xfId="1048" applyFont="1" applyFill="1" applyBorder="1" applyAlignment="1">
      <alignment horizontal="center" vertical="center"/>
    </xf>
    <xf numFmtId="58" fontId="18" fillId="20" borderId="1" xfId="1048" applyNumberFormat="1" applyFont="1" applyFill="1" applyBorder="1" applyAlignment="1">
      <alignment horizontal="center" vertical="center"/>
    </xf>
    <xf numFmtId="0" fontId="18" fillId="0" borderId="1" xfId="1048" applyFont="1" applyFill="1" applyBorder="1" applyAlignment="1">
      <alignment horizontal="center" vertical="center"/>
    </xf>
    <xf numFmtId="0" fontId="19" fillId="0" borderId="1" xfId="1048" applyFont="1" applyFill="1" applyBorder="1" applyAlignment="1">
      <alignment horizontal="center" vertical="center"/>
    </xf>
    <xf numFmtId="0" fontId="18" fillId="22" borderId="1" xfId="1048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vertical="center"/>
    </xf>
    <xf numFmtId="0" fontId="15" fillId="23" borderId="1" xfId="1048" applyFont="1" applyFill="1" applyBorder="1" applyAlignment="1">
      <alignment horizontal="center" vertical="center"/>
    </xf>
    <xf numFmtId="58" fontId="15" fillId="23" borderId="1" xfId="1048" applyNumberFormat="1" applyFont="1" applyFill="1" applyBorder="1" applyAlignment="1">
      <alignment horizontal="center" vertical="center"/>
    </xf>
    <xf numFmtId="58" fontId="15" fillId="5" borderId="1" xfId="1048" applyNumberFormat="1" applyFont="1" applyFill="1" applyBorder="1" applyAlignment="1">
      <alignment horizontal="center" vertical="center"/>
    </xf>
    <xf numFmtId="0" fontId="15" fillId="24" borderId="1" xfId="1048" applyFont="1" applyFill="1" applyBorder="1" applyAlignment="1">
      <alignment horizontal="center" vertical="center"/>
    </xf>
    <xf numFmtId="0" fontId="21" fillId="0" borderId="1" xfId="1048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0" fillId="0" borderId="0" xfId="0" applyFont="1" applyFill="1" applyBorder="1" applyAlignment="1"/>
    <xf numFmtId="0" fontId="16" fillId="0" borderId="0" xfId="0" applyFont="1"/>
    <xf numFmtId="0" fontId="23" fillId="25" borderId="1" xfId="1177" applyFont="1" applyFill="1" applyBorder="1" applyAlignment="1">
      <alignment horizontal="center" vertical="center"/>
    </xf>
    <xf numFmtId="348" fontId="23" fillId="25" borderId="1" xfId="1177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0" fontId="15" fillId="0" borderId="1" xfId="1177" applyFont="1" applyFill="1" applyBorder="1" applyAlignment="1">
      <alignment horizontal="center" vertical="center"/>
    </xf>
    <xf numFmtId="1" fontId="24" fillId="0" borderId="1" xfId="1177" applyNumberFormat="1" applyFont="1" applyFill="1" applyBorder="1" applyAlignment="1">
      <alignment horizontal="center" vertical="center"/>
    </xf>
    <xf numFmtId="1" fontId="24" fillId="21" borderId="1" xfId="1177" applyNumberFormat="1" applyFont="1" applyFill="1" applyBorder="1" applyAlignment="1">
      <alignment horizontal="center" vertical="center"/>
    </xf>
    <xf numFmtId="0" fontId="25" fillId="26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25" fillId="27" borderId="1" xfId="0" applyFont="1" applyFill="1" applyBorder="1" applyAlignment="1">
      <alignment horizontal="center" vertical="center"/>
    </xf>
    <xf numFmtId="0" fontId="23" fillId="19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18" borderId="1" xfId="0" applyFont="1" applyFill="1" applyBorder="1" applyAlignment="1">
      <alignment horizontal="center" vertical="center"/>
    </xf>
    <xf numFmtId="0" fontId="28" fillId="19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27" borderId="1" xfId="0" applyFont="1" applyFill="1" applyBorder="1" applyAlignment="1">
      <alignment horizontal="center" vertical="center"/>
    </xf>
    <xf numFmtId="0" fontId="0" fillId="28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/>
    <xf numFmtId="0" fontId="0" fillId="0" borderId="1" xfId="0" applyBorder="1"/>
    <xf numFmtId="0" fontId="25" fillId="21" borderId="1" xfId="0" applyFont="1" applyFill="1" applyBorder="1" applyAlignment="1">
      <alignment horizontal="center" vertical="center"/>
    </xf>
    <xf numFmtId="0" fontId="0" fillId="21" borderId="1" xfId="0" applyFont="1" applyFill="1" applyBorder="1" applyAlignment="1">
      <alignment horizontal="center" vertical="center"/>
    </xf>
    <xf numFmtId="345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/>
    <xf numFmtId="0" fontId="0" fillId="5" borderId="1" xfId="0" applyFont="1" applyFill="1" applyBorder="1" applyAlignment="1">
      <alignment horizontal="center" vertical="center"/>
    </xf>
    <xf numFmtId="0" fontId="3" fillId="0" borderId="0" xfId="0" applyFont="1" applyFill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21" borderId="0" xfId="0" applyFont="1" applyFill="1"/>
    <xf numFmtId="0" fontId="3" fillId="0" borderId="0" xfId="0" applyFont="1" applyFill="1" applyAlignment="1">
      <alignment vertical="center"/>
    </xf>
    <xf numFmtId="0" fontId="3" fillId="21" borderId="1" xfId="0" applyNumberFormat="1" applyFont="1" applyFill="1" applyBorder="1" applyAlignment="1">
      <alignment horizontal="center" vertical="center"/>
    </xf>
    <xf numFmtId="328" fontId="3" fillId="21" borderId="1" xfId="0" applyNumberFormat="1" applyFont="1" applyFill="1" applyBorder="1" applyAlignment="1">
      <alignment horizontal="center" vertical="center"/>
    </xf>
    <xf numFmtId="0" fontId="29" fillId="0" borderId="1" xfId="802" applyFont="1" applyFill="1" applyBorder="1" applyAlignment="1">
      <alignment horizontal="center" vertical="center"/>
    </xf>
    <xf numFmtId="347" fontId="30" fillId="19" borderId="1" xfId="0" applyNumberFormat="1" applyFont="1" applyFill="1" applyBorder="1" applyAlignment="1">
      <alignment horizontal="center" vertical="center" wrapText="1"/>
    </xf>
    <xf numFmtId="0" fontId="1" fillId="18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347" fontId="32" fillId="19" borderId="1" xfId="0" applyNumberFormat="1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1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347" fontId="30" fillId="19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29" borderId="1" xfId="0" applyNumberFormat="1" applyFont="1" applyFill="1" applyBorder="1" applyAlignment="1">
      <alignment horizontal="center" vertical="center" wrapText="1"/>
    </xf>
    <xf numFmtId="0" fontId="2" fillId="6" borderId="1" xfId="0" applyNumberFormat="1" applyFont="1" applyFill="1" applyBorder="1" applyAlignment="1">
      <alignment horizontal="center" vertical="center" wrapText="1"/>
    </xf>
    <xf numFmtId="0" fontId="4" fillId="6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2" fillId="8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 vertical="center"/>
    </xf>
    <xf numFmtId="0" fontId="2" fillId="10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/>
    </xf>
    <xf numFmtId="0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328" fontId="3" fillId="14" borderId="1" xfId="0" applyNumberFormat="1" applyFont="1" applyFill="1" applyBorder="1" applyAlignment="1">
      <alignment horizontal="center" vertical="center"/>
    </xf>
    <xf numFmtId="0" fontId="2" fillId="0" borderId="1" xfId="0" quotePrefix="1" applyNumberFormat="1" applyFont="1" applyFill="1" applyBorder="1" applyAlignment="1">
      <alignment horizontal="center" vertical="center"/>
    </xf>
    <xf numFmtId="0" fontId="3" fillId="0" borderId="1" xfId="0" quotePrefix="1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2" fillId="0" borderId="6" xfId="0" applyNumberFormat="1" applyFont="1" applyFill="1" applyBorder="1" applyAlignment="1">
      <alignment horizontal="center" vertical="center" wrapText="1"/>
    </xf>
    <xf numFmtId="0" fontId="2" fillId="0" borderId="7" xfId="0" applyNumberFormat="1" applyFont="1" applyFill="1" applyBorder="1" applyAlignment="1">
      <alignment horizontal="center" vertical="center" wrapText="1"/>
    </xf>
    <xf numFmtId="0" fontId="2" fillId="0" borderId="8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/>
    </xf>
    <xf numFmtId="0" fontId="2" fillId="0" borderId="7" xfId="0" applyNumberFormat="1" applyFont="1" applyFill="1" applyBorder="1" applyAlignment="1">
      <alignment horizontal="center" vertical="center"/>
    </xf>
    <xf numFmtId="0" fontId="2" fillId="0" borderId="8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31" fillId="18" borderId="1" xfId="0" applyNumberFormat="1" applyFont="1" applyFill="1" applyBorder="1" applyAlignment="1">
      <alignment horizontal="center" vertical="center" wrapText="1"/>
    </xf>
    <xf numFmtId="0" fontId="1" fillId="18" borderId="6" xfId="0" applyNumberFormat="1" applyFont="1" applyFill="1" applyBorder="1" applyAlignment="1">
      <alignment horizontal="center" vertical="center" wrapText="1"/>
    </xf>
    <xf numFmtId="0" fontId="1" fillId="18" borderId="8" xfId="0" applyNumberFormat="1" applyFont="1" applyFill="1" applyBorder="1" applyAlignment="1">
      <alignment horizontal="center" vertical="center" wrapText="1"/>
    </xf>
    <xf numFmtId="0" fontId="1" fillId="0" borderId="6" xfId="0" applyNumberFormat="1" applyFont="1" applyFill="1" applyBorder="1" applyAlignment="1">
      <alignment horizontal="center" vertical="center" wrapText="1"/>
    </xf>
    <xf numFmtId="0" fontId="1" fillId="0" borderId="8" xfId="0" applyNumberFormat="1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0" fillId="19" borderId="10" xfId="0" applyNumberFormat="1" applyFont="1" applyFill="1" applyBorder="1" applyAlignment="1">
      <alignment horizontal="center" vertical="center" wrapText="1"/>
    </xf>
    <xf numFmtId="0" fontId="30" fillId="19" borderId="11" xfId="0" applyNumberFormat="1" applyFont="1" applyFill="1" applyBorder="1" applyAlignment="1">
      <alignment horizontal="center" vertical="center" wrapText="1"/>
    </xf>
    <xf numFmtId="0" fontId="30" fillId="19" borderId="12" xfId="0" applyNumberFormat="1" applyFont="1" applyFill="1" applyBorder="1" applyAlignment="1">
      <alignment horizontal="center" vertical="center" wrapText="1"/>
    </xf>
    <xf numFmtId="0" fontId="30" fillId="19" borderId="0" xfId="0" applyNumberFormat="1" applyFont="1" applyFill="1" applyAlignment="1">
      <alignment horizontal="center" vertical="center" wrapText="1"/>
    </xf>
    <xf numFmtId="0" fontId="30" fillId="19" borderId="4" xfId="0" applyNumberFormat="1" applyFont="1" applyFill="1" applyBorder="1" applyAlignment="1">
      <alignment horizontal="center" vertical="center" wrapText="1"/>
    </xf>
    <xf numFmtId="0" fontId="30" fillId="19" borderId="2" xfId="0" applyNumberFormat="1" applyFont="1" applyFill="1" applyBorder="1" applyAlignment="1">
      <alignment horizontal="center" vertical="center" wrapText="1"/>
    </xf>
    <xf numFmtId="0" fontId="30" fillId="19" borderId="1" xfId="0" applyNumberFormat="1" applyFont="1" applyFill="1" applyBorder="1" applyAlignment="1">
      <alignment horizontal="center" vertical="center" wrapText="1"/>
    </xf>
    <xf numFmtId="0" fontId="22" fillId="25" borderId="3" xfId="1177" applyFont="1" applyFill="1" applyBorder="1" applyAlignment="1">
      <alignment horizontal="center" vertical="center"/>
    </xf>
    <xf numFmtId="0" fontId="22" fillId="25" borderId="5" xfId="1177" applyFont="1" applyFill="1" applyBorder="1" applyAlignment="1">
      <alignment horizontal="center" vertical="center"/>
    </xf>
    <xf numFmtId="0" fontId="15" fillId="0" borderId="1" xfId="1177" applyFont="1" applyFill="1" applyBorder="1" applyAlignment="1">
      <alignment horizontal="center" vertical="center"/>
    </xf>
    <xf numFmtId="0" fontId="15" fillId="0" borderId="3" xfId="1177" applyFont="1" applyFill="1" applyBorder="1" applyAlignment="1">
      <alignment horizontal="center" vertical="center"/>
    </xf>
    <xf numFmtId="0" fontId="15" fillId="0" borderId="5" xfId="1177" applyFont="1" applyFill="1" applyBorder="1" applyAlignment="1">
      <alignment horizontal="center" vertical="center"/>
    </xf>
    <xf numFmtId="0" fontId="15" fillId="0" borderId="9" xfId="1177" applyFont="1" applyFill="1" applyBorder="1" applyAlignment="1">
      <alignment horizontal="center" vertical="center"/>
    </xf>
    <xf numFmtId="0" fontId="25" fillId="26" borderId="1" xfId="0" applyFont="1" applyFill="1" applyBorder="1" applyAlignment="1">
      <alignment horizontal="center" vertical="center"/>
    </xf>
    <xf numFmtId="0" fontId="23" fillId="19" borderId="1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9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19" borderId="8" xfId="0" applyFont="1" applyFill="1" applyBorder="1" applyAlignment="1">
      <alignment horizontal="center" vertical="center"/>
    </xf>
    <xf numFmtId="0" fontId="28" fillId="19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/>
    </xf>
    <xf numFmtId="0" fontId="0" fillId="0" borderId="9" xfId="0" applyFont="1" applyFill="1" applyBorder="1" applyAlignment="1">
      <alignment horizontal="center"/>
    </xf>
    <xf numFmtId="0" fontId="23" fillId="25" borderId="1" xfId="1177" applyFont="1" applyFill="1" applyBorder="1" applyAlignment="1">
      <alignment horizontal="center" vertical="center"/>
    </xf>
    <xf numFmtId="0" fontId="15" fillId="0" borderId="6" xfId="1177" applyFont="1" applyFill="1" applyBorder="1" applyAlignment="1">
      <alignment horizontal="center" vertical="center"/>
    </xf>
    <xf numFmtId="0" fontId="15" fillId="0" borderId="7" xfId="1177" applyFont="1" applyFill="1" applyBorder="1" applyAlignment="1">
      <alignment horizontal="center" vertical="center"/>
    </xf>
    <xf numFmtId="0" fontId="15" fillId="0" borderId="8" xfId="1177" applyFont="1" applyFill="1" applyBorder="1" applyAlignment="1">
      <alignment horizontal="center" vertical="center"/>
    </xf>
    <xf numFmtId="0" fontId="26" fillId="0" borderId="7" xfId="0" applyFont="1" applyFill="1" applyBorder="1" applyAlignment="1">
      <alignment horizontal="center" vertical="center"/>
    </xf>
    <xf numFmtId="0" fontId="26" fillId="0" borderId="8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348" fontId="23" fillId="25" borderId="1" xfId="1177" applyNumberFormat="1" applyFont="1" applyFill="1" applyBorder="1" applyAlignment="1">
      <alignment horizontal="center" vertical="center"/>
    </xf>
    <xf numFmtId="0" fontId="28" fillId="19" borderId="6" xfId="0" applyFont="1" applyFill="1" applyBorder="1" applyAlignment="1">
      <alignment horizontal="center" vertical="center"/>
    </xf>
    <xf numFmtId="0" fontId="28" fillId="19" borderId="8" xfId="0" applyFont="1" applyFill="1" applyBorder="1" applyAlignment="1">
      <alignment horizontal="center" vertical="center"/>
    </xf>
    <xf numFmtId="0" fontId="23" fillId="25" borderId="6" xfId="1177" applyFont="1" applyFill="1" applyBorder="1" applyAlignment="1">
      <alignment horizontal="center" vertical="center"/>
    </xf>
    <xf numFmtId="0" fontId="23" fillId="25" borderId="8" xfId="1177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4" fillId="0" borderId="4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/>
    </xf>
    <xf numFmtId="0" fontId="15" fillId="0" borderId="1" xfId="1048" applyFont="1" applyFill="1" applyBorder="1" applyAlignment="1">
      <alignment horizontal="center" vertical="center"/>
    </xf>
    <xf numFmtId="0" fontId="14" fillId="0" borderId="4" xfId="1048" applyFont="1" applyFill="1" applyBorder="1" applyAlignment="1">
      <alignment horizontal="center" vertical="center"/>
    </xf>
    <xf numFmtId="0" fontId="14" fillId="0" borderId="2" xfId="1048" applyFont="1" applyFill="1" applyBorder="1" applyAlignment="1">
      <alignment horizontal="center" vertical="center"/>
    </xf>
    <xf numFmtId="0" fontId="14" fillId="0" borderId="3" xfId="1048" applyFont="1" applyFill="1" applyBorder="1" applyAlignment="1">
      <alignment horizontal="center" vertical="center"/>
    </xf>
    <xf numFmtId="0" fontId="14" fillId="0" borderId="5" xfId="1048" applyFont="1" applyFill="1" applyBorder="1" applyAlignment="1">
      <alignment horizontal="center" vertical="center"/>
    </xf>
    <xf numFmtId="0" fontId="18" fillId="0" borderId="1" xfId="1048" applyFont="1" applyFill="1" applyBorder="1" applyAlignment="1">
      <alignment horizontal="center" vertical="center"/>
    </xf>
    <xf numFmtId="0" fontId="10" fillId="0" borderId="2" xfId="803" applyFont="1" applyBorder="1" applyAlignment="1">
      <alignment horizontal="center" vertical="center"/>
    </xf>
    <xf numFmtId="0" fontId="10" fillId="0" borderId="0" xfId="803" applyFont="1" applyBorder="1" applyAlignment="1">
      <alignment horizontal="center" vertical="center"/>
    </xf>
    <xf numFmtId="0" fontId="7" fillId="0" borderId="1" xfId="803" applyFont="1" applyFill="1" applyBorder="1" applyAlignment="1">
      <alignment horizontal="center" vertical="center"/>
    </xf>
    <xf numFmtId="0" fontId="12" fillId="0" borderId="1" xfId="803" applyFont="1" applyFill="1" applyBorder="1" applyAlignment="1">
      <alignment horizontal="left" vertical="center" wrapText="1"/>
    </xf>
    <xf numFmtId="0" fontId="12" fillId="0" borderId="1" xfId="803" applyFont="1" applyFill="1" applyBorder="1" applyAlignment="1">
      <alignment horizontal="left" vertical="center"/>
    </xf>
    <xf numFmtId="0" fontId="13" fillId="19" borderId="1" xfId="803" applyFont="1" applyFill="1" applyBorder="1" applyAlignment="1">
      <alignment horizontal="center" vertical="center"/>
    </xf>
    <xf numFmtId="0" fontId="11" fillId="0" borderId="1" xfId="803" applyFont="1" applyBorder="1" applyAlignment="1">
      <alignment horizontal="center" vertical="center"/>
    </xf>
    <xf numFmtId="0" fontId="11" fillId="0" borderId="3" xfId="803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 wrapText="1"/>
    </xf>
  </cellXfs>
  <cellStyles count="1295">
    <cellStyle name="_x0004_" xfId="2" xr:uid="{00000000-0005-0000-0000-000031000000}"/>
    <cellStyle name="_x000a_mouse.drv=lm" xfId="3" xr:uid="{00000000-0005-0000-0000-000032000000}"/>
    <cellStyle name="_x000d__x000a_JournalTemplate=C:\COMFO\CTALK\JOURSTD.TPL_x000d__x000a_LbStateAddress=3 3 0 251 1 89 2 311_x000d__x000a_LbStateJou" xfId="4" xr:uid="{00000000-0005-0000-0000-000033000000}"/>
    <cellStyle name="#.##0 ;(#.##0)" xfId="5" xr:uid="{00000000-0005-0000-0000-000034000000}"/>
    <cellStyle name="$ w/o $" xfId="6" xr:uid="{00000000-0005-0000-0000-000035000000}"/>
    <cellStyle name="$0" xfId="7" xr:uid="{00000000-0005-0000-0000-000036000000}"/>
    <cellStyle name=".center" xfId="8" xr:uid="{00000000-0005-0000-0000-000037000000}"/>
    <cellStyle name=".font0" xfId="9" xr:uid="{00000000-0005-0000-0000-000038000000}"/>
    <cellStyle name=".font6" xfId="10" xr:uid="{00000000-0005-0000-0000-000039000000}"/>
    <cellStyle name=".left" xfId="11" xr:uid="{00000000-0005-0000-0000-00003A000000}"/>
    <cellStyle name=".right" xfId="12" xr:uid="{00000000-0005-0000-0000-00003B000000}"/>
    <cellStyle name=".style12" xfId="13" xr:uid="{00000000-0005-0000-0000-00003C000000}"/>
    <cellStyle name="?" xfId="14" xr:uid="{00000000-0005-0000-0000-00003D000000}"/>
    <cellStyle name="? 2" xfId="15" xr:uid="{00000000-0005-0000-0000-00003E000000}"/>
    <cellStyle name="?? [0.00]_PERSONAL" xfId="16" xr:uid="{00000000-0005-0000-0000-00003F000000}"/>
    <cellStyle name="???? [0.00]_BINV" xfId="17" xr:uid="{00000000-0005-0000-0000-000040000000}"/>
    <cellStyle name="????_BINV" xfId="18" xr:uid="{00000000-0005-0000-0000-000041000000}"/>
    <cellStyle name="??_PERSONAL" xfId="19" xr:uid="{00000000-0005-0000-0000-000042000000}"/>
    <cellStyle name="?鹎%U龡&amp;H?_x0008__x001c__x001c_?_x0007__x0001__x0001_" xfId="20" xr:uid="{00000000-0005-0000-0000-000043000000}"/>
    <cellStyle name="?鹎%U龡&amp;H鼼_x0008__x0001__x001f_?_x0007__x0001__x0001_" xfId="21" xr:uid="{00000000-0005-0000-0000-000044000000}"/>
    <cellStyle name="@ET_Style?#cg_msg_content" xfId="22" xr:uid="{00000000-0005-0000-0000-000045000000}"/>
    <cellStyle name="@page" xfId="23" xr:uid="{00000000-0005-0000-0000-000046000000}"/>
    <cellStyle name="_~1910480" xfId="24" xr:uid="{00000000-0005-0000-0000-000047000000}"/>
    <cellStyle name="_~2086540" xfId="25" xr:uid="{00000000-0005-0000-0000-000048000000}"/>
    <cellStyle name="_~4643625" xfId="26" xr:uid="{00000000-0005-0000-0000-000049000000}"/>
    <cellStyle name="_~4707221" xfId="27" xr:uid="{00000000-0005-0000-0000-00004A000000}"/>
    <cellStyle name="_~MF3326_2" xfId="28" xr:uid="{00000000-0005-0000-0000-00004B000000}"/>
    <cellStyle name="_~MF3326_4" xfId="29" xr:uid="{00000000-0005-0000-0000-00004C000000}"/>
    <cellStyle name="_05年平板单台成本" xfId="30" xr:uid="{00000000-0005-0000-0000-00004D000000}"/>
    <cellStyle name="_09年度P&amp;L预算模板" xfId="31" xr:uid="{00000000-0005-0000-0000-00004E000000}"/>
    <cellStyle name="_x0004__2011 年秋季产品企划超市31" xfId="32" xr:uid="{00000000-0005-0000-0000-00004F000000}"/>
    <cellStyle name="_40万直流变频机方案汇总" xfId="33" xr:uid="{00000000-0005-0000-0000-000050000000}"/>
    <cellStyle name="_Angela_SU Legal quota consolidation 25Oct 2005" xfId="34" xr:uid="{00000000-0005-0000-0000-000051000000}"/>
    <cellStyle name="_Backlog_Review_20080111" xfId="35" xr:uid="{00000000-0005-0000-0000-000052000000}"/>
    <cellStyle name="_Column1_Kons_IW_CF auf GF" xfId="36" xr:uid="{00000000-0005-0000-0000-000053000000}"/>
    <cellStyle name="_Column1_PPA HCST - Valuation IPRnD_Summary_220607_1100" xfId="37" xr:uid="{00000000-0005-0000-0000-000054000000}"/>
    <cellStyle name="_Column2_Berechnung EOP Margen ohne Tantal other" xfId="38" xr:uid="{00000000-0005-0000-0000-000055000000}"/>
    <cellStyle name="_Column2_Kons_IW_CF auf GF" xfId="39" xr:uid="{00000000-0005-0000-0000-000056000000}"/>
    <cellStyle name="_Column3_Berechnung EOP Margen ohne Tantal other" xfId="40" xr:uid="{00000000-0005-0000-0000-000057000000}"/>
    <cellStyle name="_Column3_Kons_IW_CF auf GF" xfId="41" xr:uid="{00000000-0005-0000-0000-000058000000}"/>
    <cellStyle name="_Column4_Berechnung EOP Margen ohne Tantal other" xfId="42" xr:uid="{00000000-0005-0000-0000-000059000000}"/>
    <cellStyle name="_Column4_Kons_IW_CF auf GF" xfId="43" xr:uid="{00000000-0005-0000-0000-00005A000000}"/>
    <cellStyle name="_Column5_Berechnung EOP Margen ohne Tantal other" xfId="44" xr:uid="{00000000-0005-0000-0000-00005B000000}"/>
    <cellStyle name="_Column6_Berechnung EOP Margen ohne Tantal other" xfId="45" xr:uid="{00000000-0005-0000-0000-00005C000000}"/>
    <cellStyle name="_Currency" xfId="46" xr:uid="{00000000-0005-0000-0000-00005D000000}"/>
    <cellStyle name="_Data" xfId="47" xr:uid="{00000000-0005-0000-0000-00005E000000}"/>
    <cellStyle name="_Data_Berechnung EOP Margen ohne Tantal other" xfId="48" xr:uid="{00000000-0005-0000-0000-00005F000000}"/>
    <cellStyle name="_Data_DP02 - GF Aufteilung 0900 SP" xfId="49" xr:uid="{00000000-0005-0000-0000-000060000000}"/>
    <cellStyle name="_Data_Konsolidierung auf GF 05_2000" xfId="50" xr:uid="{00000000-0005-0000-0000-000061000000}"/>
    <cellStyle name="_Data_Konsolidierung auf GF 12_2000_vorlaeufig" xfId="51" xr:uid="{00000000-0005-0000-0000-000062000000}"/>
    <cellStyle name="_Data_MDI Quartale (2)" xfId="52" xr:uid="{00000000-0005-0000-0000-000063000000}"/>
    <cellStyle name="_Data_Zwischengewinne SP 09-2000" xfId="53" xr:uid="{00000000-0005-0000-0000-000064000000}"/>
    <cellStyle name="_delday9902" xfId="54" xr:uid="{00000000-0005-0000-0000-000065000000}"/>
    <cellStyle name="_DvA-Q2" xfId="55" xr:uid="{00000000-0005-0000-0000-000066000000}"/>
    <cellStyle name="_x0004__E2E新格式-修改系统" xfId="56" xr:uid="{00000000-0005-0000-0000-000067000000}"/>
    <cellStyle name="_ET_STYLE_NoName_00_" xfId="57" xr:uid="{00000000-0005-0000-0000-000068000000}"/>
    <cellStyle name="_ET_STYLE_NoName_00_ 3" xfId="58" xr:uid="{00000000-0005-0000-0000-000069000000}"/>
    <cellStyle name="_ET_STYLE_NoName_00__供应商确认表" xfId="59" xr:uid="{00000000-0005-0000-0000-00006A000000}"/>
    <cellStyle name="_ET_STYLE_NoName_00__张贤青2010.3.19-冰箱新品-BCD-356WAC塑料模具" xfId="60" xr:uid="{00000000-0005-0000-0000-00006B000000}"/>
    <cellStyle name="_fy04 1H Corp Acc 0313" xfId="61" xr:uid="{00000000-0005-0000-0000-00006C000000}"/>
    <cellStyle name="_Header" xfId="62" xr:uid="{00000000-0005-0000-0000-00006D000000}"/>
    <cellStyle name="_Header_CF" xfId="63" xr:uid="{00000000-0005-0000-0000-00006E000000}"/>
    <cellStyle name="_Header_PPA HCST - Valuation IPRnD" xfId="64" xr:uid="{00000000-0005-0000-0000-00006F000000}"/>
    <cellStyle name="_Multiple" xfId="65" xr:uid="{00000000-0005-0000-0000-000070000000}"/>
    <cellStyle name="_Percent" xfId="66" xr:uid="{00000000-0005-0000-0000-000071000000}"/>
    <cellStyle name="_PPA HCST Gruppe_Bewertung Rohstoffe 04.07.07" xfId="67" xr:uid="{00000000-0005-0000-0000-000072000000}"/>
    <cellStyle name="_Row2" xfId="68" xr:uid="{00000000-0005-0000-0000-000073000000}"/>
    <cellStyle name="_Row3" xfId="69" xr:uid="{00000000-0005-0000-0000-000074000000}"/>
    <cellStyle name="_Row4" xfId="70" xr:uid="{00000000-0005-0000-0000-000075000000}"/>
    <cellStyle name="_Row5" xfId="71" xr:uid="{00000000-0005-0000-0000-000076000000}"/>
    <cellStyle name="_Row6" xfId="72" xr:uid="{00000000-0005-0000-0000-000077000000}"/>
    <cellStyle name="_Row7" xfId="73" xr:uid="{00000000-0005-0000-0000-000078000000}"/>
    <cellStyle name="_Sheet2" xfId="74" xr:uid="{00000000-0005-0000-0000-000079000000}"/>
    <cellStyle name="_UPL010703-供应商评定表" xfId="75" xr:uid="{00000000-0005-0000-0000-00007A000000}"/>
    <cellStyle name="_x005f_x0004_ 2" xfId="76" xr:uid="{00000000-0005-0000-0000-00007B000000}"/>
    <cellStyle name="_x005f_x0004__工程预算BOM" xfId="77" xr:uid="{00000000-0005-0000-0000-00007C000000}"/>
    <cellStyle name="_x005f_x005f_x005f_x0004__工程预算BOM" xfId="78" xr:uid="{00000000-0005-0000-0000-00007D000000}"/>
    <cellStyle name="_工人需求6周排定表" xfId="79" xr:uid="{00000000-0005-0000-0000-00007E000000}"/>
    <cellStyle name="_海信无氟变频参数" xfId="80" xr:uid="{00000000-0005-0000-0000-00007F000000}"/>
    <cellStyle name="–¢’è‹`" xfId="81" xr:uid="{00000000-0005-0000-0000-000080000000}"/>
    <cellStyle name="+" xfId="82" xr:uid="{00000000-0005-0000-0000-000081000000}"/>
    <cellStyle name="¶W³sµ²" xfId="83" xr:uid="{00000000-0005-0000-0000-000082000000}"/>
    <cellStyle name="0 decimals" xfId="84" xr:uid="{00000000-0005-0000-0000-000083000000}"/>
    <cellStyle name="0%" xfId="85" xr:uid="{00000000-0005-0000-0000-000084000000}"/>
    <cellStyle name="0.0%" xfId="86" xr:uid="{00000000-0005-0000-0000-000085000000}"/>
    <cellStyle name="0.00" xfId="87" xr:uid="{00000000-0005-0000-0000-000086000000}"/>
    <cellStyle name="0.00%" xfId="88" xr:uid="{00000000-0005-0000-0000-000087000000}"/>
    <cellStyle name="00" xfId="89" xr:uid="{00000000-0005-0000-0000-000088000000}"/>
    <cellStyle name="01" xfId="90" xr:uid="{00000000-0005-0000-0000-000089000000}"/>
    <cellStyle name="06" xfId="91" xr:uid="{00000000-0005-0000-0000-00008A000000}"/>
    <cellStyle name="06 F" xfId="92" xr:uid="{00000000-0005-0000-0000-00008B000000}"/>
    <cellStyle name="07" xfId="93" xr:uid="{00000000-0005-0000-0000-00008C000000}"/>
    <cellStyle name="07 F" xfId="94" xr:uid="{00000000-0005-0000-0000-00008D000000}"/>
    <cellStyle name="08" xfId="95" xr:uid="{00000000-0005-0000-0000-00008E000000}"/>
    <cellStyle name="08 F" xfId="96" xr:uid="{00000000-0005-0000-0000-00008F000000}"/>
    <cellStyle name="08 FK" xfId="97" xr:uid="{00000000-0005-0000-0000-000090000000}"/>
    <cellStyle name="08 K" xfId="98" xr:uid="{00000000-0005-0000-0000-000091000000}"/>
    <cellStyle name="09" xfId="99" xr:uid="{00000000-0005-0000-0000-000092000000}"/>
    <cellStyle name="09 F" xfId="100" xr:uid="{00000000-0005-0000-0000-000093000000}"/>
    <cellStyle name="09 FK" xfId="101" xr:uid="{00000000-0005-0000-0000-000094000000}"/>
    <cellStyle name="09 FS" xfId="102" xr:uid="{00000000-0005-0000-0000-000095000000}"/>
    <cellStyle name="09 FU" xfId="103" xr:uid="{00000000-0005-0000-0000-000096000000}"/>
    <cellStyle name="1" xfId="104" xr:uid="{00000000-0005-0000-0000-000097000000}"/>
    <cellStyle name="-1" xfId="105" xr:uid="{00000000-0005-0000-0000-000098000000}"/>
    <cellStyle name="1.000/(1,000)" xfId="106" xr:uid="{00000000-0005-0000-0000-000099000000}"/>
    <cellStyle name="10" xfId="107" xr:uid="{00000000-0005-0000-0000-00009A000000}"/>
    <cellStyle name="10 F" xfId="108" xr:uid="{00000000-0005-0000-0000-00009B000000}"/>
    <cellStyle name="10 FK" xfId="109" xr:uid="{00000000-0005-0000-0000-00009C000000}"/>
    <cellStyle name="10 FU" xfId="110" xr:uid="{00000000-0005-0000-0000-00009D000000}"/>
    <cellStyle name="1000/- %" xfId="111" xr:uid="{00000000-0005-0000-0000-00009E000000}"/>
    <cellStyle name="11" xfId="112" xr:uid="{00000000-0005-0000-0000-00009F000000}"/>
    <cellStyle name="11 F" xfId="113" xr:uid="{00000000-0005-0000-0000-0000A0000000}"/>
    <cellStyle name="11 FK" xfId="114" xr:uid="{00000000-0005-0000-0000-0000A1000000}"/>
    <cellStyle name="11 FU" xfId="115" xr:uid="{00000000-0005-0000-0000-0000A2000000}"/>
    <cellStyle name="12" xfId="116" xr:uid="{00000000-0005-0000-0000-0000A3000000}"/>
    <cellStyle name="12 F" xfId="117" xr:uid="{00000000-0005-0000-0000-0000A4000000}"/>
    <cellStyle name="12 FK" xfId="118" xr:uid="{00000000-0005-0000-0000-0000A5000000}"/>
    <cellStyle name="12 FU" xfId="119" xr:uid="{00000000-0005-0000-0000-0000A6000000}"/>
    <cellStyle name="14 F" xfId="120" xr:uid="{00000000-0005-0000-0000-0000A7000000}"/>
    <cellStyle name="14 FK" xfId="121" xr:uid="{00000000-0005-0000-0000-0000A8000000}"/>
    <cellStyle name="14 FU" xfId="122" xr:uid="{00000000-0005-0000-0000-0000A9000000}"/>
    <cellStyle name="16 F" xfId="123" xr:uid="{00000000-0005-0000-0000-0000AA000000}"/>
    <cellStyle name="16 FK" xfId="124" xr:uid="{00000000-0005-0000-0000-0000AB000000}"/>
    <cellStyle name="16 FU" xfId="125" xr:uid="{00000000-0005-0000-0000-0000AC000000}"/>
    <cellStyle name="18 F" xfId="126" xr:uid="{00000000-0005-0000-0000-0000AD000000}"/>
    <cellStyle name="18 FK" xfId="127" xr:uid="{00000000-0005-0000-0000-0000AE000000}"/>
    <cellStyle name="18 FU" xfId="128" xr:uid="{00000000-0005-0000-0000-0000AF000000}"/>
    <cellStyle name="2" xfId="129" xr:uid="{00000000-0005-0000-0000-0000B0000000}"/>
    <cellStyle name="2 decimals" xfId="130" xr:uid="{00000000-0005-0000-0000-0000B1000000}"/>
    <cellStyle name="20% - Accent1" xfId="131" xr:uid="{00000000-0005-0000-0000-0000B2000000}"/>
    <cellStyle name="20% - Accent1 10" xfId="132" xr:uid="{00000000-0005-0000-0000-0000B3000000}"/>
    <cellStyle name="20% - Accent2" xfId="133" xr:uid="{00000000-0005-0000-0000-0000B4000000}"/>
    <cellStyle name="20% - Accent2 10" xfId="134" xr:uid="{00000000-0005-0000-0000-0000B5000000}"/>
    <cellStyle name="20% - Accent3" xfId="135" xr:uid="{00000000-0005-0000-0000-0000B6000000}"/>
    <cellStyle name="20% - Accent3 10" xfId="136" xr:uid="{00000000-0005-0000-0000-0000B7000000}"/>
    <cellStyle name="20% - Accent4" xfId="137" xr:uid="{00000000-0005-0000-0000-0000B8000000}"/>
    <cellStyle name="20% - Accent4 10" xfId="138" xr:uid="{00000000-0005-0000-0000-0000B9000000}"/>
    <cellStyle name="20% - Accent5" xfId="139" xr:uid="{00000000-0005-0000-0000-0000BA000000}"/>
    <cellStyle name="20% - Accent5 10" xfId="140" xr:uid="{00000000-0005-0000-0000-0000BB000000}"/>
    <cellStyle name="20% - Accent6" xfId="141" xr:uid="{00000000-0005-0000-0000-0000BC000000}"/>
    <cellStyle name="20% - Accent6 10" xfId="142" xr:uid="{00000000-0005-0000-0000-0000BD000000}"/>
    <cellStyle name="20% - 强调文字颜色 1 10" xfId="143" xr:uid="{00000000-0005-0000-0000-0000BE000000}"/>
    <cellStyle name="20% - 强调文字颜色 1 10 2" xfId="144" xr:uid="{00000000-0005-0000-0000-0000BF000000}"/>
    <cellStyle name="20% - 强调文字颜色 1 10 2 2" xfId="145" xr:uid="{00000000-0005-0000-0000-0000C0000000}"/>
    <cellStyle name="20% - 强调文字颜色 1 10 3" xfId="146" xr:uid="{00000000-0005-0000-0000-0000C1000000}"/>
    <cellStyle name="20% - 强调文字颜色 1 100" xfId="147" xr:uid="{00000000-0005-0000-0000-0000C2000000}"/>
    <cellStyle name="20% - 强调文字颜色 1 12" xfId="148" xr:uid="{00000000-0005-0000-0000-0000C3000000}"/>
    <cellStyle name="20% - 强调文字颜色 1 12 10" xfId="149" xr:uid="{00000000-0005-0000-0000-0000C4000000}"/>
    <cellStyle name="20% - 强调文字颜色 1 180" xfId="150" xr:uid="{00000000-0005-0000-0000-0000C5000000}"/>
    <cellStyle name="20% - 强调文字颜色 1 191" xfId="151" xr:uid="{00000000-0005-0000-0000-0000C6000000}"/>
    <cellStyle name="20% - 强调文字颜色 1 2 12 10" xfId="152" xr:uid="{00000000-0005-0000-0000-0000C7000000}"/>
    <cellStyle name="20% - 强调文字颜色 1 2 2" xfId="153" xr:uid="{00000000-0005-0000-0000-0000C8000000}"/>
    <cellStyle name="20% - 强调文字颜色 1 2 2 10" xfId="154" xr:uid="{00000000-0005-0000-0000-0000C9000000}"/>
    <cellStyle name="20% - 强调文字颜色 1 2 2 9" xfId="155" xr:uid="{00000000-0005-0000-0000-0000CA000000}"/>
    <cellStyle name="20% - 强调文字颜色 1 2 3 10" xfId="156" xr:uid="{00000000-0005-0000-0000-0000CB000000}"/>
    <cellStyle name="20% - 强调文字颜色 1 2 3 9" xfId="157" xr:uid="{00000000-0005-0000-0000-0000CC000000}"/>
    <cellStyle name="20% - 强调文字颜色 1 3 3 3" xfId="158" xr:uid="{00000000-0005-0000-0000-0000CD000000}"/>
    <cellStyle name="20% - 强调文字颜色 1 3_Book2" xfId="159" xr:uid="{00000000-0005-0000-0000-0000CE000000}"/>
    <cellStyle name="20% - 强调文字颜色 2 10" xfId="160" xr:uid="{00000000-0005-0000-0000-0000CF000000}"/>
    <cellStyle name="20% - 强调文字颜色 2 10 2" xfId="161" xr:uid="{00000000-0005-0000-0000-0000D0000000}"/>
    <cellStyle name="20% - 强调文字颜色 2 10 2 2" xfId="162" xr:uid="{00000000-0005-0000-0000-0000D1000000}"/>
    <cellStyle name="20% - 强调文字颜色 2 10 3" xfId="163" xr:uid="{00000000-0005-0000-0000-0000D2000000}"/>
    <cellStyle name="20% - 强调文字颜色 2 12" xfId="164" xr:uid="{00000000-0005-0000-0000-0000D3000000}"/>
    <cellStyle name="20% - 强调文字颜色 2 12 10" xfId="165" xr:uid="{00000000-0005-0000-0000-0000D4000000}"/>
    <cellStyle name="20% - 强调文字颜色 2 191" xfId="166" xr:uid="{00000000-0005-0000-0000-0000D5000000}"/>
    <cellStyle name="20% - 强调文字颜色 2 2 12 10" xfId="167" xr:uid="{00000000-0005-0000-0000-0000D6000000}"/>
    <cellStyle name="20% - 强调文字颜色 2 2 2" xfId="168" xr:uid="{00000000-0005-0000-0000-0000D7000000}"/>
    <cellStyle name="20% - 强调文字颜色 2 2 2 10" xfId="169" xr:uid="{00000000-0005-0000-0000-0000D8000000}"/>
    <cellStyle name="20% - 强调文字颜色 2 2 2 9" xfId="170" xr:uid="{00000000-0005-0000-0000-0000D9000000}"/>
    <cellStyle name="20% - 强调文字颜色 2 2 3 10" xfId="171" xr:uid="{00000000-0005-0000-0000-0000DA000000}"/>
    <cellStyle name="20% - 强调文字颜色 2 2 3 9" xfId="172" xr:uid="{00000000-0005-0000-0000-0000DB000000}"/>
    <cellStyle name="20% - 强调文字颜色 2 3 3 3" xfId="173" xr:uid="{00000000-0005-0000-0000-0000DC000000}"/>
    <cellStyle name="20% - 强调文字颜色 2 3_Book2" xfId="174" xr:uid="{00000000-0005-0000-0000-0000DD000000}"/>
    <cellStyle name="20% - 强调文字颜色 3 10" xfId="175" xr:uid="{00000000-0005-0000-0000-0000DE000000}"/>
    <cellStyle name="20% - 强调文字颜色 3 10 2" xfId="176" xr:uid="{00000000-0005-0000-0000-0000DF000000}"/>
    <cellStyle name="20% - 强调文字颜色 3 10 2 2" xfId="177" xr:uid="{00000000-0005-0000-0000-0000E0000000}"/>
    <cellStyle name="20% - 强调文字颜色 3 10 3" xfId="178" xr:uid="{00000000-0005-0000-0000-0000E1000000}"/>
    <cellStyle name="20% - 强调文字颜色 3 12" xfId="179" xr:uid="{00000000-0005-0000-0000-0000E2000000}"/>
    <cellStyle name="20% - 强调文字颜色 3 12 10" xfId="180" xr:uid="{00000000-0005-0000-0000-0000E3000000}"/>
    <cellStyle name="20% - 强调文字颜色 3 191" xfId="181" xr:uid="{00000000-0005-0000-0000-0000E4000000}"/>
    <cellStyle name="20% - 强调文字颜色 3 2 12 10" xfId="182" xr:uid="{00000000-0005-0000-0000-0000E5000000}"/>
    <cellStyle name="20% - 强调文字颜色 3 2 2" xfId="183" xr:uid="{00000000-0005-0000-0000-0000E6000000}"/>
    <cellStyle name="20% - 强调文字颜色 3 2 2 10" xfId="184" xr:uid="{00000000-0005-0000-0000-0000E7000000}"/>
    <cellStyle name="20% - 强调文字颜色 3 2 2 9" xfId="185" xr:uid="{00000000-0005-0000-0000-0000E8000000}"/>
    <cellStyle name="20% - 强调文字颜色 3 2 3 10" xfId="186" xr:uid="{00000000-0005-0000-0000-0000E9000000}"/>
    <cellStyle name="20% - 强调文字颜色 3 2 3 9" xfId="187" xr:uid="{00000000-0005-0000-0000-0000EA000000}"/>
    <cellStyle name="20% - 强调文字颜色 3 3 3 3" xfId="188" xr:uid="{00000000-0005-0000-0000-0000EB000000}"/>
    <cellStyle name="20% - 强调文字颜色 3 3_Book2" xfId="189" xr:uid="{00000000-0005-0000-0000-0000EC000000}"/>
    <cellStyle name="20% - 强调文字颜色 4 10" xfId="190" xr:uid="{00000000-0005-0000-0000-0000ED000000}"/>
    <cellStyle name="20% - 强调文字颜色 4 10 2" xfId="191" xr:uid="{00000000-0005-0000-0000-0000EE000000}"/>
    <cellStyle name="20% - 强调文字颜色 4 10 2 2" xfId="192" xr:uid="{00000000-0005-0000-0000-0000EF000000}"/>
    <cellStyle name="20% - 强调文字颜色 4 10 3" xfId="193" xr:uid="{00000000-0005-0000-0000-0000F0000000}"/>
    <cellStyle name="20% - 强调文字颜色 4 12" xfId="194" xr:uid="{00000000-0005-0000-0000-0000F1000000}"/>
    <cellStyle name="20% - 强调文字颜色 4 12 10" xfId="195" xr:uid="{00000000-0005-0000-0000-0000F2000000}"/>
    <cellStyle name="20% - 强调文字颜色 4 191" xfId="196" xr:uid="{00000000-0005-0000-0000-0000F3000000}"/>
    <cellStyle name="20% - 强调文字颜色 4 2 12 10" xfId="197" xr:uid="{00000000-0005-0000-0000-0000F4000000}"/>
    <cellStyle name="20% - 强调文字颜色 4 2 2" xfId="198" xr:uid="{00000000-0005-0000-0000-0000F5000000}"/>
    <cellStyle name="20% - 强调文字颜色 4 2 2 10" xfId="199" xr:uid="{00000000-0005-0000-0000-0000F6000000}"/>
    <cellStyle name="20% - 强调文字颜色 4 2 2 9" xfId="200" xr:uid="{00000000-0005-0000-0000-0000F7000000}"/>
    <cellStyle name="20% - 强调文字颜色 4 2 3 10" xfId="201" xr:uid="{00000000-0005-0000-0000-0000F8000000}"/>
    <cellStyle name="20% - 强调文字颜色 4 2 3 9" xfId="202" xr:uid="{00000000-0005-0000-0000-0000F9000000}"/>
    <cellStyle name="20% - 强调文字颜色 4 3 3 3" xfId="203" xr:uid="{00000000-0005-0000-0000-0000FA000000}"/>
    <cellStyle name="20% - 强调文字颜色 5 10" xfId="204" xr:uid="{00000000-0005-0000-0000-0000FB000000}"/>
    <cellStyle name="20% - 强调文字颜色 5 10 2" xfId="205" xr:uid="{00000000-0005-0000-0000-0000FC000000}"/>
    <cellStyle name="20% - 强调文字颜色 5 10 2 2" xfId="206" xr:uid="{00000000-0005-0000-0000-0000FD000000}"/>
    <cellStyle name="20% - 强调文字颜色 5 10 3" xfId="207" xr:uid="{00000000-0005-0000-0000-0000FE000000}"/>
    <cellStyle name="20% - 强调文字颜色 5 12" xfId="208" xr:uid="{00000000-0005-0000-0000-0000FF000000}"/>
    <cellStyle name="20% - 强调文字颜色 5 12 10" xfId="209" xr:uid="{00000000-0005-0000-0000-000000010000}"/>
    <cellStyle name="20% - 强调文字颜色 5 191" xfId="210" xr:uid="{00000000-0005-0000-0000-000001010000}"/>
    <cellStyle name="20% - 强调文字颜色 5 2 12 10" xfId="211" xr:uid="{00000000-0005-0000-0000-000002010000}"/>
    <cellStyle name="20% - 强调文字颜色 5 2 2" xfId="212" xr:uid="{00000000-0005-0000-0000-000003010000}"/>
    <cellStyle name="20% - 强调文字颜色 5 2 2 10" xfId="213" xr:uid="{00000000-0005-0000-0000-000004010000}"/>
    <cellStyle name="20% - 强调文字颜色 5 2 2 9" xfId="214" xr:uid="{00000000-0005-0000-0000-000005010000}"/>
    <cellStyle name="20% - 强调文字颜色 5 2 3 10" xfId="215" xr:uid="{00000000-0005-0000-0000-000006010000}"/>
    <cellStyle name="20% - 强调文字颜色 5 2 3 9" xfId="216" xr:uid="{00000000-0005-0000-0000-000007010000}"/>
    <cellStyle name="20% - 强调文字颜色 5 3 3 3" xfId="217" xr:uid="{00000000-0005-0000-0000-000008010000}"/>
    <cellStyle name="20% - 强调文字颜色 6 10" xfId="218" xr:uid="{00000000-0005-0000-0000-000009010000}"/>
    <cellStyle name="20% - 强调文字颜色 6 10 2 2" xfId="219" xr:uid="{00000000-0005-0000-0000-00000A010000}"/>
    <cellStyle name="20% - 强调文字颜色 6 10 3" xfId="220" xr:uid="{00000000-0005-0000-0000-00000B010000}"/>
    <cellStyle name="20% - 强调文字颜色 6 12" xfId="221" xr:uid="{00000000-0005-0000-0000-00000C010000}"/>
    <cellStyle name="20% - 强调文字颜色 6 12 10" xfId="222" xr:uid="{00000000-0005-0000-0000-00000D010000}"/>
    <cellStyle name="20% - 强调文字颜色 6 191" xfId="223" xr:uid="{00000000-0005-0000-0000-00000E010000}"/>
    <cellStyle name="20% - 强调文字颜色 6 2 12 10" xfId="224" xr:uid="{00000000-0005-0000-0000-00000F010000}"/>
    <cellStyle name="20% - 强调文字颜色 6 2 2" xfId="225" xr:uid="{00000000-0005-0000-0000-000010010000}"/>
    <cellStyle name="20% - 强调文字颜色 6 2 2 10" xfId="226" xr:uid="{00000000-0005-0000-0000-000011010000}"/>
    <cellStyle name="20% - 强调文字颜色 6 2 2 9" xfId="227" xr:uid="{00000000-0005-0000-0000-000012010000}"/>
    <cellStyle name="20% - 强调文字颜色 6 2 3 10" xfId="228" xr:uid="{00000000-0005-0000-0000-000013010000}"/>
    <cellStyle name="20% - 强调文字颜色 6 2 3 9" xfId="229" xr:uid="{00000000-0005-0000-0000-000014010000}"/>
    <cellStyle name="20% - 强调文字颜色 6 3 3 3" xfId="230" xr:uid="{00000000-0005-0000-0000-000015010000}"/>
    <cellStyle name="24 F" xfId="231" xr:uid="{00000000-0005-0000-0000-000016010000}"/>
    <cellStyle name="24 FK" xfId="232" xr:uid="{00000000-0005-0000-0000-000017010000}"/>
    <cellStyle name="24 FU" xfId="233" xr:uid="{00000000-0005-0000-0000-000018010000}"/>
    <cellStyle name="2x" xfId="234" xr:uid="{00000000-0005-0000-0000-000019010000}"/>
    <cellStyle name="4 decimals" xfId="235" xr:uid="{00000000-0005-0000-0000-00001A010000}"/>
    <cellStyle name="40% - Accent1" xfId="236" xr:uid="{00000000-0005-0000-0000-00001B010000}"/>
    <cellStyle name="40% - Accent1 10" xfId="237" xr:uid="{00000000-0005-0000-0000-00001C010000}"/>
    <cellStyle name="40% - Accent2" xfId="238" xr:uid="{00000000-0005-0000-0000-00001D010000}"/>
    <cellStyle name="40% - Accent2 10" xfId="239" xr:uid="{00000000-0005-0000-0000-00001E010000}"/>
    <cellStyle name="40% - Accent3" xfId="240" xr:uid="{00000000-0005-0000-0000-00001F010000}"/>
    <cellStyle name="40% - Accent3 10" xfId="241" xr:uid="{00000000-0005-0000-0000-000020010000}"/>
    <cellStyle name="40% - Accent6" xfId="242" xr:uid="{00000000-0005-0000-0000-000021010000}"/>
    <cellStyle name="40% - Accent6 10" xfId="243" xr:uid="{00000000-0005-0000-0000-000022010000}"/>
    <cellStyle name="40% - 强调文字颜色 1 10" xfId="244" xr:uid="{00000000-0005-0000-0000-000023010000}"/>
    <cellStyle name="40% - 强调文字颜色 1 10 2" xfId="245" xr:uid="{00000000-0005-0000-0000-000024010000}"/>
    <cellStyle name="40% - 强调文字颜色 1 100" xfId="246" xr:uid="{00000000-0005-0000-0000-000025010000}"/>
    <cellStyle name="40% - 强调文字颜色 1 2 12 10" xfId="247" xr:uid="{00000000-0005-0000-0000-000026010000}"/>
    <cellStyle name="40% - 强调文字颜色 1 2 2" xfId="248" xr:uid="{00000000-0005-0000-0000-000027010000}"/>
    <cellStyle name="40% - 强调文字颜色 1 2 2 10" xfId="249" xr:uid="{00000000-0005-0000-0000-000028010000}"/>
    <cellStyle name="40% - 强调文字颜色 2 10" xfId="250" xr:uid="{00000000-0005-0000-0000-000029010000}"/>
    <cellStyle name="40% - 强调文字颜色 2 10 2" xfId="251" xr:uid="{00000000-0005-0000-0000-00002A010000}"/>
    <cellStyle name="40% - 强调文字颜色 2 2 12 10" xfId="252" xr:uid="{00000000-0005-0000-0000-00002B010000}"/>
    <cellStyle name="40% - 强调文字颜色 2 2 2" xfId="253" xr:uid="{00000000-0005-0000-0000-00002C010000}"/>
    <cellStyle name="40% - 强调文字颜色 2 2 2 10" xfId="254" xr:uid="{00000000-0005-0000-0000-00002D010000}"/>
    <cellStyle name="40% - 强调文字颜色 3 10" xfId="255" xr:uid="{00000000-0005-0000-0000-00002E010000}"/>
    <cellStyle name="40% - 强调文字颜色 3 10 2" xfId="256" xr:uid="{00000000-0005-0000-0000-00002F010000}"/>
    <cellStyle name="40% - 强调文字颜色 3 2 12 10" xfId="257" xr:uid="{00000000-0005-0000-0000-000030010000}"/>
    <cellStyle name="40% - 强调文字颜色 3 2 2" xfId="258" xr:uid="{00000000-0005-0000-0000-000031010000}"/>
    <cellStyle name="40% - 强调文字颜色 3 2 2 10" xfId="259" xr:uid="{00000000-0005-0000-0000-000032010000}"/>
    <cellStyle name="40% - 强调文字颜色 3 3_Book2" xfId="260" xr:uid="{00000000-0005-0000-0000-000033010000}"/>
    <cellStyle name="40% - 强调文字颜色 4 10" xfId="261" xr:uid="{00000000-0005-0000-0000-000034010000}"/>
    <cellStyle name="40% - 强调文字颜色 4 2 2" xfId="262" xr:uid="{00000000-0005-0000-0000-000035010000}"/>
    <cellStyle name="40% - 强调文字颜色 4 2 2 10" xfId="263" xr:uid="{00000000-0005-0000-0000-000036010000}"/>
    <cellStyle name="40% - 强调文字颜色 5 10" xfId="264" xr:uid="{00000000-0005-0000-0000-000037010000}"/>
    <cellStyle name="40% - 强调文字颜色 5 2 2" xfId="265" xr:uid="{00000000-0005-0000-0000-000038010000}"/>
    <cellStyle name="40% - 强调文字颜色 5 2 2 10" xfId="266" xr:uid="{00000000-0005-0000-0000-000039010000}"/>
    <cellStyle name="40% - 强调文字颜色 6 10" xfId="267" xr:uid="{00000000-0005-0000-0000-00003A010000}"/>
    <cellStyle name="40% - 强调文字颜色 6 10 2" xfId="268" xr:uid="{00000000-0005-0000-0000-00003B010000}"/>
    <cellStyle name="40% - 强调文字颜色 6 2 12 10" xfId="269" xr:uid="{00000000-0005-0000-0000-00003C010000}"/>
    <cellStyle name="40% - 强调文字颜色 6 2 2" xfId="270" xr:uid="{00000000-0005-0000-0000-00003D010000}"/>
    <cellStyle name="40% - 强调文字颜色 6 2 2 10" xfId="271" xr:uid="{00000000-0005-0000-0000-00003E010000}"/>
    <cellStyle name="60% - Accent1" xfId="272" xr:uid="{00000000-0005-0000-0000-00003F010000}"/>
    <cellStyle name="60% - Accent2" xfId="273" xr:uid="{00000000-0005-0000-0000-000040010000}"/>
    <cellStyle name="60% - Accent3" xfId="274" xr:uid="{00000000-0005-0000-0000-000041010000}"/>
    <cellStyle name="60% - Accent4" xfId="275" xr:uid="{00000000-0005-0000-0000-000042010000}"/>
    <cellStyle name="60% - Accent5" xfId="276" xr:uid="{00000000-0005-0000-0000-000043010000}"/>
    <cellStyle name="60% - Accent6" xfId="277" xr:uid="{00000000-0005-0000-0000-000044010000}"/>
    <cellStyle name="60% - 强调文字颜色 1 10" xfId="278" xr:uid="{00000000-0005-0000-0000-000045010000}"/>
    <cellStyle name="60% - 强调文字颜色 1 10 2" xfId="279" xr:uid="{00000000-0005-0000-0000-000046010000}"/>
    <cellStyle name="60% - 强调文字颜色 1 10 3" xfId="280" xr:uid="{00000000-0005-0000-0000-000047010000}"/>
    <cellStyle name="60% - 强调文字颜色 1 12" xfId="281" xr:uid="{00000000-0005-0000-0000-000048010000}"/>
    <cellStyle name="60% - 强调文字颜色 1 12 10" xfId="282" xr:uid="{00000000-0005-0000-0000-000049010000}"/>
    <cellStyle name="60% - 强调文字颜色 1 14" xfId="283" xr:uid="{00000000-0005-0000-0000-00004A010000}"/>
    <cellStyle name="60% - 强调文字颜色 1 2 12 10" xfId="284" xr:uid="{00000000-0005-0000-0000-00004B010000}"/>
    <cellStyle name="60% - 强调文字颜色 1 2 15" xfId="285" xr:uid="{00000000-0005-0000-0000-00004C010000}"/>
    <cellStyle name="60% - 强调文字颜色 1 2 2" xfId="286" xr:uid="{00000000-0005-0000-0000-00004D010000}"/>
    <cellStyle name="60% - 强调文字颜色 1 2 5 2" xfId="287" xr:uid="{00000000-0005-0000-0000-00004E010000}"/>
    <cellStyle name="60% - 强调文字颜色 1 2 5 2 2" xfId="288" xr:uid="{00000000-0005-0000-0000-00004F010000}"/>
    <cellStyle name="60% - 强调文字颜色 1 2 5 3" xfId="289" xr:uid="{00000000-0005-0000-0000-000050010000}"/>
    <cellStyle name="60% - 强调文字颜色 1 2 7 3" xfId="290" xr:uid="{00000000-0005-0000-0000-000051010000}"/>
    <cellStyle name="60% - 强调文字颜色 1 3 4" xfId="291" xr:uid="{00000000-0005-0000-0000-000052010000}"/>
    <cellStyle name="60% - 强调文字颜色 1 4 10" xfId="292" xr:uid="{00000000-0005-0000-0000-000053010000}"/>
    <cellStyle name="60% - 强调文字颜色 1 85" xfId="293" xr:uid="{00000000-0005-0000-0000-000054010000}"/>
    <cellStyle name="60% - 强调文字颜色 1 86" xfId="294" xr:uid="{00000000-0005-0000-0000-000055010000}"/>
    <cellStyle name="60% - 强调文字颜色 2 10" xfId="295" xr:uid="{00000000-0005-0000-0000-000056010000}"/>
    <cellStyle name="60% - 强调文字颜色 2 10 2" xfId="296" xr:uid="{00000000-0005-0000-0000-000057010000}"/>
    <cellStyle name="60% - 强调文字颜色 2 10 3" xfId="297" xr:uid="{00000000-0005-0000-0000-000058010000}"/>
    <cellStyle name="60% - 强调文字颜色 2 12" xfId="298" xr:uid="{00000000-0005-0000-0000-000059010000}"/>
    <cellStyle name="60% - 强调文字颜色 2 12 10" xfId="299" xr:uid="{00000000-0005-0000-0000-00005A010000}"/>
    <cellStyle name="60% - 强调文字颜色 2 14" xfId="300" xr:uid="{00000000-0005-0000-0000-00005B010000}"/>
    <cellStyle name="60% - 强调文字颜色 2 2 12 10" xfId="301" xr:uid="{00000000-0005-0000-0000-00005C010000}"/>
    <cellStyle name="60% - 强调文字颜色 2 2 15" xfId="302" xr:uid="{00000000-0005-0000-0000-00005D010000}"/>
    <cellStyle name="60% - 强调文字颜色 2 2 2" xfId="303" xr:uid="{00000000-0005-0000-0000-00005E010000}"/>
    <cellStyle name="60% - 强调文字颜色 2 2 5 2" xfId="304" xr:uid="{00000000-0005-0000-0000-00005F010000}"/>
    <cellStyle name="60% - 强调文字颜色 2 2 5 2 2" xfId="305" xr:uid="{00000000-0005-0000-0000-000060010000}"/>
    <cellStyle name="60% - 强调文字颜色 2 2 5 3" xfId="306" xr:uid="{00000000-0005-0000-0000-000061010000}"/>
    <cellStyle name="60% - 强调文字颜色 2 2 7 3" xfId="307" xr:uid="{00000000-0005-0000-0000-000062010000}"/>
    <cellStyle name="60% - 强调文字颜色 2 3 4" xfId="308" xr:uid="{00000000-0005-0000-0000-000063010000}"/>
    <cellStyle name="60% - 强调文字颜色 2 4 10" xfId="309" xr:uid="{00000000-0005-0000-0000-000064010000}"/>
    <cellStyle name="60% - 强调文字颜色 2 85" xfId="310" xr:uid="{00000000-0005-0000-0000-000065010000}"/>
    <cellStyle name="60% - 强调文字颜色 2 86" xfId="311" xr:uid="{00000000-0005-0000-0000-000066010000}"/>
    <cellStyle name="60% - 强调文字颜色 3 10" xfId="312" xr:uid="{00000000-0005-0000-0000-000067010000}"/>
    <cellStyle name="60% - 强调文字颜色 3 10 2" xfId="313" xr:uid="{00000000-0005-0000-0000-000068010000}"/>
    <cellStyle name="60% - 强调文字颜色 3 10 3" xfId="314" xr:uid="{00000000-0005-0000-0000-000069010000}"/>
    <cellStyle name="60% - 强调文字颜色 3 12" xfId="315" xr:uid="{00000000-0005-0000-0000-00006A010000}"/>
    <cellStyle name="60% - 强调文字颜色 3 12 10" xfId="316" xr:uid="{00000000-0005-0000-0000-00006B010000}"/>
    <cellStyle name="60% - 强调文字颜色 3 2 12 10" xfId="317" xr:uid="{00000000-0005-0000-0000-00006C010000}"/>
    <cellStyle name="60% - 强调文字颜色 3 2 15" xfId="318" xr:uid="{00000000-0005-0000-0000-00006D010000}"/>
    <cellStyle name="60% - 强调文字颜色 3 2 2" xfId="319" xr:uid="{00000000-0005-0000-0000-00006E010000}"/>
    <cellStyle name="60% - 强调文字颜色 3 2 5 2" xfId="320" xr:uid="{00000000-0005-0000-0000-00006F010000}"/>
    <cellStyle name="60% - 强调文字颜色 3 2 5 2 2" xfId="321" xr:uid="{00000000-0005-0000-0000-000070010000}"/>
    <cellStyle name="60% - 强调文字颜色 3 2 5 3" xfId="322" xr:uid="{00000000-0005-0000-0000-000071010000}"/>
    <cellStyle name="60% - 强调文字颜色 3 2 7 3" xfId="323" xr:uid="{00000000-0005-0000-0000-000072010000}"/>
    <cellStyle name="60% - 强调文字颜色 3 3 4" xfId="324" xr:uid="{00000000-0005-0000-0000-000073010000}"/>
    <cellStyle name="60% - 强调文字颜色 3 4 10" xfId="325" xr:uid="{00000000-0005-0000-0000-000074010000}"/>
    <cellStyle name="60% - 强调文字颜色 3 86" xfId="326" xr:uid="{00000000-0005-0000-0000-000075010000}"/>
    <cellStyle name="60% - 强调文字颜色 4 10" xfId="327" xr:uid="{00000000-0005-0000-0000-000076010000}"/>
    <cellStyle name="60% - 强调文字颜色 4 10 2" xfId="328" xr:uid="{00000000-0005-0000-0000-000077010000}"/>
    <cellStyle name="60% - 强调文字颜色 4 10 3" xfId="329" xr:uid="{00000000-0005-0000-0000-000078010000}"/>
    <cellStyle name="60% - 强调文字颜色 4 12" xfId="330" xr:uid="{00000000-0005-0000-0000-000079010000}"/>
    <cellStyle name="60% - 强调文字颜色 4 12 10" xfId="331" xr:uid="{00000000-0005-0000-0000-00007A010000}"/>
    <cellStyle name="60% - 强调文字颜色 4 2 12 10" xfId="332" xr:uid="{00000000-0005-0000-0000-00007B010000}"/>
    <cellStyle name="60% - 强调文字颜色 4 2 15" xfId="333" xr:uid="{00000000-0005-0000-0000-00007C010000}"/>
    <cellStyle name="60% - 强调文字颜色 4 2 2" xfId="334" xr:uid="{00000000-0005-0000-0000-00007D010000}"/>
    <cellStyle name="60% - 强调文字颜色 4 2 5 2" xfId="335" xr:uid="{00000000-0005-0000-0000-00007E010000}"/>
    <cellStyle name="60% - 强调文字颜色 4 2 5 2 2" xfId="336" xr:uid="{00000000-0005-0000-0000-00007F010000}"/>
    <cellStyle name="60% - 强调文字颜色 4 2 5 3" xfId="337" xr:uid="{00000000-0005-0000-0000-000080010000}"/>
    <cellStyle name="60% - 强调文字颜色 4 2 7 3" xfId="338" xr:uid="{00000000-0005-0000-0000-000081010000}"/>
    <cellStyle name="60% - 强调文字颜色 4 3 4" xfId="339" xr:uid="{00000000-0005-0000-0000-000082010000}"/>
    <cellStyle name="60% - 强调文字颜色 4 4 10" xfId="340" xr:uid="{00000000-0005-0000-0000-000083010000}"/>
    <cellStyle name="60% - 强调文字颜色 4 86" xfId="341" xr:uid="{00000000-0005-0000-0000-000084010000}"/>
    <cellStyle name="60% - 强调文字颜色 5 10" xfId="342" xr:uid="{00000000-0005-0000-0000-000085010000}"/>
    <cellStyle name="60% - 强调文字颜色 5 10 2" xfId="343" xr:uid="{00000000-0005-0000-0000-000086010000}"/>
    <cellStyle name="60% - 强调文字颜色 5 10 3" xfId="344" xr:uid="{00000000-0005-0000-0000-000087010000}"/>
    <cellStyle name="60% - 强调文字颜色 5 12" xfId="345" xr:uid="{00000000-0005-0000-0000-000088010000}"/>
    <cellStyle name="60% - 强调文字颜色 5 12 10" xfId="346" xr:uid="{00000000-0005-0000-0000-000089010000}"/>
    <cellStyle name="60% - 强调文字颜色 5 2 12 10" xfId="347" xr:uid="{00000000-0005-0000-0000-00008A010000}"/>
    <cellStyle name="60% - 强调文字颜色 5 2 15" xfId="348" xr:uid="{00000000-0005-0000-0000-00008B010000}"/>
    <cellStyle name="60% - 强调文字颜色 5 2 2" xfId="349" xr:uid="{00000000-0005-0000-0000-00008C010000}"/>
    <cellStyle name="60% - 强调文字颜色 5 2 5 2" xfId="350" xr:uid="{00000000-0005-0000-0000-00008D010000}"/>
    <cellStyle name="60% - 强调文字颜色 5 2 5 2 2" xfId="351" xr:uid="{00000000-0005-0000-0000-00008E010000}"/>
    <cellStyle name="60% - 强调文字颜色 5 2 5 3" xfId="352" xr:uid="{00000000-0005-0000-0000-00008F010000}"/>
    <cellStyle name="60% - 强调文字颜色 5 2 7 3" xfId="353" xr:uid="{00000000-0005-0000-0000-000090010000}"/>
    <cellStyle name="60% - 强调文字颜色 5 4 10" xfId="354" xr:uid="{00000000-0005-0000-0000-000091010000}"/>
    <cellStyle name="60% - 强调文字颜色 5 83" xfId="355" xr:uid="{00000000-0005-0000-0000-000092010000}"/>
    <cellStyle name="60% - 强调文字颜色 5 86" xfId="356" xr:uid="{00000000-0005-0000-0000-000093010000}"/>
    <cellStyle name="60% - 强调文字颜色 6 10" xfId="357" xr:uid="{00000000-0005-0000-0000-000094010000}"/>
    <cellStyle name="60% - 强调文字颜色 6 10 2" xfId="358" xr:uid="{00000000-0005-0000-0000-000095010000}"/>
    <cellStyle name="60% - 强调文字颜色 6 10 3" xfId="359" xr:uid="{00000000-0005-0000-0000-000096010000}"/>
    <cellStyle name="60% - 强调文字颜色 6 12" xfId="360" xr:uid="{00000000-0005-0000-0000-000097010000}"/>
    <cellStyle name="60% - 强调文字颜色 6 12 10" xfId="361" xr:uid="{00000000-0005-0000-0000-000098010000}"/>
    <cellStyle name="60% - 强调文字颜色 6 14" xfId="362" xr:uid="{00000000-0005-0000-0000-000099010000}"/>
    <cellStyle name="60% - 强调文字颜色 6 2 12 10" xfId="363" xr:uid="{00000000-0005-0000-0000-00009A010000}"/>
    <cellStyle name="60% - 强调文字颜色 6 2 15" xfId="364" xr:uid="{00000000-0005-0000-0000-00009B010000}"/>
    <cellStyle name="60% - 强调文字颜色 6 2 2" xfId="365" xr:uid="{00000000-0005-0000-0000-00009C010000}"/>
    <cellStyle name="60% - 强调文字颜色 6 2 5 2" xfId="366" xr:uid="{00000000-0005-0000-0000-00009D010000}"/>
    <cellStyle name="60% - 强调文字颜色 6 2 5 2 2" xfId="367" xr:uid="{00000000-0005-0000-0000-00009E010000}"/>
    <cellStyle name="60% - 强调文字颜色 6 2 5 3" xfId="368" xr:uid="{00000000-0005-0000-0000-00009F010000}"/>
    <cellStyle name="60% - 强调文字颜色 6 2 7 3" xfId="369" xr:uid="{00000000-0005-0000-0000-0000A0010000}"/>
    <cellStyle name="60% - 强调文字颜色 6 3 4" xfId="370" xr:uid="{00000000-0005-0000-0000-0000A1010000}"/>
    <cellStyle name="60% - 强调文字颜色 6 4 10" xfId="371" xr:uid="{00000000-0005-0000-0000-0000A2010000}"/>
    <cellStyle name="60% - 强调文字颜色 6 86" xfId="372" xr:uid="{00000000-0005-0000-0000-0000A3010000}"/>
    <cellStyle name="7" xfId="373" xr:uid="{00000000-0005-0000-0000-0000A4010000}"/>
    <cellStyle name="A¨­￠￢￠O [0]_C¡IAo_AoAUAy¡ÆeC¡I " xfId="374" xr:uid="{00000000-0005-0000-0000-0000A5010000}"/>
    <cellStyle name="A¨­￠￢￠O_AoAUAy¡ÆeC¡I " xfId="375" xr:uid="{00000000-0005-0000-0000-0000A6010000}"/>
    <cellStyle name="AA FRAME" xfId="376" xr:uid="{00000000-0005-0000-0000-0000A7010000}"/>
    <cellStyle name="AA FRAME 2" xfId="377" xr:uid="{00000000-0005-0000-0000-0000A8010000}"/>
    <cellStyle name="AA HEADING" xfId="378" xr:uid="{00000000-0005-0000-0000-0000A9010000}"/>
    <cellStyle name="AA HEADING 2" xfId="379" xr:uid="{00000000-0005-0000-0000-0000AA010000}"/>
    <cellStyle name="AA INITIALS" xfId="380" xr:uid="{00000000-0005-0000-0000-0000AB010000}"/>
    <cellStyle name="AA INITIALS 2" xfId="381" xr:uid="{00000000-0005-0000-0000-0000AC010000}"/>
    <cellStyle name="AA INPUT" xfId="382" xr:uid="{00000000-0005-0000-0000-0000AD010000}"/>
    <cellStyle name="AA INPUT 2" xfId="383" xr:uid="{00000000-0005-0000-0000-0000AE010000}"/>
    <cellStyle name="AA LOCK" xfId="384" xr:uid="{00000000-0005-0000-0000-0000AF010000}"/>
    <cellStyle name="AA LOCK 2" xfId="385" xr:uid="{00000000-0005-0000-0000-0000B0010000}"/>
    <cellStyle name="AA MGR NAME" xfId="386" xr:uid="{00000000-0005-0000-0000-0000B1010000}"/>
    <cellStyle name="AA MGR NAME 2" xfId="387" xr:uid="{00000000-0005-0000-0000-0000B2010000}"/>
    <cellStyle name="AA NORMAL" xfId="388" xr:uid="{00000000-0005-0000-0000-0000B3010000}"/>
    <cellStyle name="AA NORMAL 2" xfId="389" xr:uid="{00000000-0005-0000-0000-0000B4010000}"/>
    <cellStyle name="AA NUMBER" xfId="390" xr:uid="{00000000-0005-0000-0000-0000B5010000}"/>
    <cellStyle name="AA NUMBER2" xfId="391" xr:uid="{00000000-0005-0000-0000-0000B6010000}"/>
    <cellStyle name="AA QUESTION" xfId="392" xr:uid="{00000000-0005-0000-0000-0000B7010000}"/>
    <cellStyle name="AA QUESTION 2" xfId="393" xr:uid="{00000000-0005-0000-0000-0000B8010000}"/>
    <cellStyle name="Abstimmung" xfId="394" xr:uid="{00000000-0005-0000-0000-0000B9010000}"/>
    <cellStyle name="AbstimmungLeer" xfId="395" xr:uid="{00000000-0005-0000-0000-0000BA010000}"/>
    <cellStyle name="ac" xfId="396" xr:uid="{00000000-0005-0000-0000-0000BB010000}"/>
    <cellStyle name="Accent1" xfId="397" xr:uid="{00000000-0005-0000-0000-0000BC010000}"/>
    <cellStyle name="Accent1 - 20%" xfId="398" xr:uid="{00000000-0005-0000-0000-0000BD010000}"/>
    <cellStyle name="Accent1 - 20% 2" xfId="399" xr:uid="{00000000-0005-0000-0000-0000BE010000}"/>
    <cellStyle name="Accent1 - 60%" xfId="400" xr:uid="{00000000-0005-0000-0000-0000BF010000}"/>
    <cellStyle name="Accent1 - 60% 2" xfId="401" xr:uid="{00000000-0005-0000-0000-0000C0010000}"/>
    <cellStyle name="Accent1 2" xfId="402" xr:uid="{00000000-0005-0000-0000-0000C1010000}"/>
    <cellStyle name="Accent2" xfId="403" xr:uid="{00000000-0005-0000-0000-0000C2010000}"/>
    <cellStyle name="Accent2 - 20%" xfId="404" xr:uid="{00000000-0005-0000-0000-0000C3010000}"/>
    <cellStyle name="Accent2 - 20% 2" xfId="405" xr:uid="{00000000-0005-0000-0000-0000C4010000}"/>
    <cellStyle name="Accent2 - 40%" xfId="406" xr:uid="{00000000-0005-0000-0000-0000C5010000}"/>
    <cellStyle name="Accent2 - 40% 2" xfId="407" xr:uid="{00000000-0005-0000-0000-0000C6010000}"/>
    <cellStyle name="Accent2 - 60%" xfId="408" xr:uid="{00000000-0005-0000-0000-0000C7010000}"/>
    <cellStyle name="Accent2 - 60% 2" xfId="409" xr:uid="{00000000-0005-0000-0000-0000C8010000}"/>
    <cellStyle name="Accent2 2" xfId="410" xr:uid="{00000000-0005-0000-0000-0000C9010000}"/>
    <cellStyle name="Accent3 - 40%" xfId="411" xr:uid="{00000000-0005-0000-0000-0000CA010000}"/>
    <cellStyle name="Accent3 - 40% 2" xfId="412" xr:uid="{00000000-0005-0000-0000-0000CB010000}"/>
    <cellStyle name="Accent3 - 60%" xfId="413" xr:uid="{00000000-0005-0000-0000-0000CC010000}"/>
    <cellStyle name="Accent3 - 60% 2" xfId="414" xr:uid="{00000000-0005-0000-0000-0000CD010000}"/>
    <cellStyle name="Accent5" xfId="415" xr:uid="{00000000-0005-0000-0000-0000CE010000}"/>
    <cellStyle name="Accent5 - 20%" xfId="416" xr:uid="{00000000-0005-0000-0000-0000CF010000}"/>
    <cellStyle name="Accent5 - 20% 2" xfId="417" xr:uid="{00000000-0005-0000-0000-0000D0010000}"/>
    <cellStyle name="Accent5 2" xfId="418" xr:uid="{00000000-0005-0000-0000-0000D1010000}"/>
    <cellStyle name="Accent6" xfId="419" xr:uid="{00000000-0005-0000-0000-0000D2010000}"/>
    <cellStyle name="Accent6 - 40%" xfId="420" xr:uid="{00000000-0005-0000-0000-0000D3010000}"/>
    <cellStyle name="Accent6 - 40% 2" xfId="421" xr:uid="{00000000-0005-0000-0000-0000D4010000}"/>
    <cellStyle name="Accent6 - 60%" xfId="422" xr:uid="{00000000-0005-0000-0000-0000D5010000}"/>
    <cellStyle name="Accent6 - 60% 2" xfId="423" xr:uid="{00000000-0005-0000-0000-0000D6010000}"/>
    <cellStyle name="Accent6 2" xfId="424" xr:uid="{00000000-0005-0000-0000-0000D7010000}"/>
    <cellStyle name="Accounting" xfId="425" xr:uid="{00000000-0005-0000-0000-0000D8010000}"/>
    <cellStyle name="active" xfId="426" xr:uid="{00000000-0005-0000-0000-0000D9010000}"/>
    <cellStyle name="address" xfId="427" xr:uid="{00000000-0005-0000-0000-0000DA010000}"/>
    <cellStyle name="AFE" xfId="428" xr:uid="{00000000-0005-0000-0000-0000DB010000}"/>
    <cellStyle name="Agara" xfId="429" xr:uid="{00000000-0005-0000-0000-0000DC010000}"/>
    <cellStyle name="ÀH«áªº¶W³sµ²" xfId="430" xr:uid="{00000000-0005-0000-0000-0000DD010000}"/>
    <cellStyle name="args.style" xfId="431" xr:uid="{00000000-0005-0000-0000-0000DE010000}"/>
    <cellStyle name="args.style 2" xfId="432" xr:uid="{00000000-0005-0000-0000-0000DF010000}"/>
    <cellStyle name="Arial 10" xfId="433" xr:uid="{00000000-0005-0000-0000-0000E0010000}"/>
    <cellStyle name="Arial 12" xfId="434" xr:uid="{00000000-0005-0000-0000-0000E1010000}"/>
    <cellStyle name="Array" xfId="435" xr:uid="{00000000-0005-0000-0000-0000E2010000}"/>
    <cellStyle name="AÞ¸¶_¾ÆA§AU¾÷" xfId="436" xr:uid="{00000000-0005-0000-0000-0000E3010000}"/>
    <cellStyle name="b" xfId="437" xr:uid="{00000000-0005-0000-0000-0000E4010000}"/>
    <cellStyle name="B&amp;W" xfId="438" xr:uid="{00000000-0005-0000-0000-0000E5010000}"/>
    <cellStyle name="B&amp;Wbold" xfId="439" xr:uid="{00000000-0005-0000-0000-0000E6010000}"/>
    <cellStyle name="b0" xfId="440" xr:uid="{00000000-0005-0000-0000-0000E7010000}"/>
    <cellStyle name="b1" xfId="441" xr:uid="{00000000-0005-0000-0000-0000E8010000}"/>
    <cellStyle name="b2" xfId="442" xr:uid="{00000000-0005-0000-0000-0000E9010000}"/>
    <cellStyle name="b3" xfId="443" xr:uid="{00000000-0005-0000-0000-0000EA010000}"/>
    <cellStyle name="b4" xfId="444" xr:uid="{00000000-0005-0000-0000-0000EB010000}"/>
    <cellStyle name="Bad" xfId="445" xr:uid="{00000000-0005-0000-0000-0000EC010000}"/>
    <cellStyle name="Benutzer" xfId="446" xr:uid="{00000000-0005-0000-0000-0000ED010000}"/>
    <cellStyle name="Betrag" xfId="447" xr:uid="{00000000-0005-0000-0000-0000EE010000}"/>
    <cellStyle name="BetragS" xfId="448" xr:uid="{00000000-0005-0000-0000-0000EF010000}"/>
    <cellStyle name="BetragVorjahr" xfId="449" xr:uid="{00000000-0005-0000-0000-0000F0010000}"/>
    <cellStyle name="Beurteilung" xfId="450" xr:uid="{00000000-0005-0000-0000-0000F1010000}"/>
    <cellStyle name="Bewertung" xfId="451" xr:uid="{00000000-0005-0000-0000-0000F2010000}"/>
    <cellStyle name="BewertungE" xfId="452" xr:uid="{00000000-0005-0000-0000-0000F3010000}"/>
    <cellStyle name="BewertungS" xfId="453" xr:uid="{00000000-0005-0000-0000-0000F4010000}"/>
    <cellStyle name="Bezeichnung" xfId="454" xr:uid="{00000000-0005-0000-0000-0000F5010000}"/>
    <cellStyle name="BlackStrike" xfId="455" xr:uid="{00000000-0005-0000-0000-0000F6010000}"/>
    <cellStyle name="BlackText" xfId="456" xr:uid="{00000000-0005-0000-0000-0000F7010000}"/>
    <cellStyle name="Blank [$]" xfId="457" xr:uid="{00000000-0005-0000-0000-0000F8010000}"/>
    <cellStyle name="Blank [%]" xfId="458" xr:uid="{00000000-0005-0000-0000-0000F9010000}"/>
    <cellStyle name="Blank [,]" xfId="459" xr:uid="{00000000-0005-0000-0000-0000FA010000}"/>
    <cellStyle name="Blank [1$]" xfId="460" xr:uid="{00000000-0005-0000-0000-0000FB010000}"/>
    <cellStyle name="Blank [1,]" xfId="461" xr:uid="{00000000-0005-0000-0000-0000FC010000}"/>
    <cellStyle name="Blank [2$]" xfId="462" xr:uid="{00000000-0005-0000-0000-0000FD010000}"/>
    <cellStyle name="Blank [2%]" xfId="463" xr:uid="{00000000-0005-0000-0000-0000FE010000}"/>
    <cellStyle name="Blank [2,]" xfId="464" xr:uid="{00000000-0005-0000-0000-0000FF010000}"/>
    <cellStyle name="BoldText" xfId="465" xr:uid="{00000000-0005-0000-0000-000000020000}"/>
    <cellStyle name="Border" xfId="466" xr:uid="{00000000-0005-0000-0000-000001020000}"/>
    <cellStyle name="British Pound" xfId="467" xr:uid="{00000000-0005-0000-0000-000002020000}"/>
    <cellStyle name="c" xfId="468" xr:uid="{00000000-0005-0000-0000-000003020000}"/>
    <cellStyle name="C￥AØ_¾ÆA§AU¾÷" xfId="469" xr:uid="{00000000-0005-0000-0000-000004020000}"/>
    <cellStyle name="c0" xfId="470" xr:uid="{00000000-0005-0000-0000-000005020000}"/>
    <cellStyle name="c0'" xfId="471" xr:uid="{00000000-0005-0000-0000-000006020000}"/>
    <cellStyle name="c0-" xfId="472" xr:uid="{00000000-0005-0000-0000-000007020000}"/>
    <cellStyle name="c0]" xfId="473" xr:uid="{00000000-0005-0000-0000-000008020000}"/>
    <cellStyle name="c09" xfId="474" xr:uid="{00000000-0005-0000-0000-000009020000}"/>
    <cellStyle name="c1" xfId="475" xr:uid="{00000000-0005-0000-0000-00000A020000}"/>
    <cellStyle name="c2" xfId="476" xr:uid="{00000000-0005-0000-0000-00000B020000}"/>
    <cellStyle name="c3" xfId="477" xr:uid="{00000000-0005-0000-0000-00000C020000}"/>
    <cellStyle name="Calc" xfId="478" xr:uid="{00000000-0005-0000-0000-00000D020000}"/>
    <cellStyle name="Calc Currency (0)" xfId="479" xr:uid="{00000000-0005-0000-0000-00000E020000}"/>
    <cellStyle name="Calc Currency (0) 2" xfId="480" xr:uid="{00000000-0005-0000-0000-00000F020000}"/>
    <cellStyle name="Calc Currency (2) 2" xfId="481" xr:uid="{00000000-0005-0000-0000-000010020000}"/>
    <cellStyle name="Calc Percent (0)" xfId="482" xr:uid="{00000000-0005-0000-0000-000011020000}"/>
    <cellStyle name="Calc Percent (0) 2" xfId="483" xr:uid="{00000000-0005-0000-0000-000012020000}"/>
    <cellStyle name="Calc Percent (1)" xfId="484" xr:uid="{00000000-0005-0000-0000-000013020000}"/>
    <cellStyle name="Calc Percent (1) 2" xfId="485" xr:uid="{00000000-0005-0000-0000-000014020000}"/>
    <cellStyle name="Calc Percent (2)" xfId="486" xr:uid="{00000000-0005-0000-0000-000015020000}"/>
    <cellStyle name="Calc Percent (2) 2" xfId="487" xr:uid="{00000000-0005-0000-0000-000016020000}"/>
    <cellStyle name="Calc Units (0) 2" xfId="488" xr:uid="{00000000-0005-0000-0000-000017020000}"/>
    <cellStyle name="Calc Units (1)" xfId="489" xr:uid="{00000000-0005-0000-0000-000018020000}"/>
    <cellStyle name="Calc Units (1) 2" xfId="490" xr:uid="{00000000-0005-0000-0000-000019020000}"/>
    <cellStyle name="Calculation" xfId="491" xr:uid="{00000000-0005-0000-0000-00001A020000}"/>
    <cellStyle name="Calculation 2" xfId="492" xr:uid="{00000000-0005-0000-0000-00001B020000}"/>
    <cellStyle name="cárky_CTD" xfId="493" xr:uid="{00000000-0005-0000-0000-00001C020000}"/>
    <cellStyle name="Case" xfId="494" xr:uid="{00000000-0005-0000-0000-00001D020000}"/>
    <cellStyle name="category" xfId="495" xr:uid="{00000000-0005-0000-0000-00001E020000}"/>
    <cellStyle name="category 2" xfId="496" xr:uid="{00000000-0005-0000-0000-00001F020000}"/>
    <cellStyle name="center" xfId="497" xr:uid="{00000000-0005-0000-0000-000020020000}"/>
    <cellStyle name="Check Cell" xfId="498" xr:uid="{00000000-0005-0000-0000-000021020000}"/>
    <cellStyle name="co" xfId="499" xr:uid="{00000000-0005-0000-0000-000022020000}"/>
    <cellStyle name="Code" xfId="500" xr:uid="{00000000-0005-0000-0000-000023020000}"/>
    <cellStyle name="Col Heads" xfId="501" xr:uid="{00000000-0005-0000-0000-000024020000}"/>
    <cellStyle name="Col Heads 2" xfId="502" xr:uid="{00000000-0005-0000-0000-000025020000}"/>
    <cellStyle name="ColHead" xfId="503" xr:uid="{00000000-0005-0000-0000-000026020000}"/>
    <cellStyle name="ColLevel_1 2" xfId="504" xr:uid="{00000000-0005-0000-0000-000027020000}"/>
    <cellStyle name="Color_Anna" xfId="505" xr:uid="{00000000-0005-0000-0000-000028020000}"/>
    <cellStyle name="Column_Title" xfId="506" xr:uid="{00000000-0005-0000-0000-000029020000}"/>
    <cellStyle name="Comma  - Style1" xfId="507" xr:uid="{00000000-0005-0000-0000-00002A020000}"/>
    <cellStyle name="Comma  - Style1 2" xfId="508" xr:uid="{00000000-0005-0000-0000-00002B020000}"/>
    <cellStyle name="Comma (0,0)" xfId="509" xr:uid="{00000000-0005-0000-0000-00002C020000}"/>
    <cellStyle name="Comma (0,0) incl." xfId="510" xr:uid="{00000000-0005-0000-0000-00002D020000}"/>
    <cellStyle name="Comma [0]" xfId="511" xr:uid="{00000000-0005-0000-0000-00002E020000}"/>
    <cellStyle name="Comma [0] 2" xfId="512" xr:uid="{00000000-0005-0000-0000-00002F020000}"/>
    <cellStyle name="Comma [0]; --" xfId="513" xr:uid="{00000000-0005-0000-0000-000030020000}"/>
    <cellStyle name="Comma [00] 2" xfId="514" xr:uid="{00000000-0005-0000-0000-000031020000}"/>
    <cellStyle name="Comma [1]" xfId="515" xr:uid="{00000000-0005-0000-0000-000032020000}"/>
    <cellStyle name="Comma [2]" xfId="516" xr:uid="{00000000-0005-0000-0000-000033020000}"/>
    <cellStyle name="Comma 0" xfId="517" xr:uid="{00000000-0005-0000-0000-000034020000}"/>
    <cellStyle name="Comma 2 2" xfId="518" xr:uid="{00000000-0005-0000-0000-000035020000}"/>
    <cellStyle name="Comma 2 2 8" xfId="519" xr:uid="{00000000-0005-0000-0000-000036020000}"/>
    <cellStyle name="Comma 3" xfId="520" xr:uid="{00000000-0005-0000-0000-000037020000}"/>
    <cellStyle name="Comma 4" xfId="521" xr:uid="{00000000-0005-0000-0000-000038020000}"/>
    <cellStyle name="Comma 51" xfId="522" xr:uid="{00000000-0005-0000-0000-000039020000}"/>
    <cellStyle name="comma zerodec" xfId="523" xr:uid="{00000000-0005-0000-0000-00003A020000}"/>
    <cellStyle name="Comma,0" xfId="524" xr:uid="{00000000-0005-0000-0000-00003B020000}"/>
    <cellStyle name="Comma,1" xfId="525" xr:uid="{00000000-0005-0000-0000-00003C020000}"/>
    <cellStyle name="Comma,2" xfId="526" xr:uid="{00000000-0005-0000-0000-00003D020000}"/>
    <cellStyle name="Comma0" xfId="527" xr:uid="{00000000-0005-0000-0000-00003E020000}"/>
    <cellStyle name="Comma0 - Modelo1" xfId="528" xr:uid="{00000000-0005-0000-0000-00003F020000}"/>
    <cellStyle name="Copied" xfId="529" xr:uid="{00000000-0005-0000-0000-000040020000}"/>
    <cellStyle name="Copied 2" xfId="530" xr:uid="{00000000-0005-0000-0000-000041020000}"/>
    <cellStyle name="COST1" xfId="531" xr:uid="{00000000-0005-0000-0000-000042020000}"/>
    <cellStyle name="COST1 2" xfId="532" xr:uid="{00000000-0005-0000-0000-000043020000}"/>
    <cellStyle name="Cu2rency [0]_laroux_3_12~3SO2_BINV_1_PLDT_PLDT" xfId="533" xr:uid="{00000000-0005-0000-0000-000044020000}"/>
    <cellStyle name="Currency [0]" xfId="534" xr:uid="{00000000-0005-0000-0000-000045020000}"/>
    <cellStyle name="Currency [0]; --" xfId="535" xr:uid="{00000000-0005-0000-0000-000046020000}"/>
    <cellStyle name="Currency [00] 2" xfId="536" xr:uid="{00000000-0005-0000-0000-000047020000}"/>
    <cellStyle name="Currency [1]" xfId="537" xr:uid="{00000000-0005-0000-0000-000048020000}"/>
    <cellStyle name="Currency [2]" xfId="538" xr:uid="{00000000-0005-0000-0000-000049020000}"/>
    <cellStyle name="Currency [3]" xfId="539" xr:uid="{00000000-0005-0000-0000-00004A020000}"/>
    <cellStyle name="Currency,0" xfId="540" xr:uid="{00000000-0005-0000-0000-00004B020000}"/>
    <cellStyle name="Currency,2" xfId="541" xr:uid="{00000000-0005-0000-0000-00004C020000}"/>
    <cellStyle name="Currency_ SG&amp;A Bridge " xfId="542" xr:uid="{00000000-0005-0000-0000-00004D020000}"/>
    <cellStyle name="Currency1" xfId="543" xr:uid="{00000000-0005-0000-0000-00004E020000}"/>
    <cellStyle name="Currsmall" xfId="544" xr:uid="{00000000-0005-0000-0000-00004F020000}"/>
    <cellStyle name="date" xfId="545" xr:uid="{00000000-0005-0000-0000-000050020000}"/>
    <cellStyle name="Date [D-M-Y]" xfId="546" xr:uid="{00000000-0005-0000-0000-000051020000}"/>
    <cellStyle name="Date [M/D/Y]" xfId="547" xr:uid="{00000000-0005-0000-0000-000052020000}"/>
    <cellStyle name="Date [M/Y]" xfId="548" xr:uid="{00000000-0005-0000-0000-000053020000}"/>
    <cellStyle name="Date [MMM-YY]" xfId="549" xr:uid="{00000000-0005-0000-0000-000054020000}"/>
    <cellStyle name="Date [Y]" xfId="550" xr:uid="{00000000-0005-0000-0000-000055020000}"/>
    <cellStyle name="Date 2" xfId="551" xr:uid="{00000000-0005-0000-0000-000056020000}"/>
    <cellStyle name="Date Aligned" xfId="552" xr:uid="{00000000-0005-0000-0000-000057020000}"/>
    <cellStyle name="Date Short" xfId="553" xr:uid="{00000000-0005-0000-0000-000058020000}"/>
    <cellStyle name="Date_1169" xfId="554" xr:uid="{00000000-0005-0000-0000-000059020000}"/>
    <cellStyle name="Date1" xfId="555" xr:uid="{00000000-0005-0000-0000-00005A020000}"/>
    <cellStyle name="DblLineDollarAcct" xfId="556" xr:uid="{00000000-0005-0000-0000-00005B020000}"/>
    <cellStyle name="DblLinePercent" xfId="557" xr:uid="{00000000-0005-0000-0000-00005C020000}"/>
    <cellStyle name="dd" xfId="558" xr:uid="{00000000-0005-0000-0000-00005D020000}"/>
    <cellStyle name="del" xfId="559" xr:uid="{00000000-0005-0000-0000-00005E020000}"/>
    <cellStyle name="DELTA" xfId="560" xr:uid="{00000000-0005-0000-0000-00005F020000}"/>
    <cellStyle name="Dezimal [0]_ACTUAL_PROPOSAL" xfId="561" xr:uid="{00000000-0005-0000-0000-000060020000}"/>
    <cellStyle name="Dezimal_ACTUAL_PROPOSAL" xfId="562" xr:uid="{00000000-0005-0000-0000-000061020000}"/>
    <cellStyle name="Dia" xfId="563" xr:uid="{00000000-0005-0000-0000-000062020000}"/>
    <cellStyle name="diskette" xfId="564" xr:uid="{00000000-0005-0000-0000-000063020000}"/>
    <cellStyle name="Dollar (zero dec)" xfId="565" xr:uid="{00000000-0005-0000-0000-000064020000}"/>
    <cellStyle name="Dollar1" xfId="566" xr:uid="{00000000-0005-0000-0000-000065020000}"/>
    <cellStyle name="Dollar1Blue" xfId="567" xr:uid="{00000000-0005-0000-0000-000066020000}"/>
    <cellStyle name="Dollar2" xfId="568" xr:uid="{00000000-0005-0000-0000-000067020000}"/>
    <cellStyle name="DollarAccounting" xfId="569" xr:uid="{00000000-0005-0000-0000-000068020000}"/>
    <cellStyle name="Dotted Line" xfId="570" xr:uid="{00000000-0005-0000-0000-000069020000}"/>
    <cellStyle name="Double Accounting" xfId="571" xr:uid="{00000000-0005-0000-0000-00006A020000}"/>
    <cellStyle name="Eingabe" xfId="572" xr:uid="{00000000-0005-0000-0000-00006B020000}"/>
    <cellStyle name="EingabeSumme" xfId="573" xr:uid="{00000000-0005-0000-0000-00006C020000}"/>
    <cellStyle name="Emphasis 1" xfId="574" xr:uid="{00000000-0005-0000-0000-00006D020000}"/>
    <cellStyle name="Emphasis 2" xfId="575" xr:uid="{00000000-0005-0000-0000-00006E020000}"/>
    <cellStyle name="Emphasis 3" xfId="576" xr:uid="{00000000-0005-0000-0000-00006F020000}"/>
    <cellStyle name="Encabez1" xfId="577" xr:uid="{00000000-0005-0000-0000-000070020000}"/>
    <cellStyle name="Enter Currency (0)" xfId="578" xr:uid="{00000000-0005-0000-0000-000071020000}"/>
    <cellStyle name="Entered" xfId="579" xr:uid="{00000000-0005-0000-0000-000072020000}"/>
    <cellStyle name="Entered 2" xfId="580" xr:uid="{00000000-0005-0000-0000-000073020000}"/>
    <cellStyle name="entry" xfId="581" xr:uid="{00000000-0005-0000-0000-000074020000}"/>
    <cellStyle name="entry 2" xfId="582" xr:uid="{00000000-0005-0000-0000-000075020000}"/>
    <cellStyle name="entry box" xfId="583" xr:uid="{00000000-0005-0000-0000-000076020000}"/>
    <cellStyle name="entry box 2" xfId="584" xr:uid="{00000000-0005-0000-0000-000077020000}"/>
    <cellStyle name="ET měna" xfId="585" xr:uid="{00000000-0005-0000-0000-000078020000}"/>
    <cellStyle name="ET procenta" xfId="586" xr:uid="{00000000-0005-0000-0000-000079020000}"/>
    <cellStyle name="Euro 2" xfId="587" xr:uid="{00000000-0005-0000-0000-00007A020000}"/>
    <cellStyle name="Explanatory Text" xfId="588" xr:uid="{00000000-0005-0000-0000-00007B020000}"/>
    <cellStyle name="EY House" xfId="589" xr:uid="{00000000-0005-0000-0000-00007C020000}"/>
    <cellStyle name="EY Narrative text" xfId="590" xr:uid="{00000000-0005-0000-0000-00007D020000}"/>
    <cellStyle name="EY%colcalc" xfId="591" xr:uid="{00000000-0005-0000-0000-00007E020000}"/>
    <cellStyle name="EY%input" xfId="592" xr:uid="{00000000-0005-0000-0000-00007F020000}"/>
    <cellStyle name="EY%rowcalc" xfId="593" xr:uid="{00000000-0005-0000-0000-000080020000}"/>
    <cellStyle name="EY0dp" xfId="594" xr:uid="{00000000-0005-0000-0000-000081020000}"/>
    <cellStyle name="EY1dp" xfId="595" xr:uid="{00000000-0005-0000-0000-000082020000}"/>
    <cellStyle name="EY2dp" xfId="596" xr:uid="{00000000-0005-0000-0000-000083020000}"/>
    <cellStyle name="EY3dp" xfId="597" xr:uid="{00000000-0005-0000-0000-000084020000}"/>
    <cellStyle name="EYChartTitle" xfId="598" xr:uid="{00000000-0005-0000-0000-000085020000}"/>
    <cellStyle name="EYColumnHeading" xfId="599" xr:uid="{00000000-0005-0000-0000-000086020000}"/>
    <cellStyle name="EYColumnHeadingItalic" xfId="600" xr:uid="{00000000-0005-0000-0000-000087020000}"/>
    <cellStyle name="EYCoverDatabookName" xfId="601" xr:uid="{00000000-0005-0000-0000-000088020000}"/>
    <cellStyle name="EYCoverDate" xfId="602" xr:uid="{00000000-0005-0000-0000-000089020000}"/>
    <cellStyle name="EYCoverDraft" xfId="603" xr:uid="{00000000-0005-0000-0000-00008A020000}"/>
    <cellStyle name="EYCoverProjectName" xfId="604" xr:uid="{00000000-0005-0000-0000-00008B020000}"/>
    <cellStyle name="EYHeading1" xfId="605" xr:uid="{00000000-0005-0000-0000-00008C020000}"/>
    <cellStyle name="EYheading2" xfId="606" xr:uid="{00000000-0005-0000-0000-00008D020000}"/>
    <cellStyle name="EYheading3" xfId="607" xr:uid="{00000000-0005-0000-0000-00008E020000}"/>
    <cellStyle name="EYNotes" xfId="608" xr:uid="{00000000-0005-0000-0000-00008F020000}"/>
    <cellStyle name="EYNotesHeading" xfId="609" xr:uid="{00000000-0005-0000-0000-000090020000}"/>
    <cellStyle name="EYnumber" xfId="610" xr:uid="{00000000-0005-0000-0000-000091020000}"/>
    <cellStyle name="EYRelianceRestricted" xfId="611" xr:uid="{00000000-0005-0000-0000-000092020000}"/>
    <cellStyle name="EYSectionHeading" xfId="612" xr:uid="{00000000-0005-0000-0000-000093020000}"/>
    <cellStyle name="EYSheetHeader1" xfId="613" xr:uid="{00000000-0005-0000-0000-000094020000}"/>
    <cellStyle name="EYSheetHeading" xfId="614" xr:uid="{00000000-0005-0000-0000-000095020000}"/>
    <cellStyle name="EYsmallheading" xfId="615" xr:uid="{00000000-0005-0000-0000-000096020000}"/>
    <cellStyle name="EYSource" xfId="616" xr:uid="{00000000-0005-0000-0000-000097020000}"/>
    <cellStyle name="EYtext" xfId="617" xr:uid="{00000000-0005-0000-0000-000098020000}"/>
    <cellStyle name="EYtextbold" xfId="618" xr:uid="{00000000-0005-0000-0000-000099020000}"/>
    <cellStyle name="EYtextbolditalic" xfId="619" xr:uid="{00000000-0005-0000-0000-00009A020000}"/>
    <cellStyle name="EYtextitalic" xfId="620" xr:uid="{00000000-0005-0000-0000-00009B020000}"/>
    <cellStyle name="F8 - Style1" xfId="621" xr:uid="{00000000-0005-0000-0000-00009C020000}"/>
    <cellStyle name="Fecha" xfId="622" xr:uid="{00000000-0005-0000-0000-00009D020000}"/>
    <cellStyle name="Fijo" xfId="623" xr:uid="{00000000-0005-0000-0000-00009E020000}"/>
    <cellStyle name="First" xfId="624" xr:uid="{00000000-0005-0000-0000-00009F020000}"/>
    <cellStyle name="Fixed" xfId="625" xr:uid="{00000000-0005-0000-0000-0000A0020000}"/>
    <cellStyle name="Fixlong" xfId="626" xr:uid="{00000000-0005-0000-0000-0000A1020000}"/>
    <cellStyle name="Footnote" xfId="627" xr:uid="{00000000-0005-0000-0000-0000A2020000}"/>
    <cellStyle name="Formula" xfId="628" xr:uid="{00000000-0005-0000-0000-0000A3020000}"/>
    <cellStyle name="Fraction" xfId="629" xr:uid="{00000000-0005-0000-0000-0000A4020000}"/>
    <cellStyle name="Fraction [8]" xfId="630" xr:uid="{00000000-0005-0000-0000-0000A5020000}"/>
    <cellStyle name="Fraction [Bl]" xfId="631" xr:uid="{00000000-0005-0000-0000-0000A6020000}"/>
    <cellStyle name="From" xfId="632" xr:uid="{00000000-0005-0000-0000-0000A7020000}"/>
    <cellStyle name="FY" xfId="633" xr:uid="{00000000-0005-0000-0000-0000A8020000}"/>
    <cellStyle name="g" xfId="634" xr:uid="{00000000-0005-0000-0000-0000A9020000}"/>
    <cellStyle name="General" xfId="635" xr:uid="{00000000-0005-0000-0000-0000AA020000}"/>
    <cellStyle name="Gesellschaft" xfId="636" xr:uid="{00000000-0005-0000-0000-0000AB020000}"/>
    <cellStyle name="Gewichte" xfId="637" xr:uid="{00000000-0005-0000-0000-0000AC020000}"/>
    <cellStyle name="Gilsans" xfId="638" xr:uid="{00000000-0005-0000-0000-0000AD020000}"/>
    <cellStyle name="Gilsansl" xfId="639" xr:uid="{00000000-0005-0000-0000-0000AE020000}"/>
    <cellStyle name="Good" xfId="640" xr:uid="{00000000-0005-0000-0000-0000AF020000}"/>
    <cellStyle name="Grey" xfId="641" xr:uid="{00000000-0005-0000-0000-0000B0020000}"/>
    <cellStyle name="Grouped Head" xfId="642" xr:uid="{00000000-0005-0000-0000-0000B1020000}"/>
    <cellStyle name="h1" xfId="643" xr:uid="{00000000-0005-0000-0000-0000B2020000}"/>
    <cellStyle name="Hauptkriterien" xfId="644" xr:uid="{00000000-0005-0000-0000-0000B3020000}"/>
    <cellStyle name="Header" xfId="645" xr:uid="{00000000-0005-0000-0000-0000B4020000}"/>
    <cellStyle name="HEADER 2" xfId="646" xr:uid="{00000000-0005-0000-0000-0000B5020000}"/>
    <cellStyle name="Header1" xfId="647" xr:uid="{00000000-0005-0000-0000-0000B6020000}"/>
    <cellStyle name="Header1 3" xfId="648" xr:uid="{00000000-0005-0000-0000-0000B7020000}"/>
    <cellStyle name="Header2" xfId="649" xr:uid="{00000000-0005-0000-0000-0000B8020000}"/>
    <cellStyle name="Header2 10" xfId="650" xr:uid="{00000000-0005-0000-0000-0000B9020000}"/>
    <cellStyle name="Heading" xfId="651" xr:uid="{00000000-0005-0000-0000-0000BA020000}"/>
    <cellStyle name="Heading 3" xfId="652" xr:uid="{00000000-0005-0000-0000-0000BB020000}"/>
    <cellStyle name="Heading 4" xfId="653" xr:uid="{00000000-0005-0000-0000-0000BC020000}"/>
    <cellStyle name="Headline3" xfId="654" xr:uid="{00000000-0005-0000-0000-0000BD020000}"/>
    <cellStyle name="Hidden" xfId="655" xr:uid="{00000000-0005-0000-0000-0000BE020000}"/>
    <cellStyle name="Horizontal" xfId="656" xr:uid="{00000000-0005-0000-0000-0000BF020000}"/>
    <cellStyle name="Hyperlink_PERSONAL" xfId="657" xr:uid="{00000000-0005-0000-0000-0000C0020000}"/>
    <cellStyle name="Input" xfId="658" xr:uid="{00000000-0005-0000-0000-0000C1020000}"/>
    <cellStyle name="Input [yellow]" xfId="659" xr:uid="{00000000-0005-0000-0000-0000C2020000}"/>
    <cellStyle name="Input [yellow] 2" xfId="660" xr:uid="{00000000-0005-0000-0000-0000C3020000}"/>
    <cellStyle name="Input 2" xfId="661" xr:uid="{00000000-0005-0000-0000-0000C4020000}"/>
    <cellStyle name="Input Cells" xfId="662" xr:uid="{00000000-0005-0000-0000-0000C5020000}"/>
    <cellStyle name="Input1" xfId="663" xr:uid="{00000000-0005-0000-0000-0000C6020000}"/>
    <cellStyle name="Input2" xfId="664" xr:uid="{00000000-0005-0000-0000-0000C7020000}"/>
    <cellStyle name="Italic" xfId="665" xr:uid="{00000000-0005-0000-0000-0000C8020000}"/>
    <cellStyle name="Konto" xfId="666" xr:uid="{00000000-0005-0000-0000-0000C9020000}"/>
    <cellStyle name="Lable8Left" xfId="667" xr:uid="{00000000-0005-0000-0000-0000CA020000}"/>
    <cellStyle name="Ligne" xfId="668" xr:uid="{00000000-0005-0000-0000-0000CB020000}"/>
    <cellStyle name="linie unten" xfId="669" xr:uid="{00000000-0005-0000-0000-0000CC020000}"/>
    <cellStyle name="Link Currency (0)" xfId="670" xr:uid="{00000000-0005-0000-0000-0000CD020000}"/>
    <cellStyle name="Linked Cell" xfId="671" xr:uid="{00000000-0005-0000-0000-0000CE020000}"/>
    <cellStyle name="Linked Cells" xfId="672" xr:uid="{00000000-0005-0000-0000-0000CF020000}"/>
    <cellStyle name="LISAM" xfId="673" xr:uid="{00000000-0005-0000-0000-0000D0020000}"/>
    <cellStyle name="MacroCode" xfId="674" xr:uid="{00000000-0005-0000-0000-0000D1020000}"/>
    <cellStyle name="Millares [0]_10 AVERIAS MASIVAS + ANT" xfId="675" xr:uid="{00000000-0005-0000-0000-0000D2020000}"/>
    <cellStyle name="Millares_10 AVERIAS MASIVAS + ANT" xfId="676" xr:uid="{00000000-0005-0000-0000-0000D3020000}"/>
    <cellStyle name="Milliers [0]_!!!GO" xfId="677" xr:uid="{00000000-0005-0000-0000-0000D4020000}"/>
    <cellStyle name="Mine" xfId="678" xr:uid="{00000000-0005-0000-0000-0000D5020000}"/>
    <cellStyle name="MIS.SpaltenKopf" xfId="679" xr:uid="{00000000-0005-0000-0000-0000D6020000}"/>
    <cellStyle name="Model" xfId="680" xr:uid="{00000000-0005-0000-0000-0000D7020000}"/>
    <cellStyle name="Model 2" xfId="681" xr:uid="{00000000-0005-0000-0000-0000D8020000}"/>
    <cellStyle name="Moneda [0]_10 AVERIAS MASIVAS + ANT" xfId="682" xr:uid="{00000000-0005-0000-0000-0000D9020000}"/>
    <cellStyle name="Moneda_10 AVERIAS MASIVAS + ANT" xfId="683" xr:uid="{00000000-0005-0000-0000-0000DA020000}"/>
    <cellStyle name="Monétaire_!!!GO" xfId="684" xr:uid="{00000000-0005-0000-0000-0000DB020000}"/>
    <cellStyle name="Monetario" xfId="685" xr:uid="{00000000-0005-0000-0000-0000DC020000}"/>
    <cellStyle name="Monetario0" xfId="686" xr:uid="{00000000-0005-0000-0000-0000DD020000}"/>
    <cellStyle name="Multiple" xfId="687" xr:uid="{00000000-0005-0000-0000-0000DE020000}"/>
    <cellStyle name="n-" xfId="688" xr:uid="{00000000-0005-0000-0000-0000DF020000}"/>
    <cellStyle name="n*" xfId="689" xr:uid="{00000000-0005-0000-0000-0000E0020000}"/>
    <cellStyle name="n0" xfId="690" xr:uid="{00000000-0005-0000-0000-0000E1020000}"/>
    <cellStyle name="n0'" xfId="691" xr:uid="{00000000-0005-0000-0000-0000E2020000}"/>
    <cellStyle name="n0-" xfId="692" xr:uid="{00000000-0005-0000-0000-0000E3020000}"/>
    <cellStyle name="n00" xfId="693" xr:uid="{00000000-0005-0000-0000-0000E4020000}"/>
    <cellStyle name="n000" xfId="694" xr:uid="{00000000-0005-0000-0000-0000E5020000}"/>
    <cellStyle name="n0x" xfId="695" xr:uid="{00000000-0005-0000-0000-0000E6020000}"/>
    <cellStyle name="n1" xfId="696" xr:uid="{00000000-0005-0000-0000-0000E7020000}"/>
    <cellStyle name="n1`" xfId="697" xr:uid="{00000000-0005-0000-0000-0000E8020000}"/>
    <cellStyle name="n1x" xfId="698" xr:uid="{00000000-0005-0000-0000-0000E9020000}"/>
    <cellStyle name="n2" xfId="699" xr:uid="{00000000-0005-0000-0000-0000EA020000}"/>
    <cellStyle name="n21x" xfId="700" xr:uid="{00000000-0005-0000-0000-0000EB020000}"/>
    <cellStyle name="n2x" xfId="701" xr:uid="{00000000-0005-0000-0000-0000EC020000}"/>
    <cellStyle name="n2z" xfId="702" xr:uid="{00000000-0005-0000-0000-0000ED020000}"/>
    <cellStyle name="n3" xfId="703" xr:uid="{00000000-0005-0000-0000-0000EE020000}"/>
    <cellStyle name="n3x" xfId="704" xr:uid="{00000000-0005-0000-0000-0000EF020000}"/>
    <cellStyle name="NanStyle" xfId="705" xr:uid="{00000000-0005-0000-0000-0000F0020000}"/>
    <cellStyle name="Neutral" xfId="706" xr:uid="{00000000-0005-0000-0000-0000F1020000}"/>
    <cellStyle name="New Times Roman" xfId="707" xr:uid="{00000000-0005-0000-0000-0000F2020000}"/>
    <cellStyle name="nm0" xfId="708" xr:uid="{00000000-0005-0000-0000-0000F3020000}"/>
    <cellStyle name="NMNBV" xfId="709" xr:uid="{00000000-0005-0000-0000-0000F4020000}"/>
    <cellStyle name="nnx" xfId="710" xr:uid="{00000000-0005-0000-0000-0000F5020000}"/>
    <cellStyle name="no" xfId="711" xr:uid="{00000000-0005-0000-0000-0000F6020000}"/>
    <cellStyle name="no dec" xfId="712" xr:uid="{00000000-0005-0000-0000-0000F7020000}"/>
    <cellStyle name="Normal" xfId="713" xr:uid="{00000000-0005-0000-0000-0000F8020000}"/>
    <cellStyle name="Normal - Style1" xfId="714" xr:uid="{00000000-0005-0000-0000-0000F9020000}"/>
    <cellStyle name="Normal - Style1 2" xfId="715" xr:uid="{00000000-0005-0000-0000-0000FA020000}"/>
    <cellStyle name="Normal 103" xfId="716" xr:uid="{00000000-0005-0000-0000-0000FB020000}"/>
    <cellStyle name="Normal 11" xfId="717" xr:uid="{00000000-0005-0000-0000-0000FC020000}"/>
    <cellStyle name="Normal 2" xfId="718" xr:uid="{00000000-0005-0000-0000-0000FD020000}"/>
    <cellStyle name="Normal 2 3" xfId="719" xr:uid="{00000000-0005-0000-0000-0000FE020000}"/>
    <cellStyle name="Normal 3" xfId="720" xr:uid="{00000000-0005-0000-0000-0000FF020000}"/>
    <cellStyle name="Normal 5" xfId="721" xr:uid="{00000000-0005-0000-0000-000000030000}"/>
    <cellStyle name="NormalBlue" xfId="722" xr:uid="{00000000-0005-0000-0000-000001030000}"/>
    <cellStyle name="NormalBold" xfId="723" xr:uid="{00000000-0005-0000-0000-000002030000}"/>
    <cellStyle name="NormalHelv" xfId="724" xr:uid="{00000000-0005-0000-0000-000003030000}"/>
    <cellStyle name="Note" xfId="725" xr:uid="{00000000-0005-0000-0000-000004030000}"/>
    <cellStyle name="Note 10" xfId="726" xr:uid="{00000000-0005-0000-0000-000005030000}"/>
    <cellStyle name="Nr" xfId="727" xr:uid="{00000000-0005-0000-0000-000006030000}"/>
    <cellStyle name="Num1" xfId="728" xr:uid="{00000000-0005-0000-0000-000007030000}"/>
    <cellStyle name="Num1Blue" xfId="729" xr:uid="{00000000-0005-0000-0000-000008030000}"/>
    <cellStyle name="Num2" xfId="730" xr:uid="{00000000-0005-0000-0000-000009030000}"/>
    <cellStyle name="number" xfId="731" xr:uid="{00000000-0005-0000-0000-00000A030000}"/>
    <cellStyle name="NumberForecastStyle" xfId="732" xr:uid="{00000000-0005-0000-0000-00000B030000}"/>
    <cellStyle name="NumberStyle" xfId="733" xr:uid="{00000000-0005-0000-0000-00000C030000}"/>
    <cellStyle name="Numk" xfId="734" xr:uid="{00000000-0005-0000-0000-00000D030000}"/>
    <cellStyle name="NWS" xfId="735" xr:uid="{00000000-0005-0000-0000-00000E030000}"/>
    <cellStyle name="Objekte" xfId="736" xr:uid="{00000000-0005-0000-0000-00000F030000}"/>
    <cellStyle name="Œ…‹æØ‚è_!!!GO" xfId="737" xr:uid="{00000000-0005-0000-0000-000010030000}"/>
    <cellStyle name="oft Excel]_x000d__x000a_Comment=open=/f を指定すると、ユーザー定義関数を関数貼り付けの一覧に登録することができます。_x000d__x000a_Maximized" xfId="738" xr:uid="{00000000-0005-0000-0000-000011030000}"/>
    <cellStyle name="OneDecPer" xfId="739" xr:uid="{00000000-0005-0000-0000-000012030000}"/>
    <cellStyle name="op header" xfId="740" xr:uid="{00000000-0005-0000-0000-000013030000}"/>
    <cellStyle name="OptionHeading" xfId="741" xr:uid="{00000000-0005-0000-0000-000014030000}"/>
    <cellStyle name="Output" xfId="742" xr:uid="{00000000-0005-0000-0000-000015030000}"/>
    <cellStyle name="Output 10" xfId="743" xr:uid="{00000000-0005-0000-0000-000016030000}"/>
    <cellStyle name="Output Amounts" xfId="744" xr:uid="{00000000-0005-0000-0000-000017030000}"/>
    <cellStyle name="OUTPUT LINE ITEMS" xfId="745" xr:uid="{00000000-0005-0000-0000-000018030000}"/>
    <cellStyle name="p" xfId="746" xr:uid="{00000000-0005-0000-0000-000019030000}"/>
    <cellStyle name="p_Michiana 3" xfId="747" xr:uid="{00000000-0005-0000-0000-00001A030000}"/>
    <cellStyle name="p0" xfId="748" xr:uid="{00000000-0005-0000-0000-00001B030000}"/>
    <cellStyle name="p1" xfId="749" xr:uid="{00000000-0005-0000-0000-00001C030000}"/>
    <cellStyle name="p1x" xfId="750" xr:uid="{00000000-0005-0000-0000-00001D030000}"/>
    <cellStyle name="p2" xfId="751" xr:uid="{00000000-0005-0000-0000-00001E030000}"/>
    <cellStyle name="p3" xfId="752" xr:uid="{00000000-0005-0000-0000-00001F030000}"/>
    <cellStyle name="Page Number" xfId="753" xr:uid="{00000000-0005-0000-0000-000020030000}"/>
    <cellStyle name="per.style" xfId="754" xr:uid="{00000000-0005-0000-0000-000021030000}"/>
    <cellStyle name="Percent [0]" xfId="755" xr:uid="{00000000-0005-0000-0000-000022030000}"/>
    <cellStyle name="Percent [0] 2" xfId="756" xr:uid="{00000000-0005-0000-0000-000023030000}"/>
    <cellStyle name="Percent [00]" xfId="757" xr:uid="{00000000-0005-0000-0000-000024030000}"/>
    <cellStyle name="Percent [00] 2" xfId="758" xr:uid="{00000000-0005-0000-0000-000025030000}"/>
    <cellStyle name="Percent [1]" xfId="759" xr:uid="{00000000-0005-0000-0000-000026030000}"/>
    <cellStyle name="Percent [2]" xfId="760" xr:uid="{00000000-0005-0000-0000-000027030000}"/>
    <cellStyle name="Percent 2" xfId="761" xr:uid="{00000000-0005-0000-0000-000028030000}"/>
    <cellStyle name="Percent_!!!GO" xfId="762" xr:uid="{00000000-0005-0000-0000-000029030000}"/>
    <cellStyle name="Percent1" xfId="763" xr:uid="{00000000-0005-0000-0000-00002A030000}"/>
    <cellStyle name="Percent1Blue" xfId="764" xr:uid="{00000000-0005-0000-0000-00002B030000}"/>
    <cellStyle name="Percent2" xfId="765" xr:uid="{00000000-0005-0000-0000-00002C030000}"/>
    <cellStyle name="Percent2Blue" xfId="766" xr:uid="{00000000-0005-0000-0000-00002D030000}"/>
    <cellStyle name="PERCENTAGE" xfId="767" xr:uid="{00000000-0005-0000-0000-00002E030000}"/>
    <cellStyle name="Perlong" xfId="768" xr:uid="{00000000-0005-0000-0000-00002F030000}"/>
    <cellStyle name="Planjahr" xfId="769" xr:uid="{00000000-0005-0000-0000-000030030000}"/>
    <cellStyle name="po1" xfId="770" xr:uid="{00000000-0005-0000-0000-000031030000}"/>
    <cellStyle name="Porcentaje" xfId="771" xr:uid="{00000000-0005-0000-0000-000032030000}"/>
    <cellStyle name="Pourcentage_pldt" xfId="772" xr:uid="{00000000-0005-0000-0000-000033030000}"/>
    <cellStyle name="pp1" xfId="773" xr:uid="{00000000-0005-0000-0000-000034030000}"/>
    <cellStyle name="Prefilled" xfId="774" xr:uid="{00000000-0005-0000-0000-000035030000}"/>
    <cellStyle name="Prefilled 2" xfId="775" xr:uid="{00000000-0005-0000-0000-000036030000}"/>
    <cellStyle name="PrePop Currency (0)" xfId="776" xr:uid="{00000000-0005-0000-0000-000037030000}"/>
    <cellStyle name="price" xfId="777" xr:uid="{00000000-0005-0000-0000-000038030000}"/>
    <cellStyle name="pricing" xfId="778" xr:uid="{00000000-0005-0000-0000-000039030000}"/>
    <cellStyle name="Private" xfId="779" xr:uid="{00000000-0005-0000-0000-00003A030000}"/>
    <cellStyle name="Private1" xfId="780" xr:uid="{00000000-0005-0000-0000-00003B030000}"/>
    <cellStyle name="protected" xfId="781" xr:uid="{00000000-0005-0000-0000-00003C030000}"/>
    <cellStyle name="Prozent_103_Request template_Elster Messtechnik_Lampertheim_Electricity_PBC" xfId="782" xr:uid="{00000000-0005-0000-0000-00003D030000}"/>
    <cellStyle name="PSChar" xfId="783" xr:uid="{00000000-0005-0000-0000-00003E030000}"/>
    <cellStyle name="PSChar 2" xfId="784" xr:uid="{00000000-0005-0000-0000-00003F030000}"/>
    <cellStyle name="PSDate" xfId="785" xr:uid="{00000000-0005-0000-0000-000040030000}"/>
    <cellStyle name="PSDec" xfId="786" xr:uid="{00000000-0005-0000-0000-000041030000}"/>
    <cellStyle name="PSHeading" xfId="787" xr:uid="{00000000-0005-0000-0000-000042030000}"/>
    <cellStyle name="PSHeading 2" xfId="788" xr:uid="{00000000-0005-0000-0000-000043030000}"/>
    <cellStyle name="PSInt" xfId="789" xr:uid="{00000000-0005-0000-0000-000044030000}"/>
    <cellStyle name="PSSpacer" xfId="790" xr:uid="{00000000-0005-0000-0000-000045030000}"/>
    <cellStyle name="Punto" xfId="791" xr:uid="{00000000-0005-0000-0000-000046030000}"/>
    <cellStyle name="q1" xfId="792" xr:uid="{00000000-0005-0000-0000-000047030000}"/>
    <cellStyle name="q2" xfId="793" xr:uid="{00000000-0005-0000-0000-000048030000}"/>
    <cellStyle name="q3" xfId="794" xr:uid="{00000000-0005-0000-0000-000049030000}"/>
    <cellStyle name="q4" xfId="795" xr:uid="{00000000-0005-0000-0000-00004A030000}"/>
    <cellStyle name="red" xfId="796" xr:uid="{00000000-0005-0000-0000-00004B030000}"/>
    <cellStyle name="Ref Numbers" xfId="797" xr:uid="{00000000-0005-0000-0000-00004C030000}"/>
    <cellStyle name="revised" xfId="798" xr:uid="{00000000-0005-0000-0000-00004D030000}"/>
    <cellStyle name="RevList" xfId="799" xr:uid="{00000000-0005-0000-0000-00004E030000}"/>
    <cellStyle name="row_def_array" xfId="800" xr:uid="{00000000-0005-0000-0000-00004F030000}"/>
    <cellStyle name="RowLevel_1 2" xfId="801" xr:uid="{00000000-0005-0000-0000-000050030000}"/>
    <cellStyle name="RowLevel_8" xfId="802" xr:uid="{00000000-0005-0000-0000-000051030000}"/>
    <cellStyle name="RowLevel_8 2" xfId="803" xr:uid="{00000000-0005-0000-0000-000052030000}"/>
    <cellStyle name="rt" xfId="804" xr:uid="{00000000-0005-0000-0000-000054030000}"/>
    <cellStyle name="S7" xfId="805" xr:uid="{00000000-0005-0000-0000-000055030000}"/>
    <cellStyle name="SAPBEXaggData" xfId="806" xr:uid="{00000000-0005-0000-0000-000056030000}"/>
    <cellStyle name="SAPBEXaggDataEmph" xfId="807" xr:uid="{00000000-0005-0000-0000-000057030000}"/>
    <cellStyle name="SAPBEXaggExc1" xfId="808" xr:uid="{00000000-0005-0000-0000-000058030000}"/>
    <cellStyle name="SAPBEXaggExc1Emph" xfId="809" xr:uid="{00000000-0005-0000-0000-000059030000}"/>
    <cellStyle name="SAPBEXaggExc2" xfId="810" xr:uid="{00000000-0005-0000-0000-00005A030000}"/>
    <cellStyle name="SAPBEXaggExc2Emph" xfId="811" xr:uid="{00000000-0005-0000-0000-00005B030000}"/>
    <cellStyle name="SAPBEXaggItem" xfId="812" xr:uid="{00000000-0005-0000-0000-00005C030000}"/>
    <cellStyle name="SAPBEXaggItemX" xfId="813" xr:uid="{00000000-0005-0000-0000-00005D030000}"/>
    <cellStyle name="SAPBEXaggItemX 3" xfId="814" xr:uid="{00000000-0005-0000-0000-00005E030000}"/>
    <cellStyle name="SAPBEXchaText" xfId="815" xr:uid="{00000000-0005-0000-0000-00005F030000}"/>
    <cellStyle name="SAPBEXexcBad" xfId="816" xr:uid="{00000000-0005-0000-0000-000060030000}"/>
    <cellStyle name="SAPBEXexcBad7" xfId="817" xr:uid="{00000000-0005-0000-0000-000061030000}"/>
    <cellStyle name="SAPBEXexcBad8" xfId="818" xr:uid="{00000000-0005-0000-0000-000062030000}"/>
    <cellStyle name="SAPBEXexcBad9" xfId="819" xr:uid="{00000000-0005-0000-0000-000063030000}"/>
    <cellStyle name="SAPBEXexcCritical" xfId="820" xr:uid="{00000000-0005-0000-0000-000064030000}"/>
    <cellStyle name="SAPBEXexcCritical4" xfId="821" xr:uid="{00000000-0005-0000-0000-000065030000}"/>
    <cellStyle name="SAPBEXexcCritical5" xfId="822" xr:uid="{00000000-0005-0000-0000-000066030000}"/>
    <cellStyle name="SAPBEXexcCritical6" xfId="823" xr:uid="{00000000-0005-0000-0000-000067030000}"/>
    <cellStyle name="SAPBEXexcGood" xfId="824" xr:uid="{00000000-0005-0000-0000-000068030000}"/>
    <cellStyle name="SAPBEXexcGood1" xfId="825" xr:uid="{00000000-0005-0000-0000-000069030000}"/>
    <cellStyle name="SAPBEXexcGood2" xfId="826" xr:uid="{00000000-0005-0000-0000-00006A030000}"/>
    <cellStyle name="SAPBEXexcGood3" xfId="827" xr:uid="{00000000-0005-0000-0000-00006B030000}"/>
    <cellStyle name="SAPBEXexcVeryBad" xfId="828" xr:uid="{00000000-0005-0000-0000-00006C030000}"/>
    <cellStyle name="SAPBEXfilterDrill" xfId="829" xr:uid="{00000000-0005-0000-0000-00006D030000}"/>
    <cellStyle name="SAPBEXfilterItem" xfId="830" xr:uid="{00000000-0005-0000-0000-00006E030000}"/>
    <cellStyle name="SAPBEXfilterText" xfId="831" xr:uid="{00000000-0005-0000-0000-00006F030000}"/>
    <cellStyle name="SAPBEXformats" xfId="832" xr:uid="{00000000-0005-0000-0000-000070030000}"/>
    <cellStyle name="SAPBEXheaderData" xfId="833" xr:uid="{00000000-0005-0000-0000-000071030000}"/>
    <cellStyle name="SAPBEXheaderText" xfId="834" xr:uid="{00000000-0005-0000-0000-000072030000}"/>
    <cellStyle name="SAPBEXHLevel0" xfId="835" xr:uid="{00000000-0005-0000-0000-000073030000}"/>
    <cellStyle name="SAPBEXHLevel0 3" xfId="836" xr:uid="{00000000-0005-0000-0000-000074030000}"/>
    <cellStyle name="SAPBEXHLevel0X" xfId="837" xr:uid="{00000000-0005-0000-0000-000075030000}"/>
    <cellStyle name="SAPBEXHLevel0X 3" xfId="838" xr:uid="{00000000-0005-0000-0000-000076030000}"/>
    <cellStyle name="SAPBEXHLevel1" xfId="839" xr:uid="{00000000-0005-0000-0000-000077030000}"/>
    <cellStyle name="SAPBEXHLevel1 3" xfId="840" xr:uid="{00000000-0005-0000-0000-000078030000}"/>
    <cellStyle name="SAPBEXHLevel1X" xfId="841" xr:uid="{00000000-0005-0000-0000-000079030000}"/>
    <cellStyle name="SAPBEXHLevel1X 3" xfId="842" xr:uid="{00000000-0005-0000-0000-00007A030000}"/>
    <cellStyle name="SAPBEXHLevel2" xfId="843" xr:uid="{00000000-0005-0000-0000-00007B030000}"/>
    <cellStyle name="SAPBEXHLevel2 3" xfId="844" xr:uid="{00000000-0005-0000-0000-00007C030000}"/>
    <cellStyle name="SAPBEXHLevel2X" xfId="845" xr:uid="{00000000-0005-0000-0000-00007D030000}"/>
    <cellStyle name="SAPBEXHLevel2X 3" xfId="846" xr:uid="{00000000-0005-0000-0000-00007E030000}"/>
    <cellStyle name="SAPBEXHLevel3" xfId="847" xr:uid="{00000000-0005-0000-0000-00007F030000}"/>
    <cellStyle name="SAPBEXHLevel3 3" xfId="848" xr:uid="{00000000-0005-0000-0000-000080030000}"/>
    <cellStyle name="SAPBEXHLevel3X" xfId="849" xr:uid="{00000000-0005-0000-0000-000081030000}"/>
    <cellStyle name="SAPBEXHLevel3X 3" xfId="850" xr:uid="{00000000-0005-0000-0000-000082030000}"/>
    <cellStyle name="SAPBEXinputData" xfId="851" xr:uid="{00000000-0005-0000-0000-000083030000}"/>
    <cellStyle name="SAPBEXresData" xfId="852" xr:uid="{00000000-0005-0000-0000-000084030000}"/>
    <cellStyle name="SAPBEXresDataEmph" xfId="853" xr:uid="{00000000-0005-0000-0000-000085030000}"/>
    <cellStyle name="SAPBEXresExc1" xfId="854" xr:uid="{00000000-0005-0000-0000-000086030000}"/>
    <cellStyle name="SAPBEXresExc1Emph" xfId="855" xr:uid="{00000000-0005-0000-0000-000087030000}"/>
    <cellStyle name="SAPBEXresExc2" xfId="856" xr:uid="{00000000-0005-0000-0000-000088030000}"/>
    <cellStyle name="SAPBEXresExc2Emph" xfId="857" xr:uid="{00000000-0005-0000-0000-000089030000}"/>
    <cellStyle name="SAPBEXresItem" xfId="858" xr:uid="{00000000-0005-0000-0000-00008A030000}"/>
    <cellStyle name="SAPBEXresItemX" xfId="859" xr:uid="{00000000-0005-0000-0000-00008B030000}"/>
    <cellStyle name="SAPBEXresItemX 3" xfId="860" xr:uid="{00000000-0005-0000-0000-00008C030000}"/>
    <cellStyle name="SAPBEXstdData" xfId="861" xr:uid="{00000000-0005-0000-0000-00008D030000}"/>
    <cellStyle name="SAPBEXstdDataEmph" xfId="862" xr:uid="{00000000-0005-0000-0000-00008E030000}"/>
    <cellStyle name="SAPBEXstdExc1" xfId="863" xr:uid="{00000000-0005-0000-0000-00008F030000}"/>
    <cellStyle name="SAPBEXstdItem" xfId="864" xr:uid="{00000000-0005-0000-0000-000090030000}"/>
    <cellStyle name="SAPBEXstdItemX" xfId="865" xr:uid="{00000000-0005-0000-0000-000091030000}"/>
    <cellStyle name="SAPBEXstdItemX 3" xfId="866" xr:uid="{00000000-0005-0000-0000-000092030000}"/>
    <cellStyle name="SAPBEXsubData" xfId="867" xr:uid="{00000000-0005-0000-0000-000093030000}"/>
    <cellStyle name="SAPBEXsubDataEmph" xfId="868" xr:uid="{00000000-0005-0000-0000-000094030000}"/>
    <cellStyle name="SAPBEXsubExc1" xfId="869" xr:uid="{00000000-0005-0000-0000-000095030000}"/>
    <cellStyle name="SAPBEXsubExc1Emph" xfId="870" xr:uid="{00000000-0005-0000-0000-000096030000}"/>
    <cellStyle name="SAPBEXsubExc2" xfId="871" xr:uid="{00000000-0005-0000-0000-000097030000}"/>
    <cellStyle name="SAPBEXsubExc2Emph" xfId="872" xr:uid="{00000000-0005-0000-0000-000098030000}"/>
    <cellStyle name="SAPBEXsubItem" xfId="873" xr:uid="{00000000-0005-0000-0000-000099030000}"/>
    <cellStyle name="SAPBEXtitle" xfId="874" xr:uid="{00000000-0005-0000-0000-00009A030000}"/>
    <cellStyle name="SAPBEXundefined" xfId="875" xr:uid="{00000000-0005-0000-0000-00009B030000}"/>
    <cellStyle name="section" xfId="876" xr:uid="{00000000-0005-0000-0000-00009C030000}"/>
    <cellStyle name="section 2" xfId="877" xr:uid="{00000000-0005-0000-0000-00009D030000}"/>
    <cellStyle name="Server Data" xfId="878" xr:uid="{00000000-0005-0000-0000-00009E030000}"/>
    <cellStyle name="Sheet Title" xfId="879" xr:uid="{00000000-0005-0000-0000-00009F030000}"/>
    <cellStyle name="Single Accounting" xfId="880" xr:uid="{00000000-0005-0000-0000-0000A0030000}"/>
    <cellStyle name="SingleLineAcctgn" xfId="881" xr:uid="{00000000-0005-0000-0000-0000A1030000}"/>
    <cellStyle name="SingleLinePercent" xfId="882" xr:uid="{00000000-0005-0000-0000-0000A2030000}"/>
    <cellStyle name="SOR" xfId="883" xr:uid="{00000000-0005-0000-0000-0000A3030000}"/>
    <cellStyle name="součet" xfId="884" xr:uid="{00000000-0005-0000-0000-0000A4030000}"/>
    <cellStyle name="Source Line" xfId="885" xr:uid="{00000000-0005-0000-0000-0000A5030000}"/>
    <cellStyle name="Sous-Total" xfId="886" xr:uid="{00000000-0005-0000-0000-0000A6030000}"/>
    <cellStyle name="Spaltenkopf" xfId="887" xr:uid="{00000000-0005-0000-0000-0000A7030000}"/>
    <cellStyle name="Spaltenüberschriften" xfId="888" xr:uid="{00000000-0005-0000-0000-0000A8030000}"/>
    <cellStyle name="Style 4" xfId="889" xr:uid="{00000000-0005-0000-0000-0000A9030000}"/>
    <cellStyle name="subhead" xfId="890" xr:uid="{00000000-0005-0000-0000-0000AA030000}"/>
    <cellStyle name="subhead 2" xfId="891" xr:uid="{00000000-0005-0000-0000-0000AB030000}"/>
    <cellStyle name="Subkriterien" xfId="892" xr:uid="{00000000-0005-0000-0000-0000AC030000}"/>
    <cellStyle name="Subtotal" xfId="893" xr:uid="{00000000-0005-0000-0000-0000AD030000}"/>
    <cellStyle name="Summary" xfId="894" xr:uid="{00000000-0005-0000-0000-0000AE030000}"/>
    <cellStyle name="Table Date" xfId="895" xr:uid="{00000000-0005-0000-0000-0000AF030000}"/>
    <cellStyle name="Table dollar" xfId="896" xr:uid="{00000000-0005-0000-0000-0000B0030000}"/>
    <cellStyle name="Table Head" xfId="897" xr:uid="{00000000-0005-0000-0000-0000B1030000}"/>
    <cellStyle name="Table Head Aligned" xfId="898" xr:uid="{00000000-0005-0000-0000-0000B2030000}"/>
    <cellStyle name="Table Head Blue" xfId="899" xr:uid="{00000000-0005-0000-0000-0000B3030000}"/>
    <cellStyle name="Table Head Green" xfId="900" xr:uid="{00000000-0005-0000-0000-0000B4030000}"/>
    <cellStyle name="Table Heading" xfId="901" xr:uid="{00000000-0005-0000-0000-0000B5030000}"/>
    <cellStyle name="Table Number" xfId="902" xr:uid="{00000000-0005-0000-0000-0000B6030000}"/>
    <cellStyle name="Table percentage" xfId="903" xr:uid="{00000000-0005-0000-0000-0000B7030000}"/>
    <cellStyle name="Table Title" xfId="904" xr:uid="{00000000-0005-0000-0000-0000B8030000}"/>
    <cellStyle name="Table Units" xfId="905" xr:uid="{00000000-0005-0000-0000-0000B9030000}"/>
    <cellStyle name="Table_Title" xfId="906" xr:uid="{00000000-0005-0000-0000-0000BA030000}"/>
    <cellStyle name="TableBase" xfId="907" xr:uid="{00000000-0005-0000-0000-0000BB030000}"/>
    <cellStyle name="TableHead" xfId="908" xr:uid="{00000000-0005-0000-0000-0000BC030000}"/>
    <cellStyle name="TableStyleLight1" xfId="909" xr:uid="{00000000-0005-0000-0000-0000BD030000}"/>
    <cellStyle name="td" xfId="910" xr:uid="{00000000-0005-0000-0000-0000BE030000}"/>
    <cellStyle name="Temp" xfId="911" xr:uid="{00000000-0005-0000-0000-0000BF030000}"/>
    <cellStyle name="test" xfId="912" xr:uid="{00000000-0005-0000-0000-0000C0030000}"/>
    <cellStyle name="Testo" xfId="913" xr:uid="{00000000-0005-0000-0000-0000C1030000}"/>
    <cellStyle name="Text" xfId="914" xr:uid="{00000000-0005-0000-0000-0000C2030000}"/>
    <cellStyle name="Text [Bullet]" xfId="915" xr:uid="{00000000-0005-0000-0000-0000C3030000}"/>
    <cellStyle name="Text [Dash]" xfId="916" xr:uid="{00000000-0005-0000-0000-0000C4030000}"/>
    <cellStyle name="Text [Em-Dash]" xfId="917" xr:uid="{00000000-0005-0000-0000-0000C5030000}"/>
    <cellStyle name="Text Indent A" xfId="918" xr:uid="{00000000-0005-0000-0000-0000C6030000}"/>
    <cellStyle name="Text Indent B" xfId="919" xr:uid="{00000000-0005-0000-0000-0000C7030000}"/>
    <cellStyle name="Text Indent B 2" xfId="920" xr:uid="{00000000-0005-0000-0000-0000C8030000}"/>
    <cellStyle name="Text Indent C" xfId="921" xr:uid="{00000000-0005-0000-0000-0000C9030000}"/>
    <cellStyle name="Text Indent C 2" xfId="922" xr:uid="{00000000-0005-0000-0000-0000CA030000}"/>
    <cellStyle name="th" xfId="923" xr:uid="{00000000-0005-0000-0000-0000CB030000}"/>
    <cellStyle name="Theirs" xfId="924" xr:uid="{00000000-0005-0000-0000-0000CC030000}"/>
    <cellStyle name="Time" xfId="925" xr:uid="{00000000-0005-0000-0000-0000CD030000}"/>
    <cellStyle name="Times" xfId="926" xr:uid="{00000000-0005-0000-0000-0000CE030000}"/>
    <cellStyle name="Times [1]" xfId="927" xr:uid="{00000000-0005-0000-0000-0000CF030000}"/>
    <cellStyle name="Times [2]" xfId="928" xr:uid="{00000000-0005-0000-0000-0000D0030000}"/>
    <cellStyle name="Times 12" xfId="929" xr:uid="{00000000-0005-0000-0000-0000D1030000}"/>
    <cellStyle name="title" xfId="930" xr:uid="{00000000-0005-0000-0000-0000D2030000}"/>
    <cellStyle name="title 2" xfId="931" xr:uid="{00000000-0005-0000-0000-0000D3030000}"/>
    <cellStyle name="Title Line" xfId="932" xr:uid="{00000000-0005-0000-0000-0000D4030000}"/>
    <cellStyle name="Title10" xfId="933" xr:uid="{00000000-0005-0000-0000-0000D5030000}"/>
    <cellStyle name="Title2" xfId="934" xr:uid="{00000000-0005-0000-0000-0000D6030000}"/>
    <cellStyle name="Title8" xfId="935" xr:uid="{00000000-0005-0000-0000-0000D7030000}"/>
    <cellStyle name="Title8Left" xfId="936" xr:uid="{00000000-0005-0000-0000-0000D8030000}"/>
    <cellStyle name="Top Row" xfId="937" xr:uid="{00000000-0005-0000-0000-0000D9030000}"/>
    <cellStyle name="TopGrey" xfId="938" xr:uid="{00000000-0005-0000-0000-0000DA030000}"/>
    <cellStyle name="Total 10" xfId="939" xr:uid="{00000000-0005-0000-0000-0000DB030000}"/>
    <cellStyle name="Total 12" xfId="940" xr:uid="{00000000-0005-0000-0000-0000DC030000}"/>
    <cellStyle name="Trend_title1" xfId="941" xr:uid="{00000000-0005-0000-0000-0000DD030000}"/>
    <cellStyle name="Try1" xfId="942" xr:uid="{00000000-0005-0000-0000-0000DE030000}"/>
    <cellStyle name="Tusental (0)_pldt" xfId="943" xr:uid="{00000000-0005-0000-0000-0000DF030000}"/>
    <cellStyle name="Tusental_pldt" xfId="944" xr:uid="{00000000-0005-0000-0000-0000E0030000}"/>
    <cellStyle name="u" xfId="945" xr:uid="{00000000-0005-0000-0000-0000E1030000}"/>
    <cellStyle name="u 2" xfId="946" xr:uid="{00000000-0005-0000-0000-0000E2030000}"/>
    <cellStyle name="Überschrift" xfId="947" xr:uid="{00000000-0005-0000-0000-0000E3030000}"/>
    <cellStyle name="unprotected" xfId="948" xr:uid="{00000000-0005-0000-0000-0000E4030000}"/>
    <cellStyle name="Update" xfId="949" xr:uid="{00000000-0005-0000-0000-0000E5030000}"/>
    <cellStyle name="v0" xfId="950" xr:uid="{00000000-0005-0000-0000-0000E6030000}"/>
    <cellStyle name="Valuta (0)_pldt" xfId="951" xr:uid="{00000000-0005-0000-0000-0000E7030000}"/>
    <cellStyle name="Valuta_pldt" xfId="952" xr:uid="{00000000-0005-0000-0000-0000E8030000}"/>
    <cellStyle name="Vertical" xfId="953" xr:uid="{00000000-0005-0000-0000-0000E9030000}"/>
    <cellStyle name="Walutowy [0]_laroux" xfId="954" xr:uid="{00000000-0005-0000-0000-0000EA030000}"/>
    <cellStyle name="Warning Text" xfId="955" xr:uid="{00000000-0005-0000-0000-0000EB030000}"/>
    <cellStyle name="weekly" xfId="956" xr:uid="{00000000-0005-0000-0000-0000EC030000}"/>
    <cellStyle name="Wert" xfId="957" xr:uid="{00000000-0005-0000-0000-0000ED030000}"/>
    <cellStyle name="WertS" xfId="958" xr:uid="{00000000-0005-0000-0000-0000EE030000}"/>
    <cellStyle name="WhitePattern" xfId="959" xr:uid="{00000000-0005-0000-0000-0000EF030000}"/>
    <cellStyle name="WhitePattern1" xfId="960" xr:uid="{00000000-0005-0000-0000-0000F0030000}"/>
    <cellStyle name="WhiteText" xfId="961" xr:uid="{00000000-0005-0000-0000-0000F1030000}"/>
    <cellStyle name="Year" xfId="962" xr:uid="{00000000-0005-0000-0000-0000F2030000}"/>
    <cellStyle name="Yen" xfId="963" xr:uid="{00000000-0005-0000-0000-0000F3030000}"/>
    <cellStyle name="パーセント_laroux" xfId="964" xr:uid="{00000000-0005-0000-0000-0000F4030000}"/>
    <cellStyle name="ฤธถ [0]_95" xfId="965" xr:uid="{00000000-0005-0000-0000-0000F5030000}"/>
    <cellStyle name="ล๋ศญ [0]_95" xfId="966" xr:uid="{00000000-0005-0000-0000-0000F6030000}"/>
    <cellStyle name="วฅมุ_4ฟ๙ฝวภ๛" xfId="967" xr:uid="{00000000-0005-0000-0000-0000F7030000}"/>
    <cellStyle name="_laroux" xfId="968" xr:uid="{00000000-0005-0000-0000-0000F8030000}"/>
    <cellStyle name="だ[0]_PLDT" xfId="969" xr:uid="{00000000-0005-0000-0000-0000F9030000}"/>
    <cellStyle name="だ_PLDT" xfId="970" xr:uid="{00000000-0005-0000-0000-0000FA030000}"/>
    <cellStyle name="だ_laroux" xfId="971" xr:uid="{00000000-0005-0000-0000-0000FB030000}"/>
    <cellStyle name="百分比" xfId="1" builtinId="5"/>
    <cellStyle name="百分比 10 2 2 4" xfId="972" xr:uid="{00000000-0005-0000-0000-0000FC030000}"/>
    <cellStyle name="百分比 15 2 2" xfId="973" xr:uid="{00000000-0005-0000-0000-0000FD030000}"/>
    <cellStyle name="百分比 2 10" xfId="974" xr:uid="{00000000-0005-0000-0000-0000FE030000}"/>
    <cellStyle name="百分比 2 10 2" xfId="975" xr:uid="{00000000-0005-0000-0000-0000FF030000}"/>
    <cellStyle name="百分比 2 2 6" xfId="976" xr:uid="{00000000-0005-0000-0000-000000040000}"/>
    <cellStyle name="百分比 2 4 2 2 2" xfId="977" xr:uid="{00000000-0005-0000-0000-000001040000}"/>
    <cellStyle name="百分比 35 2" xfId="978" xr:uid="{00000000-0005-0000-0000-000002040000}"/>
    <cellStyle name="捠壿 [0.00]_PRODUCT DETAIL Q1" xfId="979" xr:uid="{00000000-0005-0000-0000-000003040000}"/>
    <cellStyle name="标题 1 10" xfId="980" xr:uid="{00000000-0005-0000-0000-000004040000}"/>
    <cellStyle name="标题 1 14" xfId="981" xr:uid="{00000000-0005-0000-0000-000005040000}"/>
    <cellStyle name="标题 1 2 12 10" xfId="982" xr:uid="{00000000-0005-0000-0000-000006040000}"/>
    <cellStyle name="标题 1 2 15" xfId="983" xr:uid="{00000000-0005-0000-0000-000007040000}"/>
    <cellStyle name="标题 1 2 2" xfId="984" xr:uid="{00000000-0005-0000-0000-000008040000}"/>
    <cellStyle name="标题 1 2 5 2" xfId="985" xr:uid="{00000000-0005-0000-0000-000009040000}"/>
    <cellStyle name="标题 1 85" xfId="986" xr:uid="{00000000-0005-0000-0000-00000A040000}"/>
    <cellStyle name="标题 10" xfId="987" xr:uid="{00000000-0005-0000-0000-00000B040000}"/>
    <cellStyle name="标题 10 2" xfId="988" xr:uid="{00000000-0005-0000-0000-00000C040000}"/>
    <cellStyle name="标题 17" xfId="989" xr:uid="{00000000-0005-0000-0000-00000D040000}"/>
    <cellStyle name="标题 2 10" xfId="990" xr:uid="{00000000-0005-0000-0000-00000E040000}"/>
    <cellStyle name="标题 2 14" xfId="991" xr:uid="{00000000-0005-0000-0000-00000F040000}"/>
    <cellStyle name="标题 2 2 12 10" xfId="992" xr:uid="{00000000-0005-0000-0000-000010040000}"/>
    <cellStyle name="标题 2 2 15" xfId="993" xr:uid="{00000000-0005-0000-0000-000011040000}"/>
    <cellStyle name="标题 2 2 2" xfId="994" xr:uid="{00000000-0005-0000-0000-000012040000}"/>
    <cellStyle name="标题 2 2 5 2" xfId="995" xr:uid="{00000000-0005-0000-0000-000013040000}"/>
    <cellStyle name="标题 2 83" xfId="996" xr:uid="{00000000-0005-0000-0000-000014040000}"/>
    <cellStyle name="标题 3 10" xfId="997" xr:uid="{00000000-0005-0000-0000-000015040000}"/>
    <cellStyle name="标题 3 10 2" xfId="998" xr:uid="{00000000-0005-0000-0000-000016040000}"/>
    <cellStyle name="标题 3 10 3" xfId="999" xr:uid="{00000000-0005-0000-0000-000017040000}"/>
    <cellStyle name="标题 3 12" xfId="1000" xr:uid="{00000000-0005-0000-0000-000018040000}"/>
    <cellStyle name="标题 3 12 10" xfId="1001" xr:uid="{00000000-0005-0000-0000-000019040000}"/>
    <cellStyle name="标题 3 14" xfId="1002" xr:uid="{00000000-0005-0000-0000-00001A040000}"/>
    <cellStyle name="标题 3 2 12 10" xfId="1003" xr:uid="{00000000-0005-0000-0000-00001B040000}"/>
    <cellStyle name="标题 3 2 15" xfId="1004" xr:uid="{00000000-0005-0000-0000-00001C040000}"/>
    <cellStyle name="标题 3 2 2" xfId="1005" xr:uid="{00000000-0005-0000-0000-00001D040000}"/>
    <cellStyle name="标题 3 2 5 2" xfId="1006" xr:uid="{00000000-0005-0000-0000-00001E040000}"/>
    <cellStyle name="标题 3 2 5 2 2" xfId="1007" xr:uid="{00000000-0005-0000-0000-00001F040000}"/>
    <cellStyle name="标题 3 2 5 3" xfId="1008" xr:uid="{00000000-0005-0000-0000-000020040000}"/>
    <cellStyle name="标题 3 2 7 3" xfId="1009" xr:uid="{00000000-0005-0000-0000-000021040000}"/>
    <cellStyle name="标题 3 4 10" xfId="1010" xr:uid="{00000000-0005-0000-0000-000022040000}"/>
    <cellStyle name="标题 3 85" xfId="1011" xr:uid="{00000000-0005-0000-0000-000023040000}"/>
    <cellStyle name="标题 3 86" xfId="1012" xr:uid="{00000000-0005-0000-0000-000024040000}"/>
    <cellStyle name="标题 4 14" xfId="1013" xr:uid="{00000000-0005-0000-0000-000025040000}"/>
    <cellStyle name="标题 4 2 12 10" xfId="1014" xr:uid="{00000000-0005-0000-0000-000026040000}"/>
    <cellStyle name="标题 4 2 15" xfId="1015" xr:uid="{00000000-0005-0000-0000-000027040000}"/>
    <cellStyle name="标题 4 2 2" xfId="1016" xr:uid="{00000000-0005-0000-0000-000028040000}"/>
    <cellStyle name="标题 4 2 5 2" xfId="1017" xr:uid="{00000000-0005-0000-0000-000029040000}"/>
    <cellStyle name="标题 5 12 10" xfId="1018" xr:uid="{00000000-0005-0000-0000-00002A040000}"/>
    <cellStyle name="标题 5 2" xfId="1019" xr:uid="{00000000-0005-0000-0000-00002B040000}"/>
    <cellStyle name="标题 5 5 2" xfId="1020" xr:uid="{00000000-0005-0000-0000-00002C040000}"/>
    <cellStyle name="標準 2" xfId="1021" xr:uid="{00000000-0005-0000-0000-00002D040000}"/>
    <cellStyle name="標準_0428" xfId="1022" xr:uid="{00000000-0005-0000-0000-00002E040000}"/>
    <cellStyle name="表标题" xfId="1023" xr:uid="{00000000-0005-0000-0000-00002F040000}"/>
    <cellStyle name="表标题 2" xfId="1024" xr:uid="{00000000-0005-0000-0000-000030040000}"/>
    <cellStyle name="差 10" xfId="1025" xr:uid="{00000000-0005-0000-0000-000031040000}"/>
    <cellStyle name="差 14" xfId="1026" xr:uid="{00000000-0005-0000-0000-000032040000}"/>
    <cellStyle name="差 2 12 10" xfId="1027" xr:uid="{00000000-0005-0000-0000-000033040000}"/>
    <cellStyle name="差 2 15" xfId="1028" xr:uid="{00000000-0005-0000-0000-000034040000}"/>
    <cellStyle name="差 2 2" xfId="1029" xr:uid="{00000000-0005-0000-0000-000035040000}"/>
    <cellStyle name="差 2 5 2" xfId="1030" xr:uid="{00000000-0005-0000-0000-000036040000}"/>
    <cellStyle name="差 83" xfId="1031" xr:uid="{00000000-0005-0000-0000-000037040000}"/>
    <cellStyle name="差 85" xfId="1032" xr:uid="{00000000-0005-0000-0000-000038040000}"/>
    <cellStyle name="差_041--PA 招标资料（郝洪波）--20100602" xfId="1033" xr:uid="{00000000-0005-0000-0000-000039040000}"/>
    <cellStyle name="差_10存货" xfId="1034" xr:uid="{00000000-0005-0000-0000-00003A040000}"/>
    <cellStyle name="差_10存货 2" xfId="1035" xr:uid="{00000000-0005-0000-0000-00003B040000}"/>
    <cellStyle name="差_1169" xfId="1036" xr:uid="{00000000-0005-0000-0000-00003C040000}"/>
    <cellStyle name="差_12年用户资源和产品资源-汇总20110418家用" xfId="1037" xr:uid="{00000000-0005-0000-0000-00003D040000}"/>
    <cellStyle name="差_188、92技改核算" xfId="1038" xr:uid="{00000000-0005-0000-0000-00003E040000}"/>
    <cellStyle name="差_19-无形资产（空白模板）" xfId="1039" xr:uid="{00000000-0005-0000-0000-00003F040000}"/>
    <cellStyle name="差_3-2 进一步审计程序-采购与付款循环" xfId="1040" xr:uid="{00000000-0005-0000-0000-000040040000}"/>
    <cellStyle name="差_3-2 进一步审计程序-采购与付款循环 2" xfId="1041" xr:uid="{00000000-0005-0000-0000-000041040000}"/>
    <cellStyle name="差_BCD-251W" xfId="1042" xr:uid="{00000000-0005-0000-0000-000042040000}"/>
    <cellStyle name="差_dxn底稿目录" xfId="1043" xr:uid="{00000000-0005-0000-0000-000043040000}"/>
    <cellStyle name="差_dxn底稿目录 2" xfId="1044" xr:uid="{00000000-0005-0000-0000-000044040000}"/>
    <cellStyle name="差_表" xfId="1045" xr:uid="{00000000-0005-0000-0000-000045040000}"/>
    <cellStyle name="差_海尔空调2011冷年占比" xfId="1046" xr:uid="{00000000-0005-0000-0000-000046040000}"/>
    <cellStyle name="差_塑料模具信息预算表-L42F6" xfId="1047" xr:uid="{00000000-0005-0000-0000-000047040000}"/>
    <cellStyle name="常规" xfId="0" builtinId="0"/>
    <cellStyle name="常规 10" xfId="1048" xr:uid="{00000000-0005-0000-0000-000048040000}"/>
    <cellStyle name="常规 10 100" xfId="1049" xr:uid="{00000000-0005-0000-0000-000049040000}"/>
    <cellStyle name="常规 10 105" xfId="1050" xr:uid="{00000000-0005-0000-0000-00004A040000}"/>
    <cellStyle name="常规 10 11 2" xfId="1051" xr:uid="{00000000-0005-0000-0000-00004B040000}"/>
    <cellStyle name="常规 10 2 3" xfId="1052" xr:uid="{00000000-0005-0000-0000-00004C040000}"/>
    <cellStyle name="常规 10 26" xfId="1053" xr:uid="{00000000-0005-0000-0000-00004D040000}"/>
    <cellStyle name="常规 10 3" xfId="1054" xr:uid="{00000000-0005-0000-0000-00004E040000}"/>
    <cellStyle name="常规 101" xfId="1055" xr:uid="{00000000-0005-0000-0000-00004F040000}"/>
    <cellStyle name="常规 11 2" xfId="1056" xr:uid="{00000000-0005-0000-0000-000050040000}"/>
    <cellStyle name="常规 11 22" xfId="1057" xr:uid="{00000000-0005-0000-0000-000051040000}"/>
    <cellStyle name="常规 11 3" xfId="1058" xr:uid="{00000000-0005-0000-0000-000052040000}"/>
    <cellStyle name="常规 12 6 3 2 2 3 2 2 2" xfId="1059" xr:uid="{00000000-0005-0000-0000-000053040000}"/>
    <cellStyle name="常规 126" xfId="1060" xr:uid="{00000000-0005-0000-0000-000054040000}"/>
    <cellStyle name="常规 14 11" xfId="1061" xr:uid="{00000000-0005-0000-0000-000055040000}"/>
    <cellStyle name="常规 168 2" xfId="1062" xr:uid="{00000000-0005-0000-0000-000056040000}"/>
    <cellStyle name="常规 18 2 10" xfId="1063" xr:uid="{00000000-0005-0000-0000-000057040000}"/>
    <cellStyle name="常规 191" xfId="1064" xr:uid="{00000000-0005-0000-0000-000058040000}"/>
    <cellStyle name="常规 2" xfId="1294" xr:uid="{00000000-0005-0000-0000-00003E050000}"/>
    <cellStyle name="常规 2 100" xfId="1065" xr:uid="{00000000-0005-0000-0000-000059040000}"/>
    <cellStyle name="常规 2 113 2" xfId="1066" xr:uid="{00000000-0005-0000-0000-00005A040000}"/>
    <cellStyle name="常规 2 119" xfId="1067" xr:uid="{00000000-0005-0000-0000-00005B040000}"/>
    <cellStyle name="常规 2 12 2 10" xfId="1068" xr:uid="{00000000-0005-0000-0000-00005C040000}"/>
    <cellStyle name="常规 2 16 2 2" xfId="1069" xr:uid="{00000000-0005-0000-0000-00005D040000}"/>
    <cellStyle name="常规 2 2 10 2 22" xfId="1070" xr:uid="{00000000-0005-0000-0000-00005E040000}"/>
    <cellStyle name="常规 2 2 18 2 2" xfId="1071" xr:uid="{00000000-0005-0000-0000-00005F040000}"/>
    <cellStyle name="常规 2 2 2 2 2 2 10" xfId="1072" xr:uid="{00000000-0005-0000-0000-000060040000}"/>
    <cellStyle name="常规 2 2 35" xfId="1073" xr:uid="{00000000-0005-0000-0000-000061040000}"/>
    <cellStyle name="常规 2 2 39" xfId="1074" xr:uid="{00000000-0005-0000-0000-000062040000}"/>
    <cellStyle name="常规 2 2 9 3" xfId="1075" xr:uid="{00000000-0005-0000-0000-000063040000}"/>
    <cellStyle name="常规 2 21" xfId="1076" xr:uid="{00000000-0005-0000-0000-000064040000}"/>
    <cellStyle name="常规 2 21 2" xfId="1077" xr:uid="{00000000-0005-0000-0000-000065040000}"/>
    <cellStyle name="常规 2 21 2 2" xfId="1078" xr:uid="{00000000-0005-0000-0000-000066040000}"/>
    <cellStyle name="常规 2 21 2 2 2" xfId="1079" xr:uid="{00000000-0005-0000-0000-000067040000}"/>
    <cellStyle name="常规 2 21 3" xfId="1080" xr:uid="{00000000-0005-0000-0000-000068040000}"/>
    <cellStyle name="常规 2 3 13" xfId="1081" xr:uid="{00000000-0005-0000-0000-000069040000}"/>
    <cellStyle name="常规 2 47" xfId="1082" xr:uid="{00000000-0005-0000-0000-00006A040000}"/>
    <cellStyle name="常规 21 20 2" xfId="1083" xr:uid="{00000000-0005-0000-0000-00006B040000}"/>
    <cellStyle name="常规 21 6 2 5 16_3节点计划_3" xfId="1084" xr:uid="{00000000-0005-0000-0000-00006C040000}"/>
    <cellStyle name="常规 26 2 7" xfId="1085" xr:uid="{00000000-0005-0000-0000-00006D040000}"/>
    <cellStyle name="常规 26 2 8" xfId="1086" xr:uid="{00000000-0005-0000-0000-00006E040000}"/>
    <cellStyle name="常规 3 2 40" xfId="1087" xr:uid="{00000000-0005-0000-0000-00006F040000}"/>
    <cellStyle name="常规 3 3 10" xfId="1088" xr:uid="{00000000-0005-0000-0000-000070040000}"/>
    <cellStyle name="常规 3 3 30" xfId="1089" xr:uid="{00000000-0005-0000-0000-000071040000}"/>
    <cellStyle name="常规 3 39" xfId="1090" xr:uid="{00000000-0005-0000-0000-000072040000}"/>
    <cellStyle name="常规 4 11 2" xfId="1091" xr:uid="{00000000-0005-0000-0000-000073040000}"/>
    <cellStyle name="常规 4 2 4 2 7 8" xfId="1092" xr:uid="{00000000-0005-0000-0000-000074040000}"/>
    <cellStyle name="常规 4 5 2" xfId="1093" xr:uid="{00000000-0005-0000-0000-000075040000}"/>
    <cellStyle name="常规 49" xfId="1094" xr:uid="{00000000-0005-0000-0000-000076040000}"/>
    <cellStyle name="常规 6 3 18" xfId="1095" xr:uid="{00000000-0005-0000-0000-000077040000}"/>
    <cellStyle name="常规 6 51" xfId="1096" xr:uid="{00000000-0005-0000-0000-000078040000}"/>
    <cellStyle name="常规 8 28" xfId="1097" xr:uid="{00000000-0005-0000-0000-000079040000}"/>
    <cellStyle name="常规 8 3 4 3" xfId="1098" xr:uid="{00000000-0005-0000-0000-00007A040000}"/>
    <cellStyle name="常规 81" xfId="1099" xr:uid="{00000000-0005-0000-0000-00007B040000}"/>
    <cellStyle name="常规 89" xfId="1100" xr:uid="{00000000-0005-0000-0000-00007C040000}"/>
    <cellStyle name="常规 91" xfId="1101" xr:uid="{00000000-0005-0000-0000-00007D040000}"/>
    <cellStyle name="超级链接_综合类底稿表格" xfId="1102" xr:uid="{00000000-0005-0000-0000-00007E040000}"/>
    <cellStyle name="超連結_PERSONAL" xfId="1103" xr:uid="{00000000-0005-0000-0000-00007F040000}"/>
    <cellStyle name="超链接 10" xfId="1104" xr:uid="{00000000-0005-0000-0000-000080040000}"/>
    <cellStyle name="超链接 10 2" xfId="1105" xr:uid="{00000000-0005-0000-0000-000081040000}"/>
    <cellStyle name="超链接 11" xfId="1106" xr:uid="{00000000-0005-0000-0000-000082040000}"/>
    <cellStyle name="超链接 11 2" xfId="1107" xr:uid="{00000000-0005-0000-0000-000083040000}"/>
    <cellStyle name="超链接 11 4" xfId="1108" xr:uid="{00000000-0005-0000-0000-000084040000}"/>
    <cellStyle name="超链接 12" xfId="1109" xr:uid="{00000000-0005-0000-0000-000085040000}"/>
    <cellStyle name="超链接 17" xfId="1110" xr:uid="{00000000-0005-0000-0000-000086040000}"/>
    <cellStyle name="超链接 2 11" xfId="1111" xr:uid="{00000000-0005-0000-0000-000087040000}"/>
    <cellStyle name="超链接 2 2" xfId="1112" xr:uid="{00000000-0005-0000-0000-000088040000}"/>
    <cellStyle name="超链接 2 2 10" xfId="1113" xr:uid="{00000000-0005-0000-0000-000089040000}"/>
    <cellStyle name="超链接 3 6" xfId="1114" xr:uid="{00000000-0005-0000-0000-00008A040000}"/>
    <cellStyle name="好 10" xfId="1115" xr:uid="{00000000-0005-0000-0000-00008B040000}"/>
    <cellStyle name="好 14" xfId="1116" xr:uid="{00000000-0005-0000-0000-00008C040000}"/>
    <cellStyle name="好 2 15" xfId="1117" xr:uid="{00000000-0005-0000-0000-00008D040000}"/>
    <cellStyle name="好 2 5 2" xfId="1118" xr:uid="{00000000-0005-0000-0000-00008E040000}"/>
    <cellStyle name="好_01 应交税金" xfId="1119" xr:uid="{00000000-0005-0000-0000-00008F040000}"/>
    <cellStyle name="好_01 应交税金 2" xfId="1120" xr:uid="{00000000-0005-0000-0000-000090040000}"/>
    <cellStyle name="好_041--PA 招标资料（郝洪波）--20100602" xfId="1121" xr:uid="{00000000-0005-0000-0000-000091040000}"/>
    <cellStyle name="好_1169" xfId="1122" xr:uid="{00000000-0005-0000-0000-000092040000}"/>
    <cellStyle name="好_12年用户资源和产品资源-汇总20110418家用" xfId="1123" xr:uid="{00000000-0005-0000-0000-000093040000}"/>
    <cellStyle name="好_188、92技改核算" xfId="1124" xr:uid="{00000000-0005-0000-0000-000094040000}"/>
    <cellStyle name="好_19-无形资产（空白模板）" xfId="1125" xr:uid="{00000000-0005-0000-0000-000095040000}"/>
    <cellStyle name="好_1财务费用" xfId="1126" xr:uid="{00000000-0005-0000-0000-000096040000}"/>
    <cellStyle name="好_1财务费用 2" xfId="1127" xr:uid="{00000000-0005-0000-0000-000097040000}"/>
    <cellStyle name="好_3-2 进一步审计程序-采购与付款循环" xfId="1128" xr:uid="{00000000-0005-0000-0000-000098040000}"/>
    <cellStyle name="好_3-2 进一步审计程序-采购与付款循环 2" xfId="1129" xr:uid="{00000000-0005-0000-0000-000099040000}"/>
    <cellStyle name="好_BCD-251W" xfId="1130" xr:uid="{00000000-0005-0000-0000-00009A040000}"/>
    <cellStyle name="好_表" xfId="1131" xr:uid="{00000000-0005-0000-0000-00009B040000}"/>
    <cellStyle name="好_大信底稿目录" xfId="1132" xr:uid="{00000000-0005-0000-0000-00009C040000}"/>
    <cellStyle name="好_大信底稿目录 2" xfId="1133" xr:uid="{00000000-0005-0000-0000-00009D040000}"/>
    <cellStyle name="好_海尔空调2011冷年占比" xfId="1134" xr:uid="{00000000-0005-0000-0000-00009E040000}"/>
    <cellStyle name="好_塑料模具信息预算表-L42F6" xfId="1135" xr:uid="{00000000-0005-0000-0000-00009F040000}"/>
    <cellStyle name="桁区切り [0.00]_10年計画ﾌｫｰﾏｯﾄ（G指定）" xfId="1136" xr:uid="{00000000-0005-0000-0000-0000A0040000}"/>
    <cellStyle name="汇总 10" xfId="1137" xr:uid="{00000000-0005-0000-0000-0000A1040000}"/>
    <cellStyle name="汇总 14" xfId="1138" xr:uid="{00000000-0005-0000-0000-0000A2040000}"/>
    <cellStyle name="汇总 2 12 10" xfId="1139" xr:uid="{00000000-0005-0000-0000-0000A3040000}"/>
    <cellStyle name="汇总 2 15" xfId="1140" xr:uid="{00000000-0005-0000-0000-0000A4040000}"/>
    <cellStyle name="汇总 2 2" xfId="1141" xr:uid="{00000000-0005-0000-0000-0000A5040000}"/>
    <cellStyle name="汇总 2 5 2" xfId="1142" xr:uid="{00000000-0005-0000-0000-0000A6040000}"/>
    <cellStyle name="汇总 2 8" xfId="1143" xr:uid="{00000000-0005-0000-0000-0000A7040000}"/>
    <cellStyle name="汇总 85" xfId="1144" xr:uid="{00000000-0005-0000-0000-0000A8040000}"/>
    <cellStyle name="货币 2 2 2" xfId="1145" xr:uid="{00000000-0005-0000-0000-0000A9040000}"/>
    <cellStyle name="货币 2 3" xfId="1146" xr:uid="{00000000-0005-0000-0000-0000AA040000}"/>
    <cellStyle name="貨幣 [0]_Feb Inv" xfId="1147" xr:uid="{00000000-0005-0000-0000-0000AB040000}"/>
    <cellStyle name="貨幣[0]_laroux" xfId="1148" xr:uid="{00000000-0005-0000-0000-0000AC040000}"/>
    <cellStyle name="貨幣_Commercial funnel 17-21  Nov" xfId="1149" xr:uid="{00000000-0005-0000-0000-0000AD040000}"/>
    <cellStyle name="计算 10" xfId="1150" xr:uid="{00000000-0005-0000-0000-0000AE040000}"/>
    <cellStyle name="计算 14" xfId="1151" xr:uid="{00000000-0005-0000-0000-0000AF040000}"/>
    <cellStyle name="计算 2 12 10" xfId="1152" xr:uid="{00000000-0005-0000-0000-0000B0040000}"/>
    <cellStyle name="计算 2 15" xfId="1153" xr:uid="{00000000-0005-0000-0000-0000B1040000}"/>
    <cellStyle name="计算 2 2" xfId="1154" xr:uid="{00000000-0005-0000-0000-0000B2040000}"/>
    <cellStyle name="计算 2 5 2" xfId="1155" xr:uid="{00000000-0005-0000-0000-0000B3040000}"/>
    <cellStyle name="计算 2 8" xfId="1156" xr:uid="{00000000-0005-0000-0000-0000B4040000}"/>
    <cellStyle name="计算 3 4" xfId="1157" xr:uid="{00000000-0005-0000-0000-0000B5040000}"/>
    <cellStyle name="计算 83" xfId="1158" xr:uid="{00000000-0005-0000-0000-0000B6040000}"/>
    <cellStyle name="检查单元格 10" xfId="1159" xr:uid="{00000000-0005-0000-0000-0000B7040000}"/>
    <cellStyle name="检查单元格 14" xfId="1160" xr:uid="{00000000-0005-0000-0000-0000B8040000}"/>
    <cellStyle name="检查单元格 2 12 10" xfId="1161" xr:uid="{00000000-0005-0000-0000-0000B9040000}"/>
    <cellStyle name="检查单元格 2 15" xfId="1162" xr:uid="{00000000-0005-0000-0000-0000BA040000}"/>
    <cellStyle name="检查单元格 2 2" xfId="1163" xr:uid="{00000000-0005-0000-0000-0000BB040000}"/>
    <cellStyle name="检查单元格 2 5 2" xfId="1164" xr:uid="{00000000-0005-0000-0000-0000BC040000}"/>
    <cellStyle name="检查单元格 3 4" xfId="1165" xr:uid="{00000000-0005-0000-0000-0000BD040000}"/>
    <cellStyle name="解释性文本 10" xfId="1166" xr:uid="{00000000-0005-0000-0000-0000BE040000}"/>
    <cellStyle name="解释性文本 14" xfId="1167" xr:uid="{00000000-0005-0000-0000-0000BF040000}"/>
    <cellStyle name="解释性文本 2 12 10" xfId="1168" xr:uid="{00000000-0005-0000-0000-0000C0040000}"/>
    <cellStyle name="解释性文本 2 2" xfId="1169" xr:uid="{00000000-0005-0000-0000-0000C1040000}"/>
    <cellStyle name="解释性文本 2 5 2" xfId="1170" xr:uid="{00000000-0005-0000-0000-0000C2040000}"/>
    <cellStyle name="警告文本 10" xfId="1171" xr:uid="{00000000-0005-0000-0000-0000C3040000}"/>
    <cellStyle name="警告文本 14" xfId="1172" xr:uid="{00000000-0005-0000-0000-0000C4040000}"/>
    <cellStyle name="警告文本 2 12 10" xfId="1173" xr:uid="{00000000-0005-0000-0000-0000C5040000}"/>
    <cellStyle name="警告文本 2 15" xfId="1174" xr:uid="{00000000-0005-0000-0000-0000C6040000}"/>
    <cellStyle name="警告文本 2 2" xfId="1175" xr:uid="{00000000-0005-0000-0000-0000C7040000}"/>
    <cellStyle name="警告文本 2 5 2" xfId="1176" xr:uid="{00000000-0005-0000-0000-0000C8040000}"/>
    <cellStyle name="警告文本 55" xfId="1177" xr:uid="{00000000-0005-0000-0000-0000C9040000}"/>
    <cellStyle name="警告文本 56" xfId="1178" xr:uid="{00000000-0005-0000-0000-0000CA040000}"/>
    <cellStyle name="链接单元格 10" xfId="1179" xr:uid="{00000000-0005-0000-0000-0000CB040000}"/>
    <cellStyle name="链接单元格 14" xfId="1180" xr:uid="{00000000-0005-0000-0000-0000CC040000}"/>
    <cellStyle name="链接单元格 2 12 10" xfId="1181" xr:uid="{00000000-0005-0000-0000-0000CD040000}"/>
    <cellStyle name="链接单元格 2 2" xfId="1182" xr:uid="{00000000-0005-0000-0000-0000CE040000}"/>
    <cellStyle name="链接单元格 2 5 2" xfId="1183" xr:uid="{00000000-0005-0000-0000-0000CF040000}"/>
    <cellStyle name="链接单元格 83" xfId="1184" xr:uid="{00000000-0005-0000-0000-0000D0040000}"/>
    <cellStyle name="霓付 [0]_1202" xfId="1185" xr:uid="{00000000-0005-0000-0000-0000D1040000}"/>
    <cellStyle name="霓付_1202" xfId="1186" xr:uid="{00000000-0005-0000-0000-0000D2040000}"/>
    <cellStyle name="欧" xfId="1187" xr:uid="{00000000-0005-0000-0000-0000D3040000}"/>
    <cellStyle name="똿뗦먛귟 [0.00]_PRODUCT DETAIL Q1" xfId="1188" xr:uid="{00000000-0005-0000-0000-0000D4040000}"/>
    <cellStyle name="烹拳 [0]_1202" xfId="1189" xr:uid="{00000000-0005-0000-0000-0000D5040000}"/>
    <cellStyle name="烹拳_1202" xfId="1190" xr:uid="{00000000-0005-0000-0000-0000D6040000}"/>
    <cellStyle name="砯刽 [0]_PLDT" xfId="1191" xr:uid="{00000000-0005-0000-0000-0000D7040000}"/>
    <cellStyle name="砯刽_PLDT" xfId="1192" xr:uid="{00000000-0005-0000-0000-0000D8040000}"/>
    <cellStyle name="千分位_ 白土" xfId="1193" xr:uid="{00000000-0005-0000-0000-0000D9040000}"/>
    <cellStyle name="千位[0]_1995" xfId="1194" xr:uid="{00000000-0005-0000-0000-0000DA040000}"/>
    <cellStyle name="千位分隔 13 2" xfId="1195" xr:uid="{00000000-0005-0000-0000-0000DB040000}"/>
    <cellStyle name="千位分隔 16" xfId="1196" xr:uid="{00000000-0005-0000-0000-0000DC040000}"/>
    <cellStyle name="千位分隔 2 10" xfId="1197" xr:uid="{00000000-0005-0000-0000-0000DD040000}"/>
    <cellStyle name="千位分隔 2 2 2 2 2" xfId="1198" xr:uid="{00000000-0005-0000-0000-0000DE040000}"/>
    <cellStyle name="千位分隔 3 2 8 7 2" xfId="1199" xr:uid="{00000000-0005-0000-0000-0000DF040000}"/>
    <cellStyle name="千位分隔 4" xfId="1200" xr:uid="{00000000-0005-0000-0000-0000E0040000}"/>
    <cellStyle name="千位分隔 6 2_2012 年包销定制单1208" xfId="1201" xr:uid="{00000000-0005-0000-0000-0000E1040000}"/>
    <cellStyle name="千位分隔 6 3" xfId="1202" xr:uid="{00000000-0005-0000-0000-0000E2040000}"/>
    <cellStyle name="千位分隔 6 3 2" xfId="1203" xr:uid="{00000000-0005-0000-0000-0000E3040000}"/>
    <cellStyle name="千位分隔[0] 2 2" xfId="1204" xr:uid="{00000000-0005-0000-0000-0000E4040000}"/>
    <cellStyle name="千位分隔[0] 2 2 3" xfId="1205" xr:uid="{00000000-0005-0000-0000-0000E5040000}"/>
    <cellStyle name="钎霖_(沥焊何巩)岿喊牢盔拌裙" xfId="1206" xr:uid="{00000000-0005-0000-0000-0000E6040000}"/>
    <cellStyle name="强调 1" xfId="1207" xr:uid="{00000000-0005-0000-0000-0000E7040000}"/>
    <cellStyle name="强调 1 2" xfId="1208" xr:uid="{00000000-0005-0000-0000-0000E8040000}"/>
    <cellStyle name="强调 2" xfId="1209" xr:uid="{00000000-0005-0000-0000-0000E9040000}"/>
    <cellStyle name="强调 2 2" xfId="1210" xr:uid="{00000000-0005-0000-0000-0000EA040000}"/>
    <cellStyle name="强调 3" xfId="1211" xr:uid="{00000000-0005-0000-0000-0000EB040000}"/>
    <cellStyle name="强调 3 2" xfId="1212" xr:uid="{00000000-0005-0000-0000-0000EC040000}"/>
    <cellStyle name="强调文字颜色 1 10" xfId="1213" xr:uid="{00000000-0005-0000-0000-0000ED040000}"/>
    <cellStyle name="强调文字颜色 1 14" xfId="1214" xr:uid="{00000000-0005-0000-0000-0000EE040000}"/>
    <cellStyle name="强调文字颜色 1 2 12 10" xfId="1215" xr:uid="{00000000-0005-0000-0000-0000EF040000}"/>
    <cellStyle name="强调文字颜色 1 2 2" xfId="1216" xr:uid="{00000000-0005-0000-0000-0000F0040000}"/>
    <cellStyle name="强调文字颜色 1 2 5 2" xfId="1217" xr:uid="{00000000-0005-0000-0000-0000F1040000}"/>
    <cellStyle name="强调文字颜色 1 42" xfId="1218" xr:uid="{00000000-0005-0000-0000-0000F2040000}"/>
    <cellStyle name="强调文字颜色 2 10" xfId="1219" xr:uid="{00000000-0005-0000-0000-0000F3040000}"/>
    <cellStyle name="强调文字颜色 2 14" xfId="1220" xr:uid="{00000000-0005-0000-0000-0000F4040000}"/>
    <cellStyle name="强调文字颜色 2 2 12 10" xfId="1221" xr:uid="{00000000-0005-0000-0000-0000F5040000}"/>
    <cellStyle name="强调文字颜色 2 2 2" xfId="1222" xr:uid="{00000000-0005-0000-0000-0000F6040000}"/>
    <cellStyle name="强调文字颜色 2 2 5 2" xfId="1223" xr:uid="{00000000-0005-0000-0000-0000F7040000}"/>
    <cellStyle name="强调文字颜色 2 28" xfId="1224" xr:uid="{00000000-0005-0000-0000-0000F8040000}"/>
    <cellStyle name="强调文字颜色 2 3 4" xfId="1225" xr:uid="{00000000-0005-0000-0000-0000F9040000}"/>
    <cellStyle name="强调文字颜色 3 10" xfId="1226" xr:uid="{00000000-0005-0000-0000-0000FA040000}"/>
    <cellStyle name="强调文字颜色 3 14" xfId="1227" xr:uid="{00000000-0005-0000-0000-0000FB040000}"/>
    <cellStyle name="强调文字颜色 3 2 12 10" xfId="1228" xr:uid="{00000000-0005-0000-0000-0000FC040000}"/>
    <cellStyle name="强调文字颜色 3 2 2" xfId="1229" xr:uid="{00000000-0005-0000-0000-0000FD040000}"/>
    <cellStyle name="强调文字颜色 3 2 5 2" xfId="1230" xr:uid="{00000000-0005-0000-0000-0000FE040000}"/>
    <cellStyle name="强调文字颜色 3 3 4" xfId="1231" xr:uid="{00000000-0005-0000-0000-0000FF040000}"/>
    <cellStyle name="强调文字颜色 4 10" xfId="1232" xr:uid="{00000000-0005-0000-0000-000000050000}"/>
    <cellStyle name="强调文字颜色 4 2 2" xfId="1233" xr:uid="{00000000-0005-0000-0000-000001050000}"/>
    <cellStyle name="强调文字颜色 4 2 5 2" xfId="1234" xr:uid="{00000000-0005-0000-0000-000002050000}"/>
    <cellStyle name="强调文字颜色 4 3 4" xfId="1235" xr:uid="{00000000-0005-0000-0000-000003050000}"/>
    <cellStyle name="强调文字颜色 4 42" xfId="1236" xr:uid="{00000000-0005-0000-0000-000004050000}"/>
    <cellStyle name="强调文字颜色 5 10" xfId="1237" xr:uid="{00000000-0005-0000-0000-000005050000}"/>
    <cellStyle name="强调文字颜色 5 2 2" xfId="1238" xr:uid="{00000000-0005-0000-0000-000006050000}"/>
    <cellStyle name="强调文字颜色 5 2 5 2" xfId="1239" xr:uid="{00000000-0005-0000-0000-000007050000}"/>
    <cellStyle name="强调文字颜色 6 10" xfId="1240" xr:uid="{00000000-0005-0000-0000-000008050000}"/>
    <cellStyle name="强调文字颜色 6 18" xfId="1241" xr:uid="{00000000-0005-0000-0000-000009050000}"/>
    <cellStyle name="强调文字颜色 6 2 12 10" xfId="1242" xr:uid="{00000000-0005-0000-0000-00000A050000}"/>
    <cellStyle name="强调文字颜色 6 2 2" xfId="1243" xr:uid="{00000000-0005-0000-0000-00000B050000}"/>
    <cellStyle name="强调文字颜色 6 2 5 2" xfId="1244" xr:uid="{00000000-0005-0000-0000-00000C050000}"/>
    <cellStyle name="强调文字颜色 6 3 4" xfId="1245" xr:uid="{00000000-0005-0000-0000-00000D050000}"/>
    <cellStyle name="适中 10" xfId="1246" xr:uid="{00000000-0005-0000-0000-00000E050000}"/>
    <cellStyle name="适中 14" xfId="1247" xr:uid="{00000000-0005-0000-0000-00000F050000}"/>
    <cellStyle name="适中 2 12 10" xfId="1248" xr:uid="{00000000-0005-0000-0000-000010050000}"/>
    <cellStyle name="适中 2 2" xfId="1249" xr:uid="{00000000-0005-0000-0000-000011050000}"/>
    <cellStyle name="适中 2 5 2" xfId="1250" xr:uid="{00000000-0005-0000-0000-000012050000}"/>
    <cellStyle name="输出 10" xfId="1251" xr:uid="{00000000-0005-0000-0000-000013050000}"/>
    <cellStyle name="输出 14" xfId="1252" xr:uid="{00000000-0005-0000-0000-000014050000}"/>
    <cellStyle name="输出 2 12 10" xfId="1253" xr:uid="{00000000-0005-0000-0000-000015050000}"/>
    <cellStyle name="输出 2 2" xfId="1254" xr:uid="{00000000-0005-0000-0000-000016050000}"/>
    <cellStyle name="输出 2 5 2" xfId="1255" xr:uid="{00000000-0005-0000-0000-000017050000}"/>
    <cellStyle name="输出 2 8" xfId="1256" xr:uid="{00000000-0005-0000-0000-000018050000}"/>
    <cellStyle name="输出 3 4" xfId="1257" xr:uid="{00000000-0005-0000-0000-000019050000}"/>
    <cellStyle name="输出 42" xfId="1258" xr:uid="{00000000-0005-0000-0000-00001A050000}"/>
    <cellStyle name="输入 10" xfId="1259" xr:uid="{00000000-0005-0000-0000-00001B050000}"/>
    <cellStyle name="输入 14" xfId="1260" xr:uid="{00000000-0005-0000-0000-00001C050000}"/>
    <cellStyle name="输入 2 12 10" xfId="1261" xr:uid="{00000000-0005-0000-0000-00001D050000}"/>
    <cellStyle name="输入 2 2" xfId="1262" xr:uid="{00000000-0005-0000-0000-00001E050000}"/>
    <cellStyle name="输入 2 5 2" xfId="1263" xr:uid="{00000000-0005-0000-0000-00001F050000}"/>
    <cellStyle name="输入 2 6 3" xfId="1264" xr:uid="{00000000-0005-0000-0000-000020050000}"/>
    <cellStyle name="输入 2 8" xfId="1265" xr:uid="{00000000-0005-0000-0000-000021050000}"/>
    <cellStyle name="通貨_１１月価格表" xfId="1266" xr:uid="{00000000-0005-0000-0000-000022050000}"/>
    <cellStyle name="㼿" xfId="1267" xr:uid="{00000000-0005-0000-0000-000023050000}"/>
    <cellStyle name="㼿 2" xfId="1268" xr:uid="{00000000-0005-0000-0000-000024050000}"/>
    <cellStyle name="㼿㼿㼿㼿 2" xfId="1269" xr:uid="{00000000-0005-0000-0000-000025050000}"/>
    <cellStyle name="㼿㼿㼿㼿 2 2" xfId="1270" xr:uid="{00000000-0005-0000-0000-000026050000}"/>
    <cellStyle name="㼿㼿㼿㼿 3" xfId="1271" xr:uid="{00000000-0005-0000-0000-000027050000}"/>
    <cellStyle name="㼿㼿㼿㼿㼿㼿㼿 2" xfId="1272" xr:uid="{00000000-0005-0000-0000-000028050000}"/>
    <cellStyle name="未定義" xfId="1273" xr:uid="{00000000-0005-0000-0000-000029050000}"/>
    <cellStyle name="样式 1 2 38" xfId="1274" xr:uid="{00000000-0005-0000-0000-00002A050000}"/>
    <cellStyle name="样式 1 2 39" xfId="1275" xr:uid="{00000000-0005-0000-0000-00002B050000}"/>
    <cellStyle name="믅됞 [0.00]_PRODUCT DETAIL Q1" xfId="1276" xr:uid="{00000000-0005-0000-0000-00002C050000}"/>
    <cellStyle name="昗弨_BOOKSHIP" xfId="1277" xr:uid="{00000000-0005-0000-0000-00002D050000}"/>
    <cellStyle name="寘嬫愗傝 [0.00]_PRODUCT DETAIL Q1" xfId="1278" xr:uid="{00000000-0005-0000-0000-00002E050000}"/>
    <cellStyle name="寘嬫愗傝_PRODUCT DETAIL Q1" xfId="1279" xr:uid="{00000000-0005-0000-0000-00002F050000}"/>
    <cellStyle name="注释 10 2" xfId="1280" xr:uid="{00000000-0005-0000-0000-000030050000}"/>
    <cellStyle name="注释 2 10" xfId="1281" xr:uid="{00000000-0005-0000-0000-000031050000}"/>
    <cellStyle name="注释 2 12 10" xfId="1282" xr:uid="{00000000-0005-0000-0000-000032050000}"/>
    <cellStyle name="注释 2 2 5 2" xfId="1283" xr:uid="{00000000-0005-0000-0000-000033050000}"/>
    <cellStyle name="注释 2 3" xfId="1284" xr:uid="{00000000-0005-0000-0000-000034050000}"/>
    <cellStyle name="注释 2 7 2 2" xfId="1285" xr:uid="{00000000-0005-0000-0000-000035050000}"/>
    <cellStyle name="注释 2 8" xfId="1286" xr:uid="{00000000-0005-0000-0000-000036050000}"/>
    <cellStyle name="资产" xfId="1287" xr:uid="{00000000-0005-0000-0000-000037050000}"/>
    <cellStyle name="뷭?_BOOKSHIP" xfId="1288" xr:uid="{00000000-0005-0000-0000-000038050000}"/>
    <cellStyle name="쉼표_Korea Acct-1126" xfId="1289" xr:uid="{00000000-0005-0000-0000-000039050000}"/>
    <cellStyle name="콤마 [0]_ 2팀층별 " xfId="1290" xr:uid="{00000000-0005-0000-0000-00003A050000}"/>
    <cellStyle name="콤마_ 2팀층별 " xfId="1291" xr:uid="{00000000-0005-0000-0000-00003B050000}"/>
    <cellStyle name="통화 [0]_BOILER-CO1" xfId="1292" xr:uid="{00000000-0005-0000-0000-00003C050000}"/>
    <cellStyle name="표준_0N-HANDLING " xfId="1293" xr:uid="{00000000-0005-0000-0000-00003D050000}"/>
  </cellStyles>
  <dxfs count="3">
    <dxf>
      <font>
        <b/>
        <i val="0"/>
      </font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</dxfs>
  <tableStyles count="1" defaultTableStyle="TableStyleMedium2" defaultPivotStyle="PivotStyleMedium9">
    <tableStyle name="表样式 3" pivot="0" count="1" xr9:uid="{F09EB101-83B2-491C-928D-765AC3B49221}">
      <tableStyleElement type="firstRowStripe" dxfId="2"/>
    </tableStyle>
  </tableStyles>
  <colors>
    <mruColors>
      <color rgb="FFFFC000"/>
      <color rgb="FF92D05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0.xml"/><Relationship Id="rId21" Type="http://schemas.openxmlformats.org/officeDocument/2006/relationships/externalLink" Target="externalLinks/externalLink12.xml"/><Relationship Id="rId34" Type="http://schemas.openxmlformats.org/officeDocument/2006/relationships/externalLink" Target="externalLinks/externalLink25.xml"/><Relationship Id="rId42" Type="http://schemas.openxmlformats.org/officeDocument/2006/relationships/externalLink" Target="externalLinks/externalLink33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9" Type="http://schemas.openxmlformats.org/officeDocument/2006/relationships/externalLink" Target="externalLinks/externalLink20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externalLink" Target="externalLinks/externalLink23.xml"/><Relationship Id="rId37" Type="http://schemas.openxmlformats.org/officeDocument/2006/relationships/externalLink" Target="externalLinks/externalLink28.xml"/><Relationship Id="rId40" Type="http://schemas.openxmlformats.org/officeDocument/2006/relationships/externalLink" Target="externalLinks/externalLink31.xml"/><Relationship Id="rId45" Type="http://schemas.openxmlformats.org/officeDocument/2006/relationships/externalLink" Target="externalLinks/externalLink3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externalLink" Target="externalLinks/externalLink27.xml"/><Relationship Id="rId49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externalLink" Target="externalLinks/externalLink22.xml"/><Relationship Id="rId44" Type="http://schemas.openxmlformats.org/officeDocument/2006/relationships/externalLink" Target="externalLinks/externalLink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35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34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24.xml"/><Relationship Id="rId38" Type="http://schemas.openxmlformats.org/officeDocument/2006/relationships/externalLink" Target="externalLinks/externalLink29.xml"/><Relationship Id="rId46" Type="http://schemas.openxmlformats.org/officeDocument/2006/relationships/externalLink" Target="externalLinks/externalLink37.xml"/><Relationship Id="rId20" Type="http://schemas.openxmlformats.org/officeDocument/2006/relationships/externalLink" Target="externalLinks/externalLink11.xml"/><Relationship Id="rId41" Type="http://schemas.openxmlformats.org/officeDocument/2006/relationships/externalLink" Target="externalLinks/externalLink3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7</xdr:row>
      <xdr:rowOff>155258</xdr:rowOff>
    </xdr:from>
    <xdr:to>
      <xdr:col>8</xdr:col>
      <xdr:colOff>815340</xdr:colOff>
      <xdr:row>10</xdr:row>
      <xdr:rowOff>525780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610" y="1747520"/>
          <a:ext cx="7357110" cy="1971040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11</xdr:row>
      <xdr:rowOff>350520</xdr:rowOff>
    </xdr:from>
    <xdr:to>
      <xdr:col>7</xdr:col>
      <xdr:colOff>464820</xdr:colOff>
      <xdr:row>15</xdr:row>
      <xdr:rowOff>518160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" y="4076700"/>
          <a:ext cx="6027420" cy="23012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CF4E7E\Orders%20by%20Product%20Line_Jun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2823;&#30424;2021\&#26032;&#22823;&#30424;\Users\01042064\Downloads\Users\01042064\Downloads\D\FY06\flash\Dec%20flash\TSG.AP.OvH.Flash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2823;&#30424;2021\&#26032;&#22823;&#30424;\Users\01042064\Downloads\Users\01042064\Downloads\Work\e_drive\Work\New%20System\monthly%20data\bizdat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2823;&#30424;2021\&#26032;&#22823;&#30424;\Users\01042064\Downloads\Users\01042064\Downloads\FCBU\Groups\GLOBEL\FY00\Matrix\WD3\Oct\3wdoc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berard\Application%20Data\eRoom\eRoom%20Client\V5\Attachments\%7b42FB3886-DAE5-424B-BFB9-856ADE04F7C5%7d\0_113c0\Orders%20by%20Product%20Line_Jun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kalu\comune\Michele\Romania\Tender_official\Stock%20(version%202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\FY06\flash\Dec%20flash\TSG.AP.OvH.Flash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ork\e_drive\Work\New%20System\monthly%20data\bizdat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SD\F%20&amp;%20A\Financial%20Reporting\Gioni\DATA\Orders\FY01\ESSO%20Order%20Report\Order%20Report%20-%20FY01%20templat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berard\Application%20Data\eRoom\eRoom%20Client\V5\Attachments\%7b42FB3886-DAE5-424B-BFB9-856ADE04F7C5%7d\0_113c0\BCO%20Lead%20orders%20for%20ITS%20De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lnt024\efp\Aspire\AprFY02\P&amp;L%20Submissions\3-29\3-29%20Q202%20Update%20for%20ASPIR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Reporting\MEC\MayClose\WD5.2\DvA-Gen-Model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iders.ptp.hp.com\hpsgroupfinance\Reporting\TSGModels\DvA\TSG-DvA-Gen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inance\Order\Funnel\WW%20funnel_Dec%20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carrod2\Local%20Settings\Temporary%20Internet%20Files\OLK9\HPC%20Reporting%20Package%20-Sep02%20-Fina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\MS\excel\TSG%20Reporting\GBU_Region%20Reports\Dec%20Retrieval%20(Consolidated%20all%20months)\PL%20Compares%20w%20Flash%20BC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InternalFY03\Hr&amp;wd\Reporting\OctClose\Q4Repor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FY97_PL\MCS_Q197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pai2\My%20Documents\TSG%20Reporting\DvA%20Flash%20-%20Jul\ESS.GBU.DvA.Flash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MP\CURRQ4V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SBU\esso\TEMP\malfun99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C%20OPS%20Controllership\Finance\Monthly%20Close\May%20FY00\Orders%20by%20Product%20Line_Ma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01024324\LOCALS~1\Temp\notes896CC5\2010E2E&#39044;&#31639;&#27169;&#26495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iders\HPSGroupFinance\InternalFY01\Reporting\HighVisibility\FinancialSummary\FY01_HPS_Reporting_Tool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u529532\Local%20Settings\Temporary%20Internet%20Files\OLKA\IncentiveCostModel_V08280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C%20OPS%20Controllership\Finance\Monthly%20Close\Aug%20FY00\Orders%20by%20Product%20Line_AugustFY0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iders\DEPT\EC%20OPS%20Controllership\Finance\Monthly%20Close\Nov%20FY00\NovOrdersFY00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rders%20by%20Product%20Line_OctFY00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iders.ptp.hp.com\hpsgroupfinance\InternalFY04\Reporting\Various\Businessss_Reviews-Model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iders\DEPT\SSG%20Controller\Dept%20Wide%20Files\MNTHCLOS\COMET\97SLIDES\Slide98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MP\WINDOWS\TEMP\Bus%20Model%20Scenarios_2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PACC96~1\LOCALS~1\Temp\zcg\&#26376;&#24230;&#20107;&#19994;&#37096;&#19978;&#20256;&#25991;&#20214;\2004\04&#24180;2&#26376;\Raw%20Materials%20(Valuation).V3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NT\Profiles\ssnyder\Temporary%20Internet%20Files\OLK10\3-29%20ASPIRE%20Conso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CBU\Groups\GLOBEL\FY00\Matrix\WD3\Oct\3wdoct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WeChat%20Files\zhangyan295632573_\FileStorage\File\2019-04\&#27169;&#20855;&#36164;&#20135;&#30424;&#28857;&#34920;%20MPIM&#31995;&#32479;7&#26376;20&#21495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XCW0002\&#20998;&#26512;\&#35774;&#22791;\&#21407;&#22987;\814\13%20&#38081;&#36335;&#37197;&#20214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7169;&#22359;&#21830;&#36164;&#28304;&#32593;\&#25307;&#26631;\2015&#24180;&#25307;&#26631;\&#26032;&#21697;&#25307;&#26631;&#21488;&#24080;\&#20912;&#20919;&#27880;&#22609;&#26032;&#21697;&#25307;&#26631;&#25511;&#21046;&#21488;&#24080;_20151027_&#20309;&#22312;&#3339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HP_PL-MTD"/>
      <sheetName val="HP_PL-QTD"/>
      <sheetName val="HP_PL-YTD"/>
      <sheetName val="BCO_PL-MTD"/>
      <sheetName val="BCO_PL-QTD"/>
      <sheetName val="BCO_PL-YTD"/>
      <sheetName val="PLBCO"/>
      <sheetName val="PLALL"/>
      <sheetName val="一级表"/>
      <sheetName val="2.1-固定资产折旧预算表-说明"/>
      <sheetName val="成本测算 (改)"/>
      <sheetName val="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iginal Instructions"/>
      <sheetName val="Instructions"/>
      <sheetName val="Report Index"/>
      <sheetName val="Criteria"/>
      <sheetName val="Tables"/>
      <sheetName val="TSG"/>
      <sheetName val="ESS"/>
      <sheetName val="ISS"/>
      <sheetName val="SWD"/>
      <sheetName val="BCS"/>
      <sheetName val="OESS"/>
      <sheetName val="SGBU"/>
      <sheetName val="HPS"/>
      <sheetName val="TS"/>
      <sheetName val="MS"/>
      <sheetName val="C&amp;I"/>
      <sheetName val="OSS"/>
      <sheetName val="PLALL"/>
      <sheetName val="Total Financials"/>
      <sheetName val="Raw materi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2)"/>
      <sheetName val="Sheet1"/>
      <sheetName val="wd3 Comet Data Pull ud (3)"/>
      <sheetName val="wd3 Comet Data Pull ud (2)"/>
      <sheetName val="wd3 Comet Data Pull ud"/>
      <sheetName val="wd4 Comet Data Pull ud (3)"/>
      <sheetName val="wd4 Comet Data Pull ud (2)"/>
      <sheetName val="wd4 Comet Data Pull ud"/>
      <sheetName val="wd5 Comet Data Pull ud (2)"/>
      <sheetName val="wd5 Comet Data Pull ud"/>
      <sheetName val="Sheet2"/>
      <sheetName val="wd6 Comet Data Pull ud (2)"/>
      <sheetName val="wd6 Comet Data Pull ud"/>
      <sheetName val="act"/>
      <sheetName val="dtables"/>
      <sheetName val="IS_1"/>
      <sheetName val="tables"/>
      <sheetName val="orig Comet Data Pull ud"/>
      <sheetName val="PLALL"/>
      <sheetName val="Total Financials"/>
      <sheetName val="Comet Q202 Fla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Financials"/>
      <sheetName val="Q4 Est. vs. Flash"/>
      <sheetName val="Narr"/>
      <sheetName val="Otter Exps"/>
      <sheetName val="3wdoct"/>
      <sheetName val="Restate"/>
      <sheetName val="PLALL2"/>
      <sheetName val="Tables"/>
      <sheetName val="MP2006 data"/>
      <sheetName val="PLA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HP_PL-MTD"/>
      <sheetName val="HP_PL-QTD"/>
      <sheetName val="HP_PL-YTD"/>
      <sheetName val="BCO_PL-MTD"/>
      <sheetName val="BCO_PL-QTD"/>
      <sheetName val="BCO_PL-YTD"/>
      <sheetName val="PLBCO"/>
      <sheetName val="PLALL"/>
      <sheetName val="一级表"/>
      <sheetName val="2.1-固定资产折旧预算表-说明"/>
      <sheetName val="请勿删除"/>
      <sheetName val="Q4 CURRENCY"/>
      <sheetName val="INPUT - Data Table"/>
      <sheetName val="Instructions"/>
      <sheetName val="Total Financials"/>
      <sheetName val="2019年发生未支付"/>
      <sheetName val="通貨一覧"/>
      <sheetName val="基础数据"/>
      <sheetName val="Tables"/>
      <sheetName val="MP2006 data"/>
      <sheetName val="FY01 Actuals"/>
      <sheetName val="FY00 Restated"/>
      <sheetName val="FY01 Qu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P2006 data"/>
      <sheetName val="Stock"/>
      <sheetName val="Sheet1 (2)"/>
      <sheetName val="01"/>
      <sheetName val="02"/>
      <sheetName val="03"/>
      <sheetName val="Gamma "/>
      <sheetName val="Ranges Pallets"/>
      <sheetName val="Audit"/>
      <sheetName val="Attachment-4(2)"/>
      <sheetName val="Av.Measures"/>
      <sheetName val="Sheet1"/>
      <sheetName val="Data"/>
      <sheetName val="Sheet2"/>
      <sheetName val="Electric reading"/>
      <sheetName val="Utility"/>
      <sheetName val="Summary"/>
      <sheetName val="FY02"/>
      <sheetName val="PU FOAM"/>
      <sheetName val="FINAL LINE"/>
      <sheetName val="MP2006_data"/>
      <sheetName val="Sheet1_(2)"/>
      <sheetName val="Gamma_"/>
      <sheetName val="Ranges_Pallets"/>
      <sheetName val="Av_Measures"/>
      <sheetName val="Electric_reading"/>
      <sheetName val="Day Wise"/>
      <sheetName val="TOTAL"/>
      <sheetName val="序列"/>
      <sheetName val="Sheet3"/>
      <sheetName val="Config"/>
      <sheetName val="tables"/>
      <sheetName val="Total Financials"/>
      <sheetName val="MBB BANK-OCT"/>
      <sheetName val="Hidden"/>
      <sheetName val="Panel"/>
      <sheetName val="综合成本分析01.01-0205"/>
      <sheetName val="149-2"/>
      <sheetName val="原始数据"/>
      <sheetName val="上报资产负债表"/>
      <sheetName val="现金流量表（月报）"/>
      <sheetName val="PLALL"/>
      <sheetName val="KEYDATA"/>
      <sheetName val="INPUT - Data Table"/>
      <sheetName val="Instructions"/>
      <sheetName val="dec05 pl"/>
      <sheetName val="Input FX Rates"/>
      <sheetName val="Input Dates"/>
      <sheetName val="MP2006_data1"/>
      <sheetName val="Sheet1_(2)1"/>
      <sheetName val="Gamma_1"/>
      <sheetName val="Ranges_Pallets1"/>
      <sheetName val="Av_Measures1"/>
      <sheetName val="Electric_reading1"/>
      <sheetName val="综合成本分析01_01-0205"/>
      <sheetName val="Day_Wise"/>
      <sheetName val="PU_FOAM"/>
      <sheetName val="FINAL_LINE"/>
      <sheetName val="FY01 Actuals"/>
      <sheetName val="FY00 Restated"/>
      <sheetName val="FY01 Quota"/>
      <sheetName val="MP2006_data2"/>
      <sheetName val="Sheet1_(2)2"/>
      <sheetName val="Gamma_2"/>
      <sheetName val="Ranges_Pallets2"/>
      <sheetName val="Av_Measures2"/>
      <sheetName val="Electric_reading2"/>
      <sheetName val="综合成本分析01_01-02051"/>
      <sheetName val="Day_Wise1"/>
      <sheetName val="PU_FOAM1"/>
      <sheetName val="FINAL_LINE1"/>
      <sheetName val="Total_Financials"/>
      <sheetName val="MBB_BANK-OCT"/>
      <sheetName val="GIAVLIEU"/>
      <sheetName val="LKVL-CK-HT-GD1"/>
      <sheetName val="4S"/>
      <sheetName val="Pull HP Wide"/>
      <sheetName val="Pull All SF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iginal Instructions"/>
      <sheetName val="Instructions"/>
      <sheetName val="Report Index"/>
      <sheetName val="Criteria"/>
      <sheetName val="Tables"/>
      <sheetName val="TSG"/>
      <sheetName val="ESS"/>
      <sheetName val="ISS"/>
      <sheetName val="SWD"/>
      <sheetName val="BCS"/>
      <sheetName val="OESS"/>
      <sheetName val="SGBU"/>
      <sheetName val="HPS"/>
      <sheetName val="TS"/>
      <sheetName val="MS"/>
      <sheetName val="C&amp;I"/>
      <sheetName val="OSS"/>
      <sheetName val="PLALL"/>
      <sheetName val="公司"/>
      <sheetName val="工厂"/>
      <sheetName val="经营体"/>
      <sheetName val="供应商"/>
      <sheetName val="Original_Instructions"/>
      <sheetName val="Report_Index"/>
      <sheetName val="Input FX Rates"/>
      <sheetName val="Input Dates"/>
      <sheetName val="Hidden"/>
      <sheetName val="Panel"/>
      <sheetName val="上报资产负债表"/>
      <sheetName val="上报损益表"/>
      <sheetName val="现金流量表（月报）"/>
      <sheetName val="补充表"/>
      <sheetName val="通貨一覧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TSG.AP.OvH.Flash"/>
      <sheetName val="FY01 Actuals"/>
      <sheetName val="FY00 Restated"/>
      <sheetName val="FY01 Quota"/>
      <sheetName val="Total Financials"/>
      <sheetName val="Comet ASPIRE"/>
      <sheetName val="Comet Sequential"/>
      <sheetName val="Comet yo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2)"/>
      <sheetName val="Sheet1"/>
      <sheetName val="wd3 Comet Data Pull ud (3)"/>
      <sheetName val="wd3 Comet Data Pull ud (2)"/>
      <sheetName val="wd3 Comet Data Pull ud"/>
      <sheetName val="wd4 Comet Data Pull ud (3)"/>
      <sheetName val="wd4 Comet Data Pull ud (2)"/>
      <sheetName val="wd4 Comet Data Pull ud"/>
      <sheetName val="wd5 Comet Data Pull ud (2)"/>
      <sheetName val="wd5 Comet Data Pull ud"/>
      <sheetName val="Sheet2"/>
      <sheetName val="wd6 Comet Data Pull ud (2)"/>
      <sheetName val="wd6 Comet Data Pull ud"/>
      <sheetName val="act"/>
      <sheetName val="dtables"/>
      <sheetName val="IS_1"/>
      <sheetName val="tables"/>
      <sheetName val="orig Comet Data Pull ud"/>
      <sheetName val="DIO"/>
      <sheetName val="fy03coststructure"/>
      <sheetName val="Sheet1_(2)"/>
      <sheetName val="wd3_Comet_Data_Pull_ud_(3)"/>
      <sheetName val="wd3_Comet_Data_Pull_ud_(2)"/>
      <sheetName val="wd3_Comet_Data_Pull_ud"/>
      <sheetName val="wd4_Comet_Data_Pull_ud_(3)"/>
      <sheetName val="wd4_Comet_Data_Pull_ud_(2)"/>
      <sheetName val="wd4_Comet_Data_Pull_ud"/>
      <sheetName val="wd5_Comet_Data_Pull_ud_(2)"/>
      <sheetName val="wd5_Comet_Data_Pull_ud"/>
      <sheetName val="wd6_Comet_Data_Pull_ud_(2)"/>
      <sheetName val="wd6_Comet_Data_Pull_ud"/>
      <sheetName val="orig_Comet_Data_Pull_ud"/>
      <sheetName val="Cost Saving  (24)"/>
      <sheetName val="FF-3"/>
      <sheetName val="业务类型"/>
      <sheetName val="Quantum PO Std"/>
      <sheetName val="Leap PO Std."/>
      <sheetName val="Pull HP Wide"/>
      <sheetName val="Pull All SFs"/>
      <sheetName val="FY01 Actuals"/>
      <sheetName val="FY00 Restated"/>
      <sheetName val="FY01 Quota"/>
      <sheetName val="PLALL"/>
      <sheetName val="APJSum"/>
      <sheetName val="AmeSum"/>
      <sheetName val="EMEASum"/>
      <sheetName val="HPCoSum"/>
      <sheetName val="OGSum"/>
      <sheetName val="WW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Y00 Restated"/>
      <sheetName val="FY01 Quota"/>
      <sheetName val="FY01 Actuals"/>
      <sheetName val="tables"/>
      <sheetName val="DIO"/>
      <sheetName val="FY00_Restated"/>
      <sheetName val="FY01_Quota"/>
      <sheetName val="FY01_Actuals"/>
      <sheetName val="ClinkSona"/>
      <sheetName val="Sheet1"/>
      <sheetName val="INPUT - Data Table"/>
      <sheetName val="Instructions"/>
      <sheetName val="SPP current as of 1-3-01"/>
      <sheetName val="MP2006 data"/>
      <sheetName val="Comet ASPIRE"/>
      <sheetName val="Comet Sequential"/>
      <sheetName val="Comet yoy"/>
      <sheetName val="Pull HP Wide"/>
      <sheetName val="Pull All SFs"/>
      <sheetName val="Ame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TS"/>
      <sheetName val="Pull HP Wide"/>
      <sheetName val="Pull All SFs"/>
      <sheetName val="PLALL2"/>
      <sheetName val="CountryAll"/>
      <sheetName val="Total Financials"/>
      <sheetName val="Pull_HP_Wide"/>
      <sheetName val="Pull_All_SFs"/>
      <sheetName val="tables"/>
      <sheetName val="LOV"/>
      <sheetName val="APJSum"/>
      <sheetName val="AmeSum"/>
      <sheetName val="EMEASum"/>
      <sheetName val="HPCoSum"/>
      <sheetName val="OGSum"/>
      <sheetName val="WWSum"/>
      <sheetName val="Comet ASPIRE"/>
      <sheetName val="Comet Sequential"/>
      <sheetName val="Comet yo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ard Slide "/>
      <sheetName val="Flash Export Only"/>
      <sheetName val="Navigation &amp; Assumptions"/>
      <sheetName val="Flash Template"/>
      <sheetName val="CF Summary"/>
      <sheetName val="PG Summary"/>
      <sheetName val="HPCO  GAAP"/>
      <sheetName val="HPCO  Pro Forma"/>
      <sheetName val="Monthly Trend"/>
      <sheetName val="Monthly OpEx Detail"/>
      <sheetName val="CF ASPIRE compare"/>
      <sheetName val="CF yoy Compare"/>
      <sheetName val="CF Sequential Compare"/>
      <sheetName val="CF Implied Month 3 $"/>
      <sheetName val="CF Implied Month 3 % of Flash"/>
      <sheetName val="PG ASPIRE Compare"/>
      <sheetName val="PG yoy Compare"/>
      <sheetName val="PG Sequential Compare"/>
      <sheetName val="PG Implied Month 3 $"/>
      <sheetName val="PG Implied Month 3 % of Flash"/>
      <sheetName val="CF ASPIRE Comp by PC"/>
      <sheetName val="CF yoy Comp by PC"/>
      <sheetName val="CF Seq Comp by PC"/>
      <sheetName val="CF Implied M3 by PC $"/>
      <sheetName val="CF Implied M3 by PC % Flash"/>
      <sheetName val="PG ASPIRE Comp by PC"/>
      <sheetName val="PG yoy Comp by PC"/>
      <sheetName val="PG Seq Comp by PC"/>
      <sheetName val="PG Implied M3 by PC $"/>
      <sheetName val="PG Implied M3 by PC % Flash"/>
      <sheetName val="Comet ASPIRE"/>
      <sheetName val="Comet yoy"/>
      <sheetName val="Comet Sequential"/>
      <sheetName val="Comet Implied M3 (QTD)"/>
      <sheetName val="Month 1"/>
      <sheetName val="Month 2"/>
      <sheetName val="Extr. Gain Table"/>
      <sheetName val="CheckWorksheets"/>
      <sheetName val="HP yoy GAAP"/>
      <sheetName val="CometpullAspCFck"/>
      <sheetName val="CometpullYoYCFck"/>
      <sheetName val="CometpullSeqCFck"/>
      <sheetName val="CometpullAspPGck"/>
      <sheetName val="CometpullYoYPGck"/>
      <sheetName val="CometpullSeqPGck"/>
      <sheetName val="FlashPGck"/>
      <sheetName val="FlashCFck"/>
      <sheetName val="P&amp;LDataPts"/>
      <sheetName val="科目余额"/>
      <sheetName val="master"/>
      <sheetName val="面积指标"/>
      <sheetName val="Raw materials"/>
      <sheetName val="Summary"/>
      <sheetName val="Safety _ P_A"/>
      <sheetName val="Top Lvl  Logic"/>
      <sheetName val="Total Financials"/>
      <sheetName val="FY01 Actuals"/>
      <sheetName val="FY00 Restated"/>
      <sheetName val="FY01 Quota"/>
      <sheetName val="fa-listing"/>
      <sheetName val="Board_Slide_"/>
      <sheetName val="Flash_Export_Only"/>
      <sheetName val="Navigation_&amp;_Assumptions"/>
      <sheetName val="Flash_Template"/>
      <sheetName val="CF_Summary"/>
      <sheetName val="PG_Summary"/>
      <sheetName val="HPCO__GAAP"/>
      <sheetName val="HPCO__Pro_Forma"/>
      <sheetName val="Monthly_Trend"/>
      <sheetName val="Monthly_OpEx_Detail"/>
      <sheetName val="CF_ASPIRE_compare"/>
      <sheetName val="CF_yoy_Compare"/>
      <sheetName val="CF_Sequential_Compare"/>
      <sheetName val="CF_Implied_Month_3_$"/>
      <sheetName val="CF_Implied_Month_3_%_of_Flash"/>
      <sheetName val="PG_ASPIRE_Compare"/>
      <sheetName val="PG_yoy_Compare"/>
      <sheetName val="PG_Sequential_Compare"/>
      <sheetName val="PG_Implied_Month_3_$"/>
      <sheetName val="PG_Implied_Month_3_%_of_Flash"/>
      <sheetName val="CF_ASPIRE_Comp_by_PC"/>
      <sheetName val="CF_yoy_Comp_by_PC"/>
      <sheetName val="CF_Seq_Comp_by_PC"/>
      <sheetName val="CF_Implied_M3_by_PC_$"/>
      <sheetName val="CF_Implied_M3_by_PC_%_Flash"/>
      <sheetName val="PG_ASPIRE_Comp_by_PC"/>
      <sheetName val="PG_yoy_Comp_by_PC"/>
      <sheetName val="PG_Seq_Comp_by_PC"/>
      <sheetName val="PG_Implied_M3_by_PC_$"/>
      <sheetName val="PG_Implied_M3_by_PC_%_Flash"/>
      <sheetName val="Comet_ASPIRE"/>
      <sheetName val="Comet_yoy"/>
      <sheetName val="Comet_Sequential"/>
      <sheetName val="Comet_Implied_M3_(QTD)"/>
      <sheetName val="Month_1"/>
      <sheetName val="Month_2"/>
      <sheetName val="Extr__Gain_Table"/>
      <sheetName val="HP_yoy_GAAP"/>
      <sheetName val="Raw_materials"/>
      <sheetName val="Total_Financials"/>
      <sheetName val="FY01_Actuals"/>
      <sheetName val="FY00_Restated"/>
      <sheetName val="FY01_Quota"/>
      <sheetName val="Safety___P_A"/>
      <sheetName val="Top_Lvl__Logic"/>
      <sheetName val="Board_Slide_3"/>
      <sheetName val="Flash_Export_Only3"/>
      <sheetName val="Navigation_&amp;_Assumptions3"/>
      <sheetName val="Flash_Template3"/>
      <sheetName val="CF_Summary3"/>
      <sheetName val="PG_Summary3"/>
      <sheetName val="HPCO__GAAP3"/>
      <sheetName val="HPCO__Pro_Forma3"/>
      <sheetName val="Monthly_Trend3"/>
      <sheetName val="Monthly_OpEx_Detail3"/>
      <sheetName val="CF_ASPIRE_compare3"/>
      <sheetName val="CF_yoy_Compare3"/>
      <sheetName val="CF_Sequential_Compare3"/>
      <sheetName val="CF_Implied_Month_3_$3"/>
      <sheetName val="CF_Implied_Month_3_%_of_Flash3"/>
      <sheetName val="PG_ASPIRE_Compare3"/>
      <sheetName val="PG_yoy_Compare3"/>
      <sheetName val="PG_Sequential_Compare3"/>
      <sheetName val="PG_Implied_Month_3_$3"/>
      <sheetName val="PG_Implied_Month_3_%_of_Flash3"/>
      <sheetName val="CF_ASPIRE_Comp_by_PC3"/>
      <sheetName val="CF_yoy_Comp_by_PC3"/>
      <sheetName val="CF_Seq_Comp_by_PC3"/>
      <sheetName val="CF_Implied_M3_by_PC_$3"/>
      <sheetName val="CF_Implied_M3_by_PC_%_Flash3"/>
      <sheetName val="PG_ASPIRE_Comp_by_PC3"/>
      <sheetName val="PG_yoy_Comp_by_PC3"/>
      <sheetName val="PG_Seq_Comp_by_PC3"/>
      <sheetName val="PG_Implied_M3_by_PC_$3"/>
      <sheetName val="PG_Implied_M3_by_PC_%_Flash3"/>
      <sheetName val="Comet_ASPIRE3"/>
      <sheetName val="Comet_yoy3"/>
      <sheetName val="Comet_Sequential3"/>
      <sheetName val="Comet_Implied_M3_(QTD)3"/>
      <sheetName val="Month_13"/>
      <sheetName val="Month_23"/>
      <sheetName val="Extr__Gain_Table3"/>
      <sheetName val="HP_yoy_GAAP3"/>
      <sheetName val="Raw_materials3"/>
      <sheetName val="Safety___P_A3"/>
      <sheetName val="Top_Lvl__Logic3"/>
      <sheetName val="Total_Financials3"/>
      <sheetName val="FY01_Actuals3"/>
      <sheetName val="FY00_Restated3"/>
      <sheetName val="FY01_Quota3"/>
      <sheetName val="Board_Slide_1"/>
      <sheetName val="Flash_Export_Only1"/>
      <sheetName val="Navigation_&amp;_Assumptions1"/>
      <sheetName val="Flash_Template1"/>
      <sheetName val="CF_Summary1"/>
      <sheetName val="PG_Summary1"/>
      <sheetName val="HPCO__GAAP1"/>
      <sheetName val="HPCO__Pro_Forma1"/>
      <sheetName val="Monthly_Trend1"/>
      <sheetName val="Monthly_OpEx_Detail1"/>
      <sheetName val="CF_ASPIRE_compare1"/>
      <sheetName val="CF_yoy_Compare1"/>
      <sheetName val="CF_Sequential_Compare1"/>
      <sheetName val="CF_Implied_Month_3_$1"/>
      <sheetName val="CF_Implied_Month_3_%_of_Flash1"/>
      <sheetName val="PG_ASPIRE_Compare1"/>
      <sheetName val="PG_yoy_Compare1"/>
      <sheetName val="PG_Sequential_Compare1"/>
      <sheetName val="PG_Implied_Month_3_$1"/>
      <sheetName val="PG_Implied_Month_3_%_of_Flash1"/>
      <sheetName val="CF_ASPIRE_Comp_by_PC1"/>
      <sheetName val="CF_yoy_Comp_by_PC1"/>
      <sheetName val="CF_Seq_Comp_by_PC1"/>
      <sheetName val="CF_Implied_M3_by_PC_$1"/>
      <sheetName val="CF_Implied_M3_by_PC_%_Flash1"/>
      <sheetName val="PG_ASPIRE_Comp_by_PC1"/>
      <sheetName val="PG_yoy_Comp_by_PC1"/>
      <sheetName val="PG_Seq_Comp_by_PC1"/>
      <sheetName val="PG_Implied_M3_by_PC_$1"/>
      <sheetName val="PG_Implied_M3_by_PC_%_Flash1"/>
      <sheetName val="Comet_ASPIRE1"/>
      <sheetName val="Comet_yoy1"/>
      <sheetName val="Comet_Sequential1"/>
      <sheetName val="Comet_Implied_M3_(QTD)1"/>
      <sheetName val="Month_11"/>
      <sheetName val="Month_21"/>
      <sheetName val="Extr__Gain_Table1"/>
      <sheetName val="HP_yoy_GAAP1"/>
      <sheetName val="Raw_materials1"/>
      <sheetName val="Total_Financials1"/>
      <sheetName val="FY01_Actuals1"/>
      <sheetName val="FY00_Restated1"/>
      <sheetName val="FY01_Quota1"/>
      <sheetName val="Safety___P_A1"/>
      <sheetName val="Top_Lvl__Logic1"/>
      <sheetName val="Board_Slide_2"/>
      <sheetName val="Flash_Export_Only2"/>
      <sheetName val="Navigation_&amp;_Assumptions2"/>
      <sheetName val="Flash_Template2"/>
      <sheetName val="CF_Summary2"/>
      <sheetName val="PG_Summary2"/>
      <sheetName val="HPCO__GAAP2"/>
      <sheetName val="HPCO__Pro_Forma2"/>
      <sheetName val="Monthly_Trend2"/>
      <sheetName val="Monthly_OpEx_Detail2"/>
      <sheetName val="CF_ASPIRE_compare2"/>
      <sheetName val="CF_yoy_Compare2"/>
      <sheetName val="CF_Sequential_Compare2"/>
      <sheetName val="CF_Implied_Month_3_$2"/>
      <sheetName val="CF_Implied_Month_3_%_of_Flash2"/>
      <sheetName val="PG_ASPIRE_Compare2"/>
      <sheetName val="PG_yoy_Compare2"/>
      <sheetName val="PG_Sequential_Compare2"/>
      <sheetName val="PG_Implied_Month_3_$2"/>
      <sheetName val="PG_Implied_Month_3_%_of_Flash2"/>
      <sheetName val="CF_ASPIRE_Comp_by_PC2"/>
      <sheetName val="CF_yoy_Comp_by_PC2"/>
      <sheetName val="CF_Seq_Comp_by_PC2"/>
      <sheetName val="CF_Implied_M3_by_PC_$2"/>
      <sheetName val="CF_Implied_M3_by_PC_%_Flash2"/>
      <sheetName val="PG_ASPIRE_Comp_by_PC2"/>
      <sheetName val="PG_yoy_Comp_by_PC2"/>
      <sheetName val="PG_Seq_Comp_by_PC2"/>
      <sheetName val="PG_Implied_M3_by_PC_$2"/>
      <sheetName val="PG_Implied_M3_by_PC_%_Flash2"/>
      <sheetName val="Comet_ASPIRE2"/>
      <sheetName val="Comet_yoy2"/>
      <sheetName val="Comet_Sequential2"/>
      <sheetName val="Comet_Implied_M3_(QTD)2"/>
      <sheetName val="Month_12"/>
      <sheetName val="Month_22"/>
      <sheetName val="Extr__Gain_Table2"/>
      <sheetName val="HP_yoy_GAAP2"/>
      <sheetName val="Raw_materials2"/>
      <sheetName val="Safety___P_A2"/>
      <sheetName val="Top_Lvl__Logic2"/>
      <sheetName val="Total_Financials2"/>
      <sheetName val="FY01_Actuals2"/>
      <sheetName val="FY00_Restated2"/>
      <sheetName val="FY01_Quota2"/>
      <sheetName val="Cover Page"/>
      <sheetName val="Controlling"/>
      <sheetName val="Investments"/>
      <sheetName val="PROJECTIONS"/>
      <sheetName val="TOTALAGEING"/>
      <sheetName val="Sheet1"/>
      <sheetName val="Application for GM Signature"/>
      <sheetName val="sap"/>
      <sheetName val="Parts"/>
      <sheetName val="Process"/>
      <sheetName val="Board_Slide_20"/>
      <sheetName val="Flash_Export_Only20"/>
      <sheetName val="Navigation_&amp;_Assumptions20"/>
      <sheetName val="Flash_Template20"/>
      <sheetName val="CF_Summary20"/>
      <sheetName val="PG_Summary20"/>
      <sheetName val="HPCO__GAAP20"/>
      <sheetName val="HPCO__Pro_Forma20"/>
      <sheetName val="Monthly_Trend20"/>
      <sheetName val="Monthly_OpEx_Detail20"/>
      <sheetName val="CF_ASPIRE_compare20"/>
      <sheetName val="CF_yoy_Compare20"/>
      <sheetName val="CF_Sequential_Compare20"/>
      <sheetName val="CF_Implied_Month_3_$20"/>
      <sheetName val="CF_Implied_Month_3_%_of_Flash20"/>
      <sheetName val="PG_ASPIRE_Compare20"/>
      <sheetName val="PG_yoy_Compare20"/>
      <sheetName val="PG_Sequential_Compare20"/>
      <sheetName val="PG_Implied_Month_3_$20"/>
      <sheetName val="PG_Implied_Month_3_%_of_Flash20"/>
      <sheetName val="CF_ASPIRE_Comp_by_PC20"/>
      <sheetName val="CF_yoy_Comp_by_PC20"/>
      <sheetName val="CF_Seq_Comp_by_PC20"/>
      <sheetName val="CF_Implied_M3_by_PC_$20"/>
      <sheetName val="CF_Implied_M3_by_PC_%_Flash20"/>
      <sheetName val="PG_ASPIRE_Comp_by_PC20"/>
      <sheetName val="PG_yoy_Comp_by_PC20"/>
      <sheetName val="PG_Seq_Comp_by_PC20"/>
      <sheetName val="PG_Implied_M3_by_PC_$20"/>
      <sheetName val="PG_Implied_M3_by_PC_%_Flash20"/>
      <sheetName val="Comet_ASPIRE20"/>
      <sheetName val="Comet_yoy20"/>
      <sheetName val="Comet_Sequential20"/>
      <sheetName val="Comet_Implied_M3_(QTD)20"/>
      <sheetName val="Month_120"/>
      <sheetName val="Month_220"/>
      <sheetName val="Extr__Gain_Table20"/>
      <sheetName val="HP_yoy_GAAP20"/>
      <sheetName val="Raw_materials20"/>
      <sheetName val="Total_Financials20"/>
      <sheetName val="FY01_Actuals20"/>
      <sheetName val="FY00_Restated20"/>
      <sheetName val="FY01_Quota20"/>
      <sheetName val="Board_Slide_4"/>
      <sheetName val="Flash_Export_Only4"/>
      <sheetName val="Navigation_&amp;_Assumptions4"/>
      <sheetName val="Flash_Template4"/>
      <sheetName val="CF_Summary4"/>
      <sheetName val="PG_Summary4"/>
      <sheetName val="HPCO__GAAP4"/>
      <sheetName val="HPCO__Pro_Forma4"/>
      <sheetName val="Monthly_Trend4"/>
      <sheetName val="Monthly_OpEx_Detail4"/>
      <sheetName val="CF_ASPIRE_compare4"/>
      <sheetName val="CF_yoy_Compare4"/>
      <sheetName val="CF_Sequential_Compare4"/>
      <sheetName val="CF_Implied_Month_3_$4"/>
      <sheetName val="CF_Implied_Month_3_%_of_Flash4"/>
      <sheetName val="PG_ASPIRE_Compare4"/>
      <sheetName val="PG_yoy_Compare4"/>
      <sheetName val="PG_Sequential_Compare4"/>
      <sheetName val="PG_Implied_Month_3_$4"/>
      <sheetName val="PG_Implied_Month_3_%_of_Flash4"/>
      <sheetName val="CF_ASPIRE_Comp_by_PC4"/>
      <sheetName val="CF_yoy_Comp_by_PC4"/>
      <sheetName val="CF_Seq_Comp_by_PC4"/>
      <sheetName val="CF_Implied_M3_by_PC_$4"/>
      <sheetName val="CF_Implied_M3_by_PC_%_Flash4"/>
      <sheetName val="PG_ASPIRE_Comp_by_PC4"/>
      <sheetName val="PG_yoy_Comp_by_PC4"/>
      <sheetName val="PG_Seq_Comp_by_PC4"/>
      <sheetName val="PG_Implied_M3_by_PC_$4"/>
      <sheetName val="PG_Implied_M3_by_PC_%_Flash4"/>
      <sheetName val="Comet_ASPIRE4"/>
      <sheetName val="Comet_yoy4"/>
      <sheetName val="Comet_Sequential4"/>
      <sheetName val="Comet_Implied_M3_(QTD)4"/>
      <sheetName val="Month_14"/>
      <sheetName val="Month_24"/>
      <sheetName val="Extr__Gain_Table4"/>
      <sheetName val="HP_yoy_GAAP4"/>
      <sheetName val="Raw_materials4"/>
      <sheetName val="Total_Financials4"/>
      <sheetName val="FY01_Actuals4"/>
      <sheetName val="FY00_Restated4"/>
      <sheetName val="FY01_Quota4"/>
      <sheetName val="Safety___P_A4"/>
      <sheetName val="Top_Lvl__Logic4"/>
      <sheetName val="Board_Slide_5"/>
      <sheetName val="Flash_Export_Only5"/>
      <sheetName val="Navigation_&amp;_Assumptions5"/>
      <sheetName val="Flash_Template5"/>
      <sheetName val="CF_Summary5"/>
      <sheetName val="PG_Summary5"/>
      <sheetName val="HPCO__GAAP5"/>
      <sheetName val="HPCO__Pro_Forma5"/>
      <sheetName val="Monthly_Trend5"/>
      <sheetName val="Monthly_OpEx_Detail5"/>
      <sheetName val="CF_ASPIRE_compare5"/>
      <sheetName val="CF_yoy_Compare5"/>
      <sheetName val="CF_Sequential_Compare5"/>
      <sheetName val="CF_Implied_Month_3_$5"/>
      <sheetName val="CF_Implied_Month_3_%_of_Flash5"/>
      <sheetName val="PG_ASPIRE_Compare5"/>
      <sheetName val="PG_yoy_Compare5"/>
      <sheetName val="PG_Sequential_Compare5"/>
      <sheetName val="PG_Implied_Month_3_$5"/>
      <sheetName val="PG_Implied_Month_3_%_of_Flash5"/>
      <sheetName val="CF_ASPIRE_Comp_by_PC5"/>
      <sheetName val="CF_yoy_Comp_by_PC5"/>
      <sheetName val="CF_Seq_Comp_by_PC5"/>
      <sheetName val="CF_Implied_M3_by_PC_$5"/>
      <sheetName val="CF_Implied_M3_by_PC_%_Flash5"/>
      <sheetName val="PG_ASPIRE_Comp_by_PC5"/>
      <sheetName val="PG_yoy_Comp_by_PC5"/>
      <sheetName val="PG_Seq_Comp_by_PC5"/>
      <sheetName val="PG_Implied_M3_by_PC_$5"/>
      <sheetName val="PG_Implied_M3_by_PC_%_Flash5"/>
      <sheetName val="Comet_ASPIRE5"/>
      <sheetName val="Comet_yoy5"/>
      <sheetName val="Comet_Sequential5"/>
      <sheetName val="Comet_Implied_M3_(QTD)5"/>
      <sheetName val="Month_15"/>
      <sheetName val="Month_25"/>
      <sheetName val="Extr__Gain_Table5"/>
      <sheetName val="HP_yoy_GAAP5"/>
      <sheetName val="Raw_materials5"/>
      <sheetName val="Total_Financials5"/>
      <sheetName val="FY01_Actuals5"/>
      <sheetName val="FY00_Restated5"/>
      <sheetName val="FY01_Quota5"/>
      <sheetName val="Safety___P_A5"/>
      <sheetName val="Top_Lvl__Logic5"/>
      <sheetName val="Board_Slide_6"/>
      <sheetName val="Flash_Export_Only6"/>
      <sheetName val="Navigation_&amp;_Assumptions6"/>
      <sheetName val="Flash_Template6"/>
      <sheetName val="CF_Summary6"/>
      <sheetName val="PG_Summary6"/>
      <sheetName val="HPCO__GAAP6"/>
      <sheetName val="HPCO__Pro_Forma6"/>
      <sheetName val="Monthly_Trend6"/>
      <sheetName val="Monthly_OpEx_Detail6"/>
      <sheetName val="CF_ASPIRE_compare6"/>
      <sheetName val="CF_yoy_Compare6"/>
      <sheetName val="CF_Sequential_Compare6"/>
      <sheetName val="CF_Implied_Month_3_$6"/>
      <sheetName val="CF_Implied_Month_3_%_of_Flash6"/>
      <sheetName val="PG_ASPIRE_Compare6"/>
      <sheetName val="PG_yoy_Compare6"/>
      <sheetName val="PG_Sequential_Compare6"/>
      <sheetName val="PG_Implied_Month_3_$6"/>
      <sheetName val="PG_Implied_Month_3_%_of_Flash6"/>
      <sheetName val="CF_ASPIRE_Comp_by_PC6"/>
      <sheetName val="CF_yoy_Comp_by_PC6"/>
      <sheetName val="CF_Seq_Comp_by_PC6"/>
      <sheetName val="CF_Implied_M3_by_PC_$6"/>
      <sheetName val="CF_Implied_M3_by_PC_%_Flash6"/>
      <sheetName val="PG_ASPIRE_Comp_by_PC6"/>
      <sheetName val="PG_yoy_Comp_by_PC6"/>
      <sheetName val="PG_Seq_Comp_by_PC6"/>
      <sheetName val="PG_Implied_M3_by_PC_$6"/>
      <sheetName val="PG_Implied_M3_by_PC_%_Flash6"/>
      <sheetName val="Comet_ASPIRE6"/>
      <sheetName val="Comet_yoy6"/>
      <sheetName val="Comet_Sequential6"/>
      <sheetName val="Comet_Implied_M3_(QTD)6"/>
      <sheetName val="Month_16"/>
      <sheetName val="Month_26"/>
      <sheetName val="Extr__Gain_Table6"/>
      <sheetName val="HP_yoy_GAAP6"/>
      <sheetName val="Raw_materials6"/>
      <sheetName val="Total_Financials6"/>
      <sheetName val="FY01_Actuals6"/>
      <sheetName val="FY00_Restated6"/>
      <sheetName val="FY01_Quota6"/>
      <sheetName val="Safety___P_A6"/>
      <sheetName val="Top_Lvl__Logic6"/>
      <sheetName val="Board_Slide_7"/>
      <sheetName val="Flash_Export_Only7"/>
      <sheetName val="Navigation_&amp;_Assumptions7"/>
      <sheetName val="Flash_Template7"/>
      <sheetName val="CF_Summary7"/>
      <sheetName val="PG_Summary7"/>
      <sheetName val="HPCO__GAAP7"/>
      <sheetName val="HPCO__Pro_Forma7"/>
      <sheetName val="Monthly_Trend7"/>
      <sheetName val="Monthly_OpEx_Detail7"/>
      <sheetName val="CF_ASPIRE_compare7"/>
      <sheetName val="CF_yoy_Compare7"/>
      <sheetName val="CF_Sequential_Compare7"/>
      <sheetName val="CF_Implied_Month_3_$7"/>
      <sheetName val="CF_Implied_Month_3_%_of_Flash7"/>
      <sheetName val="PG_ASPIRE_Compare7"/>
      <sheetName val="PG_yoy_Compare7"/>
      <sheetName val="PG_Sequential_Compare7"/>
      <sheetName val="PG_Implied_Month_3_$7"/>
      <sheetName val="PG_Implied_Month_3_%_of_Flash7"/>
      <sheetName val="CF_ASPIRE_Comp_by_PC7"/>
      <sheetName val="CF_yoy_Comp_by_PC7"/>
      <sheetName val="CF_Seq_Comp_by_PC7"/>
      <sheetName val="CF_Implied_M3_by_PC_$7"/>
      <sheetName val="CF_Implied_M3_by_PC_%_Flash7"/>
      <sheetName val="PG_ASPIRE_Comp_by_PC7"/>
      <sheetName val="PG_yoy_Comp_by_PC7"/>
      <sheetName val="PG_Seq_Comp_by_PC7"/>
      <sheetName val="PG_Implied_M3_by_PC_$7"/>
      <sheetName val="PG_Implied_M3_by_PC_%_Flash7"/>
      <sheetName val="Comet_ASPIRE7"/>
      <sheetName val="Comet_yoy7"/>
      <sheetName val="Comet_Sequential7"/>
      <sheetName val="Comet_Implied_M3_(QTD)7"/>
      <sheetName val="Month_17"/>
      <sheetName val="Month_27"/>
      <sheetName val="Extr__Gain_Table7"/>
      <sheetName val="HP_yoy_GAAP7"/>
      <sheetName val="Raw_materials7"/>
      <sheetName val="Total_Financials7"/>
      <sheetName val="FY01_Actuals7"/>
      <sheetName val="FY00_Restated7"/>
      <sheetName val="FY01_Quota7"/>
      <sheetName val="Board_Slide_8"/>
      <sheetName val="Flash_Export_Only8"/>
      <sheetName val="Navigation_&amp;_Assumptions8"/>
      <sheetName val="Flash_Template8"/>
      <sheetName val="CF_Summary8"/>
      <sheetName val="PG_Summary8"/>
      <sheetName val="HPCO__GAAP8"/>
      <sheetName val="HPCO__Pro_Forma8"/>
      <sheetName val="Monthly_Trend8"/>
      <sheetName val="Monthly_OpEx_Detail8"/>
      <sheetName val="CF_ASPIRE_compare8"/>
      <sheetName val="CF_yoy_Compare8"/>
      <sheetName val="CF_Sequential_Compare8"/>
      <sheetName val="CF_Implied_Month_3_$8"/>
      <sheetName val="CF_Implied_Month_3_%_of_Flash8"/>
      <sheetName val="PG_ASPIRE_Compare8"/>
      <sheetName val="PG_yoy_Compare8"/>
      <sheetName val="PG_Sequential_Compare8"/>
      <sheetName val="PG_Implied_Month_3_$8"/>
      <sheetName val="PG_Implied_Month_3_%_of_Flash8"/>
      <sheetName val="CF_ASPIRE_Comp_by_PC8"/>
      <sheetName val="CF_yoy_Comp_by_PC8"/>
      <sheetName val="CF_Seq_Comp_by_PC8"/>
      <sheetName val="CF_Implied_M3_by_PC_$8"/>
      <sheetName val="CF_Implied_M3_by_PC_%_Flash8"/>
      <sheetName val="PG_ASPIRE_Comp_by_PC8"/>
      <sheetName val="PG_yoy_Comp_by_PC8"/>
      <sheetName val="PG_Seq_Comp_by_PC8"/>
      <sheetName val="PG_Implied_M3_by_PC_$8"/>
      <sheetName val="PG_Implied_M3_by_PC_%_Flash8"/>
      <sheetName val="Comet_ASPIRE8"/>
      <sheetName val="Comet_yoy8"/>
      <sheetName val="Comet_Sequential8"/>
      <sheetName val="Comet_Implied_M3_(QTD)8"/>
      <sheetName val="Month_18"/>
      <sheetName val="Month_28"/>
      <sheetName val="Extr__Gain_Table8"/>
      <sheetName val="HP_yoy_GAAP8"/>
      <sheetName val="Raw_materials8"/>
      <sheetName val="Total_Financials8"/>
      <sheetName val="FY01_Actuals8"/>
      <sheetName val="FY00_Restated8"/>
      <sheetName val="FY01_Quota8"/>
      <sheetName val="Board_Slide_9"/>
      <sheetName val="Flash_Export_Only9"/>
      <sheetName val="Navigation_&amp;_Assumptions9"/>
      <sheetName val="Flash_Template9"/>
      <sheetName val="CF_Summary9"/>
      <sheetName val="PG_Summary9"/>
      <sheetName val="HPCO__GAAP9"/>
      <sheetName val="HPCO__Pro_Forma9"/>
      <sheetName val="Monthly_Trend9"/>
      <sheetName val="Monthly_OpEx_Detail9"/>
      <sheetName val="CF_ASPIRE_compare9"/>
      <sheetName val="CF_yoy_Compare9"/>
      <sheetName val="CF_Sequential_Compare9"/>
      <sheetName val="CF_Implied_Month_3_$9"/>
      <sheetName val="CF_Implied_Month_3_%_of_Flash9"/>
      <sheetName val="PG_ASPIRE_Compare9"/>
      <sheetName val="PG_yoy_Compare9"/>
      <sheetName val="PG_Sequential_Compare9"/>
      <sheetName val="PG_Implied_Month_3_$9"/>
      <sheetName val="PG_Implied_Month_3_%_of_Flash9"/>
      <sheetName val="CF_ASPIRE_Comp_by_PC9"/>
      <sheetName val="CF_yoy_Comp_by_PC9"/>
      <sheetName val="CF_Seq_Comp_by_PC9"/>
      <sheetName val="CF_Implied_M3_by_PC_$9"/>
      <sheetName val="CF_Implied_M3_by_PC_%_Flash9"/>
      <sheetName val="PG_ASPIRE_Comp_by_PC9"/>
      <sheetName val="PG_yoy_Comp_by_PC9"/>
      <sheetName val="PG_Seq_Comp_by_PC9"/>
      <sheetName val="PG_Implied_M3_by_PC_$9"/>
      <sheetName val="PG_Implied_M3_by_PC_%_Flash9"/>
      <sheetName val="Comet_ASPIRE9"/>
      <sheetName val="Comet_yoy9"/>
      <sheetName val="Comet_Sequential9"/>
      <sheetName val="Comet_Implied_M3_(QTD)9"/>
      <sheetName val="Month_19"/>
      <sheetName val="Month_29"/>
      <sheetName val="Extr__Gain_Table9"/>
      <sheetName val="HP_yoy_GAAP9"/>
      <sheetName val="Raw_materials9"/>
      <sheetName val="Total_Financials9"/>
      <sheetName val="FY01_Actuals9"/>
      <sheetName val="FY00_Restated9"/>
      <sheetName val="FY01_Quota9"/>
      <sheetName val="Safety___P_A7"/>
      <sheetName val="Top_Lvl__Logic7"/>
      <sheetName val="Board_Slide_10"/>
      <sheetName val="Flash_Export_Only10"/>
      <sheetName val="Navigation_&amp;_Assumptions10"/>
      <sheetName val="Flash_Template10"/>
      <sheetName val="CF_Summary10"/>
      <sheetName val="PG_Summary10"/>
      <sheetName val="HPCO__GAAP10"/>
      <sheetName val="HPCO__Pro_Forma10"/>
      <sheetName val="Monthly_Trend10"/>
      <sheetName val="Monthly_OpEx_Detail10"/>
      <sheetName val="CF_ASPIRE_compare10"/>
      <sheetName val="CF_yoy_Compare10"/>
      <sheetName val="CF_Sequential_Compare10"/>
      <sheetName val="CF_Implied_Month_3_$10"/>
      <sheetName val="CF_Implied_Month_3_%_of_Flash10"/>
      <sheetName val="PG_ASPIRE_Compare10"/>
      <sheetName val="PG_yoy_Compare10"/>
      <sheetName val="PG_Sequential_Compare10"/>
      <sheetName val="PG_Implied_Month_3_$10"/>
      <sheetName val="PG_Implied_Month_3_%_of_Flash10"/>
      <sheetName val="CF_ASPIRE_Comp_by_PC10"/>
      <sheetName val="CF_yoy_Comp_by_PC10"/>
      <sheetName val="CF_Seq_Comp_by_PC10"/>
      <sheetName val="CF_Implied_M3_by_PC_$10"/>
      <sheetName val="CF_Implied_M3_by_PC_%_Flash10"/>
      <sheetName val="PG_ASPIRE_Comp_by_PC10"/>
      <sheetName val="PG_yoy_Comp_by_PC10"/>
      <sheetName val="PG_Seq_Comp_by_PC10"/>
      <sheetName val="PG_Implied_M3_by_PC_$10"/>
      <sheetName val="PG_Implied_M3_by_PC_%_Flash10"/>
      <sheetName val="Comet_ASPIRE10"/>
      <sheetName val="Comet_yoy10"/>
      <sheetName val="Comet_Sequential10"/>
      <sheetName val="Comet_Implied_M3_(QTD)10"/>
      <sheetName val="Month_110"/>
      <sheetName val="Month_210"/>
      <sheetName val="Extr__Gain_Table10"/>
      <sheetName val="HP_yoy_GAAP10"/>
      <sheetName val="Raw_materials10"/>
      <sheetName val="Total_Financials10"/>
      <sheetName val="FY01_Actuals10"/>
      <sheetName val="FY00_Restated10"/>
      <sheetName val="FY01_Quota10"/>
      <sheetName val="Safety___P_A8"/>
      <sheetName val="Top_Lvl__Logic8"/>
      <sheetName val="Board_Slide_11"/>
      <sheetName val="Flash_Export_Only11"/>
      <sheetName val="Navigation_&amp;_Assumptions11"/>
      <sheetName val="Flash_Template11"/>
      <sheetName val="CF_Summary11"/>
      <sheetName val="PG_Summary11"/>
      <sheetName val="HPCO__GAAP11"/>
      <sheetName val="HPCO__Pro_Forma11"/>
      <sheetName val="Monthly_Trend11"/>
      <sheetName val="Monthly_OpEx_Detail11"/>
      <sheetName val="CF_ASPIRE_compare11"/>
      <sheetName val="CF_yoy_Compare11"/>
      <sheetName val="CF_Sequential_Compare11"/>
      <sheetName val="CF_Implied_Month_3_$11"/>
      <sheetName val="CF_Implied_Month_3_%_of_Flash11"/>
      <sheetName val="PG_ASPIRE_Compare11"/>
      <sheetName val="PG_yoy_Compare11"/>
      <sheetName val="PG_Sequential_Compare11"/>
      <sheetName val="PG_Implied_Month_3_$11"/>
      <sheetName val="PG_Implied_Month_3_%_of_Flash11"/>
      <sheetName val="CF_ASPIRE_Comp_by_PC11"/>
      <sheetName val="CF_yoy_Comp_by_PC11"/>
      <sheetName val="CF_Seq_Comp_by_PC11"/>
      <sheetName val="CF_Implied_M3_by_PC_$11"/>
      <sheetName val="CF_Implied_M3_by_PC_%_Flash11"/>
      <sheetName val="PG_ASPIRE_Comp_by_PC11"/>
      <sheetName val="PG_yoy_Comp_by_PC11"/>
      <sheetName val="PG_Seq_Comp_by_PC11"/>
      <sheetName val="PG_Implied_M3_by_PC_$11"/>
      <sheetName val="PG_Implied_M3_by_PC_%_Flash11"/>
      <sheetName val="Comet_ASPIRE11"/>
      <sheetName val="Comet_yoy11"/>
      <sheetName val="Comet_Sequential11"/>
      <sheetName val="Comet_Implied_M3_(QTD)11"/>
      <sheetName val="Month_111"/>
      <sheetName val="Month_211"/>
      <sheetName val="Extr__Gain_Table11"/>
      <sheetName val="HP_yoy_GAAP11"/>
      <sheetName val="Raw_materials11"/>
      <sheetName val="Safety___P_A9"/>
      <sheetName val="Top_Lvl__Logic9"/>
      <sheetName val="Total_Financials11"/>
      <sheetName val="FY01_Actuals11"/>
      <sheetName val="FY00_Restated11"/>
      <sheetName val="FY01_Quota11"/>
      <sheetName val="Board_Slide_12"/>
      <sheetName val="Flash_Export_Only12"/>
      <sheetName val="Navigation_&amp;_Assumptions12"/>
      <sheetName val="Flash_Template12"/>
      <sheetName val="CF_Summary12"/>
      <sheetName val="PG_Summary12"/>
      <sheetName val="HPCO__GAAP12"/>
      <sheetName val="HPCO__Pro_Forma12"/>
      <sheetName val="Monthly_Trend12"/>
      <sheetName val="Monthly_OpEx_Detail12"/>
      <sheetName val="CF_ASPIRE_compare12"/>
      <sheetName val="CF_yoy_Compare12"/>
      <sheetName val="CF_Sequential_Compare12"/>
      <sheetName val="CF_Implied_Month_3_$12"/>
      <sheetName val="CF_Implied_Month_3_%_of_Flash12"/>
      <sheetName val="PG_ASPIRE_Compare12"/>
      <sheetName val="PG_yoy_Compare12"/>
      <sheetName val="PG_Sequential_Compare12"/>
      <sheetName val="PG_Implied_Month_3_$12"/>
      <sheetName val="PG_Implied_Month_3_%_of_Flash12"/>
      <sheetName val="CF_ASPIRE_Comp_by_PC12"/>
      <sheetName val="CF_yoy_Comp_by_PC12"/>
      <sheetName val="CF_Seq_Comp_by_PC12"/>
      <sheetName val="CF_Implied_M3_by_PC_$12"/>
      <sheetName val="CF_Implied_M3_by_PC_%_Flash12"/>
      <sheetName val="PG_ASPIRE_Comp_by_PC12"/>
      <sheetName val="PG_yoy_Comp_by_PC12"/>
      <sheetName val="PG_Seq_Comp_by_PC12"/>
      <sheetName val="PG_Implied_M3_by_PC_$12"/>
      <sheetName val="PG_Implied_M3_by_PC_%_Flash12"/>
      <sheetName val="Comet_ASPIRE12"/>
      <sheetName val="Comet_yoy12"/>
      <sheetName val="Comet_Sequential12"/>
      <sheetName val="Comet_Implied_M3_(QTD)12"/>
      <sheetName val="Month_112"/>
      <sheetName val="Month_212"/>
      <sheetName val="Extr__Gain_Table12"/>
      <sheetName val="HP_yoy_GAAP12"/>
      <sheetName val="Raw_materials12"/>
      <sheetName val="Total_Financials12"/>
      <sheetName val="FY01_Actuals12"/>
      <sheetName val="FY00_Restated12"/>
      <sheetName val="FY01_Quota12"/>
      <sheetName val="Safety___P_A10"/>
      <sheetName val="Top_Lvl__Logic10"/>
      <sheetName val="Board_Slide_13"/>
      <sheetName val="Flash_Export_Only13"/>
      <sheetName val="Navigation_&amp;_Assumptions13"/>
      <sheetName val="Flash_Template13"/>
      <sheetName val="CF_Summary13"/>
      <sheetName val="PG_Summary13"/>
      <sheetName val="HPCO__GAAP13"/>
      <sheetName val="HPCO__Pro_Forma13"/>
      <sheetName val="Monthly_Trend13"/>
      <sheetName val="Monthly_OpEx_Detail13"/>
      <sheetName val="CF_ASPIRE_compare13"/>
      <sheetName val="CF_yoy_Compare13"/>
      <sheetName val="CF_Sequential_Compare13"/>
      <sheetName val="CF_Implied_Month_3_$13"/>
      <sheetName val="CF_Implied_Month_3_%_of_Flash13"/>
      <sheetName val="PG_ASPIRE_Compare13"/>
      <sheetName val="PG_yoy_Compare13"/>
      <sheetName val="PG_Sequential_Compare13"/>
      <sheetName val="PG_Implied_Month_3_$13"/>
      <sheetName val="PG_Implied_Month_3_%_of_Flash13"/>
      <sheetName val="CF_ASPIRE_Comp_by_PC13"/>
      <sheetName val="CF_yoy_Comp_by_PC13"/>
      <sheetName val="CF_Seq_Comp_by_PC13"/>
      <sheetName val="CF_Implied_M3_by_PC_$13"/>
      <sheetName val="CF_Implied_M3_by_PC_%_Flash13"/>
      <sheetName val="PG_ASPIRE_Comp_by_PC13"/>
      <sheetName val="PG_yoy_Comp_by_PC13"/>
      <sheetName val="PG_Seq_Comp_by_PC13"/>
      <sheetName val="PG_Implied_M3_by_PC_$13"/>
      <sheetName val="PG_Implied_M3_by_PC_%_Flash13"/>
      <sheetName val="Comet_ASPIRE13"/>
      <sheetName val="Comet_yoy13"/>
      <sheetName val="Comet_Sequential13"/>
      <sheetName val="Comet_Implied_M3_(QTD)13"/>
      <sheetName val="Month_113"/>
      <sheetName val="Month_213"/>
      <sheetName val="Extr__Gain_Table13"/>
      <sheetName val="HP_yoy_GAAP13"/>
      <sheetName val="Raw_materials13"/>
      <sheetName val="Total_Financials13"/>
      <sheetName val="FY01_Actuals13"/>
      <sheetName val="FY00_Restated13"/>
      <sheetName val="FY01_Quota13"/>
      <sheetName val="Safety___P_A11"/>
      <sheetName val="Top_Lvl__Logic11"/>
      <sheetName val="Board_Slide_14"/>
      <sheetName val="Flash_Export_Only14"/>
      <sheetName val="Navigation_&amp;_Assumptions14"/>
      <sheetName val="Flash_Template14"/>
      <sheetName val="CF_Summary14"/>
      <sheetName val="PG_Summary14"/>
      <sheetName val="HPCO__GAAP14"/>
      <sheetName val="HPCO__Pro_Forma14"/>
      <sheetName val="Monthly_Trend14"/>
      <sheetName val="Monthly_OpEx_Detail14"/>
      <sheetName val="CF_ASPIRE_compare14"/>
      <sheetName val="CF_yoy_Compare14"/>
      <sheetName val="CF_Sequential_Compare14"/>
      <sheetName val="CF_Implied_Month_3_$14"/>
      <sheetName val="CF_Implied_Month_3_%_of_Flash14"/>
      <sheetName val="PG_ASPIRE_Compare14"/>
      <sheetName val="PG_yoy_Compare14"/>
      <sheetName val="PG_Sequential_Compare14"/>
      <sheetName val="PG_Implied_Month_3_$14"/>
      <sheetName val="PG_Implied_Month_3_%_of_Flash14"/>
      <sheetName val="CF_ASPIRE_Comp_by_PC14"/>
      <sheetName val="CF_yoy_Comp_by_PC14"/>
      <sheetName val="CF_Seq_Comp_by_PC14"/>
      <sheetName val="CF_Implied_M3_by_PC_$14"/>
      <sheetName val="CF_Implied_M3_by_PC_%_Flash14"/>
      <sheetName val="PG_ASPIRE_Comp_by_PC14"/>
      <sheetName val="PG_yoy_Comp_by_PC14"/>
      <sheetName val="PG_Seq_Comp_by_PC14"/>
      <sheetName val="PG_Implied_M3_by_PC_$14"/>
      <sheetName val="PG_Implied_M3_by_PC_%_Flash14"/>
      <sheetName val="Comet_ASPIRE14"/>
      <sheetName val="Comet_yoy14"/>
      <sheetName val="Comet_Sequential14"/>
      <sheetName val="Comet_Implied_M3_(QTD)14"/>
      <sheetName val="Month_114"/>
      <sheetName val="Month_214"/>
      <sheetName val="Extr__Gain_Table14"/>
      <sheetName val="HP_yoy_GAAP14"/>
      <sheetName val="Raw_materials14"/>
      <sheetName val="Total_Financials14"/>
      <sheetName val="FY01_Actuals14"/>
      <sheetName val="FY00_Restated14"/>
      <sheetName val="FY01_Quota14"/>
      <sheetName val="Safety___P_A12"/>
      <sheetName val="Top_Lvl__Logic12"/>
      <sheetName val="Board_Slide_15"/>
      <sheetName val="Flash_Export_Only15"/>
      <sheetName val="Navigation_&amp;_Assumptions15"/>
      <sheetName val="Flash_Template15"/>
      <sheetName val="CF_Summary15"/>
      <sheetName val="PG_Summary15"/>
      <sheetName val="HPCO__GAAP15"/>
      <sheetName val="HPCO__Pro_Forma15"/>
      <sheetName val="Monthly_Trend15"/>
      <sheetName val="Monthly_OpEx_Detail15"/>
      <sheetName val="CF_ASPIRE_compare15"/>
      <sheetName val="CF_yoy_Compare15"/>
      <sheetName val="CF_Sequential_Compare15"/>
      <sheetName val="CF_Implied_Month_3_$15"/>
      <sheetName val="CF_Implied_Month_3_%_of_Flash15"/>
      <sheetName val="PG_ASPIRE_Compare15"/>
      <sheetName val="PG_yoy_Compare15"/>
      <sheetName val="PG_Sequential_Compare15"/>
      <sheetName val="PG_Implied_Month_3_$15"/>
      <sheetName val="PG_Implied_Month_3_%_of_Flash15"/>
      <sheetName val="CF_ASPIRE_Comp_by_PC15"/>
      <sheetName val="CF_yoy_Comp_by_PC15"/>
      <sheetName val="CF_Seq_Comp_by_PC15"/>
      <sheetName val="CF_Implied_M3_by_PC_$15"/>
      <sheetName val="CF_Implied_M3_by_PC_%_Flash15"/>
      <sheetName val="PG_ASPIRE_Comp_by_PC15"/>
      <sheetName val="PG_yoy_Comp_by_PC15"/>
      <sheetName val="PG_Seq_Comp_by_PC15"/>
      <sheetName val="PG_Implied_M3_by_PC_$15"/>
      <sheetName val="PG_Implied_M3_by_PC_%_Flash15"/>
      <sheetName val="Comet_ASPIRE15"/>
      <sheetName val="Comet_yoy15"/>
      <sheetName val="Comet_Sequential15"/>
      <sheetName val="Comet_Implied_M3_(QTD)15"/>
      <sheetName val="Month_115"/>
      <sheetName val="Month_215"/>
      <sheetName val="Extr__Gain_Table15"/>
      <sheetName val="HP_yoy_GAAP15"/>
      <sheetName val="Raw_materials15"/>
      <sheetName val="Safety___P_A13"/>
      <sheetName val="Top_Lvl__Logic13"/>
      <sheetName val="Total_Financials15"/>
      <sheetName val="FY01_Actuals15"/>
      <sheetName val="FY00_Restated15"/>
      <sheetName val="FY01_Quota15"/>
      <sheetName val="Board_Slide_17"/>
      <sheetName val="Flash_Export_Only17"/>
      <sheetName val="Navigation_&amp;_Assumptions17"/>
      <sheetName val="Flash_Template17"/>
      <sheetName val="CF_Summary17"/>
      <sheetName val="PG_Summary17"/>
      <sheetName val="HPCO__GAAP17"/>
      <sheetName val="HPCO__Pro_Forma17"/>
      <sheetName val="Monthly_Trend17"/>
      <sheetName val="Monthly_OpEx_Detail17"/>
      <sheetName val="CF_ASPIRE_compare17"/>
      <sheetName val="CF_yoy_Compare17"/>
      <sheetName val="CF_Sequential_Compare17"/>
      <sheetName val="CF_Implied_Month_3_$17"/>
      <sheetName val="CF_Implied_Month_3_%_of_Flash17"/>
      <sheetName val="PG_ASPIRE_Compare17"/>
      <sheetName val="PG_yoy_Compare17"/>
      <sheetName val="PG_Sequential_Compare17"/>
      <sheetName val="PG_Implied_Month_3_$17"/>
      <sheetName val="PG_Implied_Month_3_%_of_Flash17"/>
      <sheetName val="CF_ASPIRE_Comp_by_PC17"/>
      <sheetName val="CF_yoy_Comp_by_PC17"/>
      <sheetName val="CF_Seq_Comp_by_PC17"/>
      <sheetName val="CF_Implied_M3_by_PC_$17"/>
      <sheetName val="CF_Implied_M3_by_PC_%_Flash17"/>
      <sheetName val="PG_ASPIRE_Comp_by_PC17"/>
      <sheetName val="PG_yoy_Comp_by_PC17"/>
      <sheetName val="PG_Seq_Comp_by_PC17"/>
      <sheetName val="PG_Implied_M3_by_PC_$17"/>
      <sheetName val="PG_Implied_M3_by_PC_%_Flash17"/>
      <sheetName val="Comet_ASPIRE17"/>
      <sheetName val="Comet_yoy17"/>
      <sheetName val="Comet_Sequential17"/>
      <sheetName val="Comet_Implied_M3_(QTD)17"/>
      <sheetName val="Month_117"/>
      <sheetName val="Month_217"/>
      <sheetName val="Extr__Gain_Table17"/>
      <sheetName val="HP_yoy_GAAP17"/>
      <sheetName val="Raw_materials17"/>
      <sheetName val="Total_Financials17"/>
      <sheetName val="FY01_Actuals17"/>
      <sheetName val="FY00_Restated17"/>
      <sheetName val="FY01_Quota17"/>
      <sheetName val="Safety___P_A15"/>
      <sheetName val="Top_Lvl__Logic15"/>
      <sheetName val="Board_Slide_16"/>
      <sheetName val="Flash_Export_Only16"/>
      <sheetName val="Navigation_&amp;_Assumptions16"/>
      <sheetName val="Flash_Template16"/>
      <sheetName val="CF_Summary16"/>
      <sheetName val="PG_Summary16"/>
      <sheetName val="HPCO__GAAP16"/>
      <sheetName val="HPCO__Pro_Forma16"/>
      <sheetName val="Monthly_Trend16"/>
      <sheetName val="Monthly_OpEx_Detail16"/>
      <sheetName val="CF_ASPIRE_compare16"/>
      <sheetName val="CF_yoy_Compare16"/>
      <sheetName val="CF_Sequential_Compare16"/>
      <sheetName val="CF_Implied_Month_3_$16"/>
      <sheetName val="CF_Implied_Month_3_%_of_Flash16"/>
      <sheetName val="PG_ASPIRE_Compare16"/>
      <sheetName val="PG_yoy_Compare16"/>
      <sheetName val="PG_Sequential_Compare16"/>
      <sheetName val="PG_Implied_Month_3_$16"/>
      <sheetName val="PG_Implied_Month_3_%_of_Flash16"/>
      <sheetName val="CF_ASPIRE_Comp_by_PC16"/>
      <sheetName val="CF_yoy_Comp_by_PC16"/>
      <sheetName val="CF_Seq_Comp_by_PC16"/>
      <sheetName val="CF_Implied_M3_by_PC_$16"/>
      <sheetName val="CF_Implied_M3_by_PC_%_Flash16"/>
      <sheetName val="PG_ASPIRE_Comp_by_PC16"/>
      <sheetName val="PG_yoy_Comp_by_PC16"/>
      <sheetName val="PG_Seq_Comp_by_PC16"/>
      <sheetName val="PG_Implied_M3_by_PC_$16"/>
      <sheetName val="PG_Implied_M3_by_PC_%_Flash16"/>
      <sheetName val="Comet_ASPIRE16"/>
      <sheetName val="Comet_yoy16"/>
      <sheetName val="Comet_Sequential16"/>
      <sheetName val="Comet_Implied_M3_(QTD)16"/>
      <sheetName val="Month_116"/>
      <sheetName val="Month_216"/>
      <sheetName val="Extr__Gain_Table16"/>
      <sheetName val="HP_yoy_GAAP16"/>
      <sheetName val="Raw_materials16"/>
      <sheetName val="Total_Financials16"/>
      <sheetName val="FY01_Actuals16"/>
      <sheetName val="FY00_Restated16"/>
      <sheetName val="FY01_Quota16"/>
      <sheetName val="Safety___P_A14"/>
      <sheetName val="Top_Lvl__Logic14"/>
      <sheetName val="Board_Slide_18"/>
      <sheetName val="Flash_Export_Only18"/>
      <sheetName val="Navigation_&amp;_Assumptions18"/>
      <sheetName val="Flash_Template18"/>
      <sheetName val="CF_Summary18"/>
      <sheetName val="PG_Summary18"/>
      <sheetName val="HPCO__GAAP18"/>
      <sheetName val="HPCO__Pro_Forma18"/>
      <sheetName val="Monthly_Trend18"/>
      <sheetName val="Monthly_OpEx_Detail18"/>
      <sheetName val="CF_ASPIRE_compare18"/>
      <sheetName val="CF_yoy_Compare18"/>
      <sheetName val="CF_Sequential_Compare18"/>
      <sheetName val="CF_Implied_Month_3_$18"/>
      <sheetName val="CF_Implied_Month_3_%_of_Flash18"/>
      <sheetName val="PG_ASPIRE_Compare18"/>
      <sheetName val="PG_yoy_Compare18"/>
      <sheetName val="PG_Sequential_Compare18"/>
      <sheetName val="PG_Implied_Month_3_$18"/>
      <sheetName val="PG_Implied_Month_3_%_of_Flash18"/>
      <sheetName val="CF_ASPIRE_Comp_by_PC18"/>
      <sheetName val="CF_yoy_Comp_by_PC18"/>
      <sheetName val="CF_Seq_Comp_by_PC18"/>
      <sheetName val="CF_Implied_M3_by_PC_$18"/>
      <sheetName val="CF_Implied_M3_by_PC_%_Flash18"/>
      <sheetName val="PG_ASPIRE_Comp_by_PC18"/>
      <sheetName val="PG_yoy_Comp_by_PC18"/>
      <sheetName val="PG_Seq_Comp_by_PC18"/>
      <sheetName val="PG_Implied_M3_by_PC_$18"/>
      <sheetName val="PG_Implied_M3_by_PC_%_Flash18"/>
      <sheetName val="Comet_ASPIRE18"/>
      <sheetName val="Comet_yoy18"/>
      <sheetName val="Comet_Sequential18"/>
      <sheetName val="Comet_Implied_M3_(QTD)18"/>
      <sheetName val="Month_118"/>
      <sheetName val="Month_218"/>
      <sheetName val="Extr__Gain_Table18"/>
      <sheetName val="HP_yoy_GAAP18"/>
      <sheetName val="Raw_materials18"/>
      <sheetName val="Total_Financials18"/>
      <sheetName val="FY01_Actuals18"/>
      <sheetName val="FY00_Restated18"/>
      <sheetName val="FY01_Quota18"/>
      <sheetName val="Safety___P_A16"/>
      <sheetName val="Top_Lvl__Logic16"/>
      <sheetName val="Board_Slide_19"/>
      <sheetName val="Flash_Export_Only19"/>
      <sheetName val="Navigation_&amp;_Assumptions19"/>
      <sheetName val="Flash_Template19"/>
      <sheetName val="CF_Summary19"/>
      <sheetName val="PG_Summary19"/>
      <sheetName val="HPCO__GAAP19"/>
      <sheetName val="HPCO__Pro_Forma19"/>
      <sheetName val="Monthly_Trend19"/>
      <sheetName val="Monthly_OpEx_Detail19"/>
      <sheetName val="CF_ASPIRE_compare19"/>
      <sheetName val="CF_yoy_Compare19"/>
      <sheetName val="CF_Sequential_Compare19"/>
      <sheetName val="CF_Implied_Month_3_$19"/>
      <sheetName val="CF_Implied_Month_3_%_of_Flash19"/>
      <sheetName val="PG_ASPIRE_Compare19"/>
      <sheetName val="PG_yoy_Compare19"/>
      <sheetName val="PG_Sequential_Compare19"/>
      <sheetName val="PG_Implied_Month_3_$19"/>
      <sheetName val="PG_Implied_Month_3_%_of_Flash19"/>
      <sheetName val="CF_ASPIRE_Comp_by_PC19"/>
      <sheetName val="CF_yoy_Comp_by_PC19"/>
      <sheetName val="CF_Seq_Comp_by_PC19"/>
      <sheetName val="CF_Implied_M3_by_PC_$19"/>
      <sheetName val="CF_Implied_M3_by_PC_%_Flash19"/>
      <sheetName val="PG_ASPIRE_Comp_by_PC19"/>
      <sheetName val="PG_yoy_Comp_by_PC19"/>
      <sheetName val="PG_Seq_Comp_by_PC19"/>
      <sheetName val="PG_Implied_M3_by_PC_$19"/>
      <sheetName val="PG_Implied_M3_by_PC_%_Flash19"/>
      <sheetName val="Comet_ASPIRE19"/>
      <sheetName val="Comet_yoy19"/>
      <sheetName val="Comet_Sequential19"/>
      <sheetName val="Comet_Implied_M3_(QTD)19"/>
      <sheetName val="Month_119"/>
      <sheetName val="Month_219"/>
      <sheetName val="Extr__Gain_Table19"/>
      <sheetName val="HP_yoy_GAAP19"/>
      <sheetName val="Raw_materials19"/>
      <sheetName val="Total_Financials19"/>
      <sheetName val="FY01_Actuals19"/>
      <sheetName val="FY00_Restated19"/>
      <sheetName val="FY01_Quota19"/>
      <sheetName val="Safety___P_A17"/>
      <sheetName val="Top_Lvl__Logic17"/>
      <sheetName val="Safety___P_A18"/>
      <sheetName val="Top_Lvl__Logic18"/>
      <sheetName val="Board_Slide_21"/>
      <sheetName val="Flash_Export_Only21"/>
      <sheetName val="Navigation_&amp;_Assumptions21"/>
      <sheetName val="Flash_Template21"/>
      <sheetName val="CF_Summary21"/>
      <sheetName val="PG_Summary21"/>
      <sheetName val="HPCO__GAAP21"/>
      <sheetName val="HPCO__Pro_Forma21"/>
      <sheetName val="Monthly_Trend21"/>
      <sheetName val="Monthly_OpEx_Detail21"/>
      <sheetName val="CF_ASPIRE_compare21"/>
      <sheetName val="CF_yoy_Compare21"/>
      <sheetName val="CF_Sequential_Compare21"/>
      <sheetName val="CF_Implied_Month_3_$21"/>
      <sheetName val="CF_Implied_Month_3_%_of_Flash21"/>
      <sheetName val="PG_ASPIRE_Compare21"/>
      <sheetName val="PG_yoy_Compare21"/>
      <sheetName val="PG_Sequential_Compare21"/>
      <sheetName val="PG_Implied_Month_3_$21"/>
      <sheetName val="PG_Implied_Month_3_%_of_Flash21"/>
      <sheetName val="CF_ASPIRE_Comp_by_PC21"/>
      <sheetName val="CF_yoy_Comp_by_PC21"/>
      <sheetName val="CF_Seq_Comp_by_PC21"/>
      <sheetName val="CF_Implied_M3_by_PC_$21"/>
      <sheetName val="CF_Implied_M3_by_PC_%_Flash21"/>
      <sheetName val="PG_ASPIRE_Comp_by_PC21"/>
      <sheetName val="PG_yoy_Comp_by_PC21"/>
      <sheetName val="PG_Seq_Comp_by_PC21"/>
      <sheetName val="PG_Implied_M3_by_PC_$21"/>
      <sheetName val="PG_Implied_M3_by_PC_%_Flash21"/>
      <sheetName val="Comet_ASPIRE21"/>
      <sheetName val="Comet_yoy21"/>
      <sheetName val="Comet_Sequential21"/>
      <sheetName val="Comet_Implied_M3_(QTD)21"/>
      <sheetName val="Month_121"/>
      <sheetName val="Month_221"/>
      <sheetName val="Extr__Gain_Table21"/>
      <sheetName val="HP_yoy_GAAP21"/>
      <sheetName val="Raw_materials21"/>
      <sheetName val="Total_Financials21"/>
      <sheetName val="FY01_Actuals21"/>
      <sheetName val="FY00_Restated21"/>
      <sheetName val="FY01_Quota21"/>
      <sheetName val="Safety___P_A19"/>
      <sheetName val="Top_Lvl__Logic19"/>
      <sheetName val="Board_Slide_22"/>
      <sheetName val="Flash_Export_Only22"/>
      <sheetName val="Navigation_&amp;_Assumptions22"/>
      <sheetName val="Flash_Template22"/>
      <sheetName val="CF_Summary22"/>
      <sheetName val="PG_Summary22"/>
      <sheetName val="HPCO__GAAP22"/>
      <sheetName val="HPCO__Pro_Forma22"/>
      <sheetName val="Monthly_Trend22"/>
      <sheetName val="Monthly_OpEx_Detail22"/>
      <sheetName val="CF_ASPIRE_compare22"/>
      <sheetName val="CF_yoy_Compare22"/>
      <sheetName val="CF_Sequential_Compare22"/>
      <sheetName val="CF_Implied_Month_3_$22"/>
      <sheetName val="CF_Implied_Month_3_%_of_Flash22"/>
      <sheetName val="PG_ASPIRE_Compare22"/>
      <sheetName val="PG_yoy_Compare22"/>
      <sheetName val="PG_Sequential_Compare22"/>
      <sheetName val="PG_Implied_Month_3_$22"/>
      <sheetName val="PG_Implied_Month_3_%_of_Flash22"/>
      <sheetName val="CF_ASPIRE_Comp_by_PC22"/>
      <sheetName val="CF_yoy_Comp_by_PC22"/>
      <sheetName val="CF_Seq_Comp_by_PC22"/>
      <sheetName val="CF_Implied_M3_by_PC_$22"/>
      <sheetName val="CF_Implied_M3_by_PC_%_Flash22"/>
      <sheetName val="PG_ASPIRE_Comp_by_PC22"/>
      <sheetName val="PG_yoy_Comp_by_PC22"/>
      <sheetName val="PG_Seq_Comp_by_PC22"/>
      <sheetName val="PG_Implied_M3_by_PC_$22"/>
      <sheetName val="PG_Implied_M3_by_PC_%_Flash22"/>
      <sheetName val="Comet_ASPIRE22"/>
      <sheetName val="Comet_yoy22"/>
      <sheetName val="Comet_Sequential22"/>
      <sheetName val="Comet_Implied_M3_(QTD)22"/>
      <sheetName val="Month_122"/>
      <sheetName val="Month_222"/>
      <sheetName val="Extr__Gain_Table22"/>
      <sheetName val="HP_yoy_GAAP22"/>
      <sheetName val="Raw_materials22"/>
      <sheetName val="Total_Financials22"/>
      <sheetName val="FY01_Actuals22"/>
      <sheetName val="FY00_Restated22"/>
      <sheetName val="FY01_Quota22"/>
      <sheetName val="Safety___P_A20"/>
      <sheetName val="Top_Lvl__Logic20"/>
      <sheetName val="Board_Slide_26"/>
      <sheetName val="Flash_Export_Only26"/>
      <sheetName val="Navigation_&amp;_Assumptions26"/>
      <sheetName val="Flash_Template26"/>
      <sheetName val="CF_Summary26"/>
      <sheetName val="PG_Summary26"/>
      <sheetName val="HPCO__GAAP26"/>
      <sheetName val="HPCO__Pro_Forma26"/>
      <sheetName val="Monthly_Trend26"/>
      <sheetName val="Monthly_OpEx_Detail26"/>
      <sheetName val="CF_ASPIRE_compare26"/>
      <sheetName val="CF_yoy_Compare26"/>
      <sheetName val="CF_Sequential_Compare26"/>
      <sheetName val="CF_Implied_Month_3_$26"/>
      <sheetName val="CF_Implied_Month_3_%_of_Flash26"/>
      <sheetName val="PG_ASPIRE_Compare26"/>
      <sheetName val="PG_yoy_Compare26"/>
      <sheetName val="PG_Sequential_Compare26"/>
      <sheetName val="PG_Implied_Month_3_$26"/>
      <sheetName val="PG_Implied_Month_3_%_of_Flash26"/>
      <sheetName val="CF_ASPIRE_Comp_by_PC26"/>
      <sheetName val="CF_yoy_Comp_by_PC26"/>
      <sheetName val="CF_Seq_Comp_by_PC26"/>
      <sheetName val="CF_Implied_M3_by_PC_$26"/>
      <sheetName val="CF_Implied_M3_by_PC_%_Flash26"/>
      <sheetName val="PG_ASPIRE_Comp_by_PC26"/>
      <sheetName val="PG_yoy_Comp_by_PC26"/>
      <sheetName val="PG_Seq_Comp_by_PC26"/>
      <sheetName val="PG_Implied_M3_by_PC_$26"/>
      <sheetName val="PG_Implied_M3_by_PC_%_Flash26"/>
      <sheetName val="Comet_ASPIRE26"/>
      <sheetName val="Comet_yoy26"/>
      <sheetName val="Comet_Sequential26"/>
      <sheetName val="Comet_Implied_M3_(QTD)26"/>
      <sheetName val="Month_126"/>
      <sheetName val="Month_226"/>
      <sheetName val="Extr__Gain_Table26"/>
      <sheetName val="HP_yoy_GAAP26"/>
      <sheetName val="Raw_materials26"/>
      <sheetName val="Total_Financials26"/>
      <sheetName val="FY01_Actuals26"/>
      <sheetName val="FY00_Restated26"/>
      <sheetName val="FY01_Quota26"/>
      <sheetName val="Safety___P_A24"/>
      <sheetName val="Top_Lvl__Logic24"/>
      <sheetName val="Board_Slide_24"/>
      <sheetName val="Flash_Export_Only24"/>
      <sheetName val="Navigation_&amp;_Assumptions24"/>
      <sheetName val="Flash_Template24"/>
      <sheetName val="CF_Summary24"/>
      <sheetName val="PG_Summary24"/>
      <sheetName val="HPCO__GAAP24"/>
      <sheetName val="HPCO__Pro_Forma24"/>
      <sheetName val="Monthly_Trend24"/>
      <sheetName val="Monthly_OpEx_Detail24"/>
      <sheetName val="CF_ASPIRE_compare24"/>
      <sheetName val="CF_yoy_Compare24"/>
      <sheetName val="CF_Sequential_Compare24"/>
      <sheetName val="CF_Implied_Month_3_$24"/>
      <sheetName val="CF_Implied_Month_3_%_of_Flash24"/>
      <sheetName val="PG_ASPIRE_Compare24"/>
      <sheetName val="PG_yoy_Compare24"/>
      <sheetName val="PG_Sequential_Compare24"/>
      <sheetName val="PG_Implied_Month_3_$24"/>
      <sheetName val="PG_Implied_Month_3_%_of_Flash24"/>
      <sheetName val="CF_ASPIRE_Comp_by_PC24"/>
      <sheetName val="CF_yoy_Comp_by_PC24"/>
      <sheetName val="CF_Seq_Comp_by_PC24"/>
      <sheetName val="CF_Implied_M3_by_PC_$24"/>
      <sheetName val="CF_Implied_M3_by_PC_%_Flash24"/>
      <sheetName val="PG_ASPIRE_Comp_by_PC24"/>
      <sheetName val="PG_yoy_Comp_by_PC24"/>
      <sheetName val="PG_Seq_Comp_by_PC24"/>
      <sheetName val="PG_Implied_M3_by_PC_$24"/>
      <sheetName val="PG_Implied_M3_by_PC_%_Flash24"/>
      <sheetName val="Comet_ASPIRE24"/>
      <sheetName val="Comet_yoy24"/>
      <sheetName val="Comet_Sequential24"/>
      <sheetName val="Comet_Implied_M3_(QTD)24"/>
      <sheetName val="Month_124"/>
      <sheetName val="Month_224"/>
      <sheetName val="Extr__Gain_Table24"/>
      <sheetName val="HP_yoy_GAAP24"/>
      <sheetName val="Raw_materials24"/>
      <sheetName val="Total_Financials24"/>
      <sheetName val="FY01_Actuals24"/>
      <sheetName val="FY00_Restated24"/>
      <sheetName val="FY01_Quota24"/>
      <sheetName val="Safety___P_A22"/>
      <sheetName val="Top_Lvl__Logic22"/>
      <sheetName val="Board_Slide_23"/>
      <sheetName val="Flash_Export_Only23"/>
      <sheetName val="Navigation_&amp;_Assumptions23"/>
      <sheetName val="Flash_Template23"/>
      <sheetName val="CF_Summary23"/>
      <sheetName val="PG_Summary23"/>
      <sheetName val="HPCO__GAAP23"/>
      <sheetName val="HPCO__Pro_Forma23"/>
      <sheetName val="Monthly_Trend23"/>
      <sheetName val="Monthly_OpEx_Detail23"/>
      <sheetName val="CF_ASPIRE_compare23"/>
      <sheetName val="CF_yoy_Compare23"/>
      <sheetName val="CF_Sequential_Compare23"/>
      <sheetName val="CF_Implied_Month_3_$23"/>
      <sheetName val="CF_Implied_Month_3_%_of_Flash23"/>
      <sheetName val="PG_ASPIRE_Compare23"/>
      <sheetName val="PG_yoy_Compare23"/>
      <sheetName val="PG_Sequential_Compare23"/>
      <sheetName val="PG_Implied_Month_3_$23"/>
      <sheetName val="PG_Implied_Month_3_%_of_Flash23"/>
      <sheetName val="CF_ASPIRE_Comp_by_PC23"/>
      <sheetName val="CF_yoy_Comp_by_PC23"/>
      <sheetName val="CF_Seq_Comp_by_PC23"/>
      <sheetName val="CF_Implied_M3_by_PC_$23"/>
      <sheetName val="CF_Implied_M3_by_PC_%_Flash23"/>
      <sheetName val="PG_ASPIRE_Comp_by_PC23"/>
      <sheetName val="PG_yoy_Comp_by_PC23"/>
      <sheetName val="PG_Seq_Comp_by_PC23"/>
      <sheetName val="PG_Implied_M3_by_PC_$23"/>
      <sheetName val="PG_Implied_M3_by_PC_%_Flash23"/>
      <sheetName val="Comet_ASPIRE23"/>
      <sheetName val="Comet_yoy23"/>
      <sheetName val="Comet_Sequential23"/>
      <sheetName val="Comet_Implied_M3_(QTD)23"/>
      <sheetName val="Month_123"/>
      <sheetName val="Month_223"/>
      <sheetName val="Extr__Gain_Table23"/>
      <sheetName val="HP_yoy_GAAP23"/>
      <sheetName val="Raw_materials23"/>
      <sheetName val="Total_Financials23"/>
      <sheetName val="FY01_Actuals23"/>
      <sheetName val="FY00_Restated23"/>
      <sheetName val="FY01_Quota23"/>
      <sheetName val="Safety___P_A21"/>
      <sheetName val="Top_Lvl__Logic21"/>
      <sheetName val="Board_Slide_25"/>
      <sheetName val="Flash_Export_Only25"/>
      <sheetName val="Navigation_&amp;_Assumptions25"/>
      <sheetName val="Flash_Template25"/>
      <sheetName val="CF_Summary25"/>
      <sheetName val="PG_Summary25"/>
      <sheetName val="HPCO__GAAP25"/>
      <sheetName val="HPCO__Pro_Forma25"/>
      <sheetName val="Monthly_Trend25"/>
      <sheetName val="Monthly_OpEx_Detail25"/>
      <sheetName val="CF_ASPIRE_compare25"/>
      <sheetName val="CF_yoy_Compare25"/>
      <sheetName val="CF_Sequential_Compare25"/>
      <sheetName val="CF_Implied_Month_3_$25"/>
      <sheetName val="CF_Implied_Month_3_%_of_Flash25"/>
      <sheetName val="PG_ASPIRE_Compare25"/>
      <sheetName val="PG_yoy_Compare25"/>
      <sheetName val="PG_Sequential_Compare25"/>
      <sheetName val="PG_Implied_Month_3_$25"/>
      <sheetName val="PG_Implied_Month_3_%_of_Flash25"/>
      <sheetName val="CF_ASPIRE_Comp_by_PC25"/>
      <sheetName val="CF_yoy_Comp_by_PC25"/>
      <sheetName val="CF_Seq_Comp_by_PC25"/>
      <sheetName val="CF_Implied_M3_by_PC_$25"/>
      <sheetName val="CF_Implied_M3_by_PC_%_Flash25"/>
      <sheetName val="PG_ASPIRE_Comp_by_PC25"/>
      <sheetName val="PG_yoy_Comp_by_PC25"/>
      <sheetName val="PG_Seq_Comp_by_PC25"/>
      <sheetName val="PG_Implied_M3_by_PC_$25"/>
      <sheetName val="PG_Implied_M3_by_PC_%_Flash25"/>
      <sheetName val="Comet_ASPIRE25"/>
      <sheetName val="Comet_yoy25"/>
      <sheetName val="Comet_Sequential25"/>
      <sheetName val="Comet_Implied_M3_(QTD)25"/>
      <sheetName val="Month_125"/>
      <sheetName val="Month_225"/>
      <sheetName val="Extr__Gain_Table25"/>
      <sheetName val="HP_yoy_GAAP25"/>
      <sheetName val="Raw_materials25"/>
      <sheetName val="Total_Financials25"/>
      <sheetName val="FY01_Actuals25"/>
      <sheetName val="FY00_Restated25"/>
      <sheetName val="FY01_Quota25"/>
      <sheetName val="Safety___P_A23"/>
      <sheetName val="Top_Lvl__Logic23"/>
      <sheetName val="Board_Slide_29"/>
      <sheetName val="Flash_Export_Only29"/>
      <sheetName val="Navigation_&amp;_Assumptions29"/>
      <sheetName val="Flash_Template29"/>
      <sheetName val="CF_Summary29"/>
      <sheetName val="PG_Summary29"/>
      <sheetName val="HPCO__GAAP29"/>
      <sheetName val="HPCO__Pro_Forma29"/>
      <sheetName val="Monthly_Trend29"/>
      <sheetName val="Monthly_OpEx_Detail29"/>
      <sheetName val="CF_ASPIRE_compare29"/>
      <sheetName val="CF_yoy_Compare29"/>
      <sheetName val="CF_Sequential_Compare29"/>
      <sheetName val="CF_Implied_Month_3_$29"/>
      <sheetName val="CF_Implied_Month_3_%_of_Flash29"/>
      <sheetName val="PG_ASPIRE_Compare29"/>
      <sheetName val="PG_yoy_Compare29"/>
      <sheetName val="PG_Sequential_Compare29"/>
      <sheetName val="PG_Implied_Month_3_$29"/>
      <sheetName val="PG_Implied_Month_3_%_of_Flash29"/>
      <sheetName val="CF_ASPIRE_Comp_by_PC29"/>
      <sheetName val="CF_yoy_Comp_by_PC29"/>
      <sheetName val="CF_Seq_Comp_by_PC29"/>
      <sheetName val="CF_Implied_M3_by_PC_$29"/>
      <sheetName val="CF_Implied_M3_by_PC_%_Flash29"/>
      <sheetName val="PG_ASPIRE_Comp_by_PC29"/>
      <sheetName val="PG_yoy_Comp_by_PC29"/>
      <sheetName val="PG_Seq_Comp_by_PC29"/>
      <sheetName val="PG_Implied_M3_by_PC_$29"/>
      <sheetName val="PG_Implied_M3_by_PC_%_Flash29"/>
      <sheetName val="Comet_ASPIRE29"/>
      <sheetName val="Comet_yoy29"/>
      <sheetName val="Comet_Sequential29"/>
      <sheetName val="Comet_Implied_M3_(QTD)29"/>
      <sheetName val="Month_129"/>
      <sheetName val="Month_229"/>
      <sheetName val="Extr__Gain_Table29"/>
      <sheetName val="HP_yoy_GAAP29"/>
      <sheetName val="Raw_materials29"/>
      <sheetName val="Total_Financials29"/>
      <sheetName val="FY01_Actuals29"/>
      <sheetName val="FY00_Restated29"/>
      <sheetName val="FY01_Quota29"/>
      <sheetName val="Safety___P_A27"/>
      <sheetName val="Top_Lvl__Logic27"/>
      <sheetName val="Board_Slide_27"/>
      <sheetName val="Flash_Export_Only27"/>
      <sheetName val="Navigation_&amp;_Assumptions27"/>
      <sheetName val="Flash_Template27"/>
      <sheetName val="CF_Summary27"/>
      <sheetName val="PG_Summary27"/>
      <sheetName val="HPCO__GAAP27"/>
      <sheetName val="HPCO__Pro_Forma27"/>
      <sheetName val="Monthly_Trend27"/>
      <sheetName val="Monthly_OpEx_Detail27"/>
      <sheetName val="CF_ASPIRE_compare27"/>
      <sheetName val="CF_yoy_Compare27"/>
      <sheetName val="CF_Sequential_Compare27"/>
      <sheetName val="CF_Implied_Month_3_$27"/>
      <sheetName val="CF_Implied_Month_3_%_of_Flash27"/>
      <sheetName val="PG_ASPIRE_Compare27"/>
      <sheetName val="PG_yoy_Compare27"/>
      <sheetName val="PG_Sequential_Compare27"/>
      <sheetName val="PG_Implied_Month_3_$27"/>
      <sheetName val="PG_Implied_Month_3_%_of_Flash27"/>
      <sheetName val="CF_ASPIRE_Comp_by_PC27"/>
      <sheetName val="CF_yoy_Comp_by_PC27"/>
      <sheetName val="CF_Seq_Comp_by_PC27"/>
      <sheetName val="CF_Implied_M3_by_PC_$27"/>
      <sheetName val="CF_Implied_M3_by_PC_%_Flash27"/>
      <sheetName val="PG_ASPIRE_Comp_by_PC27"/>
      <sheetName val="PG_yoy_Comp_by_PC27"/>
      <sheetName val="PG_Seq_Comp_by_PC27"/>
      <sheetName val="PG_Implied_M3_by_PC_$27"/>
      <sheetName val="PG_Implied_M3_by_PC_%_Flash27"/>
      <sheetName val="Comet_ASPIRE27"/>
      <sheetName val="Comet_yoy27"/>
      <sheetName val="Comet_Sequential27"/>
      <sheetName val="Comet_Implied_M3_(QTD)27"/>
      <sheetName val="Month_127"/>
      <sheetName val="Month_227"/>
      <sheetName val="Extr__Gain_Table27"/>
      <sheetName val="HP_yoy_GAAP27"/>
      <sheetName val="Raw_materials27"/>
      <sheetName val="Total_Financials27"/>
      <sheetName val="FY01_Actuals27"/>
      <sheetName val="FY00_Restated27"/>
      <sheetName val="FY01_Quota27"/>
      <sheetName val="Safety___P_A25"/>
      <sheetName val="Top_Lvl__Logic25"/>
      <sheetName val="Board_Slide_28"/>
      <sheetName val="Flash_Export_Only28"/>
      <sheetName val="Navigation_&amp;_Assumptions28"/>
      <sheetName val="Flash_Template28"/>
      <sheetName val="CF_Summary28"/>
      <sheetName val="PG_Summary28"/>
      <sheetName val="HPCO__GAAP28"/>
      <sheetName val="HPCO__Pro_Forma28"/>
      <sheetName val="Monthly_Trend28"/>
      <sheetName val="Monthly_OpEx_Detail28"/>
      <sheetName val="CF_ASPIRE_compare28"/>
      <sheetName val="CF_yoy_Compare28"/>
      <sheetName val="CF_Sequential_Compare28"/>
      <sheetName val="CF_Implied_Month_3_$28"/>
      <sheetName val="CF_Implied_Month_3_%_of_Flash28"/>
      <sheetName val="PG_ASPIRE_Compare28"/>
      <sheetName val="PG_yoy_Compare28"/>
      <sheetName val="PG_Sequential_Compare28"/>
      <sheetName val="PG_Implied_Month_3_$28"/>
      <sheetName val="PG_Implied_Month_3_%_of_Flash28"/>
      <sheetName val="CF_ASPIRE_Comp_by_PC28"/>
      <sheetName val="CF_yoy_Comp_by_PC28"/>
      <sheetName val="CF_Seq_Comp_by_PC28"/>
      <sheetName val="CF_Implied_M3_by_PC_$28"/>
      <sheetName val="CF_Implied_M3_by_PC_%_Flash28"/>
      <sheetName val="PG_ASPIRE_Comp_by_PC28"/>
      <sheetName val="PG_yoy_Comp_by_PC28"/>
      <sheetName val="PG_Seq_Comp_by_PC28"/>
      <sheetName val="PG_Implied_M3_by_PC_$28"/>
      <sheetName val="PG_Implied_M3_by_PC_%_Flash28"/>
      <sheetName val="Comet_ASPIRE28"/>
      <sheetName val="Comet_yoy28"/>
      <sheetName val="Comet_Sequential28"/>
      <sheetName val="Comet_Implied_M3_(QTD)28"/>
      <sheetName val="Month_128"/>
      <sheetName val="Month_228"/>
      <sheetName val="Extr__Gain_Table28"/>
      <sheetName val="HP_yoy_GAAP28"/>
      <sheetName val="Raw_materials28"/>
      <sheetName val="Total_Financials28"/>
      <sheetName val="FY01_Actuals28"/>
      <sheetName val="FY00_Restated28"/>
      <sheetName val="FY01_Quota28"/>
      <sheetName val="Safety___P_A26"/>
      <sheetName val="Top_Lvl__Logic26"/>
      <sheetName val="tables"/>
      <sheetName val="FY03CostStructure"/>
      <sheetName val="SPals"/>
      <sheetName val="索引表"/>
      <sheetName val="雷梦"/>
      <sheetName val="Restate"/>
      <sheetName val="敏感参数"/>
      <sheetName val="Repayment Summary"/>
      <sheetName val="Board_Slide_33"/>
      <sheetName val="Flash_Export_Only33"/>
      <sheetName val="Navigation_&amp;_Assumptions33"/>
      <sheetName val="Flash_Template33"/>
      <sheetName val="CF_Summary33"/>
      <sheetName val="PG_Summary33"/>
      <sheetName val="HPCO__GAAP33"/>
      <sheetName val="HPCO__Pro_Forma33"/>
      <sheetName val="Monthly_Trend33"/>
      <sheetName val="Monthly_OpEx_Detail33"/>
      <sheetName val="CF_ASPIRE_compare33"/>
      <sheetName val="CF_yoy_Compare33"/>
      <sheetName val="CF_Sequential_Compare33"/>
      <sheetName val="CF_Implied_Month_3_$33"/>
      <sheetName val="CF_Implied_Month_3_%_of_Flash33"/>
      <sheetName val="PG_ASPIRE_Compare33"/>
      <sheetName val="PG_yoy_Compare33"/>
      <sheetName val="PG_Sequential_Compare33"/>
      <sheetName val="PG_Implied_Month_3_$33"/>
      <sheetName val="PG_Implied_Month_3_%_of_Flash33"/>
      <sheetName val="CF_ASPIRE_Comp_by_PC33"/>
      <sheetName val="CF_yoy_Comp_by_PC33"/>
      <sheetName val="CF_Seq_Comp_by_PC33"/>
      <sheetName val="CF_Implied_M3_by_PC_$33"/>
      <sheetName val="CF_Implied_M3_by_PC_%_Flash33"/>
      <sheetName val="PG_ASPIRE_Comp_by_PC33"/>
      <sheetName val="PG_yoy_Comp_by_PC33"/>
      <sheetName val="PG_Seq_Comp_by_PC33"/>
      <sheetName val="PG_Implied_M3_by_PC_$33"/>
      <sheetName val="PG_Implied_M3_by_PC_%_Flash33"/>
      <sheetName val="Comet_ASPIRE33"/>
      <sheetName val="Comet_yoy33"/>
      <sheetName val="Comet_Sequential33"/>
      <sheetName val="Comet_Implied_M3_(QTD)33"/>
      <sheetName val="Month_133"/>
      <sheetName val="Month_233"/>
      <sheetName val="Extr__Gain_Table33"/>
      <sheetName val="HP_yoy_GAAP33"/>
      <sheetName val="Raw_materials33"/>
      <sheetName val="Safety___P_A31"/>
      <sheetName val="Top_Lvl__Logic31"/>
      <sheetName val="Total_Financials33"/>
      <sheetName val="FY01_Actuals33"/>
      <sheetName val="FY00_Restated33"/>
      <sheetName val="FY01_Quota33"/>
      <sheetName val="Cover_Page1"/>
      <sheetName val="Application_for_GM_Signature1"/>
      <sheetName val="Board_Slide_30"/>
      <sheetName val="Flash_Export_Only30"/>
      <sheetName val="Navigation_&amp;_Assumptions30"/>
      <sheetName val="Flash_Template30"/>
      <sheetName val="CF_Summary30"/>
      <sheetName val="PG_Summary30"/>
      <sheetName val="HPCO__GAAP30"/>
      <sheetName val="HPCO__Pro_Forma30"/>
      <sheetName val="Monthly_Trend30"/>
      <sheetName val="Monthly_OpEx_Detail30"/>
      <sheetName val="CF_ASPIRE_compare30"/>
      <sheetName val="CF_yoy_Compare30"/>
      <sheetName val="CF_Sequential_Compare30"/>
      <sheetName val="CF_Implied_Month_3_$30"/>
      <sheetName val="CF_Implied_Month_3_%_of_Flash30"/>
      <sheetName val="PG_ASPIRE_Compare30"/>
      <sheetName val="PG_yoy_Compare30"/>
      <sheetName val="PG_Sequential_Compare30"/>
      <sheetName val="PG_Implied_Month_3_$30"/>
      <sheetName val="PG_Implied_Month_3_%_of_Flash30"/>
      <sheetName val="CF_ASPIRE_Comp_by_PC30"/>
      <sheetName val="CF_yoy_Comp_by_PC30"/>
      <sheetName val="CF_Seq_Comp_by_PC30"/>
      <sheetName val="CF_Implied_M3_by_PC_$30"/>
      <sheetName val="CF_Implied_M3_by_PC_%_Flash30"/>
      <sheetName val="PG_ASPIRE_Comp_by_PC30"/>
      <sheetName val="PG_yoy_Comp_by_PC30"/>
      <sheetName val="PG_Seq_Comp_by_PC30"/>
      <sheetName val="PG_Implied_M3_by_PC_$30"/>
      <sheetName val="PG_Implied_M3_by_PC_%_Flash30"/>
      <sheetName val="Comet_ASPIRE30"/>
      <sheetName val="Comet_yoy30"/>
      <sheetName val="Comet_Sequential30"/>
      <sheetName val="Comet_Implied_M3_(QTD)30"/>
      <sheetName val="Month_130"/>
      <sheetName val="Month_230"/>
      <sheetName val="Extr__Gain_Table30"/>
      <sheetName val="HP_yoy_GAAP30"/>
      <sheetName val="Raw_materials30"/>
      <sheetName val="Total_Financials30"/>
      <sheetName val="FY01_Actuals30"/>
      <sheetName val="FY00_Restated30"/>
      <sheetName val="FY01_Quota30"/>
      <sheetName val="Safety___P_A28"/>
      <sheetName val="Top_Lvl__Logic28"/>
      <sheetName val="Board_Slide_31"/>
      <sheetName val="Flash_Export_Only31"/>
      <sheetName val="Navigation_&amp;_Assumptions31"/>
      <sheetName val="Flash_Template31"/>
      <sheetName val="CF_Summary31"/>
      <sheetName val="PG_Summary31"/>
      <sheetName val="HPCO__GAAP31"/>
      <sheetName val="HPCO__Pro_Forma31"/>
      <sheetName val="Monthly_Trend31"/>
      <sheetName val="Monthly_OpEx_Detail31"/>
      <sheetName val="CF_ASPIRE_compare31"/>
      <sheetName val="CF_yoy_Compare31"/>
      <sheetName val="CF_Sequential_Compare31"/>
      <sheetName val="CF_Implied_Month_3_$31"/>
      <sheetName val="CF_Implied_Month_3_%_of_Flash31"/>
      <sheetName val="PG_ASPIRE_Compare31"/>
      <sheetName val="PG_yoy_Compare31"/>
      <sheetName val="PG_Sequential_Compare31"/>
      <sheetName val="PG_Implied_Month_3_$31"/>
      <sheetName val="PG_Implied_Month_3_%_of_Flash31"/>
      <sheetName val="CF_ASPIRE_Comp_by_PC31"/>
      <sheetName val="CF_yoy_Comp_by_PC31"/>
      <sheetName val="CF_Seq_Comp_by_PC31"/>
      <sheetName val="CF_Implied_M3_by_PC_$31"/>
      <sheetName val="CF_Implied_M3_by_PC_%_Flash31"/>
      <sheetName val="PG_ASPIRE_Comp_by_PC31"/>
      <sheetName val="PG_yoy_Comp_by_PC31"/>
      <sheetName val="PG_Seq_Comp_by_PC31"/>
      <sheetName val="PG_Implied_M3_by_PC_$31"/>
      <sheetName val="PG_Implied_M3_by_PC_%_Flash31"/>
      <sheetName val="Comet_ASPIRE31"/>
      <sheetName val="Comet_yoy31"/>
      <sheetName val="Comet_Sequential31"/>
      <sheetName val="Comet_Implied_M3_(QTD)31"/>
      <sheetName val="Month_131"/>
      <sheetName val="Month_231"/>
      <sheetName val="Extr__Gain_Table31"/>
      <sheetName val="HP_yoy_GAAP31"/>
      <sheetName val="Raw_materials31"/>
      <sheetName val="Total_Financials31"/>
      <sheetName val="FY01_Actuals31"/>
      <sheetName val="FY00_Restated31"/>
      <sheetName val="FY01_Quota31"/>
      <sheetName val="Safety___P_A29"/>
      <sheetName val="Top_Lvl__Logic29"/>
      <sheetName val="Board_Slide_32"/>
      <sheetName val="Flash_Export_Only32"/>
      <sheetName val="Navigation_&amp;_Assumptions32"/>
      <sheetName val="Flash_Template32"/>
      <sheetName val="CF_Summary32"/>
      <sheetName val="PG_Summary32"/>
      <sheetName val="HPCO__GAAP32"/>
      <sheetName val="HPCO__Pro_Forma32"/>
      <sheetName val="Monthly_Trend32"/>
      <sheetName val="Monthly_OpEx_Detail32"/>
      <sheetName val="CF_ASPIRE_compare32"/>
      <sheetName val="CF_yoy_Compare32"/>
      <sheetName val="CF_Sequential_Compare32"/>
      <sheetName val="CF_Implied_Month_3_$32"/>
      <sheetName val="CF_Implied_Month_3_%_of_Flash32"/>
      <sheetName val="PG_ASPIRE_Compare32"/>
      <sheetName val="PG_yoy_Compare32"/>
      <sheetName val="PG_Sequential_Compare32"/>
      <sheetName val="PG_Implied_Month_3_$32"/>
      <sheetName val="PG_Implied_Month_3_%_of_Flash32"/>
      <sheetName val="CF_ASPIRE_Comp_by_PC32"/>
      <sheetName val="CF_yoy_Comp_by_PC32"/>
      <sheetName val="CF_Seq_Comp_by_PC32"/>
      <sheetName val="CF_Implied_M3_by_PC_$32"/>
      <sheetName val="CF_Implied_M3_by_PC_%_Flash32"/>
      <sheetName val="PG_ASPIRE_Comp_by_PC32"/>
      <sheetName val="PG_yoy_Comp_by_PC32"/>
      <sheetName val="PG_Seq_Comp_by_PC32"/>
      <sheetName val="PG_Implied_M3_by_PC_$32"/>
      <sheetName val="PG_Implied_M3_by_PC_%_Flash32"/>
      <sheetName val="Comet_ASPIRE32"/>
      <sheetName val="Comet_yoy32"/>
      <sheetName val="Comet_Sequential32"/>
      <sheetName val="Comet_Implied_M3_(QTD)32"/>
      <sheetName val="Month_132"/>
      <sheetName val="Month_232"/>
      <sheetName val="Extr__Gain_Table32"/>
      <sheetName val="HP_yoy_GAAP32"/>
      <sheetName val="Raw_materials32"/>
      <sheetName val="Total_Financials32"/>
      <sheetName val="FY01_Actuals32"/>
      <sheetName val="FY00_Restated32"/>
      <sheetName val="FY01_Quota32"/>
      <sheetName val="Safety___P_A30"/>
      <sheetName val="Top_Lvl__Logic30"/>
      <sheetName val="Cover_Page"/>
      <sheetName val="Application_for_GM_Signature"/>
      <sheetName val="Board_Slide_42"/>
      <sheetName val="Flash_Export_Only42"/>
      <sheetName val="Navigation_&amp;_Assumptions42"/>
      <sheetName val="Flash_Template42"/>
      <sheetName val="CF_Summary42"/>
      <sheetName val="PG_Summary42"/>
      <sheetName val="HPCO__GAAP42"/>
      <sheetName val="HPCO__Pro_Forma42"/>
      <sheetName val="Monthly_Trend42"/>
      <sheetName val="Monthly_OpEx_Detail42"/>
      <sheetName val="CF_ASPIRE_compare42"/>
      <sheetName val="CF_yoy_Compare42"/>
      <sheetName val="CF_Sequential_Compare42"/>
      <sheetName val="CF_Implied_Month_3_$42"/>
      <sheetName val="CF_Implied_Month_3_%_of_Flash42"/>
      <sheetName val="PG_ASPIRE_Compare42"/>
      <sheetName val="PG_yoy_Compare42"/>
      <sheetName val="PG_Sequential_Compare42"/>
      <sheetName val="PG_Implied_Month_3_$42"/>
      <sheetName val="PG_Implied_Month_3_%_of_Flash42"/>
      <sheetName val="CF_ASPIRE_Comp_by_PC42"/>
      <sheetName val="CF_yoy_Comp_by_PC42"/>
      <sheetName val="CF_Seq_Comp_by_PC42"/>
      <sheetName val="CF_Implied_M3_by_PC_$42"/>
      <sheetName val="CF_Implied_M3_by_PC_%_Flash42"/>
      <sheetName val="PG_ASPIRE_Comp_by_PC42"/>
      <sheetName val="PG_yoy_Comp_by_PC42"/>
      <sheetName val="PG_Seq_Comp_by_PC42"/>
      <sheetName val="PG_Implied_M3_by_PC_$42"/>
      <sheetName val="PG_Implied_M3_by_PC_%_Flash42"/>
      <sheetName val="Comet_ASPIRE42"/>
      <sheetName val="Comet_yoy42"/>
      <sheetName val="Comet_Sequential42"/>
      <sheetName val="Comet_Implied_M3_(QTD)42"/>
      <sheetName val="Month_142"/>
      <sheetName val="Month_242"/>
      <sheetName val="Extr__Gain_Table42"/>
      <sheetName val="HP_yoy_GAAP42"/>
      <sheetName val="Raw_materials42"/>
      <sheetName val="Safety___P_A40"/>
      <sheetName val="Top_Lvl__Logic40"/>
      <sheetName val="Total_Financials42"/>
      <sheetName val="FY01_Actuals42"/>
      <sheetName val="FY00_Restated42"/>
      <sheetName val="FY01_Quota42"/>
      <sheetName val="Cover_Page10"/>
      <sheetName val="Application_for_GM_Signature10"/>
      <sheetName val="Repayment_Summary2"/>
      <sheetName val="Board_Slide_36"/>
      <sheetName val="Flash_Export_Only36"/>
      <sheetName val="Navigation_&amp;_Assumptions36"/>
      <sheetName val="Flash_Template36"/>
      <sheetName val="CF_Summary36"/>
      <sheetName val="PG_Summary36"/>
      <sheetName val="HPCO__GAAP36"/>
      <sheetName val="HPCO__Pro_Forma36"/>
      <sheetName val="Monthly_Trend36"/>
      <sheetName val="Monthly_OpEx_Detail36"/>
      <sheetName val="CF_ASPIRE_compare36"/>
      <sheetName val="CF_yoy_Compare36"/>
      <sheetName val="CF_Sequential_Compare36"/>
      <sheetName val="CF_Implied_Month_3_$36"/>
      <sheetName val="CF_Implied_Month_3_%_of_Flash36"/>
      <sheetName val="PG_ASPIRE_Compare36"/>
      <sheetName val="PG_yoy_Compare36"/>
      <sheetName val="PG_Sequential_Compare36"/>
      <sheetName val="PG_Implied_Month_3_$36"/>
      <sheetName val="PG_Implied_Month_3_%_of_Flash36"/>
      <sheetName val="CF_ASPIRE_Comp_by_PC36"/>
      <sheetName val="CF_yoy_Comp_by_PC36"/>
      <sheetName val="CF_Seq_Comp_by_PC36"/>
      <sheetName val="CF_Implied_M3_by_PC_$36"/>
      <sheetName val="CF_Implied_M3_by_PC_%_Flash36"/>
      <sheetName val="PG_ASPIRE_Comp_by_PC36"/>
      <sheetName val="PG_yoy_Comp_by_PC36"/>
      <sheetName val="PG_Seq_Comp_by_PC36"/>
      <sheetName val="PG_Implied_M3_by_PC_$36"/>
      <sheetName val="PG_Implied_M3_by_PC_%_Flash36"/>
      <sheetName val="Comet_ASPIRE36"/>
      <sheetName val="Comet_yoy36"/>
      <sheetName val="Comet_Sequential36"/>
      <sheetName val="Comet_Implied_M3_(QTD)36"/>
      <sheetName val="Month_136"/>
      <sheetName val="Month_236"/>
      <sheetName val="Extr__Gain_Table36"/>
      <sheetName val="HP_yoy_GAAP36"/>
      <sheetName val="Raw_materials36"/>
      <sheetName val="Safety___P_A34"/>
      <sheetName val="Top_Lvl__Logic34"/>
      <sheetName val="Total_Financials36"/>
      <sheetName val="FY01_Actuals36"/>
      <sheetName val="FY00_Restated36"/>
      <sheetName val="FY01_Quota36"/>
      <sheetName val="Cover_Page4"/>
      <sheetName val="Application_for_GM_Signature4"/>
      <sheetName val="Board_Slide_34"/>
      <sheetName val="Flash_Export_Only34"/>
      <sheetName val="Navigation_&amp;_Assumptions34"/>
      <sheetName val="Flash_Template34"/>
      <sheetName val="CF_Summary34"/>
      <sheetName val="PG_Summary34"/>
      <sheetName val="HPCO__GAAP34"/>
      <sheetName val="HPCO__Pro_Forma34"/>
      <sheetName val="Monthly_Trend34"/>
      <sheetName val="Monthly_OpEx_Detail34"/>
      <sheetName val="CF_ASPIRE_compare34"/>
      <sheetName val="CF_yoy_Compare34"/>
      <sheetName val="CF_Sequential_Compare34"/>
      <sheetName val="CF_Implied_Month_3_$34"/>
      <sheetName val="CF_Implied_Month_3_%_of_Flash34"/>
      <sheetName val="PG_ASPIRE_Compare34"/>
      <sheetName val="PG_yoy_Compare34"/>
      <sheetName val="PG_Sequential_Compare34"/>
      <sheetName val="PG_Implied_Month_3_$34"/>
      <sheetName val="PG_Implied_Month_3_%_of_Flash34"/>
      <sheetName val="CF_ASPIRE_Comp_by_PC34"/>
      <sheetName val="CF_yoy_Comp_by_PC34"/>
      <sheetName val="CF_Seq_Comp_by_PC34"/>
      <sheetName val="CF_Implied_M3_by_PC_$34"/>
      <sheetName val="CF_Implied_M3_by_PC_%_Flash34"/>
      <sheetName val="PG_ASPIRE_Comp_by_PC34"/>
      <sheetName val="PG_yoy_Comp_by_PC34"/>
      <sheetName val="PG_Seq_Comp_by_PC34"/>
      <sheetName val="PG_Implied_M3_by_PC_$34"/>
      <sheetName val="PG_Implied_M3_by_PC_%_Flash34"/>
      <sheetName val="Comet_ASPIRE34"/>
      <sheetName val="Comet_yoy34"/>
      <sheetName val="Comet_Sequential34"/>
      <sheetName val="Comet_Implied_M3_(QTD)34"/>
      <sheetName val="Month_134"/>
      <sheetName val="Month_234"/>
      <sheetName val="Extr__Gain_Table34"/>
      <sheetName val="HP_yoy_GAAP34"/>
      <sheetName val="Raw_materials34"/>
      <sheetName val="Safety___P_A32"/>
      <sheetName val="Top_Lvl__Logic32"/>
      <sheetName val="Total_Financials34"/>
      <sheetName val="FY01_Actuals34"/>
      <sheetName val="FY00_Restated34"/>
      <sheetName val="FY01_Quota34"/>
      <sheetName val="Cover_Page2"/>
      <sheetName val="Application_for_GM_Signature2"/>
      <sheetName val="Board_Slide_35"/>
      <sheetName val="Flash_Export_Only35"/>
      <sheetName val="Navigation_&amp;_Assumptions35"/>
      <sheetName val="Flash_Template35"/>
      <sheetName val="CF_Summary35"/>
      <sheetName val="PG_Summary35"/>
      <sheetName val="HPCO__GAAP35"/>
      <sheetName val="HPCO__Pro_Forma35"/>
      <sheetName val="Monthly_Trend35"/>
      <sheetName val="Monthly_OpEx_Detail35"/>
      <sheetName val="CF_ASPIRE_compare35"/>
      <sheetName val="CF_yoy_Compare35"/>
      <sheetName val="CF_Sequential_Compare35"/>
      <sheetName val="CF_Implied_Month_3_$35"/>
      <sheetName val="CF_Implied_Month_3_%_of_Flash35"/>
      <sheetName val="PG_ASPIRE_Compare35"/>
      <sheetName val="PG_yoy_Compare35"/>
      <sheetName val="PG_Sequential_Compare35"/>
      <sheetName val="PG_Implied_Month_3_$35"/>
      <sheetName val="PG_Implied_Month_3_%_of_Flash35"/>
      <sheetName val="CF_ASPIRE_Comp_by_PC35"/>
      <sheetName val="CF_yoy_Comp_by_PC35"/>
      <sheetName val="CF_Seq_Comp_by_PC35"/>
      <sheetName val="CF_Implied_M3_by_PC_$35"/>
      <sheetName val="CF_Implied_M3_by_PC_%_Flash35"/>
      <sheetName val="PG_ASPIRE_Comp_by_PC35"/>
      <sheetName val="PG_yoy_Comp_by_PC35"/>
      <sheetName val="PG_Seq_Comp_by_PC35"/>
      <sheetName val="PG_Implied_M3_by_PC_$35"/>
      <sheetName val="PG_Implied_M3_by_PC_%_Flash35"/>
      <sheetName val="Comet_ASPIRE35"/>
      <sheetName val="Comet_yoy35"/>
      <sheetName val="Comet_Sequential35"/>
      <sheetName val="Comet_Implied_M3_(QTD)35"/>
      <sheetName val="Month_135"/>
      <sheetName val="Month_235"/>
      <sheetName val="Extr__Gain_Table35"/>
      <sheetName val="HP_yoy_GAAP35"/>
      <sheetName val="Raw_materials35"/>
      <sheetName val="Safety___P_A33"/>
      <sheetName val="Top_Lvl__Logic33"/>
      <sheetName val="Total_Financials35"/>
      <sheetName val="FY01_Actuals35"/>
      <sheetName val="FY00_Restated35"/>
      <sheetName val="FY01_Quota35"/>
      <sheetName val="Cover_Page3"/>
      <sheetName val="Application_for_GM_Signature3"/>
      <sheetName val="Board_Slide_39"/>
      <sheetName val="Flash_Export_Only39"/>
      <sheetName val="Navigation_&amp;_Assumptions39"/>
      <sheetName val="Flash_Template39"/>
      <sheetName val="CF_Summary39"/>
      <sheetName val="PG_Summary39"/>
      <sheetName val="HPCO__GAAP39"/>
      <sheetName val="HPCO__Pro_Forma39"/>
      <sheetName val="Monthly_Trend39"/>
      <sheetName val="Monthly_OpEx_Detail39"/>
      <sheetName val="CF_ASPIRE_compare39"/>
      <sheetName val="CF_yoy_Compare39"/>
      <sheetName val="CF_Sequential_Compare39"/>
      <sheetName val="CF_Implied_Month_3_$39"/>
      <sheetName val="CF_Implied_Month_3_%_of_Flash39"/>
      <sheetName val="PG_ASPIRE_Compare39"/>
      <sheetName val="PG_yoy_Compare39"/>
      <sheetName val="PG_Sequential_Compare39"/>
      <sheetName val="PG_Implied_Month_3_$39"/>
      <sheetName val="PG_Implied_Month_3_%_of_Flash39"/>
      <sheetName val="CF_ASPIRE_Comp_by_PC39"/>
      <sheetName val="CF_yoy_Comp_by_PC39"/>
      <sheetName val="CF_Seq_Comp_by_PC39"/>
      <sheetName val="CF_Implied_M3_by_PC_$39"/>
      <sheetName val="CF_Implied_M3_by_PC_%_Flash39"/>
      <sheetName val="PG_ASPIRE_Comp_by_PC39"/>
      <sheetName val="PG_yoy_Comp_by_PC39"/>
      <sheetName val="PG_Seq_Comp_by_PC39"/>
      <sheetName val="PG_Implied_M3_by_PC_$39"/>
      <sheetName val="PG_Implied_M3_by_PC_%_Flash39"/>
      <sheetName val="Comet_ASPIRE39"/>
      <sheetName val="Comet_yoy39"/>
      <sheetName val="Comet_Sequential39"/>
      <sheetName val="Comet_Implied_M3_(QTD)39"/>
      <sheetName val="Month_139"/>
      <sheetName val="Month_239"/>
      <sheetName val="Extr__Gain_Table39"/>
      <sheetName val="HP_yoy_GAAP39"/>
      <sheetName val="Raw_materials39"/>
      <sheetName val="Safety___P_A37"/>
      <sheetName val="Top_Lvl__Logic37"/>
      <sheetName val="Total_Financials39"/>
      <sheetName val="FY01_Actuals39"/>
      <sheetName val="FY00_Restated39"/>
      <sheetName val="FY01_Quota39"/>
      <sheetName val="Cover_Page7"/>
      <sheetName val="Application_for_GM_Signature7"/>
      <sheetName val="Board_Slide_37"/>
      <sheetName val="Flash_Export_Only37"/>
      <sheetName val="Navigation_&amp;_Assumptions37"/>
      <sheetName val="Flash_Template37"/>
      <sheetName val="CF_Summary37"/>
      <sheetName val="PG_Summary37"/>
      <sheetName val="HPCO__GAAP37"/>
      <sheetName val="HPCO__Pro_Forma37"/>
      <sheetName val="Monthly_Trend37"/>
      <sheetName val="Monthly_OpEx_Detail37"/>
      <sheetName val="CF_ASPIRE_compare37"/>
      <sheetName val="CF_yoy_Compare37"/>
      <sheetName val="CF_Sequential_Compare37"/>
      <sheetName val="CF_Implied_Month_3_$37"/>
      <sheetName val="CF_Implied_Month_3_%_of_Flash37"/>
      <sheetName val="PG_ASPIRE_Compare37"/>
      <sheetName val="PG_yoy_Compare37"/>
      <sheetName val="PG_Sequential_Compare37"/>
      <sheetName val="PG_Implied_Month_3_$37"/>
      <sheetName val="PG_Implied_Month_3_%_of_Flash37"/>
      <sheetName val="CF_ASPIRE_Comp_by_PC37"/>
      <sheetName val="CF_yoy_Comp_by_PC37"/>
      <sheetName val="CF_Seq_Comp_by_PC37"/>
      <sheetName val="CF_Implied_M3_by_PC_$37"/>
      <sheetName val="CF_Implied_M3_by_PC_%_Flash37"/>
      <sheetName val="PG_ASPIRE_Comp_by_PC37"/>
      <sheetName val="PG_yoy_Comp_by_PC37"/>
      <sheetName val="PG_Seq_Comp_by_PC37"/>
      <sheetName val="PG_Implied_M3_by_PC_$37"/>
      <sheetName val="PG_Implied_M3_by_PC_%_Flash37"/>
      <sheetName val="Comet_ASPIRE37"/>
      <sheetName val="Comet_yoy37"/>
      <sheetName val="Comet_Sequential37"/>
      <sheetName val="Comet_Implied_M3_(QTD)37"/>
      <sheetName val="Month_137"/>
      <sheetName val="Month_237"/>
      <sheetName val="Extr__Gain_Table37"/>
      <sheetName val="HP_yoy_GAAP37"/>
      <sheetName val="Raw_materials37"/>
      <sheetName val="Safety___P_A35"/>
      <sheetName val="Top_Lvl__Logic35"/>
      <sheetName val="Total_Financials37"/>
      <sheetName val="FY01_Actuals37"/>
      <sheetName val="FY00_Restated37"/>
      <sheetName val="FY01_Quota37"/>
      <sheetName val="Cover_Page5"/>
      <sheetName val="Application_for_GM_Signature5"/>
      <sheetName val="Board_Slide_38"/>
      <sheetName val="Flash_Export_Only38"/>
      <sheetName val="Navigation_&amp;_Assumptions38"/>
      <sheetName val="Flash_Template38"/>
      <sheetName val="CF_Summary38"/>
      <sheetName val="PG_Summary38"/>
      <sheetName val="HPCO__GAAP38"/>
      <sheetName val="HPCO__Pro_Forma38"/>
      <sheetName val="Monthly_Trend38"/>
      <sheetName val="Monthly_OpEx_Detail38"/>
      <sheetName val="CF_ASPIRE_compare38"/>
      <sheetName val="CF_yoy_Compare38"/>
      <sheetName val="CF_Sequential_Compare38"/>
      <sheetName val="CF_Implied_Month_3_$38"/>
      <sheetName val="CF_Implied_Month_3_%_of_Flash38"/>
      <sheetName val="PG_ASPIRE_Compare38"/>
      <sheetName val="PG_yoy_Compare38"/>
      <sheetName val="PG_Sequential_Compare38"/>
      <sheetName val="PG_Implied_Month_3_$38"/>
      <sheetName val="PG_Implied_Month_3_%_of_Flash38"/>
      <sheetName val="CF_ASPIRE_Comp_by_PC38"/>
      <sheetName val="CF_yoy_Comp_by_PC38"/>
      <sheetName val="CF_Seq_Comp_by_PC38"/>
      <sheetName val="CF_Implied_M3_by_PC_$38"/>
      <sheetName val="CF_Implied_M3_by_PC_%_Flash38"/>
      <sheetName val="PG_ASPIRE_Comp_by_PC38"/>
      <sheetName val="PG_yoy_Comp_by_PC38"/>
      <sheetName val="PG_Seq_Comp_by_PC38"/>
      <sheetName val="PG_Implied_M3_by_PC_$38"/>
      <sheetName val="PG_Implied_M3_by_PC_%_Flash38"/>
      <sheetName val="Comet_ASPIRE38"/>
      <sheetName val="Comet_yoy38"/>
      <sheetName val="Comet_Sequential38"/>
      <sheetName val="Comet_Implied_M3_(QTD)38"/>
      <sheetName val="Month_138"/>
      <sheetName val="Month_238"/>
      <sheetName val="Extr__Gain_Table38"/>
      <sheetName val="HP_yoy_GAAP38"/>
      <sheetName val="Raw_materials38"/>
      <sheetName val="Safety___P_A36"/>
      <sheetName val="Top_Lvl__Logic36"/>
      <sheetName val="Total_Financials38"/>
      <sheetName val="FY01_Actuals38"/>
      <sheetName val="FY00_Restated38"/>
      <sheetName val="FY01_Quota38"/>
      <sheetName val="Cover_Page6"/>
      <sheetName val="Application_for_GM_Signature6"/>
      <sheetName val="Board_Slide_40"/>
      <sheetName val="Flash_Export_Only40"/>
      <sheetName val="Navigation_&amp;_Assumptions40"/>
      <sheetName val="Flash_Template40"/>
      <sheetName val="CF_Summary40"/>
      <sheetName val="PG_Summary40"/>
      <sheetName val="HPCO__GAAP40"/>
      <sheetName val="HPCO__Pro_Forma40"/>
      <sheetName val="Monthly_Trend40"/>
      <sheetName val="Monthly_OpEx_Detail40"/>
      <sheetName val="CF_ASPIRE_compare40"/>
      <sheetName val="CF_yoy_Compare40"/>
      <sheetName val="CF_Sequential_Compare40"/>
      <sheetName val="CF_Implied_Month_3_$40"/>
      <sheetName val="CF_Implied_Month_3_%_of_Flash40"/>
      <sheetName val="PG_ASPIRE_Compare40"/>
      <sheetName val="PG_yoy_Compare40"/>
      <sheetName val="PG_Sequential_Compare40"/>
      <sheetName val="PG_Implied_Month_3_$40"/>
      <sheetName val="PG_Implied_Month_3_%_of_Flash40"/>
      <sheetName val="CF_ASPIRE_Comp_by_PC40"/>
      <sheetName val="CF_yoy_Comp_by_PC40"/>
      <sheetName val="CF_Seq_Comp_by_PC40"/>
      <sheetName val="CF_Implied_M3_by_PC_$40"/>
      <sheetName val="CF_Implied_M3_by_PC_%_Flash40"/>
      <sheetName val="PG_ASPIRE_Comp_by_PC40"/>
      <sheetName val="PG_yoy_Comp_by_PC40"/>
      <sheetName val="PG_Seq_Comp_by_PC40"/>
      <sheetName val="PG_Implied_M3_by_PC_$40"/>
      <sheetName val="PG_Implied_M3_by_PC_%_Flash40"/>
      <sheetName val="Comet_ASPIRE40"/>
      <sheetName val="Comet_yoy40"/>
      <sheetName val="Comet_Sequential40"/>
      <sheetName val="Comet_Implied_M3_(QTD)40"/>
      <sheetName val="Month_140"/>
      <sheetName val="Month_240"/>
      <sheetName val="Extr__Gain_Table40"/>
      <sheetName val="HP_yoy_GAAP40"/>
      <sheetName val="Raw_materials40"/>
      <sheetName val="Safety___P_A38"/>
      <sheetName val="Top_Lvl__Logic38"/>
      <sheetName val="Total_Financials40"/>
      <sheetName val="FY01_Actuals40"/>
      <sheetName val="FY00_Restated40"/>
      <sheetName val="FY01_Quota40"/>
      <sheetName val="Cover_Page8"/>
      <sheetName val="Application_for_GM_Signature8"/>
      <sheetName val="Repayment_Summary"/>
      <sheetName val="Board_Slide_41"/>
      <sheetName val="Flash_Export_Only41"/>
      <sheetName val="Navigation_&amp;_Assumptions41"/>
      <sheetName val="Flash_Template41"/>
      <sheetName val="CF_Summary41"/>
      <sheetName val="PG_Summary41"/>
      <sheetName val="HPCO__GAAP41"/>
      <sheetName val="HPCO__Pro_Forma41"/>
      <sheetName val="Monthly_Trend41"/>
      <sheetName val="Monthly_OpEx_Detail41"/>
      <sheetName val="CF_ASPIRE_compare41"/>
      <sheetName val="CF_yoy_Compare41"/>
      <sheetName val="CF_Sequential_Compare41"/>
      <sheetName val="CF_Implied_Month_3_$41"/>
      <sheetName val="CF_Implied_Month_3_%_of_Flash41"/>
      <sheetName val="PG_ASPIRE_Compare41"/>
      <sheetName val="PG_yoy_Compare41"/>
      <sheetName val="PG_Sequential_Compare41"/>
      <sheetName val="PG_Implied_Month_3_$41"/>
      <sheetName val="PG_Implied_Month_3_%_of_Flash41"/>
      <sheetName val="CF_ASPIRE_Comp_by_PC41"/>
      <sheetName val="CF_yoy_Comp_by_PC41"/>
      <sheetName val="CF_Seq_Comp_by_PC41"/>
      <sheetName val="CF_Implied_M3_by_PC_$41"/>
      <sheetName val="CF_Implied_M3_by_PC_%_Flash41"/>
      <sheetName val="PG_ASPIRE_Comp_by_PC41"/>
      <sheetName val="PG_yoy_Comp_by_PC41"/>
      <sheetName val="PG_Seq_Comp_by_PC41"/>
      <sheetName val="PG_Implied_M3_by_PC_$41"/>
      <sheetName val="PG_Implied_M3_by_PC_%_Flash41"/>
      <sheetName val="Comet_ASPIRE41"/>
      <sheetName val="Comet_yoy41"/>
      <sheetName val="Comet_Sequential41"/>
      <sheetName val="Comet_Implied_M3_(QTD)41"/>
      <sheetName val="Month_141"/>
      <sheetName val="Month_241"/>
      <sheetName val="Extr__Gain_Table41"/>
      <sheetName val="HP_yoy_GAAP41"/>
      <sheetName val="Raw_materials41"/>
      <sheetName val="Safety___P_A39"/>
      <sheetName val="Top_Lvl__Logic39"/>
      <sheetName val="Total_Financials41"/>
      <sheetName val="FY01_Actuals41"/>
      <sheetName val="FY00_Restated41"/>
      <sheetName val="FY01_Quota41"/>
      <sheetName val="Cover_Page9"/>
      <sheetName val="Application_for_GM_Signature9"/>
      <sheetName val="Repayment_Summary1"/>
      <sheetName val="ANALISIS"/>
      <sheetName val="Pull HP Wide"/>
      <sheetName val="Pull All SFs"/>
      <sheetName val="NVA-300T返品リスト"/>
      <sheetName val="22年计划"/>
      <sheetName val="3D ASPIRE Table"/>
      <sheetName val="dec05 pl"/>
      <sheetName val="INPUT - Data Table"/>
      <sheetName val="Instructions"/>
      <sheetName val="LOV"/>
      <sheetName val="Global variables"/>
      <sheetName val="津贴"/>
      <sheetName val="Consolidated NEW"/>
      <sheetName val="Start Here!"/>
      <sheetName val="Master Data"/>
      <sheetName val="Planner"/>
      <sheetName val="Hidden"/>
      <sheetName val="单元格下拉项"/>
      <sheetName val="Basic PMM"/>
      <sheetName val="Full PMM"/>
      <sheetName val="AmeSum"/>
      <sheetName val="Board_Slide_43"/>
      <sheetName val="Flash_Export_Only43"/>
      <sheetName val="Navigation_&amp;_Assumptions43"/>
      <sheetName val="Flash_Template43"/>
      <sheetName val="CF_Summary43"/>
      <sheetName val="PG_Summary43"/>
      <sheetName val="HPCO__GAAP43"/>
      <sheetName val="HPCO__Pro_Forma43"/>
      <sheetName val="Monthly_Trend43"/>
      <sheetName val="Monthly_OpEx_Detail43"/>
      <sheetName val="CF_ASPIRE_compare43"/>
      <sheetName val="CF_yoy_Compare43"/>
      <sheetName val="CF_Sequential_Compare43"/>
      <sheetName val="CF_Implied_Month_3_$43"/>
      <sheetName val="CF_Implied_Month_3_%_of_Flash43"/>
      <sheetName val="PG_ASPIRE_Compare43"/>
      <sheetName val="PG_yoy_Compare43"/>
      <sheetName val="PG_Sequential_Compare43"/>
      <sheetName val="PG_Implied_Month_3_$43"/>
      <sheetName val="PG_Implied_Month_3_%_of_Flash43"/>
      <sheetName val="CF_ASPIRE_Comp_by_PC43"/>
      <sheetName val="CF_yoy_Comp_by_PC43"/>
      <sheetName val="CF_Seq_Comp_by_PC43"/>
      <sheetName val="CF_Implied_M3_by_PC_$43"/>
      <sheetName val="CF_Implied_M3_by_PC_%_Flash43"/>
      <sheetName val="PG_ASPIRE_Comp_by_PC43"/>
      <sheetName val="PG_yoy_Comp_by_PC43"/>
      <sheetName val="PG_Seq_Comp_by_PC43"/>
      <sheetName val="PG_Implied_M3_by_PC_$43"/>
      <sheetName val="PG_Implied_M3_by_PC_%_Flash43"/>
      <sheetName val="Comet_ASPIRE43"/>
      <sheetName val="Comet_yoy43"/>
      <sheetName val="Comet_Sequential43"/>
      <sheetName val="Comet_Implied_M3_(QTD)43"/>
      <sheetName val="Month_143"/>
      <sheetName val="Month_243"/>
      <sheetName val="Extr__Gain_Table43"/>
      <sheetName val="HP_yoy_GAAP43"/>
      <sheetName val="Raw_materials43"/>
      <sheetName val="Safety___P_A41"/>
      <sheetName val="Top_Lvl__Logic41"/>
      <sheetName val="Total_Financials43"/>
      <sheetName val="FY01_Actuals43"/>
      <sheetName val="FY00_Restated43"/>
      <sheetName val="FY01_Quota43"/>
      <sheetName val="Cover_Page11"/>
      <sheetName val="Application_for_GM_Signature11"/>
      <sheetName val="Repayment_Summary3"/>
      <sheetName val="Board_Slide_44"/>
      <sheetName val="Flash_Export_Only44"/>
      <sheetName val="Navigation_&amp;_Assumptions44"/>
      <sheetName val="Flash_Template44"/>
      <sheetName val="CF_Summary44"/>
      <sheetName val="PG_Summary44"/>
      <sheetName val="HPCO__GAAP44"/>
      <sheetName val="HPCO__Pro_Forma44"/>
      <sheetName val="Monthly_Trend44"/>
      <sheetName val="Monthly_OpEx_Detail44"/>
      <sheetName val="CF_ASPIRE_compare44"/>
      <sheetName val="CF_yoy_Compare44"/>
      <sheetName val="CF_Sequential_Compare44"/>
      <sheetName val="CF_Implied_Month_3_$44"/>
      <sheetName val="CF_Implied_Month_3_%_of_Flash44"/>
      <sheetName val="PG_ASPIRE_Compare44"/>
      <sheetName val="PG_yoy_Compare44"/>
      <sheetName val="PG_Sequential_Compare44"/>
      <sheetName val="PG_Implied_Month_3_$44"/>
      <sheetName val="PG_Implied_Month_3_%_of_Flash44"/>
      <sheetName val="CF_ASPIRE_Comp_by_PC44"/>
      <sheetName val="CF_yoy_Comp_by_PC44"/>
      <sheetName val="CF_Seq_Comp_by_PC44"/>
      <sheetName val="CF_Implied_M3_by_PC_$44"/>
      <sheetName val="CF_Implied_M3_by_PC_%_Flash44"/>
      <sheetName val="PG_ASPIRE_Comp_by_PC44"/>
      <sheetName val="PG_yoy_Comp_by_PC44"/>
      <sheetName val="PG_Seq_Comp_by_PC44"/>
      <sheetName val="PG_Implied_M3_by_PC_$44"/>
      <sheetName val="PG_Implied_M3_by_PC_%_Flash44"/>
      <sheetName val="Comet_ASPIRE44"/>
      <sheetName val="Comet_yoy44"/>
      <sheetName val="Comet_Sequential44"/>
      <sheetName val="Comet_Implied_M3_(QTD)44"/>
      <sheetName val="Month_144"/>
      <sheetName val="Month_244"/>
      <sheetName val="Extr__Gain_Table44"/>
      <sheetName val="HP_yoy_GAAP44"/>
      <sheetName val="Raw_materials44"/>
      <sheetName val="Safety___P_A42"/>
      <sheetName val="Top_Lvl__Logic42"/>
      <sheetName val="Total_Financials44"/>
      <sheetName val="FY01_Actuals44"/>
      <sheetName val="FY00_Restated44"/>
      <sheetName val="FY01_Quota44"/>
      <sheetName val="Cover_Page12"/>
      <sheetName val="Application_for_GM_Signature12"/>
      <sheetName val="Repayment_Summary4"/>
      <sheetName val="Board_Slide_45"/>
      <sheetName val="Flash_Export_Only45"/>
      <sheetName val="Navigation_&amp;_Assumptions45"/>
      <sheetName val="Flash_Template45"/>
      <sheetName val="CF_Summary45"/>
      <sheetName val="PG_Summary45"/>
      <sheetName val="HPCO__GAAP45"/>
      <sheetName val="HPCO__Pro_Forma45"/>
      <sheetName val="Monthly_Trend45"/>
      <sheetName val="Monthly_OpEx_Detail45"/>
      <sheetName val="CF_ASPIRE_compare45"/>
      <sheetName val="CF_yoy_Compare45"/>
      <sheetName val="CF_Sequential_Compare45"/>
      <sheetName val="CF_Implied_Month_3_$45"/>
      <sheetName val="CF_Implied_Month_3_%_of_Flash45"/>
      <sheetName val="PG_ASPIRE_Compare45"/>
      <sheetName val="PG_yoy_Compare45"/>
      <sheetName val="PG_Sequential_Compare45"/>
      <sheetName val="PG_Implied_Month_3_$45"/>
      <sheetName val="PG_Implied_Month_3_%_of_Flash45"/>
      <sheetName val="CF_ASPIRE_Comp_by_PC45"/>
      <sheetName val="CF_yoy_Comp_by_PC45"/>
      <sheetName val="CF_Seq_Comp_by_PC45"/>
      <sheetName val="CF_Implied_M3_by_PC_$45"/>
      <sheetName val="CF_Implied_M3_by_PC_%_Flash45"/>
      <sheetName val="PG_ASPIRE_Comp_by_PC45"/>
      <sheetName val="PG_yoy_Comp_by_PC45"/>
      <sheetName val="PG_Seq_Comp_by_PC45"/>
      <sheetName val="PG_Implied_M3_by_PC_$45"/>
      <sheetName val="PG_Implied_M3_by_PC_%_Flash45"/>
      <sheetName val="Comet_ASPIRE45"/>
      <sheetName val="Comet_yoy45"/>
      <sheetName val="Comet_Sequential45"/>
      <sheetName val="Comet_Implied_M3_(QTD)45"/>
      <sheetName val="Month_145"/>
      <sheetName val="Month_245"/>
      <sheetName val="Extr__Gain_Table45"/>
      <sheetName val="HP_yoy_GAAP45"/>
      <sheetName val="Raw_materials45"/>
      <sheetName val="Total_Financials45"/>
      <sheetName val="FY01_Actuals45"/>
      <sheetName val="FY00_Restated45"/>
      <sheetName val="FY01_Quota45"/>
      <sheetName val="Safety___P_A43"/>
      <sheetName val="Top_Lvl__Logic43"/>
      <sheetName val="Cover_Page13"/>
      <sheetName val="Application_for_GM_Signature13"/>
      <sheetName val="Repayment_Summary5"/>
      <sheetName val="Board_Slide_46"/>
      <sheetName val="Flash_Export_Only46"/>
      <sheetName val="Navigation_&amp;_Assumptions46"/>
      <sheetName val="Flash_Template46"/>
      <sheetName val="CF_Summary46"/>
      <sheetName val="PG_Summary46"/>
      <sheetName val="HPCO__GAAP46"/>
      <sheetName val="HPCO__Pro_Forma46"/>
      <sheetName val="Monthly_Trend46"/>
      <sheetName val="Monthly_OpEx_Detail46"/>
      <sheetName val="CF_ASPIRE_compare46"/>
      <sheetName val="CF_yoy_Compare46"/>
      <sheetName val="CF_Sequential_Compare46"/>
      <sheetName val="CF_Implied_Month_3_$46"/>
      <sheetName val="CF_Implied_Month_3_%_of_Flash46"/>
      <sheetName val="PG_ASPIRE_Compare46"/>
      <sheetName val="PG_yoy_Compare46"/>
      <sheetName val="PG_Sequential_Compare46"/>
      <sheetName val="PG_Implied_Month_3_$46"/>
      <sheetName val="PG_Implied_Month_3_%_of_Flash46"/>
      <sheetName val="CF_ASPIRE_Comp_by_PC46"/>
      <sheetName val="CF_yoy_Comp_by_PC46"/>
      <sheetName val="CF_Seq_Comp_by_PC46"/>
      <sheetName val="CF_Implied_M3_by_PC_$46"/>
      <sheetName val="CF_Implied_M3_by_PC_%_Flash46"/>
      <sheetName val="PG_ASPIRE_Comp_by_PC46"/>
      <sheetName val="PG_yoy_Comp_by_PC46"/>
      <sheetName val="PG_Seq_Comp_by_PC46"/>
      <sheetName val="PG_Implied_M3_by_PC_$46"/>
      <sheetName val="PG_Implied_M3_by_PC_%_Flash46"/>
      <sheetName val="Comet_ASPIRE46"/>
      <sheetName val="Comet_yoy46"/>
      <sheetName val="Comet_Sequential46"/>
      <sheetName val="Comet_Implied_M3_(QTD)46"/>
      <sheetName val="Month_146"/>
      <sheetName val="Month_246"/>
      <sheetName val="Extr__Gain_Table46"/>
      <sheetName val="HP_yoy_GAAP46"/>
      <sheetName val="Raw_materials46"/>
      <sheetName val="Total_Financials46"/>
      <sheetName val="FY01_Actuals46"/>
      <sheetName val="FY00_Restated46"/>
      <sheetName val="FY01_Quota46"/>
      <sheetName val="Safety___P_A44"/>
      <sheetName val="Top_Lvl__Logic44"/>
      <sheetName val="Cover_Page14"/>
      <sheetName val="Application_for_GM_Signature14"/>
      <sheetName val="Repayment_Summary6"/>
      <sheetName val="Board_Slide_47"/>
      <sheetName val="Flash_Export_Only47"/>
      <sheetName val="Navigation_&amp;_Assumptions47"/>
      <sheetName val="Flash_Template47"/>
      <sheetName val="CF_Summary47"/>
      <sheetName val="PG_Summary47"/>
      <sheetName val="HPCO__GAAP47"/>
      <sheetName val="HPCO__Pro_Forma47"/>
      <sheetName val="Monthly_Trend47"/>
      <sheetName val="Monthly_OpEx_Detail47"/>
      <sheetName val="CF_ASPIRE_compare47"/>
      <sheetName val="CF_yoy_Compare47"/>
      <sheetName val="CF_Sequential_Compare47"/>
      <sheetName val="CF_Implied_Month_3_$47"/>
      <sheetName val="CF_Implied_Month_3_%_of_Flash47"/>
      <sheetName val="PG_ASPIRE_Compare47"/>
      <sheetName val="PG_yoy_Compare47"/>
      <sheetName val="PG_Sequential_Compare47"/>
      <sheetName val="PG_Implied_Month_3_$47"/>
      <sheetName val="PG_Implied_Month_3_%_of_Flash47"/>
      <sheetName val="CF_ASPIRE_Comp_by_PC47"/>
      <sheetName val="CF_yoy_Comp_by_PC47"/>
      <sheetName val="CF_Seq_Comp_by_PC47"/>
      <sheetName val="CF_Implied_M3_by_PC_$47"/>
      <sheetName val="CF_Implied_M3_by_PC_%_Flash47"/>
      <sheetName val="PG_ASPIRE_Comp_by_PC47"/>
      <sheetName val="PG_yoy_Comp_by_PC47"/>
      <sheetName val="PG_Seq_Comp_by_PC47"/>
      <sheetName val="PG_Implied_M3_by_PC_$47"/>
      <sheetName val="PG_Implied_M3_by_PC_%_Flash47"/>
      <sheetName val="Comet_ASPIRE47"/>
      <sheetName val="Comet_yoy47"/>
      <sheetName val="Comet_Sequential47"/>
      <sheetName val="Comet_Implied_M3_(QTD)47"/>
      <sheetName val="Month_147"/>
      <sheetName val="Month_247"/>
      <sheetName val="Extr__Gain_Table47"/>
      <sheetName val="HP_yoy_GAAP47"/>
      <sheetName val="Raw_materials47"/>
      <sheetName val="Total_Financials47"/>
      <sheetName val="FY01_Actuals47"/>
      <sheetName val="FY00_Restated47"/>
      <sheetName val="FY01_Quota47"/>
      <sheetName val="Safety___P_A45"/>
      <sheetName val="Top_Lvl__Logic45"/>
      <sheetName val="Cover_Page15"/>
      <sheetName val="Application_for_GM_Signature15"/>
      <sheetName val="Repayment_Summary7"/>
      <sheetName val="Board_Slide_48"/>
      <sheetName val="Flash_Export_Only48"/>
      <sheetName val="Navigation_&amp;_Assumptions48"/>
      <sheetName val="Flash_Template48"/>
      <sheetName val="CF_Summary48"/>
      <sheetName val="PG_Summary48"/>
      <sheetName val="HPCO__GAAP48"/>
      <sheetName val="HPCO__Pro_Forma48"/>
      <sheetName val="Monthly_Trend48"/>
      <sheetName val="Monthly_OpEx_Detail48"/>
      <sheetName val="CF_ASPIRE_compare48"/>
      <sheetName val="CF_yoy_Compare48"/>
      <sheetName val="CF_Sequential_Compare48"/>
      <sheetName val="CF_Implied_Month_3_$48"/>
      <sheetName val="CF_Implied_Month_3_%_of_Flash48"/>
      <sheetName val="PG_ASPIRE_Compare48"/>
      <sheetName val="PG_yoy_Compare48"/>
      <sheetName val="PG_Sequential_Compare48"/>
      <sheetName val="PG_Implied_Month_3_$48"/>
      <sheetName val="PG_Implied_Month_3_%_of_Flash48"/>
      <sheetName val="CF_ASPIRE_Comp_by_PC48"/>
      <sheetName val="CF_yoy_Comp_by_PC48"/>
      <sheetName val="CF_Seq_Comp_by_PC48"/>
      <sheetName val="CF_Implied_M3_by_PC_$48"/>
      <sheetName val="CF_Implied_M3_by_PC_%_Flash48"/>
      <sheetName val="PG_ASPIRE_Comp_by_PC48"/>
      <sheetName val="PG_yoy_Comp_by_PC48"/>
      <sheetName val="PG_Seq_Comp_by_PC48"/>
      <sheetName val="PG_Implied_M3_by_PC_$48"/>
      <sheetName val="PG_Implied_M3_by_PC_%_Flash48"/>
      <sheetName val="Comet_ASPIRE48"/>
      <sheetName val="Comet_yoy48"/>
      <sheetName val="Comet_Sequential48"/>
      <sheetName val="Comet_Implied_M3_(QTD)48"/>
      <sheetName val="Month_148"/>
      <sheetName val="Month_248"/>
      <sheetName val="Extr__Gain_Table48"/>
      <sheetName val="HP_yoy_GAAP48"/>
      <sheetName val="Raw_materials48"/>
      <sheetName val="Safety___P_A46"/>
      <sheetName val="Top_Lvl__Logic46"/>
      <sheetName val="Total_Financials48"/>
      <sheetName val="FY01_Actuals48"/>
      <sheetName val="FY00_Restated48"/>
      <sheetName val="FY01_Quota48"/>
      <sheetName val="Cover_Page16"/>
      <sheetName val="Application_for_GM_Signature16"/>
      <sheetName val="Repayment_Summary8"/>
      <sheetName val="Board_Slide_50"/>
      <sheetName val="Flash_Export_Only50"/>
      <sheetName val="Navigation_&amp;_Assumptions50"/>
      <sheetName val="Flash_Template50"/>
      <sheetName val="CF_Summary50"/>
      <sheetName val="PG_Summary50"/>
      <sheetName val="HPCO__GAAP50"/>
      <sheetName val="HPCO__Pro_Forma50"/>
      <sheetName val="Monthly_Trend50"/>
      <sheetName val="Monthly_OpEx_Detail50"/>
      <sheetName val="CF_ASPIRE_compare50"/>
      <sheetName val="CF_yoy_Compare50"/>
      <sheetName val="CF_Sequential_Compare50"/>
      <sheetName val="CF_Implied_Month_3_$50"/>
      <sheetName val="CF_Implied_Month_3_%_of_Flash50"/>
      <sheetName val="PG_ASPIRE_Compare50"/>
      <sheetName val="PG_yoy_Compare50"/>
      <sheetName val="PG_Sequential_Compare50"/>
      <sheetName val="PG_Implied_Month_3_$50"/>
      <sheetName val="PG_Implied_Month_3_%_of_Flash50"/>
      <sheetName val="CF_ASPIRE_Comp_by_PC50"/>
      <sheetName val="CF_yoy_Comp_by_PC50"/>
      <sheetName val="CF_Seq_Comp_by_PC50"/>
      <sheetName val="CF_Implied_M3_by_PC_$50"/>
      <sheetName val="CF_Implied_M3_by_PC_%_Flash50"/>
      <sheetName val="PG_ASPIRE_Comp_by_PC50"/>
      <sheetName val="PG_yoy_Comp_by_PC50"/>
      <sheetName val="PG_Seq_Comp_by_PC50"/>
      <sheetName val="PG_Implied_M3_by_PC_$50"/>
      <sheetName val="PG_Implied_M3_by_PC_%_Flash50"/>
      <sheetName val="Comet_ASPIRE50"/>
      <sheetName val="Comet_yoy50"/>
      <sheetName val="Comet_Sequential50"/>
      <sheetName val="Comet_Implied_M3_(QTD)50"/>
      <sheetName val="Month_150"/>
      <sheetName val="Month_250"/>
      <sheetName val="Extr__Gain_Table50"/>
      <sheetName val="HP_yoy_GAAP50"/>
      <sheetName val="Raw_materials50"/>
      <sheetName val="Safety___P_A48"/>
      <sheetName val="Top_Lvl__Logic48"/>
      <sheetName val="Total_Financials50"/>
      <sheetName val="FY01_Actuals50"/>
      <sheetName val="FY00_Restated50"/>
      <sheetName val="FY01_Quota50"/>
      <sheetName val="Cover_Page18"/>
      <sheetName val="Application_for_GM_Signature18"/>
      <sheetName val="Repayment_Summary10"/>
      <sheetName val="Board_Slide_49"/>
      <sheetName val="Flash_Export_Only49"/>
      <sheetName val="Navigation_&amp;_Assumptions49"/>
      <sheetName val="Flash_Template49"/>
      <sheetName val="CF_Summary49"/>
      <sheetName val="PG_Summary49"/>
      <sheetName val="HPCO__GAAP49"/>
      <sheetName val="HPCO__Pro_Forma49"/>
      <sheetName val="Monthly_Trend49"/>
      <sheetName val="Monthly_OpEx_Detail49"/>
      <sheetName val="CF_ASPIRE_compare49"/>
      <sheetName val="CF_yoy_Compare49"/>
      <sheetName val="CF_Sequential_Compare49"/>
      <sheetName val="CF_Implied_Month_3_$49"/>
      <sheetName val="CF_Implied_Month_3_%_of_Flash49"/>
      <sheetName val="PG_ASPIRE_Compare49"/>
      <sheetName val="PG_yoy_Compare49"/>
      <sheetName val="PG_Sequential_Compare49"/>
      <sheetName val="PG_Implied_Month_3_$49"/>
      <sheetName val="PG_Implied_Month_3_%_of_Flash49"/>
      <sheetName val="CF_ASPIRE_Comp_by_PC49"/>
      <sheetName val="CF_yoy_Comp_by_PC49"/>
      <sheetName val="CF_Seq_Comp_by_PC49"/>
      <sheetName val="CF_Implied_M3_by_PC_$49"/>
      <sheetName val="CF_Implied_M3_by_PC_%_Flash49"/>
      <sheetName val="PG_ASPIRE_Comp_by_PC49"/>
      <sheetName val="PG_yoy_Comp_by_PC49"/>
      <sheetName val="PG_Seq_Comp_by_PC49"/>
      <sheetName val="PG_Implied_M3_by_PC_$49"/>
      <sheetName val="PG_Implied_M3_by_PC_%_Flash49"/>
      <sheetName val="Comet_ASPIRE49"/>
      <sheetName val="Comet_yoy49"/>
      <sheetName val="Comet_Sequential49"/>
      <sheetName val="Comet_Implied_M3_(QTD)49"/>
      <sheetName val="Month_149"/>
      <sheetName val="Month_249"/>
      <sheetName val="Extr__Gain_Table49"/>
      <sheetName val="HP_yoy_GAAP49"/>
      <sheetName val="Raw_materials49"/>
      <sheetName val="Safety___P_A47"/>
      <sheetName val="Top_Lvl__Logic47"/>
      <sheetName val="Total_Financials49"/>
      <sheetName val="FY01_Actuals49"/>
      <sheetName val="FY00_Restated49"/>
      <sheetName val="FY01_Quota49"/>
      <sheetName val="Cover_Page17"/>
      <sheetName val="Application_for_GM_Signature17"/>
      <sheetName val="Repayment_Summary9"/>
      <sheetName val="Board_Slide_51"/>
      <sheetName val="Flash_Export_Only51"/>
      <sheetName val="Navigation_&amp;_Assumptions51"/>
      <sheetName val="Flash_Template51"/>
      <sheetName val="CF_Summary51"/>
      <sheetName val="PG_Summary51"/>
      <sheetName val="HPCO__GAAP51"/>
      <sheetName val="HPCO__Pro_Forma51"/>
      <sheetName val="Monthly_Trend51"/>
      <sheetName val="Monthly_OpEx_Detail51"/>
      <sheetName val="CF_ASPIRE_compare51"/>
      <sheetName val="CF_yoy_Compare51"/>
      <sheetName val="CF_Sequential_Compare51"/>
      <sheetName val="CF_Implied_Month_3_$51"/>
      <sheetName val="CF_Implied_Month_3_%_of_Flash51"/>
      <sheetName val="PG_ASPIRE_Compare51"/>
      <sheetName val="PG_yoy_Compare51"/>
      <sheetName val="PG_Sequential_Compare51"/>
      <sheetName val="PG_Implied_Month_3_$51"/>
      <sheetName val="PG_Implied_Month_3_%_of_Flash51"/>
      <sheetName val="CF_ASPIRE_Comp_by_PC51"/>
      <sheetName val="CF_yoy_Comp_by_PC51"/>
      <sheetName val="CF_Seq_Comp_by_PC51"/>
      <sheetName val="CF_Implied_M3_by_PC_$51"/>
      <sheetName val="CF_Implied_M3_by_PC_%_Flash51"/>
      <sheetName val="PG_ASPIRE_Comp_by_PC51"/>
      <sheetName val="PG_yoy_Comp_by_PC51"/>
      <sheetName val="PG_Seq_Comp_by_PC51"/>
      <sheetName val="PG_Implied_M3_by_PC_$51"/>
      <sheetName val="PG_Implied_M3_by_PC_%_Flash51"/>
      <sheetName val="Comet_ASPIRE51"/>
      <sheetName val="Comet_yoy51"/>
      <sheetName val="Comet_Sequential51"/>
      <sheetName val="Comet_Implied_M3_(QTD)51"/>
      <sheetName val="Month_151"/>
      <sheetName val="Month_251"/>
      <sheetName val="Extr__Gain_Table51"/>
      <sheetName val="HP_yoy_GAAP51"/>
      <sheetName val="Raw_materials51"/>
      <sheetName val="Safety___P_A49"/>
      <sheetName val="Top_Lvl__Logic49"/>
      <sheetName val="Total_Financials51"/>
      <sheetName val="FY01_Actuals51"/>
      <sheetName val="FY00_Restated51"/>
      <sheetName val="FY01_Quota51"/>
      <sheetName val="Cover_Page19"/>
      <sheetName val="Application_for_GM_Signature19"/>
      <sheetName val="Repayment_Summary11"/>
      <sheetName val="综合成本分析01.01-0205"/>
      <sheetName val="GWL-RUNING"/>
      <sheetName val="Schema"/>
      <sheetName val="FP"/>
      <sheetName val="Time Dimension Looku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Fixed Assets 2015"/>
      <sheetName val="MP2006 data"/>
      <sheetName val="Q4 CURRENCY"/>
      <sheetName val="MCS"/>
      <sheetName val="Board_Slide_52"/>
      <sheetName val="Flash_Export_Only52"/>
      <sheetName val="Navigation_&amp;_Assumptions52"/>
      <sheetName val="Flash_Template52"/>
      <sheetName val="CF_Summary52"/>
      <sheetName val="PG_Summary52"/>
      <sheetName val="HPCO__GAAP52"/>
      <sheetName val="HPCO__Pro_Forma52"/>
      <sheetName val="Monthly_Trend52"/>
      <sheetName val="Monthly_OpEx_Detail52"/>
      <sheetName val="CF_ASPIRE_compare52"/>
      <sheetName val="CF_yoy_Compare52"/>
      <sheetName val="CF_Sequential_Compare52"/>
      <sheetName val="CF_Implied_Month_3_$52"/>
      <sheetName val="CF_Implied_Month_3_%_of_Flash52"/>
      <sheetName val="PG_ASPIRE_Compare52"/>
      <sheetName val="PG_yoy_Compare52"/>
      <sheetName val="PG_Sequential_Compare52"/>
      <sheetName val="PG_Implied_Month_3_$52"/>
      <sheetName val="PG_Implied_Month_3_%_of_Flash52"/>
      <sheetName val="CF_ASPIRE_Comp_by_PC52"/>
      <sheetName val="CF_yoy_Comp_by_PC52"/>
      <sheetName val="CF_Seq_Comp_by_PC52"/>
      <sheetName val="CF_Implied_M3_by_PC_$52"/>
      <sheetName val="CF_Implied_M3_by_PC_%_Flash52"/>
      <sheetName val="PG_ASPIRE_Comp_by_PC52"/>
      <sheetName val="PG_yoy_Comp_by_PC52"/>
      <sheetName val="PG_Seq_Comp_by_PC52"/>
      <sheetName val="PG_Implied_M3_by_PC_$52"/>
      <sheetName val="PG_Implied_M3_by_PC_%_Flash52"/>
      <sheetName val="Comet_ASPIRE52"/>
      <sheetName val="Comet_yoy52"/>
      <sheetName val="Comet_Sequential52"/>
      <sheetName val="Comet_Implied_M3_(QTD)52"/>
      <sheetName val="Month_152"/>
      <sheetName val="Month_252"/>
      <sheetName val="Extr__Gain_Table52"/>
      <sheetName val="HP_yoy_GAAP52"/>
      <sheetName val="Raw_materials52"/>
      <sheetName val="Safety___P_A50"/>
      <sheetName val="Top_Lvl__Logic50"/>
      <sheetName val="Total_Financials52"/>
      <sheetName val="FY01_Actuals52"/>
      <sheetName val="FY00_Restated52"/>
      <sheetName val="FY01_Quota52"/>
      <sheetName val="Cover_Page20"/>
      <sheetName val="Application_for_GM_Signature20"/>
      <sheetName val="Repayment_Summary12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Pull_HP_Wide"/>
      <sheetName val="Pull_All_SFs"/>
      <sheetName val="Board_Slide_60"/>
      <sheetName val="Flash_Export_Only60"/>
      <sheetName val="Navigation_&amp;_Assumptions60"/>
      <sheetName val="Flash_Template60"/>
      <sheetName val="CF_Summary60"/>
      <sheetName val="PG_Summary60"/>
      <sheetName val="HPCO__GAAP60"/>
      <sheetName val="HPCO__Pro_Forma60"/>
      <sheetName val="Monthly_Trend60"/>
      <sheetName val="Monthly_OpEx_Detail60"/>
      <sheetName val="CF_ASPIRE_compare60"/>
      <sheetName val="CF_yoy_Compare60"/>
      <sheetName val="CF_Sequential_Compare60"/>
      <sheetName val="CF_Implied_Month_3_$60"/>
      <sheetName val="CF_Implied_Month_3_%_of_Flash60"/>
      <sheetName val="PG_ASPIRE_Compare60"/>
      <sheetName val="PG_yoy_Compare60"/>
      <sheetName val="PG_Sequential_Compare60"/>
      <sheetName val="PG_Implied_Month_3_$60"/>
      <sheetName val="PG_Implied_Month_3_%_of_Flash60"/>
      <sheetName val="CF_ASPIRE_Comp_by_PC60"/>
      <sheetName val="CF_yoy_Comp_by_PC60"/>
      <sheetName val="CF_Seq_Comp_by_PC60"/>
      <sheetName val="CF_Implied_M3_by_PC_$60"/>
      <sheetName val="CF_Implied_M3_by_PC_%_Flash60"/>
      <sheetName val="PG_ASPIRE_Comp_by_PC60"/>
      <sheetName val="PG_yoy_Comp_by_PC60"/>
      <sheetName val="PG_Seq_Comp_by_PC60"/>
      <sheetName val="PG_Implied_M3_by_PC_$60"/>
      <sheetName val="PG_Implied_M3_by_PC_%_Flash60"/>
      <sheetName val="Comet_ASPIRE60"/>
      <sheetName val="Comet_yoy60"/>
      <sheetName val="Comet_Sequential60"/>
      <sheetName val="Comet_Implied_M3_(QTD)60"/>
      <sheetName val="Month_160"/>
      <sheetName val="Month_260"/>
      <sheetName val="Extr__Gain_Table60"/>
      <sheetName val="HP_yoy_GAAP60"/>
      <sheetName val="Raw_materials60"/>
      <sheetName val="Safety___P_A58"/>
      <sheetName val="Top_Lvl__Logic58"/>
      <sheetName val="Total_Financials60"/>
      <sheetName val="FY01_Actuals60"/>
      <sheetName val="FY00_Restated60"/>
      <sheetName val="FY01_Quota60"/>
      <sheetName val="Cover_Page28"/>
      <sheetName val="Application_for_GM_Signature28"/>
      <sheetName val="Repayment_Summary20"/>
      <sheetName val="Pull_HP_Wide7"/>
      <sheetName val="Pull_All_SFs7"/>
      <sheetName val="Board_Slide_53"/>
      <sheetName val="Flash_Export_Only53"/>
      <sheetName val="Navigation_&amp;_Assumptions53"/>
      <sheetName val="Flash_Template53"/>
      <sheetName val="CF_Summary53"/>
      <sheetName val="PG_Summary53"/>
      <sheetName val="HPCO__GAAP53"/>
      <sheetName val="HPCO__Pro_Forma53"/>
      <sheetName val="Monthly_Trend53"/>
      <sheetName val="Monthly_OpEx_Detail53"/>
      <sheetName val="CF_ASPIRE_compare53"/>
      <sheetName val="CF_yoy_Compare53"/>
      <sheetName val="CF_Sequential_Compare53"/>
      <sheetName val="CF_Implied_Month_3_$53"/>
      <sheetName val="CF_Implied_Month_3_%_of_Flash53"/>
      <sheetName val="PG_ASPIRE_Compare53"/>
      <sheetName val="PG_yoy_Compare53"/>
      <sheetName val="PG_Sequential_Compare53"/>
      <sheetName val="PG_Implied_Month_3_$53"/>
      <sheetName val="PG_Implied_Month_3_%_of_Flash53"/>
      <sheetName val="CF_ASPIRE_Comp_by_PC53"/>
      <sheetName val="CF_yoy_Comp_by_PC53"/>
      <sheetName val="CF_Seq_Comp_by_PC53"/>
      <sheetName val="CF_Implied_M3_by_PC_$53"/>
      <sheetName val="CF_Implied_M3_by_PC_%_Flash53"/>
      <sheetName val="PG_ASPIRE_Comp_by_PC53"/>
      <sheetName val="PG_yoy_Comp_by_PC53"/>
      <sheetName val="PG_Seq_Comp_by_PC53"/>
      <sheetName val="PG_Implied_M3_by_PC_$53"/>
      <sheetName val="PG_Implied_M3_by_PC_%_Flash53"/>
      <sheetName val="Comet_ASPIRE53"/>
      <sheetName val="Comet_yoy53"/>
      <sheetName val="Comet_Sequential53"/>
      <sheetName val="Comet_Implied_M3_(QTD)53"/>
      <sheetName val="Month_153"/>
      <sheetName val="Month_253"/>
      <sheetName val="Extr__Gain_Table53"/>
      <sheetName val="HP_yoy_GAAP53"/>
      <sheetName val="Raw_materials53"/>
      <sheetName val="Safety___P_A51"/>
      <sheetName val="Top_Lvl__Logic51"/>
      <sheetName val="Total_Financials53"/>
      <sheetName val="FY01_Actuals53"/>
      <sheetName val="FY00_Restated53"/>
      <sheetName val="FY01_Quota53"/>
      <sheetName val="Cover_Page21"/>
      <sheetName val="Application_for_GM_Signature21"/>
      <sheetName val="Repayment_Summary13"/>
      <sheetName val="Pull_HP_Wide1"/>
      <sheetName val="Pull_All_SFs1"/>
      <sheetName val="Board_Slide_56"/>
      <sheetName val="Flash_Export_Only56"/>
      <sheetName val="Navigation_&amp;_Assumptions56"/>
      <sheetName val="Flash_Template56"/>
      <sheetName val="CF_Summary56"/>
      <sheetName val="PG_Summary56"/>
      <sheetName val="HPCO__GAAP56"/>
      <sheetName val="HPCO__Pro_Forma56"/>
      <sheetName val="Monthly_Trend56"/>
      <sheetName val="Monthly_OpEx_Detail56"/>
      <sheetName val="CF_ASPIRE_compare56"/>
      <sheetName val="CF_yoy_Compare56"/>
      <sheetName val="CF_Sequential_Compare56"/>
      <sheetName val="CF_Implied_Month_3_$56"/>
      <sheetName val="CF_Implied_Month_3_%_of_Flash56"/>
      <sheetName val="PG_ASPIRE_Compare56"/>
      <sheetName val="PG_yoy_Compare56"/>
      <sheetName val="PG_Sequential_Compare56"/>
      <sheetName val="PG_Implied_Month_3_$56"/>
      <sheetName val="PG_Implied_Month_3_%_of_Flash56"/>
      <sheetName val="CF_ASPIRE_Comp_by_PC56"/>
      <sheetName val="CF_yoy_Comp_by_PC56"/>
      <sheetName val="CF_Seq_Comp_by_PC56"/>
      <sheetName val="CF_Implied_M3_by_PC_$56"/>
      <sheetName val="CF_Implied_M3_by_PC_%_Flash56"/>
      <sheetName val="PG_ASPIRE_Comp_by_PC56"/>
      <sheetName val="PG_yoy_Comp_by_PC56"/>
      <sheetName val="PG_Seq_Comp_by_PC56"/>
      <sheetName val="PG_Implied_M3_by_PC_$56"/>
      <sheetName val="PG_Implied_M3_by_PC_%_Flash56"/>
      <sheetName val="Comet_ASPIRE56"/>
      <sheetName val="Comet_yoy56"/>
      <sheetName val="Comet_Sequential56"/>
      <sheetName val="Comet_Implied_M3_(QTD)56"/>
      <sheetName val="Month_156"/>
      <sheetName val="Month_256"/>
      <sheetName val="Extr__Gain_Table56"/>
      <sheetName val="HP_yoy_GAAP56"/>
      <sheetName val="Raw_materials56"/>
      <sheetName val="Safety___P_A54"/>
      <sheetName val="Top_Lvl__Logic54"/>
      <sheetName val="Total_Financials56"/>
      <sheetName val="FY01_Actuals56"/>
      <sheetName val="FY00_Restated56"/>
      <sheetName val="FY01_Quota56"/>
      <sheetName val="Cover_Page24"/>
      <sheetName val="Application_for_GM_Signature24"/>
      <sheetName val="Repayment_Summary16"/>
      <sheetName val="Pull_HP_Wide3"/>
      <sheetName val="Pull_All_SFs3"/>
      <sheetName val="Board_Slide_54"/>
      <sheetName val="Flash_Export_Only54"/>
      <sheetName val="Navigation_&amp;_Assumptions54"/>
      <sheetName val="Flash_Template54"/>
      <sheetName val="CF_Summary54"/>
      <sheetName val="PG_Summary54"/>
      <sheetName val="HPCO__GAAP54"/>
      <sheetName val="HPCO__Pro_Forma54"/>
      <sheetName val="Monthly_Trend54"/>
      <sheetName val="Monthly_OpEx_Detail54"/>
      <sheetName val="CF_ASPIRE_compare54"/>
      <sheetName val="CF_yoy_Compare54"/>
      <sheetName val="CF_Sequential_Compare54"/>
      <sheetName val="CF_Implied_Month_3_$54"/>
      <sheetName val="CF_Implied_Month_3_%_of_Flash54"/>
      <sheetName val="PG_ASPIRE_Compare54"/>
      <sheetName val="PG_yoy_Compare54"/>
      <sheetName val="PG_Sequential_Compare54"/>
      <sheetName val="PG_Implied_Month_3_$54"/>
      <sheetName val="PG_Implied_Month_3_%_of_Flash54"/>
      <sheetName val="CF_ASPIRE_Comp_by_PC54"/>
      <sheetName val="CF_yoy_Comp_by_PC54"/>
      <sheetName val="CF_Seq_Comp_by_PC54"/>
      <sheetName val="CF_Implied_M3_by_PC_$54"/>
      <sheetName val="CF_Implied_M3_by_PC_%_Flash54"/>
      <sheetName val="PG_ASPIRE_Comp_by_PC54"/>
      <sheetName val="PG_yoy_Comp_by_PC54"/>
      <sheetName val="PG_Seq_Comp_by_PC54"/>
      <sheetName val="PG_Implied_M3_by_PC_$54"/>
      <sheetName val="PG_Implied_M3_by_PC_%_Flash54"/>
      <sheetName val="Comet_ASPIRE54"/>
      <sheetName val="Comet_yoy54"/>
      <sheetName val="Comet_Sequential54"/>
      <sheetName val="Comet_Implied_M3_(QTD)54"/>
      <sheetName val="Month_154"/>
      <sheetName val="Month_254"/>
      <sheetName val="Extr__Gain_Table54"/>
      <sheetName val="HP_yoy_GAAP54"/>
      <sheetName val="Raw_materials54"/>
      <sheetName val="Safety___P_A52"/>
      <sheetName val="Top_Lvl__Logic52"/>
      <sheetName val="Total_Financials54"/>
      <sheetName val="FY01_Actuals54"/>
      <sheetName val="FY00_Restated54"/>
      <sheetName val="FY01_Quota54"/>
      <sheetName val="Cover_Page22"/>
      <sheetName val="Application_for_GM_Signature22"/>
      <sheetName val="Repayment_Summary14"/>
      <sheetName val="Board_Slide_55"/>
      <sheetName val="Flash_Export_Only55"/>
      <sheetName val="Navigation_&amp;_Assumptions55"/>
      <sheetName val="Flash_Template55"/>
      <sheetName val="CF_Summary55"/>
      <sheetName val="PG_Summary55"/>
      <sheetName val="HPCO__GAAP55"/>
      <sheetName val="HPCO__Pro_Forma55"/>
      <sheetName val="Monthly_Trend55"/>
      <sheetName val="Monthly_OpEx_Detail55"/>
      <sheetName val="CF_ASPIRE_compare55"/>
      <sheetName val="CF_yoy_Compare55"/>
      <sheetName val="CF_Sequential_Compare55"/>
      <sheetName val="CF_Implied_Month_3_$55"/>
      <sheetName val="CF_Implied_Month_3_%_of_Flash55"/>
      <sheetName val="PG_ASPIRE_Compare55"/>
      <sheetName val="PG_yoy_Compare55"/>
      <sheetName val="PG_Sequential_Compare55"/>
      <sheetName val="PG_Implied_Month_3_$55"/>
      <sheetName val="PG_Implied_Month_3_%_of_Flash55"/>
      <sheetName val="CF_ASPIRE_Comp_by_PC55"/>
      <sheetName val="CF_yoy_Comp_by_PC55"/>
      <sheetName val="CF_Seq_Comp_by_PC55"/>
      <sheetName val="CF_Implied_M3_by_PC_$55"/>
      <sheetName val="CF_Implied_M3_by_PC_%_Flash55"/>
      <sheetName val="PG_ASPIRE_Comp_by_PC55"/>
      <sheetName val="PG_yoy_Comp_by_PC55"/>
      <sheetName val="PG_Seq_Comp_by_PC55"/>
      <sheetName val="PG_Implied_M3_by_PC_$55"/>
      <sheetName val="PG_Implied_M3_by_PC_%_Flash55"/>
      <sheetName val="Comet_ASPIRE55"/>
      <sheetName val="Comet_yoy55"/>
      <sheetName val="Comet_Sequential55"/>
      <sheetName val="Comet_Implied_M3_(QTD)55"/>
      <sheetName val="Month_155"/>
      <sheetName val="Month_255"/>
      <sheetName val="Extr__Gain_Table55"/>
      <sheetName val="HP_yoy_GAAP55"/>
      <sheetName val="Raw_materials55"/>
      <sheetName val="Safety___P_A53"/>
      <sheetName val="Top_Lvl__Logic53"/>
      <sheetName val="Total_Financials55"/>
      <sheetName val="FY01_Actuals55"/>
      <sheetName val="FY00_Restated55"/>
      <sheetName val="FY01_Quota55"/>
      <sheetName val="Cover_Page23"/>
      <sheetName val="Application_for_GM_Signature23"/>
      <sheetName val="Repayment_Summary15"/>
      <sheetName val="Pull_HP_Wide2"/>
      <sheetName val="Pull_All_SFs2"/>
      <sheetName val="Board_Slide_57"/>
      <sheetName val="Flash_Export_Only57"/>
      <sheetName val="Navigation_&amp;_Assumptions57"/>
      <sheetName val="Flash_Template57"/>
      <sheetName val="CF_Summary57"/>
      <sheetName val="PG_Summary57"/>
      <sheetName val="HPCO__GAAP57"/>
      <sheetName val="HPCO__Pro_Forma57"/>
      <sheetName val="Monthly_Trend57"/>
      <sheetName val="Monthly_OpEx_Detail57"/>
      <sheetName val="CF_ASPIRE_compare57"/>
      <sheetName val="CF_yoy_Compare57"/>
      <sheetName val="CF_Sequential_Compare57"/>
      <sheetName val="CF_Implied_Month_3_$57"/>
      <sheetName val="CF_Implied_Month_3_%_of_Flash57"/>
      <sheetName val="PG_ASPIRE_Compare57"/>
      <sheetName val="PG_yoy_Compare57"/>
      <sheetName val="PG_Sequential_Compare57"/>
      <sheetName val="PG_Implied_Month_3_$57"/>
      <sheetName val="PG_Implied_Month_3_%_of_Flash57"/>
      <sheetName val="CF_ASPIRE_Comp_by_PC57"/>
      <sheetName val="CF_yoy_Comp_by_PC57"/>
      <sheetName val="CF_Seq_Comp_by_PC57"/>
      <sheetName val="CF_Implied_M3_by_PC_$57"/>
      <sheetName val="CF_Implied_M3_by_PC_%_Flash57"/>
      <sheetName val="PG_ASPIRE_Comp_by_PC57"/>
      <sheetName val="PG_yoy_Comp_by_PC57"/>
      <sheetName val="PG_Seq_Comp_by_PC57"/>
      <sheetName val="PG_Implied_M3_by_PC_$57"/>
      <sheetName val="PG_Implied_M3_by_PC_%_Flash57"/>
      <sheetName val="Comet_ASPIRE57"/>
      <sheetName val="Comet_yoy57"/>
      <sheetName val="Comet_Sequential57"/>
      <sheetName val="Comet_Implied_M3_(QTD)57"/>
      <sheetName val="Month_157"/>
      <sheetName val="Month_257"/>
      <sheetName val="Extr__Gain_Table57"/>
      <sheetName val="HP_yoy_GAAP57"/>
      <sheetName val="Raw_materials57"/>
      <sheetName val="Safety___P_A55"/>
      <sheetName val="Top_Lvl__Logic55"/>
      <sheetName val="Total_Financials57"/>
      <sheetName val="FY01_Actuals57"/>
      <sheetName val="FY00_Restated57"/>
      <sheetName val="FY01_Quota57"/>
      <sheetName val="Cover_Page25"/>
      <sheetName val="Application_for_GM_Signature25"/>
      <sheetName val="Repayment_Summary17"/>
      <sheetName val="Pull_HP_Wide4"/>
      <sheetName val="Pull_All_SFs4"/>
      <sheetName val="Board_Slide_58"/>
      <sheetName val="Flash_Export_Only58"/>
      <sheetName val="Navigation_&amp;_Assumptions58"/>
      <sheetName val="Flash_Template58"/>
      <sheetName val="CF_Summary58"/>
      <sheetName val="PG_Summary58"/>
      <sheetName val="HPCO__GAAP58"/>
      <sheetName val="HPCO__Pro_Forma58"/>
      <sheetName val="Monthly_Trend58"/>
      <sheetName val="Monthly_OpEx_Detail58"/>
      <sheetName val="CF_ASPIRE_compare58"/>
      <sheetName val="CF_yoy_Compare58"/>
      <sheetName val="CF_Sequential_Compare58"/>
      <sheetName val="CF_Implied_Month_3_$58"/>
      <sheetName val="CF_Implied_Month_3_%_of_Flash58"/>
      <sheetName val="PG_ASPIRE_Compare58"/>
      <sheetName val="PG_yoy_Compare58"/>
      <sheetName val="PG_Sequential_Compare58"/>
      <sheetName val="PG_Implied_Month_3_$58"/>
      <sheetName val="PG_Implied_Month_3_%_of_Flash58"/>
      <sheetName val="CF_ASPIRE_Comp_by_PC58"/>
      <sheetName val="CF_yoy_Comp_by_PC58"/>
      <sheetName val="CF_Seq_Comp_by_PC58"/>
      <sheetName val="CF_Implied_M3_by_PC_$58"/>
      <sheetName val="CF_Implied_M3_by_PC_%_Flash58"/>
      <sheetName val="PG_ASPIRE_Comp_by_PC58"/>
      <sheetName val="PG_yoy_Comp_by_PC58"/>
      <sheetName val="PG_Seq_Comp_by_PC58"/>
      <sheetName val="PG_Implied_M3_by_PC_$58"/>
      <sheetName val="PG_Implied_M3_by_PC_%_Flash58"/>
      <sheetName val="Comet_ASPIRE58"/>
      <sheetName val="Comet_yoy58"/>
      <sheetName val="Comet_Sequential58"/>
      <sheetName val="Comet_Implied_M3_(QTD)58"/>
      <sheetName val="Month_158"/>
      <sheetName val="Month_258"/>
      <sheetName val="Extr__Gain_Table58"/>
      <sheetName val="HP_yoy_GAAP58"/>
      <sheetName val="Raw_materials58"/>
      <sheetName val="Safety___P_A56"/>
      <sheetName val="Top_Lvl__Logic56"/>
      <sheetName val="Total_Financials58"/>
      <sheetName val="FY01_Actuals58"/>
      <sheetName val="FY00_Restated58"/>
      <sheetName val="FY01_Quota58"/>
      <sheetName val="Cover_Page26"/>
      <sheetName val="Application_for_GM_Signature26"/>
      <sheetName val="Repayment_Summary18"/>
      <sheetName val="Pull_HP_Wide5"/>
      <sheetName val="Pull_All_SFs5"/>
      <sheetName val="Board_Slide_59"/>
      <sheetName val="Flash_Export_Only59"/>
      <sheetName val="Navigation_&amp;_Assumptions59"/>
      <sheetName val="Flash_Template59"/>
      <sheetName val="CF_Summary59"/>
      <sheetName val="PG_Summary59"/>
      <sheetName val="HPCO__GAAP59"/>
      <sheetName val="HPCO__Pro_Forma59"/>
      <sheetName val="Monthly_Trend59"/>
      <sheetName val="Monthly_OpEx_Detail59"/>
      <sheetName val="CF_ASPIRE_compare59"/>
      <sheetName val="CF_yoy_Compare59"/>
      <sheetName val="CF_Sequential_Compare59"/>
      <sheetName val="CF_Implied_Month_3_$59"/>
      <sheetName val="CF_Implied_Month_3_%_of_Flash59"/>
      <sheetName val="PG_ASPIRE_Compare59"/>
      <sheetName val="PG_yoy_Compare59"/>
      <sheetName val="PG_Sequential_Compare59"/>
      <sheetName val="PG_Implied_Month_3_$59"/>
      <sheetName val="PG_Implied_Month_3_%_of_Flash59"/>
      <sheetName val="CF_ASPIRE_Comp_by_PC59"/>
      <sheetName val="CF_yoy_Comp_by_PC59"/>
      <sheetName val="CF_Seq_Comp_by_PC59"/>
      <sheetName val="CF_Implied_M3_by_PC_$59"/>
      <sheetName val="CF_Implied_M3_by_PC_%_Flash59"/>
      <sheetName val="PG_ASPIRE_Comp_by_PC59"/>
      <sheetName val="PG_yoy_Comp_by_PC59"/>
      <sheetName val="PG_Seq_Comp_by_PC59"/>
      <sheetName val="PG_Implied_M3_by_PC_$59"/>
      <sheetName val="PG_Implied_M3_by_PC_%_Flash59"/>
      <sheetName val="Comet_ASPIRE59"/>
      <sheetName val="Comet_yoy59"/>
      <sheetName val="Comet_Sequential59"/>
      <sheetName val="Comet_Implied_M3_(QTD)59"/>
      <sheetName val="Month_159"/>
      <sheetName val="Month_259"/>
      <sheetName val="Extr__Gain_Table59"/>
      <sheetName val="HP_yoy_GAAP59"/>
      <sheetName val="Raw_materials59"/>
      <sheetName val="Safety___P_A57"/>
      <sheetName val="Top_Lvl__Logic57"/>
      <sheetName val="Total_Financials59"/>
      <sheetName val="FY01_Actuals59"/>
      <sheetName val="FY00_Restated59"/>
      <sheetName val="FY01_Quota59"/>
      <sheetName val="Cover_Page27"/>
      <sheetName val="Application_for_GM_Signature27"/>
      <sheetName val="Repayment_Summary19"/>
      <sheetName val="Pull_HP_Wide6"/>
      <sheetName val="Pull_All_SFs6"/>
      <sheetName val="3-29 Q202 Update for ASPIRE"/>
      <sheetName val="目录"/>
      <sheetName val="Sheet3"/>
      <sheetName val="Veh Info"/>
      <sheetName val="0508"/>
      <sheetName val="0504"/>
      <sheetName val="0506"/>
      <sheetName val="参数明细"/>
      <sheetName val="APJSum"/>
      <sheetName val="EMEASum"/>
      <sheetName val="HPCoSum"/>
      <sheetName val="OGSum"/>
      <sheetName val="WWSum"/>
      <sheetName val="WIBLE"/>
      <sheetName val="ASSUMPTIONS"/>
      <sheetName val="Sheet2"/>
      <sheetName val="PLALL"/>
      <sheetName val="tf04"/>
      <sheetName val="Cover"/>
      <sheetName val="source"/>
      <sheetName val="Table calendaire"/>
      <sheetName val="Table paiements"/>
      <sheetName val="Table Fournisseurs"/>
      <sheetName val="analyse"/>
      <sheetName val="Table"/>
      <sheetName val="Net Trans Sum"/>
      <sheetName val="Vauxhall Opel 30004"/>
      <sheetName val="1 LeadSchedule"/>
      <sheetName val="3 Analysis"/>
      <sheetName val="JE - Depn Sept"/>
      <sheetName val="VARIABLES"/>
      <sheetName val="產成品收發明細表"/>
      <sheetName val="Translation"/>
      <sheetName val="FX"/>
      <sheetName val="Pick Lists"/>
      <sheetName val="B"/>
      <sheetName val="A3"/>
      <sheetName val="6641"/>
      <sheetName val="F-5"/>
      <sheetName val="BOX SUM"/>
      <sheetName val="FIN GOOD"/>
      <sheetName val="员工工资"/>
      <sheetName val="Net REVENUE"/>
      <sheetName val="VEHMAINT"/>
      <sheetName val="VEHDAMAG"/>
      <sheetName val="OTHERVEH"/>
      <sheetName val="GASOLINE"/>
      <sheetName val="PL&amp;PD"/>
      <sheetName val="DEPRECIA"/>
      <sheetName val="INTEREST"/>
      <sheetName val="VEHSALWH"/>
      <sheetName val="VEHSALRE"/>
      <sheetName val="MANUCRED"/>
      <sheetName val="TRAWAGES"/>
      <sheetName val="INCENTIV"/>
      <sheetName val="WAGES"/>
      <sheetName val="OVERWAGE"/>
      <sheetName val="BENEFITS"/>
      <sheetName val="CONCESS"/>
      <sheetName val="COMMISSI"/>
      <sheetName val="RESERVAT"/>
      <sheetName val="CUSTOMER"/>
      <sheetName val="FACILITY"/>
      <sheetName val="SERVIVEH"/>
      <sheetName val="COMPUTER"/>
      <sheetName val="ADVSYST"/>
      <sheetName val="COUADMIN"/>
      <sheetName val="ADMINFLD"/>
      <sheetName val="ADVCIT&amp;D"/>
      <sheetName val="EURSALES"/>
      <sheetName val="ADMINREB"/>
      <sheetName val="Collateral"/>
      <sheetName val="Lists"/>
      <sheetName val="T  B"/>
      <sheetName val="Sum"/>
      <sheetName val="W"/>
      <sheetName val="9100-PO"/>
      <sheetName val="Hidden Lists"/>
      <sheetName val="现金流量表（月报）"/>
      <sheetName val="Rates"/>
      <sheetName val="Administrati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by4"/>
      <sheetName val="Check"/>
      <sheetName val="TSGbyGBU"/>
      <sheetName val="TSGbyReg"/>
      <sheetName val="HPS"/>
      <sheetName val="CS"/>
      <sheetName val="MS"/>
      <sheetName val="CI"/>
      <sheetName val="OSS"/>
      <sheetName val="ESS"/>
      <sheetName val="ISS"/>
      <sheetName val="BCS"/>
      <sheetName val="NSS"/>
      <sheetName val="OESS"/>
      <sheetName val="SW"/>
      <sheetName val="Ame"/>
      <sheetName val="EMEA"/>
      <sheetName val="APJ"/>
      <sheetName val="OG"/>
      <sheetName val="HPCo"/>
      <sheetName val="AmeSum"/>
      <sheetName val="EMEASum"/>
      <sheetName val="APJSum"/>
      <sheetName val="OGSum"/>
      <sheetName val="HPCoSum"/>
      <sheetName val="WWSum"/>
      <sheetName val="Comet Q202 Flash"/>
      <sheetName val="MP2006 data"/>
      <sheetName val="DIO"/>
      <sheetName val="Total Financials"/>
      <sheetName val="PLALL"/>
      <sheetName val="Sheet3"/>
      <sheetName val="Assumption"/>
      <sheetName val="Ass(SDMar-Apr)"/>
      <sheetName val="Plan SD"/>
      <sheetName val="Comet ASPIRE"/>
      <sheetName val="Comet Sequential"/>
      <sheetName val="Comet yoy"/>
      <sheetName val="Input FX Rates"/>
      <sheetName val="Input Dates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AR Signature Page"/>
      <sheetName val="FY01 Actuals"/>
      <sheetName val="FY00 Restated"/>
      <sheetName val="FY01 Quota"/>
      <sheetName val="LOV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by4"/>
      <sheetName val="TSGbyGBU"/>
      <sheetName val="TSGbyReg"/>
      <sheetName val="HPS"/>
      <sheetName val="CS"/>
      <sheetName val="MS"/>
      <sheetName val="BPO"/>
      <sheetName val="CI"/>
      <sheetName val="OSS"/>
      <sheetName val="ESS"/>
      <sheetName val="BCS"/>
      <sheetName val="ISS"/>
      <sheetName val="NSS"/>
      <sheetName val="OESS"/>
      <sheetName val="SW"/>
      <sheetName val="Ame"/>
      <sheetName val="EMEA"/>
      <sheetName val="APJ"/>
      <sheetName val="OG"/>
      <sheetName val="HPCo"/>
      <sheetName val="AmeSum"/>
      <sheetName val="EMEASum"/>
      <sheetName val="APJSum"/>
      <sheetName val="OGSum"/>
      <sheetName val="HPCoSum"/>
      <sheetName val="PL"/>
      <sheetName val="科目余额"/>
      <sheetName val="master"/>
      <sheetName val="PLALL"/>
      <sheetName val="Planet_Ame"/>
      <sheetName val="Planet_AP"/>
      <sheetName val="Planet_EMEA"/>
      <sheetName val="Planet_OG"/>
      <sheetName val="Planet_WW"/>
      <sheetName val="Source"/>
      <sheetName val="tables"/>
      <sheetName val="Q4 CURRENCY"/>
      <sheetName val="资产负债表"/>
      <sheetName val="FY01 Actuals"/>
      <sheetName val="FY00 Restated"/>
      <sheetName val="FY01 Quota"/>
      <sheetName val="CE96"/>
      <sheetName val="Pull HP Wide"/>
      <sheetName val="Pull All SFs"/>
      <sheetName val="Q4_CURRENCY"/>
      <sheetName val="FY01_Actuals"/>
      <sheetName val="FY00_Restated"/>
      <sheetName val="FY01_Quota"/>
      <sheetName val="Pull_HP_Wide"/>
      <sheetName val="Pull_All_SFs"/>
      <sheetName val="Q4_CURRENCY3"/>
      <sheetName val="FY01_Actuals3"/>
      <sheetName val="FY00_Restated3"/>
      <sheetName val="FY01_Quota3"/>
      <sheetName val="Pull_HP_Wide3"/>
      <sheetName val="Pull_All_SFs3"/>
      <sheetName val="Q4_CURRENCY1"/>
      <sheetName val="FY01_Actuals1"/>
      <sheetName val="FY00_Restated1"/>
      <sheetName val="FY01_Quota1"/>
      <sheetName val="Pull_HP_Wide1"/>
      <sheetName val="Pull_All_SFs1"/>
      <sheetName val="Q4_CURRENCY2"/>
      <sheetName val="FY01_Actuals2"/>
      <sheetName val="FY00_Restated2"/>
      <sheetName val="FY01_Quota2"/>
      <sheetName val="Pull_HP_Wide2"/>
      <sheetName val="Pull_All_SFs2"/>
      <sheetName val="ASSUMPTIONS"/>
      <sheetName val="Validation"/>
      <sheetName val="MBB CASH BOOK"/>
      <sheetName val="EMEA_Express Service _LCL_04"/>
      <sheetName val="Activity"/>
      <sheetName val="Assumption"/>
      <sheetName val="Ass(SDMar-Apr)"/>
      <sheetName val="Plan SD"/>
      <sheetName val="SALES DEMAND"/>
      <sheetName val="Q4_CURRENCY20"/>
      <sheetName val="FY01_Actuals20"/>
      <sheetName val="FY00_Restated20"/>
      <sheetName val="FY01_Quota20"/>
      <sheetName val="Pull_HP_Wide20"/>
      <sheetName val="Pull_All_SFs20"/>
      <sheetName val="Q4_CURRENCY4"/>
      <sheetName val="FY01_Actuals4"/>
      <sheetName val="FY00_Restated4"/>
      <sheetName val="FY01_Quota4"/>
      <sheetName val="Pull_HP_Wide4"/>
      <sheetName val="Pull_All_SFs4"/>
      <sheetName val="Q4_CURRENCY5"/>
      <sheetName val="FY01_Actuals5"/>
      <sheetName val="FY00_Restated5"/>
      <sheetName val="FY01_Quota5"/>
      <sheetName val="Pull_HP_Wide5"/>
      <sheetName val="Pull_All_SFs5"/>
      <sheetName val="Q4_CURRENCY6"/>
      <sheetName val="FY01_Actuals6"/>
      <sheetName val="FY00_Restated6"/>
      <sheetName val="FY01_Quota6"/>
      <sheetName val="Pull_HP_Wide6"/>
      <sheetName val="Pull_All_SFs6"/>
      <sheetName val="Q4_CURRENCY7"/>
      <sheetName val="FY01_Actuals7"/>
      <sheetName val="FY00_Restated7"/>
      <sheetName val="FY01_Quota7"/>
      <sheetName val="Pull_HP_Wide7"/>
      <sheetName val="Pull_All_SFs7"/>
      <sheetName val="Q4_CURRENCY8"/>
      <sheetName val="FY01_Actuals8"/>
      <sheetName val="FY00_Restated8"/>
      <sheetName val="FY01_Quota8"/>
      <sheetName val="Pull_HP_Wide8"/>
      <sheetName val="Pull_All_SFs8"/>
      <sheetName val="Q4_CURRENCY9"/>
      <sheetName val="FY01_Actuals9"/>
      <sheetName val="FY00_Restated9"/>
      <sheetName val="FY01_Quota9"/>
      <sheetName val="Pull_HP_Wide9"/>
      <sheetName val="Pull_All_SFs9"/>
      <sheetName val="Q4_CURRENCY10"/>
      <sheetName val="FY01_Actuals10"/>
      <sheetName val="FY00_Restated10"/>
      <sheetName val="FY01_Quota10"/>
      <sheetName val="Pull_HP_Wide10"/>
      <sheetName val="Pull_All_SFs10"/>
      <sheetName val="Q4_CURRENCY11"/>
      <sheetName val="FY01_Actuals11"/>
      <sheetName val="FY00_Restated11"/>
      <sheetName val="FY01_Quota11"/>
      <sheetName val="Pull_HP_Wide11"/>
      <sheetName val="Pull_All_SFs11"/>
      <sheetName val="Q4_CURRENCY12"/>
      <sheetName val="FY01_Actuals12"/>
      <sheetName val="FY00_Restated12"/>
      <sheetName val="FY01_Quota12"/>
      <sheetName val="Pull_HP_Wide12"/>
      <sheetName val="Pull_All_SFs12"/>
      <sheetName val="Q4_CURRENCY13"/>
      <sheetName val="FY01_Actuals13"/>
      <sheetName val="FY00_Restated13"/>
      <sheetName val="FY01_Quota13"/>
      <sheetName val="Pull_HP_Wide13"/>
      <sheetName val="Pull_All_SFs13"/>
      <sheetName val="Q4_CURRENCY14"/>
      <sheetName val="FY01_Actuals14"/>
      <sheetName val="FY00_Restated14"/>
      <sheetName val="FY01_Quota14"/>
      <sheetName val="Pull_HP_Wide14"/>
      <sheetName val="Pull_All_SFs14"/>
      <sheetName val="Q4_CURRENCY15"/>
      <sheetName val="FY01_Actuals15"/>
      <sheetName val="FY00_Restated15"/>
      <sheetName val="FY01_Quota15"/>
      <sheetName val="Pull_HP_Wide15"/>
      <sheetName val="Pull_All_SFs15"/>
      <sheetName val="Q4_CURRENCY17"/>
      <sheetName val="FY01_Actuals17"/>
      <sheetName val="FY00_Restated17"/>
      <sheetName val="FY01_Quota17"/>
      <sheetName val="Pull_HP_Wide17"/>
      <sheetName val="Pull_All_SFs17"/>
      <sheetName val="Q4_CURRENCY16"/>
      <sheetName val="FY01_Actuals16"/>
      <sheetName val="FY00_Restated16"/>
      <sheetName val="FY01_Quota16"/>
      <sheetName val="Pull_HP_Wide16"/>
      <sheetName val="Pull_All_SFs16"/>
      <sheetName val="Q4_CURRENCY18"/>
      <sheetName val="FY01_Actuals18"/>
      <sheetName val="FY00_Restated18"/>
      <sheetName val="FY01_Quota18"/>
      <sheetName val="Pull_HP_Wide18"/>
      <sheetName val="Pull_All_SFs18"/>
      <sheetName val="Q4_CURRENCY19"/>
      <sheetName val="FY01_Actuals19"/>
      <sheetName val="FY00_Restated19"/>
      <sheetName val="FY01_Quota19"/>
      <sheetName val="Pull_HP_Wide19"/>
      <sheetName val="Pull_All_SFs19"/>
      <sheetName val="Q4_CURRENCY21"/>
      <sheetName val="FY01_Actuals21"/>
      <sheetName val="FY00_Restated21"/>
      <sheetName val="FY01_Quota21"/>
      <sheetName val="Pull_HP_Wide21"/>
      <sheetName val="Pull_All_SFs21"/>
      <sheetName val="Q4_CURRENCY22"/>
      <sheetName val="FY01_Actuals22"/>
      <sheetName val="FY00_Restated22"/>
      <sheetName val="FY01_Quota22"/>
      <sheetName val="Pull_HP_Wide22"/>
      <sheetName val="Pull_All_SFs22"/>
      <sheetName val="Q4_CURRENCY26"/>
      <sheetName val="FY01_Actuals26"/>
      <sheetName val="FY00_Restated26"/>
      <sheetName val="FY01_Quota26"/>
      <sheetName val="Pull_HP_Wide26"/>
      <sheetName val="Pull_All_SFs26"/>
      <sheetName val="Q4_CURRENCY24"/>
      <sheetName val="FY01_Actuals24"/>
      <sheetName val="FY00_Restated24"/>
      <sheetName val="FY01_Quota24"/>
      <sheetName val="Pull_HP_Wide24"/>
      <sheetName val="Pull_All_SFs24"/>
      <sheetName val="Q4_CURRENCY23"/>
      <sheetName val="FY01_Actuals23"/>
      <sheetName val="FY00_Restated23"/>
      <sheetName val="FY01_Quota23"/>
      <sheetName val="Pull_HP_Wide23"/>
      <sheetName val="Pull_All_SFs23"/>
      <sheetName val="Q4_CURRENCY25"/>
      <sheetName val="FY01_Actuals25"/>
      <sheetName val="FY00_Restated25"/>
      <sheetName val="FY01_Quota25"/>
      <sheetName val="Pull_HP_Wide25"/>
      <sheetName val="Pull_All_SFs25"/>
      <sheetName val="Q4_CURRENCY29"/>
      <sheetName val="FY01_Actuals29"/>
      <sheetName val="FY00_Restated29"/>
      <sheetName val="FY01_Quota29"/>
      <sheetName val="Pull_HP_Wide29"/>
      <sheetName val="Pull_All_SFs29"/>
      <sheetName val="Q4_CURRENCY27"/>
      <sheetName val="FY01_Actuals27"/>
      <sheetName val="FY00_Restated27"/>
      <sheetName val="FY01_Quota27"/>
      <sheetName val="Pull_HP_Wide27"/>
      <sheetName val="Pull_All_SFs27"/>
      <sheetName val="Q4_CURRENCY28"/>
      <sheetName val="FY01_Actuals28"/>
      <sheetName val="FY00_Restated28"/>
      <sheetName val="FY01_Quota28"/>
      <sheetName val="Pull_HP_Wide28"/>
      <sheetName val="Pull_All_SFs28"/>
      <sheetName val="Q4_CURRENCY30"/>
      <sheetName val="FY01_Actuals30"/>
      <sheetName val="FY00_Restated30"/>
      <sheetName val="FY01_Quota30"/>
      <sheetName val="Pull_HP_Wide30"/>
      <sheetName val="Pull_All_SFs30"/>
      <sheetName val="Q4_CURRENCY31"/>
      <sheetName val="FY01_Actuals31"/>
      <sheetName val="FY00_Restated31"/>
      <sheetName val="FY01_Quota31"/>
      <sheetName val="Pull_HP_Wide31"/>
      <sheetName val="Pull_All_SFs31"/>
      <sheetName val="9100-PO"/>
      <sheetName val="FP"/>
      <sheetName val="Time Dimension Lookup"/>
      <sheetName val="三分厂04年1-12月销售价 "/>
      <sheetName val="05年1月销售价"/>
      <sheetName val="04年12月销售价"/>
      <sheetName val="选择报表"/>
      <sheetName val="敏感参数"/>
      <sheetName val="Summary Data"/>
      <sheetName val="WWSum"/>
      <sheetName val="敏感详细分析"/>
      <sheetName val="面积指标"/>
      <sheetName val="Q4_CURRENCY33"/>
      <sheetName val="FY01_Actuals33"/>
      <sheetName val="FY00_Restated33"/>
      <sheetName val="FY01_Quota33"/>
      <sheetName val="Pull_HP_Wide33"/>
      <sheetName val="Pull_All_SFs33"/>
      <sheetName val="MBB_CASH_BOOK1"/>
      <sheetName val="EMEA_Express_Service__LCL_041"/>
      <sheetName val="Plan_SD1"/>
      <sheetName val="SALES_DEMAND1"/>
      <sheetName val="Q4_CURRENCY32"/>
      <sheetName val="FY01_Actuals32"/>
      <sheetName val="FY00_Restated32"/>
      <sheetName val="FY01_Quota32"/>
      <sheetName val="Pull_HP_Wide32"/>
      <sheetName val="Pull_All_SFs32"/>
      <sheetName val="MBB_CASH_BOOK"/>
      <sheetName val="EMEA_Express_Service__LCL_04"/>
      <sheetName val="Plan_SD"/>
      <sheetName val="SALES_DEMAND"/>
      <sheetName val="Q4_CURRENCY42"/>
      <sheetName val="FY01_Actuals42"/>
      <sheetName val="FY00_Restated42"/>
      <sheetName val="FY01_Quota42"/>
      <sheetName val="Pull_HP_Wide42"/>
      <sheetName val="Pull_All_SFs42"/>
      <sheetName val="MBB_CASH_BOOK10"/>
      <sheetName val="EMEA_Express_Service__LCL_0410"/>
      <sheetName val="Plan_SD10"/>
      <sheetName val="SALES_DEMAND10"/>
      <sheetName val="Time_Dimension_Lookup2"/>
      <sheetName val="三分厂04年1-12月销售价_2"/>
      <sheetName val="Summary_Data2"/>
      <sheetName val="Q4_CURRENCY36"/>
      <sheetName val="FY01_Actuals36"/>
      <sheetName val="FY00_Restated36"/>
      <sheetName val="FY01_Quota36"/>
      <sheetName val="Pull_HP_Wide36"/>
      <sheetName val="Pull_All_SFs36"/>
      <sheetName val="MBB_CASH_BOOK4"/>
      <sheetName val="EMEA_Express_Service__LCL_044"/>
      <sheetName val="Plan_SD4"/>
      <sheetName val="SALES_DEMAND4"/>
      <sheetName val="Q4_CURRENCY34"/>
      <sheetName val="FY01_Actuals34"/>
      <sheetName val="FY00_Restated34"/>
      <sheetName val="FY01_Quota34"/>
      <sheetName val="Pull_HP_Wide34"/>
      <sheetName val="Pull_All_SFs34"/>
      <sheetName val="MBB_CASH_BOOK2"/>
      <sheetName val="EMEA_Express_Service__LCL_042"/>
      <sheetName val="Plan_SD2"/>
      <sheetName val="SALES_DEMAND2"/>
      <sheetName val="Q4_CURRENCY35"/>
      <sheetName val="FY01_Actuals35"/>
      <sheetName val="FY00_Restated35"/>
      <sheetName val="FY01_Quota35"/>
      <sheetName val="Pull_HP_Wide35"/>
      <sheetName val="Pull_All_SFs35"/>
      <sheetName val="MBB_CASH_BOOK3"/>
      <sheetName val="EMEA_Express_Service__LCL_043"/>
      <sheetName val="Plan_SD3"/>
      <sheetName val="SALES_DEMAND3"/>
      <sheetName val="Q4_CURRENCY39"/>
      <sheetName val="FY01_Actuals39"/>
      <sheetName val="FY00_Restated39"/>
      <sheetName val="FY01_Quota39"/>
      <sheetName val="Pull_HP_Wide39"/>
      <sheetName val="Pull_All_SFs39"/>
      <sheetName val="MBB_CASH_BOOK7"/>
      <sheetName val="EMEA_Express_Service__LCL_047"/>
      <sheetName val="Plan_SD7"/>
      <sheetName val="SALES_DEMAND7"/>
      <sheetName val="Q4_CURRENCY37"/>
      <sheetName val="FY01_Actuals37"/>
      <sheetName val="FY00_Restated37"/>
      <sheetName val="FY01_Quota37"/>
      <sheetName val="Pull_HP_Wide37"/>
      <sheetName val="Pull_All_SFs37"/>
      <sheetName val="MBB_CASH_BOOK5"/>
      <sheetName val="EMEA_Express_Service__LCL_045"/>
      <sheetName val="Plan_SD5"/>
      <sheetName val="SALES_DEMAND5"/>
      <sheetName val="Q4_CURRENCY38"/>
      <sheetName val="FY01_Actuals38"/>
      <sheetName val="FY00_Restated38"/>
      <sheetName val="FY01_Quota38"/>
      <sheetName val="Pull_HP_Wide38"/>
      <sheetName val="Pull_All_SFs38"/>
      <sheetName val="MBB_CASH_BOOK6"/>
      <sheetName val="EMEA_Express_Service__LCL_046"/>
      <sheetName val="Plan_SD6"/>
      <sheetName val="SALES_DEMAND6"/>
      <sheetName val="Q4_CURRENCY40"/>
      <sheetName val="FY01_Actuals40"/>
      <sheetName val="FY00_Restated40"/>
      <sheetName val="FY01_Quota40"/>
      <sheetName val="Pull_HP_Wide40"/>
      <sheetName val="Pull_All_SFs40"/>
      <sheetName val="MBB_CASH_BOOK8"/>
      <sheetName val="EMEA_Express_Service__LCL_048"/>
      <sheetName val="Plan_SD8"/>
      <sheetName val="SALES_DEMAND8"/>
      <sheetName val="Time_Dimension_Lookup"/>
      <sheetName val="三分厂04年1-12月销售价_"/>
      <sheetName val="Summary_Data"/>
      <sheetName val="Q4_CURRENCY41"/>
      <sheetName val="FY01_Actuals41"/>
      <sheetName val="FY00_Restated41"/>
      <sheetName val="FY01_Quota41"/>
      <sheetName val="Pull_HP_Wide41"/>
      <sheetName val="Pull_All_SFs41"/>
      <sheetName val="MBB_CASH_BOOK9"/>
      <sheetName val="EMEA_Express_Service__LCL_049"/>
      <sheetName val="Plan_SD9"/>
      <sheetName val="SALES_DEMAND9"/>
      <sheetName val="Time_Dimension_Lookup1"/>
      <sheetName val="三分厂04年1-12月销售价_1"/>
      <sheetName val="Summary_Data1"/>
      <sheetName val="Comet ASPIRE"/>
      <sheetName val="Comet Sequential"/>
      <sheetName val="Comet yoy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3D ASPIRE Table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MCS"/>
      <sheetName val="通貨一覧"/>
      <sheetName val="Basic PMM"/>
      <sheetName val="Full PMM"/>
      <sheetName val="工厂"/>
      <sheetName val="Instructions"/>
      <sheetName val="Q4_CURRENCY43"/>
      <sheetName val="FY01_Actuals43"/>
      <sheetName val="FY00_Restated43"/>
      <sheetName val="FY01_Quota43"/>
      <sheetName val="Pull_HP_Wide43"/>
      <sheetName val="Pull_All_SFs43"/>
      <sheetName val="MBB_CASH_BOOK11"/>
      <sheetName val="EMEA_Express_Service__LCL_0411"/>
      <sheetName val="Plan_SD11"/>
      <sheetName val="SALES_DEMAND11"/>
      <sheetName val="Time_Dimension_Lookup3"/>
      <sheetName val="三分厂04年1-12月销售价_3"/>
      <sheetName val="Summary_Data3"/>
      <sheetName val="Q4_CURRENCY44"/>
      <sheetName val="FY01_Actuals44"/>
      <sheetName val="FY00_Restated44"/>
      <sheetName val="FY01_Quota44"/>
      <sheetName val="Pull_HP_Wide44"/>
      <sheetName val="Pull_All_SFs44"/>
      <sheetName val="MBB_CASH_BOOK12"/>
      <sheetName val="EMEA_Express_Service__LCL_0412"/>
      <sheetName val="Plan_SD12"/>
      <sheetName val="SALES_DEMAND12"/>
      <sheetName val="Time_Dimension_Lookup4"/>
      <sheetName val="三分厂04年1-12月销售价_4"/>
      <sheetName val="Summary_Data4"/>
      <sheetName val="Q4_CURRENCY45"/>
      <sheetName val="FY01_Actuals45"/>
      <sheetName val="FY00_Restated45"/>
      <sheetName val="FY01_Quota45"/>
      <sheetName val="Pull_HP_Wide45"/>
      <sheetName val="Pull_All_SFs45"/>
      <sheetName val="MBB_CASH_BOOK13"/>
      <sheetName val="EMEA_Express_Service__LCL_0413"/>
      <sheetName val="Plan_SD13"/>
      <sheetName val="SALES_DEMAND13"/>
      <sheetName val="Time_Dimension_Lookup5"/>
      <sheetName val="三分厂04年1-12月销售价_5"/>
      <sheetName val="Summary_Data5"/>
      <sheetName val="Q4_CURRENCY46"/>
      <sheetName val="FY01_Actuals46"/>
      <sheetName val="FY00_Restated46"/>
      <sheetName val="FY01_Quota46"/>
      <sheetName val="Pull_HP_Wide46"/>
      <sheetName val="Pull_All_SFs46"/>
      <sheetName val="MBB_CASH_BOOK14"/>
      <sheetName val="EMEA_Express_Service__LCL_0414"/>
      <sheetName val="Plan_SD14"/>
      <sheetName val="SALES_DEMAND14"/>
      <sheetName val="Time_Dimension_Lookup6"/>
      <sheetName val="三分厂04年1-12月销售价_6"/>
      <sheetName val="Summary_Data6"/>
      <sheetName val="Q4_CURRENCY47"/>
      <sheetName val="FY01_Actuals47"/>
      <sheetName val="FY00_Restated47"/>
      <sheetName val="FY01_Quota47"/>
      <sheetName val="Pull_HP_Wide47"/>
      <sheetName val="Pull_All_SFs47"/>
      <sheetName val="MBB_CASH_BOOK15"/>
      <sheetName val="EMEA_Express_Service__LCL_0415"/>
      <sheetName val="Plan_SD15"/>
      <sheetName val="SALES_DEMAND15"/>
      <sheetName val="Time_Dimension_Lookup7"/>
      <sheetName val="三分厂04年1-12月销售价_7"/>
      <sheetName val="Summary_Data7"/>
      <sheetName val="Q4_CURRENCY48"/>
      <sheetName val="FY01_Actuals48"/>
      <sheetName val="FY00_Restated48"/>
      <sheetName val="FY01_Quota48"/>
      <sheetName val="Pull_HP_Wide48"/>
      <sheetName val="Pull_All_SFs48"/>
      <sheetName val="MBB_CASH_BOOK16"/>
      <sheetName val="EMEA_Express_Service__LCL_0416"/>
      <sheetName val="Plan_SD16"/>
      <sheetName val="SALES_DEMAND16"/>
      <sheetName val="Time_Dimension_Lookup8"/>
      <sheetName val="三分厂04年1-12月销售价_8"/>
      <sheetName val="Summary_Data8"/>
      <sheetName val="Q4_CURRENCY50"/>
      <sheetName val="FY01_Actuals50"/>
      <sheetName val="FY00_Restated50"/>
      <sheetName val="FY01_Quota50"/>
      <sheetName val="Pull_HP_Wide50"/>
      <sheetName val="Pull_All_SFs50"/>
      <sheetName val="MBB_CASH_BOOK18"/>
      <sheetName val="EMEA_Express_Service__LCL_0418"/>
      <sheetName val="Plan_SD18"/>
      <sheetName val="SALES_DEMAND18"/>
      <sheetName val="Time_Dimension_Lookup10"/>
      <sheetName val="三分厂04年1-12月销售价_10"/>
      <sheetName val="Summary_Data10"/>
      <sheetName val="Q4_CURRENCY49"/>
      <sheetName val="FY01_Actuals49"/>
      <sheetName val="FY00_Restated49"/>
      <sheetName val="FY01_Quota49"/>
      <sheetName val="Pull_HP_Wide49"/>
      <sheetName val="Pull_All_SFs49"/>
      <sheetName val="MBB_CASH_BOOK17"/>
      <sheetName val="EMEA_Express_Service__LCL_0417"/>
      <sheetName val="Plan_SD17"/>
      <sheetName val="SALES_DEMAND17"/>
      <sheetName val="Time_Dimension_Lookup9"/>
      <sheetName val="三分厂04年1-12月销售价_9"/>
      <sheetName val="Summary_Data9"/>
      <sheetName val="Q4_CURRENCY51"/>
      <sheetName val="FY01_Actuals51"/>
      <sheetName val="FY00_Restated51"/>
      <sheetName val="FY01_Quota51"/>
      <sheetName val="Pull_HP_Wide51"/>
      <sheetName val="Pull_All_SFs51"/>
      <sheetName val="MBB_CASH_BOOK19"/>
      <sheetName val="EMEA_Express_Service__LCL_0419"/>
      <sheetName val="Plan_SD19"/>
      <sheetName val="SALES_DEMAND19"/>
      <sheetName val="Time_Dimension_Lookup11"/>
      <sheetName val="三分厂04年1-12月销售价_11"/>
      <sheetName val="Summary_Data11"/>
      <sheetName val="Input area"/>
      <sheetName val="GWL-RUNING"/>
      <sheetName val="COMPON"/>
      <sheetName val="BILLCONT"/>
      <sheetName val="Av.Measures"/>
      <sheetName val="Data"/>
      <sheetName val="FCG"/>
      <sheetName val="单元格下拉项"/>
      <sheetName val="Detail pg 5"/>
      <sheetName val="Hidden"/>
      <sheetName val="Panel"/>
      <sheetName val="Funnel"/>
      <sheetName val="Q4_CURRENCY52"/>
      <sheetName val="FY01_Actuals52"/>
      <sheetName val="FY00_Restated52"/>
      <sheetName val="FY01_Quota52"/>
      <sheetName val="Pull_HP_Wide52"/>
      <sheetName val="Pull_All_SFs52"/>
      <sheetName val="MBB_CASH_BOOK20"/>
      <sheetName val="EMEA_Express_Service__LCL_0420"/>
      <sheetName val="Plan_SD20"/>
      <sheetName val="SALES_DEMAND20"/>
      <sheetName val="Time_Dimension_Lookup12"/>
      <sheetName val="三分厂04年1-12月销售价_12"/>
      <sheetName val="Summary_Data12"/>
      <sheetName val="FY03CostStructur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Spec"/>
      <sheetName val="家属随迁费用（FS 4人）"/>
      <sheetName val="feeDetails"/>
      <sheetName val="Start Here!"/>
      <sheetName val="Master Data"/>
      <sheetName val="Planner"/>
      <sheetName val="Collateral"/>
      <sheetName val="Disposition"/>
      <sheetName val="LOV"/>
      <sheetName val="factors"/>
      <sheetName val="FA-LIS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LOV"/>
      <sheetName val="DIO"/>
      <sheetName val="分产品销售收入、成本分析表"/>
      <sheetName val="FY01 Actuals"/>
      <sheetName val="FY00 Restated"/>
      <sheetName val="FY01 Quota"/>
      <sheetName val="3D ASPIRE Table"/>
      <sheetName val="设计变更"/>
      <sheetName val="co_code"/>
      <sheetName val="Instructions"/>
      <sheetName val="APJSum"/>
      <sheetName val="AmeSum"/>
      <sheetName val="EMEASum"/>
      <sheetName val="HPCoSum"/>
      <sheetName val="OGSum"/>
      <sheetName val="WWSum"/>
      <sheetName val="BaaN FW47"/>
      <sheetName val="Sep BaaN"/>
      <sheetName val="Comet ASPIRE"/>
      <sheetName val="Comet Sequential"/>
      <sheetName val="Comet yoy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M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"/>
      <sheetName val="Control Panel"/>
      <sheetName val="Forecast"/>
      <sheetName val="WW Total HPCI"/>
      <sheetName val="EMEA"/>
      <sheetName val="Americas"/>
      <sheetName val="LatinAm"/>
      <sheetName val="NAM"/>
      <sheetName val="NAM w-o Smartc."/>
      <sheetName val="GGM Sum"/>
      <sheetName val="HPCI P&amp;L Trend (Blue)"/>
      <sheetName val="HPCI P&amp;L Trend % (Blue)"/>
      <sheetName val="PL4K P&amp;L Trend"/>
      <sheetName val="PL4K P&amp;L Trend %"/>
      <sheetName val="PL79 P&amp;L Trend"/>
      <sheetName val="PL79 P&amp;L Trend %"/>
      <sheetName val="HPCI-COMET Comparison (Blue)"/>
      <sheetName val="Global OH (Blue)"/>
      <sheetName val="Headcount Reconciliation (Blue)"/>
      <sheetName val="Headcount Trend"/>
      <sheetName val="PL4K Labor Trend"/>
      <sheetName val="3D P&amp;L Vs ASPIRE (Blue)"/>
      <sheetName val="COMET P&amp;L Trend (Blue)"/>
      <sheetName val="COMET P&amp;L Trend % (Blue)"/>
      <sheetName val="FY02 Adjusted P&amp;L (Blue)"/>
      <sheetName val="Adjustment DTL (Blue)"/>
      <sheetName val="GGM Cap. Change Pull"/>
      <sheetName val="GGM Residual Pull"/>
      <sheetName val="GGM Local OH Pull"/>
      <sheetName val="GGM Allocs Pull"/>
      <sheetName val="GGM Oth Inc(Exp) Pull"/>
      <sheetName val="Smartcontact Gain Pull"/>
      <sheetName val="GGM Revenue Fall Out"/>
      <sheetName val="GGM Residual Fall Out"/>
      <sheetName val="Global OH Pull"/>
      <sheetName val="EN50_47 Global Pull"/>
      <sheetName val="Labor Pull"/>
      <sheetName val="Forecast Accuracy Trend"/>
      <sheetName val="COMET Pull"/>
      <sheetName val="WW P&amp;L Table"/>
      <sheetName val="WW Goal Table"/>
      <sheetName val="AsiaPac+Jpn"/>
      <sheetName val="AsiaPac"/>
      <sheetName val="Jpn"/>
      <sheetName val="GGM CF Pull"/>
      <sheetName val="HPC Region P&amp;L Table"/>
      <sheetName val="HPC Region Goal Table"/>
      <sheetName val="PL Region P&amp;L Table"/>
      <sheetName val="PL Region Goal Table"/>
      <sheetName val="3D P&amp;L Table"/>
      <sheetName val="Global OH Actuals Table"/>
      <sheetName val="Global OH Goal Table"/>
      <sheetName val="Geo Hc Actual Table"/>
      <sheetName val="Geo Hc Goal Table"/>
      <sheetName val="3D ASPIRE Table"/>
      <sheetName val="GGM Backlog Table"/>
      <sheetName val="COMET FY01 Pull"/>
      <sheetName val="Labor Pull FY01"/>
      <sheetName val="DIO"/>
      <sheetName val="Tables"/>
      <sheetName val="Pull HP Wide"/>
      <sheetName val="Pull All SFs"/>
      <sheetName val="MANPOWER"/>
      <sheetName val="STD. COST"/>
      <sheetName val="面积指标"/>
      <sheetName val="分产品销售收入、成本分析表"/>
      <sheetName val="013 - การสั่งการ"/>
      <sheetName val="APJSum"/>
      <sheetName val="AmeSum"/>
      <sheetName val="EMEASum"/>
      <sheetName val="HPCoSum"/>
      <sheetName val="OGSum"/>
      <sheetName val="WWSum"/>
      <sheetName val="INPUT - Data Table"/>
      <sheetName val="Instructions"/>
      <sheetName val="Comet ASPIRE"/>
      <sheetName val="Comet Sequential"/>
      <sheetName val="Comet yoy"/>
      <sheetName val="Control_Panel"/>
      <sheetName val="WW_Total_HPCI"/>
      <sheetName val="NAM_w-o_Smartc_"/>
      <sheetName val="GGM_Sum"/>
      <sheetName val="HPCI_P&amp;L_Trend_(Blue)"/>
      <sheetName val="HPCI_P&amp;L_Trend_%_(Blue)"/>
      <sheetName val="PL4K_P&amp;L_Trend"/>
      <sheetName val="PL4K_P&amp;L_Trend_%"/>
      <sheetName val="PL79_P&amp;L_Trend"/>
      <sheetName val="PL79_P&amp;L_Trend_%"/>
      <sheetName val="HPCI-COMET_Comparison_(Blue)"/>
      <sheetName val="Global_OH_(Blue)"/>
      <sheetName val="Headcount_Reconciliation_(Blue)"/>
      <sheetName val="Headcount_Trend"/>
      <sheetName val="PL4K_Labor_Trend"/>
      <sheetName val="3D_P&amp;L_Vs_ASPIRE_(Blue)"/>
      <sheetName val="COMET_P&amp;L_Trend_(Blue)"/>
      <sheetName val="COMET_P&amp;L_Trend_%_(Blue)"/>
      <sheetName val="FY02_Adjusted_P&amp;L_(Blue)"/>
      <sheetName val="Adjustment_DTL_(Blue)"/>
      <sheetName val="GGM_Cap__Change_Pull"/>
      <sheetName val="GGM_Residual_Pull"/>
      <sheetName val="GGM_Local_OH_Pull"/>
      <sheetName val="GGM_Allocs_Pull"/>
      <sheetName val="GGM_Oth_Inc(Exp)_Pull"/>
      <sheetName val="Smartcontact_Gain_Pull"/>
      <sheetName val="GGM_Revenue_Fall_Out"/>
      <sheetName val="GGM_Residual_Fall_Out"/>
      <sheetName val="Global_OH_Pull"/>
      <sheetName val="EN50_47_Global_Pull"/>
      <sheetName val="Labor_Pull"/>
      <sheetName val="Forecast_Accuracy_Trend"/>
      <sheetName val="COMET_Pull"/>
      <sheetName val="WW_P&amp;L_Table"/>
      <sheetName val="WW_Goal_Table"/>
      <sheetName val="GGM_CF_Pull"/>
      <sheetName val="HPC_Region_P&amp;L_Table"/>
      <sheetName val="HPC_Region_Goal_Table"/>
      <sheetName val="PL_Region_P&amp;L_Table"/>
      <sheetName val="PL_Region_Goal_Table"/>
      <sheetName val="3D_P&amp;L_Table"/>
      <sheetName val="Global_OH_Actuals_Table"/>
      <sheetName val="Global_OH_Goal_Table"/>
      <sheetName val="Geo_Hc_Actual_Table"/>
      <sheetName val="Geo_Hc_Goal_Table"/>
      <sheetName val="3D_ASPIRE_Table"/>
      <sheetName val="GGM_Backlog_Table"/>
      <sheetName val="COMET_FY01_Pull"/>
      <sheetName val="Labor_Pull_FY01"/>
      <sheetName val="Pull_HP_Wide"/>
      <sheetName val="Pull_All_SFs"/>
      <sheetName val="STD__COST"/>
      <sheetName val="013_-_การสั่งการ"/>
      <sheetName val="Control_Panel3"/>
      <sheetName val="WW_Total_HPCI3"/>
      <sheetName val="NAM_w-o_Smartc_3"/>
      <sheetName val="GGM_Sum3"/>
      <sheetName val="HPCI_P&amp;L_Trend_(Blue)3"/>
      <sheetName val="HPCI_P&amp;L_Trend_%_(Blue)3"/>
      <sheetName val="PL4K_P&amp;L_Trend3"/>
      <sheetName val="PL4K_P&amp;L_Trend_%3"/>
      <sheetName val="PL79_P&amp;L_Trend3"/>
      <sheetName val="PL79_P&amp;L_Trend_%3"/>
      <sheetName val="HPCI-COMET_Comparison_(Blue)3"/>
      <sheetName val="Global_OH_(Blue)3"/>
      <sheetName val="Headcount_Reconciliation_(Blue3"/>
      <sheetName val="Headcount_Trend3"/>
      <sheetName val="PL4K_Labor_Trend3"/>
      <sheetName val="3D_P&amp;L_Vs_ASPIRE_(Blue)3"/>
      <sheetName val="COMET_P&amp;L_Trend_(Blue)3"/>
      <sheetName val="COMET_P&amp;L_Trend_%_(Blue)3"/>
      <sheetName val="FY02_Adjusted_P&amp;L_(Blue)3"/>
      <sheetName val="Adjustment_DTL_(Blue)3"/>
      <sheetName val="GGM_Cap__Change_Pull3"/>
      <sheetName val="GGM_Residual_Pull3"/>
      <sheetName val="GGM_Local_OH_Pull3"/>
      <sheetName val="GGM_Allocs_Pull3"/>
      <sheetName val="GGM_Oth_Inc(Exp)_Pull3"/>
      <sheetName val="Smartcontact_Gain_Pull3"/>
      <sheetName val="GGM_Revenue_Fall_Out3"/>
      <sheetName val="GGM_Residual_Fall_Out3"/>
      <sheetName val="Global_OH_Pull3"/>
      <sheetName val="EN50_47_Global_Pull3"/>
      <sheetName val="Labor_Pull3"/>
      <sheetName val="Forecast_Accuracy_Trend3"/>
      <sheetName val="COMET_Pull3"/>
      <sheetName val="WW_P&amp;L_Table3"/>
      <sheetName val="WW_Goal_Table3"/>
      <sheetName val="GGM_CF_Pull3"/>
      <sheetName val="HPC_Region_P&amp;L_Table3"/>
      <sheetName val="HPC_Region_Goal_Table3"/>
      <sheetName val="PL_Region_P&amp;L_Table3"/>
      <sheetName val="PL_Region_Goal_Table3"/>
      <sheetName val="3D_P&amp;L_Table3"/>
      <sheetName val="Global_OH_Actuals_Table3"/>
      <sheetName val="Global_OH_Goal_Table3"/>
      <sheetName val="Geo_Hc_Actual_Table3"/>
      <sheetName val="Geo_Hc_Goal_Table3"/>
      <sheetName val="3D_ASPIRE_Table3"/>
      <sheetName val="GGM_Backlog_Table3"/>
      <sheetName val="COMET_FY01_Pull3"/>
      <sheetName val="Labor_Pull_FY013"/>
      <sheetName val="Pull_HP_Wide3"/>
      <sheetName val="Pull_All_SFs3"/>
      <sheetName val="STD__COST3"/>
      <sheetName val="013_-_การสั่งการ3"/>
      <sheetName val="INPUT_-_Data_Table1"/>
      <sheetName val="Control_Panel1"/>
      <sheetName val="WW_Total_HPCI1"/>
      <sheetName val="NAM_w-o_Smartc_1"/>
      <sheetName val="GGM_Sum1"/>
      <sheetName val="HPCI_P&amp;L_Trend_(Blue)1"/>
      <sheetName val="HPCI_P&amp;L_Trend_%_(Blue)1"/>
      <sheetName val="PL4K_P&amp;L_Trend1"/>
      <sheetName val="PL4K_P&amp;L_Trend_%1"/>
      <sheetName val="PL79_P&amp;L_Trend1"/>
      <sheetName val="PL79_P&amp;L_Trend_%1"/>
      <sheetName val="HPCI-COMET_Comparison_(Blue)1"/>
      <sheetName val="Global_OH_(Blue)1"/>
      <sheetName val="Headcount_Reconciliation_(Blue1"/>
      <sheetName val="Headcount_Trend1"/>
      <sheetName val="PL4K_Labor_Trend1"/>
      <sheetName val="3D_P&amp;L_Vs_ASPIRE_(Blue)1"/>
      <sheetName val="COMET_P&amp;L_Trend_(Blue)1"/>
      <sheetName val="COMET_P&amp;L_Trend_%_(Blue)1"/>
      <sheetName val="FY02_Adjusted_P&amp;L_(Blue)1"/>
      <sheetName val="Adjustment_DTL_(Blue)1"/>
      <sheetName val="GGM_Cap__Change_Pull1"/>
      <sheetName val="GGM_Residual_Pull1"/>
      <sheetName val="GGM_Local_OH_Pull1"/>
      <sheetName val="GGM_Allocs_Pull1"/>
      <sheetName val="GGM_Oth_Inc(Exp)_Pull1"/>
      <sheetName val="Smartcontact_Gain_Pull1"/>
      <sheetName val="GGM_Revenue_Fall_Out1"/>
      <sheetName val="GGM_Residual_Fall_Out1"/>
      <sheetName val="Global_OH_Pull1"/>
      <sheetName val="EN50_47_Global_Pull1"/>
      <sheetName val="Labor_Pull1"/>
      <sheetName val="Forecast_Accuracy_Trend1"/>
      <sheetName val="COMET_Pull1"/>
      <sheetName val="WW_P&amp;L_Table1"/>
      <sheetName val="WW_Goal_Table1"/>
      <sheetName val="GGM_CF_Pull1"/>
      <sheetName val="HPC_Region_P&amp;L_Table1"/>
      <sheetName val="HPC_Region_Goal_Table1"/>
      <sheetName val="PL_Region_P&amp;L_Table1"/>
      <sheetName val="PL_Region_Goal_Table1"/>
      <sheetName val="3D_P&amp;L_Table1"/>
      <sheetName val="Global_OH_Actuals_Table1"/>
      <sheetName val="Global_OH_Goal_Table1"/>
      <sheetName val="Geo_Hc_Actual_Table1"/>
      <sheetName val="Geo_Hc_Goal_Table1"/>
      <sheetName val="3D_ASPIRE_Table1"/>
      <sheetName val="GGM_Backlog_Table1"/>
      <sheetName val="COMET_FY01_Pull1"/>
      <sheetName val="Labor_Pull_FY011"/>
      <sheetName val="Pull_HP_Wide1"/>
      <sheetName val="Pull_All_SFs1"/>
      <sheetName val="STD__COST1"/>
      <sheetName val="013_-_การสั่งการ1"/>
      <sheetName val="Control_Panel2"/>
      <sheetName val="WW_Total_HPCI2"/>
      <sheetName val="NAM_w-o_Smartc_2"/>
      <sheetName val="GGM_Sum2"/>
      <sheetName val="HPCI_P&amp;L_Trend_(Blue)2"/>
      <sheetName val="HPCI_P&amp;L_Trend_%_(Blue)2"/>
      <sheetName val="PL4K_P&amp;L_Trend2"/>
      <sheetName val="PL4K_P&amp;L_Trend_%2"/>
      <sheetName val="PL79_P&amp;L_Trend2"/>
      <sheetName val="PL79_P&amp;L_Trend_%2"/>
      <sheetName val="HPCI-COMET_Comparison_(Blue)2"/>
      <sheetName val="Global_OH_(Blue)2"/>
      <sheetName val="Headcount_Reconciliation_(Blue2"/>
      <sheetName val="Headcount_Trend2"/>
      <sheetName val="PL4K_Labor_Trend2"/>
      <sheetName val="3D_P&amp;L_Vs_ASPIRE_(Blue)2"/>
      <sheetName val="COMET_P&amp;L_Trend_(Blue)2"/>
      <sheetName val="COMET_P&amp;L_Trend_%_(Blue)2"/>
      <sheetName val="FY02_Adjusted_P&amp;L_(Blue)2"/>
      <sheetName val="Adjustment_DTL_(Blue)2"/>
      <sheetName val="GGM_Cap__Change_Pull2"/>
      <sheetName val="GGM_Residual_Pull2"/>
      <sheetName val="GGM_Local_OH_Pull2"/>
      <sheetName val="GGM_Allocs_Pull2"/>
      <sheetName val="GGM_Oth_Inc(Exp)_Pull2"/>
      <sheetName val="Smartcontact_Gain_Pull2"/>
      <sheetName val="GGM_Revenue_Fall_Out2"/>
      <sheetName val="GGM_Residual_Fall_Out2"/>
      <sheetName val="Global_OH_Pull2"/>
      <sheetName val="EN50_47_Global_Pull2"/>
      <sheetName val="Labor_Pull2"/>
      <sheetName val="Forecast_Accuracy_Trend2"/>
      <sheetName val="COMET_Pull2"/>
      <sheetName val="WW_P&amp;L_Table2"/>
      <sheetName val="WW_Goal_Table2"/>
      <sheetName val="GGM_CF_Pull2"/>
      <sheetName val="HPC_Region_P&amp;L_Table2"/>
      <sheetName val="HPC_Region_Goal_Table2"/>
      <sheetName val="PL_Region_P&amp;L_Table2"/>
      <sheetName val="PL_Region_Goal_Table2"/>
      <sheetName val="3D_P&amp;L_Table2"/>
      <sheetName val="Global_OH_Actuals_Table2"/>
      <sheetName val="Global_OH_Goal_Table2"/>
      <sheetName val="Geo_Hc_Actual_Table2"/>
      <sheetName val="Geo_Hc_Goal_Table2"/>
      <sheetName val="3D_ASPIRE_Table2"/>
      <sheetName val="GGM_Backlog_Table2"/>
      <sheetName val="COMET_FY01_Pull2"/>
      <sheetName val="Labor_Pull_FY012"/>
      <sheetName val="Pull_HP_Wide2"/>
      <sheetName val="Pull_All_SFs2"/>
      <sheetName val="STD__COST2"/>
      <sheetName val="013_-_การสั่งการ2"/>
      <sheetName val="INPUT_-_Data_Table"/>
      <sheetName val="Activity"/>
      <sheetName val="Consumables"/>
      <sheetName val="Labour costs"/>
      <sheetName val="LOV"/>
      <sheetName val="Sheet5"/>
      <sheetName val="ZBANCHE"/>
      <sheetName val="Control_Panel20"/>
      <sheetName val="WW_Total_HPCI20"/>
      <sheetName val="NAM_w-o_Smartc_20"/>
      <sheetName val="GGM_Sum20"/>
      <sheetName val="HPCI_P&amp;L_Trend_(Blue)20"/>
      <sheetName val="HPCI_P&amp;L_Trend_%_(Blue)20"/>
      <sheetName val="PL4K_P&amp;L_Trend20"/>
      <sheetName val="PL4K_P&amp;L_Trend_%20"/>
      <sheetName val="PL79_P&amp;L_Trend20"/>
      <sheetName val="PL79_P&amp;L_Trend_%20"/>
      <sheetName val="HPCI-COMET_Comparison_(Blue)20"/>
      <sheetName val="Global_OH_(Blue)20"/>
      <sheetName val="Headcount_Reconciliation_(Blu20"/>
      <sheetName val="Headcount_Trend20"/>
      <sheetName val="PL4K_Labor_Trend20"/>
      <sheetName val="3D_P&amp;L_Vs_ASPIRE_(Blue)20"/>
      <sheetName val="COMET_P&amp;L_Trend_(Blue)20"/>
      <sheetName val="COMET_P&amp;L_Trend_%_(Blue)20"/>
      <sheetName val="FY02_Adjusted_P&amp;L_(Blue)20"/>
      <sheetName val="Adjustment_DTL_(Blue)20"/>
      <sheetName val="GGM_Cap__Change_Pull20"/>
      <sheetName val="GGM_Residual_Pull20"/>
      <sheetName val="GGM_Local_OH_Pull20"/>
      <sheetName val="GGM_Allocs_Pull20"/>
      <sheetName val="GGM_Oth_Inc(Exp)_Pull20"/>
      <sheetName val="Smartcontact_Gain_Pull20"/>
      <sheetName val="GGM_Revenue_Fall_Out20"/>
      <sheetName val="GGM_Residual_Fall_Out20"/>
      <sheetName val="Global_OH_Pull20"/>
      <sheetName val="EN50_47_Global_Pull20"/>
      <sheetName val="Labor_Pull20"/>
      <sheetName val="Forecast_Accuracy_Trend20"/>
      <sheetName val="COMET_Pull20"/>
      <sheetName val="WW_P&amp;L_Table20"/>
      <sheetName val="WW_Goal_Table20"/>
      <sheetName val="GGM_CF_Pull20"/>
      <sheetName val="HPC_Region_P&amp;L_Table20"/>
      <sheetName val="HPC_Region_Goal_Table20"/>
      <sheetName val="PL_Region_P&amp;L_Table20"/>
      <sheetName val="PL_Region_Goal_Table20"/>
      <sheetName val="3D_P&amp;L_Table20"/>
      <sheetName val="Global_OH_Actuals_Table20"/>
      <sheetName val="Global_OH_Goal_Table20"/>
      <sheetName val="Geo_Hc_Actual_Table20"/>
      <sheetName val="Geo_Hc_Goal_Table20"/>
      <sheetName val="3D_ASPIRE_Table20"/>
      <sheetName val="GGM_Backlog_Table20"/>
      <sheetName val="COMET_FY01_Pull20"/>
      <sheetName val="Labor_Pull_FY0120"/>
      <sheetName val="Pull_HP_Wide20"/>
      <sheetName val="Pull_All_SFs20"/>
      <sheetName val="STD__COST20"/>
      <sheetName val="Control_Panel4"/>
      <sheetName val="WW_Total_HPCI4"/>
      <sheetName val="NAM_w-o_Smartc_4"/>
      <sheetName val="GGM_Sum4"/>
      <sheetName val="HPCI_P&amp;L_Trend_(Blue)4"/>
      <sheetName val="HPCI_P&amp;L_Trend_%_(Blue)4"/>
      <sheetName val="PL4K_P&amp;L_Trend4"/>
      <sheetName val="PL4K_P&amp;L_Trend_%4"/>
      <sheetName val="PL79_P&amp;L_Trend4"/>
      <sheetName val="PL79_P&amp;L_Trend_%4"/>
      <sheetName val="HPCI-COMET_Comparison_(Blue)4"/>
      <sheetName val="Global_OH_(Blue)4"/>
      <sheetName val="Headcount_Reconciliation_(Blue4"/>
      <sheetName val="Headcount_Trend4"/>
      <sheetName val="PL4K_Labor_Trend4"/>
      <sheetName val="3D_P&amp;L_Vs_ASPIRE_(Blue)4"/>
      <sheetName val="COMET_P&amp;L_Trend_(Blue)4"/>
      <sheetName val="COMET_P&amp;L_Trend_%_(Blue)4"/>
      <sheetName val="FY02_Adjusted_P&amp;L_(Blue)4"/>
      <sheetName val="Adjustment_DTL_(Blue)4"/>
      <sheetName val="GGM_Cap__Change_Pull4"/>
      <sheetName val="GGM_Residual_Pull4"/>
      <sheetName val="GGM_Local_OH_Pull4"/>
      <sheetName val="GGM_Allocs_Pull4"/>
      <sheetName val="GGM_Oth_Inc(Exp)_Pull4"/>
      <sheetName val="Smartcontact_Gain_Pull4"/>
      <sheetName val="GGM_Revenue_Fall_Out4"/>
      <sheetName val="GGM_Residual_Fall_Out4"/>
      <sheetName val="Global_OH_Pull4"/>
      <sheetName val="EN50_47_Global_Pull4"/>
      <sheetName val="Labor_Pull4"/>
      <sheetName val="Forecast_Accuracy_Trend4"/>
      <sheetName val="COMET_Pull4"/>
      <sheetName val="WW_P&amp;L_Table4"/>
      <sheetName val="WW_Goal_Table4"/>
      <sheetName val="GGM_CF_Pull4"/>
      <sheetName val="HPC_Region_P&amp;L_Table4"/>
      <sheetName val="HPC_Region_Goal_Table4"/>
      <sheetName val="PL_Region_P&amp;L_Table4"/>
      <sheetName val="PL_Region_Goal_Table4"/>
      <sheetName val="3D_P&amp;L_Table4"/>
      <sheetName val="Global_OH_Actuals_Table4"/>
      <sheetName val="Global_OH_Goal_Table4"/>
      <sheetName val="Geo_Hc_Actual_Table4"/>
      <sheetName val="Geo_Hc_Goal_Table4"/>
      <sheetName val="3D_ASPIRE_Table4"/>
      <sheetName val="GGM_Backlog_Table4"/>
      <sheetName val="COMET_FY01_Pull4"/>
      <sheetName val="Labor_Pull_FY014"/>
      <sheetName val="Pull_HP_Wide4"/>
      <sheetName val="Pull_All_SFs4"/>
      <sheetName val="STD__COST4"/>
      <sheetName val="013_-_การสั่งการ4"/>
      <sheetName val="Control_Panel5"/>
      <sheetName val="WW_Total_HPCI5"/>
      <sheetName val="NAM_w-o_Smartc_5"/>
      <sheetName val="GGM_Sum5"/>
      <sheetName val="HPCI_P&amp;L_Trend_(Blue)5"/>
      <sheetName val="HPCI_P&amp;L_Trend_%_(Blue)5"/>
      <sheetName val="PL4K_P&amp;L_Trend5"/>
      <sheetName val="PL4K_P&amp;L_Trend_%5"/>
      <sheetName val="PL79_P&amp;L_Trend5"/>
      <sheetName val="PL79_P&amp;L_Trend_%5"/>
      <sheetName val="HPCI-COMET_Comparison_(Blue)5"/>
      <sheetName val="Global_OH_(Blue)5"/>
      <sheetName val="Headcount_Reconciliation_(Blue5"/>
      <sheetName val="Headcount_Trend5"/>
      <sheetName val="PL4K_Labor_Trend5"/>
      <sheetName val="3D_P&amp;L_Vs_ASPIRE_(Blue)5"/>
      <sheetName val="COMET_P&amp;L_Trend_(Blue)5"/>
      <sheetName val="COMET_P&amp;L_Trend_%_(Blue)5"/>
      <sheetName val="FY02_Adjusted_P&amp;L_(Blue)5"/>
      <sheetName val="Adjustment_DTL_(Blue)5"/>
      <sheetName val="GGM_Cap__Change_Pull5"/>
      <sheetName val="GGM_Residual_Pull5"/>
      <sheetName val="GGM_Local_OH_Pull5"/>
      <sheetName val="GGM_Allocs_Pull5"/>
      <sheetName val="GGM_Oth_Inc(Exp)_Pull5"/>
      <sheetName val="Smartcontact_Gain_Pull5"/>
      <sheetName val="GGM_Revenue_Fall_Out5"/>
      <sheetName val="GGM_Residual_Fall_Out5"/>
      <sheetName val="Global_OH_Pull5"/>
      <sheetName val="EN50_47_Global_Pull5"/>
      <sheetName val="Labor_Pull5"/>
      <sheetName val="Forecast_Accuracy_Trend5"/>
      <sheetName val="COMET_Pull5"/>
      <sheetName val="WW_P&amp;L_Table5"/>
      <sheetName val="WW_Goal_Table5"/>
      <sheetName val="GGM_CF_Pull5"/>
      <sheetName val="HPC_Region_P&amp;L_Table5"/>
      <sheetName val="HPC_Region_Goal_Table5"/>
      <sheetName val="PL_Region_P&amp;L_Table5"/>
      <sheetName val="PL_Region_Goal_Table5"/>
      <sheetName val="3D_P&amp;L_Table5"/>
      <sheetName val="Global_OH_Actuals_Table5"/>
      <sheetName val="Global_OH_Goal_Table5"/>
      <sheetName val="Geo_Hc_Actual_Table5"/>
      <sheetName val="Geo_Hc_Goal_Table5"/>
      <sheetName val="3D_ASPIRE_Table5"/>
      <sheetName val="GGM_Backlog_Table5"/>
      <sheetName val="COMET_FY01_Pull5"/>
      <sheetName val="Labor_Pull_FY015"/>
      <sheetName val="Pull_HP_Wide5"/>
      <sheetName val="Pull_All_SFs5"/>
      <sheetName val="STD__COST5"/>
      <sheetName val="013_-_การสั่งการ5"/>
      <sheetName val="Control_Panel6"/>
      <sheetName val="WW_Total_HPCI6"/>
      <sheetName val="NAM_w-o_Smartc_6"/>
      <sheetName val="GGM_Sum6"/>
      <sheetName val="HPCI_P&amp;L_Trend_(Blue)6"/>
      <sheetName val="HPCI_P&amp;L_Trend_%_(Blue)6"/>
      <sheetName val="PL4K_P&amp;L_Trend6"/>
      <sheetName val="PL4K_P&amp;L_Trend_%6"/>
      <sheetName val="PL79_P&amp;L_Trend6"/>
      <sheetName val="PL79_P&amp;L_Trend_%6"/>
      <sheetName val="HPCI-COMET_Comparison_(Blue)6"/>
      <sheetName val="Global_OH_(Blue)6"/>
      <sheetName val="Headcount_Reconciliation_(Blue6"/>
      <sheetName val="Headcount_Trend6"/>
      <sheetName val="PL4K_Labor_Trend6"/>
      <sheetName val="3D_P&amp;L_Vs_ASPIRE_(Blue)6"/>
      <sheetName val="COMET_P&amp;L_Trend_(Blue)6"/>
      <sheetName val="COMET_P&amp;L_Trend_%_(Blue)6"/>
      <sheetName val="FY02_Adjusted_P&amp;L_(Blue)6"/>
      <sheetName val="Adjustment_DTL_(Blue)6"/>
      <sheetName val="GGM_Cap__Change_Pull6"/>
      <sheetName val="GGM_Residual_Pull6"/>
      <sheetName val="GGM_Local_OH_Pull6"/>
      <sheetName val="GGM_Allocs_Pull6"/>
      <sheetName val="GGM_Oth_Inc(Exp)_Pull6"/>
      <sheetName val="Smartcontact_Gain_Pull6"/>
      <sheetName val="GGM_Revenue_Fall_Out6"/>
      <sheetName val="GGM_Residual_Fall_Out6"/>
      <sheetName val="Global_OH_Pull6"/>
      <sheetName val="EN50_47_Global_Pull6"/>
      <sheetName val="Labor_Pull6"/>
      <sheetName val="Forecast_Accuracy_Trend6"/>
      <sheetName val="COMET_Pull6"/>
      <sheetName val="WW_P&amp;L_Table6"/>
      <sheetName val="WW_Goal_Table6"/>
      <sheetName val="GGM_CF_Pull6"/>
      <sheetName val="HPC_Region_P&amp;L_Table6"/>
      <sheetName val="HPC_Region_Goal_Table6"/>
      <sheetName val="PL_Region_P&amp;L_Table6"/>
      <sheetName val="PL_Region_Goal_Table6"/>
      <sheetName val="3D_P&amp;L_Table6"/>
      <sheetName val="Global_OH_Actuals_Table6"/>
      <sheetName val="Global_OH_Goal_Table6"/>
      <sheetName val="Geo_Hc_Actual_Table6"/>
      <sheetName val="Geo_Hc_Goal_Table6"/>
      <sheetName val="3D_ASPIRE_Table6"/>
      <sheetName val="GGM_Backlog_Table6"/>
      <sheetName val="COMET_FY01_Pull6"/>
      <sheetName val="Labor_Pull_FY016"/>
      <sheetName val="Pull_HP_Wide6"/>
      <sheetName val="Pull_All_SFs6"/>
      <sheetName val="STD__COST6"/>
      <sheetName val="013_-_การสั่งการ6"/>
      <sheetName val="Control_Panel7"/>
      <sheetName val="WW_Total_HPCI7"/>
      <sheetName val="NAM_w-o_Smartc_7"/>
      <sheetName val="GGM_Sum7"/>
      <sheetName val="HPCI_P&amp;L_Trend_(Blue)7"/>
      <sheetName val="HPCI_P&amp;L_Trend_%_(Blue)7"/>
      <sheetName val="PL4K_P&amp;L_Trend7"/>
      <sheetName val="PL4K_P&amp;L_Trend_%7"/>
      <sheetName val="PL79_P&amp;L_Trend7"/>
      <sheetName val="PL79_P&amp;L_Trend_%7"/>
      <sheetName val="HPCI-COMET_Comparison_(Blue)7"/>
      <sheetName val="Global_OH_(Blue)7"/>
      <sheetName val="Headcount_Reconciliation_(Blue7"/>
      <sheetName val="Headcount_Trend7"/>
      <sheetName val="PL4K_Labor_Trend7"/>
      <sheetName val="3D_P&amp;L_Vs_ASPIRE_(Blue)7"/>
      <sheetName val="COMET_P&amp;L_Trend_(Blue)7"/>
      <sheetName val="COMET_P&amp;L_Trend_%_(Blue)7"/>
      <sheetName val="FY02_Adjusted_P&amp;L_(Blue)7"/>
      <sheetName val="Adjustment_DTL_(Blue)7"/>
      <sheetName val="GGM_Cap__Change_Pull7"/>
      <sheetName val="GGM_Residual_Pull7"/>
      <sheetName val="GGM_Local_OH_Pull7"/>
      <sheetName val="GGM_Allocs_Pull7"/>
      <sheetName val="GGM_Oth_Inc(Exp)_Pull7"/>
      <sheetName val="Smartcontact_Gain_Pull7"/>
      <sheetName val="GGM_Revenue_Fall_Out7"/>
      <sheetName val="GGM_Residual_Fall_Out7"/>
      <sheetName val="Global_OH_Pull7"/>
      <sheetName val="EN50_47_Global_Pull7"/>
      <sheetName val="Labor_Pull7"/>
      <sheetName val="Forecast_Accuracy_Trend7"/>
      <sheetName val="COMET_Pull7"/>
      <sheetName val="WW_P&amp;L_Table7"/>
      <sheetName val="WW_Goal_Table7"/>
      <sheetName val="GGM_CF_Pull7"/>
      <sheetName val="HPC_Region_P&amp;L_Table7"/>
      <sheetName val="HPC_Region_Goal_Table7"/>
      <sheetName val="PL_Region_P&amp;L_Table7"/>
      <sheetName val="PL_Region_Goal_Table7"/>
      <sheetName val="3D_P&amp;L_Table7"/>
      <sheetName val="Global_OH_Actuals_Table7"/>
      <sheetName val="Global_OH_Goal_Table7"/>
      <sheetName val="Geo_Hc_Actual_Table7"/>
      <sheetName val="Geo_Hc_Goal_Table7"/>
      <sheetName val="3D_ASPIRE_Table7"/>
      <sheetName val="GGM_Backlog_Table7"/>
      <sheetName val="COMET_FY01_Pull7"/>
      <sheetName val="Labor_Pull_FY017"/>
      <sheetName val="Pull_HP_Wide7"/>
      <sheetName val="Pull_All_SFs7"/>
      <sheetName val="STD__COST7"/>
      <sheetName val="Control_Panel8"/>
      <sheetName val="WW_Total_HPCI8"/>
      <sheetName val="NAM_w-o_Smartc_8"/>
      <sheetName val="GGM_Sum8"/>
      <sheetName val="HPCI_P&amp;L_Trend_(Blue)8"/>
      <sheetName val="HPCI_P&amp;L_Trend_%_(Blue)8"/>
      <sheetName val="PL4K_P&amp;L_Trend8"/>
      <sheetName val="PL4K_P&amp;L_Trend_%8"/>
      <sheetName val="PL79_P&amp;L_Trend8"/>
      <sheetName val="PL79_P&amp;L_Trend_%8"/>
      <sheetName val="HPCI-COMET_Comparison_(Blue)8"/>
      <sheetName val="Global_OH_(Blue)8"/>
      <sheetName val="Headcount_Reconciliation_(Blue8"/>
      <sheetName val="Headcount_Trend8"/>
      <sheetName val="PL4K_Labor_Trend8"/>
      <sheetName val="3D_P&amp;L_Vs_ASPIRE_(Blue)8"/>
      <sheetName val="COMET_P&amp;L_Trend_(Blue)8"/>
      <sheetName val="COMET_P&amp;L_Trend_%_(Blue)8"/>
      <sheetName val="FY02_Adjusted_P&amp;L_(Blue)8"/>
      <sheetName val="Adjustment_DTL_(Blue)8"/>
      <sheetName val="GGM_Cap__Change_Pull8"/>
      <sheetName val="GGM_Residual_Pull8"/>
      <sheetName val="GGM_Local_OH_Pull8"/>
      <sheetName val="GGM_Allocs_Pull8"/>
      <sheetName val="GGM_Oth_Inc(Exp)_Pull8"/>
      <sheetName val="Smartcontact_Gain_Pull8"/>
      <sheetName val="GGM_Revenue_Fall_Out8"/>
      <sheetName val="GGM_Residual_Fall_Out8"/>
      <sheetName val="Global_OH_Pull8"/>
      <sheetName val="EN50_47_Global_Pull8"/>
      <sheetName val="Labor_Pull8"/>
      <sheetName val="Forecast_Accuracy_Trend8"/>
      <sheetName val="COMET_Pull8"/>
      <sheetName val="WW_P&amp;L_Table8"/>
      <sheetName val="WW_Goal_Table8"/>
      <sheetName val="GGM_CF_Pull8"/>
      <sheetName val="HPC_Region_P&amp;L_Table8"/>
      <sheetName val="HPC_Region_Goal_Table8"/>
      <sheetName val="PL_Region_P&amp;L_Table8"/>
      <sheetName val="PL_Region_Goal_Table8"/>
      <sheetName val="3D_P&amp;L_Table8"/>
      <sheetName val="Global_OH_Actuals_Table8"/>
      <sheetName val="Global_OH_Goal_Table8"/>
      <sheetName val="Geo_Hc_Actual_Table8"/>
      <sheetName val="Geo_Hc_Goal_Table8"/>
      <sheetName val="3D_ASPIRE_Table8"/>
      <sheetName val="GGM_Backlog_Table8"/>
      <sheetName val="COMET_FY01_Pull8"/>
      <sheetName val="Labor_Pull_FY018"/>
      <sheetName val="Pull_HP_Wide8"/>
      <sheetName val="Pull_All_SFs8"/>
      <sheetName val="STD__COST8"/>
      <sheetName val="Control_Panel9"/>
      <sheetName val="WW_Total_HPCI9"/>
      <sheetName val="NAM_w-o_Smartc_9"/>
      <sheetName val="GGM_Sum9"/>
      <sheetName val="HPCI_P&amp;L_Trend_(Blue)9"/>
      <sheetName val="HPCI_P&amp;L_Trend_%_(Blue)9"/>
      <sheetName val="PL4K_P&amp;L_Trend9"/>
      <sheetName val="PL4K_P&amp;L_Trend_%9"/>
      <sheetName val="PL79_P&amp;L_Trend9"/>
      <sheetName val="PL79_P&amp;L_Trend_%9"/>
      <sheetName val="HPCI-COMET_Comparison_(Blue)9"/>
      <sheetName val="Global_OH_(Blue)9"/>
      <sheetName val="Headcount_Reconciliation_(Blue9"/>
      <sheetName val="Headcount_Trend9"/>
      <sheetName val="PL4K_Labor_Trend9"/>
      <sheetName val="3D_P&amp;L_Vs_ASPIRE_(Blue)9"/>
      <sheetName val="COMET_P&amp;L_Trend_(Blue)9"/>
      <sheetName val="COMET_P&amp;L_Trend_%_(Blue)9"/>
      <sheetName val="FY02_Adjusted_P&amp;L_(Blue)9"/>
      <sheetName val="Adjustment_DTL_(Blue)9"/>
      <sheetName val="GGM_Cap__Change_Pull9"/>
      <sheetName val="GGM_Residual_Pull9"/>
      <sheetName val="GGM_Local_OH_Pull9"/>
      <sheetName val="GGM_Allocs_Pull9"/>
      <sheetName val="GGM_Oth_Inc(Exp)_Pull9"/>
      <sheetName val="Smartcontact_Gain_Pull9"/>
      <sheetName val="GGM_Revenue_Fall_Out9"/>
      <sheetName val="GGM_Residual_Fall_Out9"/>
      <sheetName val="Global_OH_Pull9"/>
      <sheetName val="EN50_47_Global_Pull9"/>
      <sheetName val="Labor_Pull9"/>
      <sheetName val="Forecast_Accuracy_Trend9"/>
      <sheetName val="COMET_Pull9"/>
      <sheetName val="WW_P&amp;L_Table9"/>
      <sheetName val="WW_Goal_Table9"/>
      <sheetName val="GGM_CF_Pull9"/>
      <sheetName val="HPC_Region_P&amp;L_Table9"/>
      <sheetName val="HPC_Region_Goal_Table9"/>
      <sheetName val="PL_Region_P&amp;L_Table9"/>
      <sheetName val="PL_Region_Goal_Table9"/>
      <sheetName val="3D_P&amp;L_Table9"/>
      <sheetName val="Global_OH_Actuals_Table9"/>
      <sheetName val="Global_OH_Goal_Table9"/>
      <sheetName val="Geo_Hc_Actual_Table9"/>
      <sheetName val="Geo_Hc_Goal_Table9"/>
      <sheetName val="3D_ASPIRE_Table9"/>
      <sheetName val="GGM_Backlog_Table9"/>
      <sheetName val="COMET_FY01_Pull9"/>
      <sheetName val="Labor_Pull_FY019"/>
      <sheetName val="Pull_HP_Wide9"/>
      <sheetName val="Pull_All_SFs9"/>
      <sheetName val="STD__COST9"/>
      <sheetName val="013_-_การสั่งการ7"/>
      <sheetName val="Control_Panel10"/>
      <sheetName val="WW_Total_HPCI10"/>
      <sheetName val="NAM_w-o_Smartc_10"/>
      <sheetName val="GGM_Sum10"/>
      <sheetName val="HPCI_P&amp;L_Trend_(Blue)10"/>
      <sheetName val="HPCI_P&amp;L_Trend_%_(Blue)10"/>
      <sheetName val="PL4K_P&amp;L_Trend10"/>
      <sheetName val="PL4K_P&amp;L_Trend_%10"/>
      <sheetName val="PL79_P&amp;L_Trend10"/>
      <sheetName val="PL79_P&amp;L_Trend_%10"/>
      <sheetName val="HPCI-COMET_Comparison_(Blue)10"/>
      <sheetName val="Global_OH_(Blue)10"/>
      <sheetName val="Headcount_Reconciliation_(Blu10"/>
      <sheetName val="Headcount_Trend10"/>
      <sheetName val="PL4K_Labor_Trend10"/>
      <sheetName val="3D_P&amp;L_Vs_ASPIRE_(Blue)10"/>
      <sheetName val="COMET_P&amp;L_Trend_(Blue)10"/>
      <sheetName val="COMET_P&amp;L_Trend_%_(Blue)10"/>
      <sheetName val="FY02_Adjusted_P&amp;L_(Blue)10"/>
      <sheetName val="Adjustment_DTL_(Blue)10"/>
      <sheetName val="GGM_Cap__Change_Pull10"/>
      <sheetName val="GGM_Residual_Pull10"/>
      <sheetName val="GGM_Local_OH_Pull10"/>
      <sheetName val="GGM_Allocs_Pull10"/>
      <sheetName val="GGM_Oth_Inc(Exp)_Pull10"/>
      <sheetName val="Smartcontact_Gain_Pull10"/>
      <sheetName val="GGM_Revenue_Fall_Out10"/>
      <sheetName val="GGM_Residual_Fall_Out10"/>
      <sheetName val="Global_OH_Pull10"/>
      <sheetName val="EN50_47_Global_Pull10"/>
      <sheetName val="Labor_Pull10"/>
      <sheetName val="Forecast_Accuracy_Trend10"/>
      <sheetName val="COMET_Pull10"/>
      <sheetName val="WW_P&amp;L_Table10"/>
      <sheetName val="WW_Goal_Table10"/>
      <sheetName val="GGM_CF_Pull10"/>
      <sheetName val="HPC_Region_P&amp;L_Table10"/>
      <sheetName val="HPC_Region_Goal_Table10"/>
      <sheetName val="PL_Region_P&amp;L_Table10"/>
      <sheetName val="PL_Region_Goal_Table10"/>
      <sheetName val="3D_P&amp;L_Table10"/>
      <sheetName val="Global_OH_Actuals_Table10"/>
      <sheetName val="Global_OH_Goal_Table10"/>
      <sheetName val="Geo_Hc_Actual_Table10"/>
      <sheetName val="Geo_Hc_Goal_Table10"/>
      <sheetName val="3D_ASPIRE_Table10"/>
      <sheetName val="GGM_Backlog_Table10"/>
      <sheetName val="COMET_FY01_Pull10"/>
      <sheetName val="Labor_Pull_FY0110"/>
      <sheetName val="Pull_HP_Wide10"/>
      <sheetName val="Pull_All_SFs10"/>
      <sheetName val="STD__COST10"/>
      <sheetName val="013_-_การสั่งการ8"/>
      <sheetName val="Control_Panel11"/>
      <sheetName val="WW_Total_HPCI11"/>
      <sheetName val="NAM_w-o_Smartc_11"/>
      <sheetName val="GGM_Sum11"/>
      <sheetName val="HPCI_P&amp;L_Trend_(Blue)11"/>
      <sheetName val="HPCI_P&amp;L_Trend_%_(Blue)11"/>
      <sheetName val="PL4K_P&amp;L_Trend11"/>
      <sheetName val="PL4K_P&amp;L_Trend_%11"/>
      <sheetName val="PL79_P&amp;L_Trend11"/>
      <sheetName val="PL79_P&amp;L_Trend_%11"/>
      <sheetName val="HPCI-COMET_Comparison_(Blue)11"/>
      <sheetName val="Global_OH_(Blue)11"/>
      <sheetName val="Headcount_Reconciliation_(Blu11"/>
      <sheetName val="Headcount_Trend11"/>
      <sheetName val="PL4K_Labor_Trend11"/>
      <sheetName val="3D_P&amp;L_Vs_ASPIRE_(Blue)11"/>
      <sheetName val="COMET_P&amp;L_Trend_(Blue)11"/>
      <sheetName val="COMET_P&amp;L_Trend_%_(Blue)11"/>
      <sheetName val="FY02_Adjusted_P&amp;L_(Blue)11"/>
      <sheetName val="Adjustment_DTL_(Blue)11"/>
      <sheetName val="GGM_Cap__Change_Pull11"/>
      <sheetName val="GGM_Residual_Pull11"/>
      <sheetName val="GGM_Local_OH_Pull11"/>
      <sheetName val="GGM_Allocs_Pull11"/>
      <sheetName val="GGM_Oth_Inc(Exp)_Pull11"/>
      <sheetName val="Smartcontact_Gain_Pull11"/>
      <sheetName val="GGM_Revenue_Fall_Out11"/>
      <sheetName val="GGM_Residual_Fall_Out11"/>
      <sheetName val="Global_OH_Pull11"/>
      <sheetName val="EN50_47_Global_Pull11"/>
      <sheetName val="Labor_Pull11"/>
      <sheetName val="Forecast_Accuracy_Trend11"/>
      <sheetName val="COMET_Pull11"/>
      <sheetName val="WW_P&amp;L_Table11"/>
      <sheetName val="WW_Goal_Table11"/>
      <sheetName val="GGM_CF_Pull11"/>
      <sheetName val="HPC_Region_P&amp;L_Table11"/>
      <sheetName val="HPC_Region_Goal_Table11"/>
      <sheetName val="PL_Region_P&amp;L_Table11"/>
      <sheetName val="PL_Region_Goal_Table11"/>
      <sheetName val="3D_P&amp;L_Table11"/>
      <sheetName val="Global_OH_Actuals_Table11"/>
      <sheetName val="Global_OH_Goal_Table11"/>
      <sheetName val="Geo_Hc_Actual_Table11"/>
      <sheetName val="Geo_Hc_Goal_Table11"/>
      <sheetName val="3D_ASPIRE_Table11"/>
      <sheetName val="GGM_Backlog_Table11"/>
      <sheetName val="COMET_FY01_Pull11"/>
      <sheetName val="Labor_Pull_FY0111"/>
      <sheetName val="Pull_HP_Wide11"/>
      <sheetName val="Pull_All_SFs11"/>
      <sheetName val="STD__COST11"/>
      <sheetName val="013_-_การสั่งการ9"/>
      <sheetName val="INPUT_-_Data_Table3"/>
      <sheetName val="INPUT_-_Data_Table2"/>
      <sheetName val="Comet_ASPIRE"/>
      <sheetName val="Comet_Sequential"/>
      <sheetName val="Comet_yoy"/>
      <sheetName val="Control_Panel12"/>
      <sheetName val="WW_Total_HPCI12"/>
      <sheetName val="NAM_w-o_Smartc_12"/>
      <sheetName val="GGM_Sum12"/>
      <sheetName val="HPCI_P&amp;L_Trend_(Blue)12"/>
      <sheetName val="HPCI_P&amp;L_Trend_%_(Blue)12"/>
      <sheetName val="PL4K_P&amp;L_Trend12"/>
      <sheetName val="PL4K_P&amp;L_Trend_%12"/>
      <sheetName val="PL79_P&amp;L_Trend12"/>
      <sheetName val="PL79_P&amp;L_Trend_%12"/>
      <sheetName val="HPCI-COMET_Comparison_(Blue)12"/>
      <sheetName val="Global_OH_(Blue)12"/>
      <sheetName val="Headcount_Reconciliation_(Blu12"/>
      <sheetName val="Headcount_Trend12"/>
      <sheetName val="PL4K_Labor_Trend12"/>
      <sheetName val="3D_P&amp;L_Vs_ASPIRE_(Blue)12"/>
      <sheetName val="COMET_P&amp;L_Trend_(Blue)12"/>
      <sheetName val="COMET_P&amp;L_Trend_%_(Blue)12"/>
      <sheetName val="FY02_Adjusted_P&amp;L_(Blue)12"/>
      <sheetName val="Adjustment_DTL_(Blue)12"/>
      <sheetName val="GGM_Cap__Change_Pull12"/>
      <sheetName val="GGM_Residual_Pull12"/>
      <sheetName val="GGM_Local_OH_Pull12"/>
      <sheetName val="GGM_Allocs_Pull12"/>
      <sheetName val="GGM_Oth_Inc(Exp)_Pull12"/>
      <sheetName val="Smartcontact_Gain_Pull12"/>
      <sheetName val="GGM_Revenue_Fall_Out12"/>
      <sheetName val="GGM_Residual_Fall_Out12"/>
      <sheetName val="Global_OH_Pull12"/>
      <sheetName val="EN50_47_Global_Pull12"/>
      <sheetName val="Labor_Pull12"/>
      <sheetName val="Forecast_Accuracy_Trend12"/>
      <sheetName val="COMET_Pull12"/>
      <sheetName val="WW_P&amp;L_Table12"/>
      <sheetName val="WW_Goal_Table12"/>
      <sheetName val="GGM_CF_Pull12"/>
      <sheetName val="HPC_Region_P&amp;L_Table12"/>
      <sheetName val="HPC_Region_Goal_Table12"/>
      <sheetName val="PL_Region_P&amp;L_Table12"/>
      <sheetName val="PL_Region_Goal_Table12"/>
      <sheetName val="3D_P&amp;L_Table12"/>
      <sheetName val="Global_OH_Actuals_Table12"/>
      <sheetName val="Global_OH_Goal_Table12"/>
      <sheetName val="Geo_Hc_Actual_Table12"/>
      <sheetName val="Geo_Hc_Goal_Table12"/>
      <sheetName val="3D_ASPIRE_Table12"/>
      <sheetName val="GGM_Backlog_Table12"/>
      <sheetName val="COMET_FY01_Pull12"/>
      <sheetName val="Labor_Pull_FY0112"/>
      <sheetName val="Pull_HP_Wide12"/>
      <sheetName val="Pull_All_SFs12"/>
      <sheetName val="STD__COST12"/>
      <sheetName val="013_-_การสั่งการ10"/>
      <sheetName val="Control_Panel13"/>
      <sheetName val="WW_Total_HPCI13"/>
      <sheetName val="NAM_w-o_Smartc_13"/>
      <sheetName val="GGM_Sum13"/>
      <sheetName val="HPCI_P&amp;L_Trend_(Blue)13"/>
      <sheetName val="HPCI_P&amp;L_Trend_%_(Blue)13"/>
      <sheetName val="PL4K_P&amp;L_Trend13"/>
      <sheetName val="PL4K_P&amp;L_Trend_%13"/>
      <sheetName val="PL79_P&amp;L_Trend13"/>
      <sheetName val="PL79_P&amp;L_Trend_%13"/>
      <sheetName val="HPCI-COMET_Comparison_(Blue)13"/>
      <sheetName val="Global_OH_(Blue)13"/>
      <sheetName val="Headcount_Reconciliation_(Blu13"/>
      <sheetName val="Headcount_Trend13"/>
      <sheetName val="PL4K_Labor_Trend13"/>
      <sheetName val="3D_P&amp;L_Vs_ASPIRE_(Blue)13"/>
      <sheetName val="COMET_P&amp;L_Trend_(Blue)13"/>
      <sheetName val="COMET_P&amp;L_Trend_%_(Blue)13"/>
      <sheetName val="FY02_Adjusted_P&amp;L_(Blue)13"/>
      <sheetName val="Adjustment_DTL_(Blue)13"/>
      <sheetName val="GGM_Cap__Change_Pull13"/>
      <sheetName val="GGM_Residual_Pull13"/>
      <sheetName val="GGM_Local_OH_Pull13"/>
      <sheetName val="GGM_Allocs_Pull13"/>
      <sheetName val="GGM_Oth_Inc(Exp)_Pull13"/>
      <sheetName val="Smartcontact_Gain_Pull13"/>
      <sheetName val="GGM_Revenue_Fall_Out13"/>
      <sheetName val="GGM_Residual_Fall_Out13"/>
      <sheetName val="Global_OH_Pull13"/>
      <sheetName val="EN50_47_Global_Pull13"/>
      <sheetName val="Labor_Pull13"/>
      <sheetName val="Forecast_Accuracy_Trend13"/>
      <sheetName val="COMET_Pull13"/>
      <sheetName val="WW_P&amp;L_Table13"/>
      <sheetName val="WW_Goal_Table13"/>
      <sheetName val="GGM_CF_Pull13"/>
      <sheetName val="HPC_Region_P&amp;L_Table13"/>
      <sheetName val="HPC_Region_Goal_Table13"/>
      <sheetName val="PL_Region_P&amp;L_Table13"/>
      <sheetName val="PL_Region_Goal_Table13"/>
      <sheetName val="3D_P&amp;L_Table13"/>
      <sheetName val="Global_OH_Actuals_Table13"/>
      <sheetName val="Global_OH_Goal_Table13"/>
      <sheetName val="Geo_Hc_Actual_Table13"/>
      <sheetName val="Geo_Hc_Goal_Table13"/>
      <sheetName val="3D_ASPIRE_Table13"/>
      <sheetName val="GGM_Backlog_Table13"/>
      <sheetName val="COMET_FY01_Pull13"/>
      <sheetName val="Labor_Pull_FY0113"/>
      <sheetName val="Pull_HP_Wide13"/>
      <sheetName val="Pull_All_SFs13"/>
      <sheetName val="STD__COST13"/>
      <sheetName val="013_-_การสั่งการ11"/>
      <sheetName val="Control_Panel14"/>
      <sheetName val="WW_Total_HPCI14"/>
      <sheetName val="NAM_w-o_Smartc_14"/>
      <sheetName val="GGM_Sum14"/>
      <sheetName val="HPCI_P&amp;L_Trend_(Blue)14"/>
      <sheetName val="HPCI_P&amp;L_Trend_%_(Blue)14"/>
      <sheetName val="PL4K_P&amp;L_Trend14"/>
      <sheetName val="PL4K_P&amp;L_Trend_%14"/>
      <sheetName val="PL79_P&amp;L_Trend14"/>
      <sheetName val="PL79_P&amp;L_Trend_%14"/>
      <sheetName val="HPCI-COMET_Comparison_(Blue)14"/>
      <sheetName val="Global_OH_(Blue)14"/>
      <sheetName val="Headcount_Reconciliation_(Blu14"/>
      <sheetName val="Headcount_Trend14"/>
      <sheetName val="PL4K_Labor_Trend14"/>
      <sheetName val="3D_P&amp;L_Vs_ASPIRE_(Blue)14"/>
      <sheetName val="COMET_P&amp;L_Trend_(Blue)14"/>
      <sheetName val="COMET_P&amp;L_Trend_%_(Blue)14"/>
      <sheetName val="FY02_Adjusted_P&amp;L_(Blue)14"/>
      <sheetName val="Adjustment_DTL_(Blue)14"/>
      <sheetName val="GGM_Cap__Change_Pull14"/>
      <sheetName val="GGM_Residual_Pull14"/>
      <sheetName val="GGM_Local_OH_Pull14"/>
      <sheetName val="GGM_Allocs_Pull14"/>
      <sheetName val="GGM_Oth_Inc(Exp)_Pull14"/>
      <sheetName val="Smartcontact_Gain_Pull14"/>
      <sheetName val="GGM_Revenue_Fall_Out14"/>
      <sheetName val="GGM_Residual_Fall_Out14"/>
      <sheetName val="Global_OH_Pull14"/>
      <sheetName val="EN50_47_Global_Pull14"/>
      <sheetName val="Labor_Pull14"/>
      <sheetName val="Forecast_Accuracy_Trend14"/>
      <sheetName val="COMET_Pull14"/>
      <sheetName val="WW_P&amp;L_Table14"/>
      <sheetName val="WW_Goal_Table14"/>
      <sheetName val="GGM_CF_Pull14"/>
      <sheetName val="HPC_Region_P&amp;L_Table14"/>
      <sheetName val="HPC_Region_Goal_Table14"/>
      <sheetName val="PL_Region_P&amp;L_Table14"/>
      <sheetName val="PL_Region_Goal_Table14"/>
      <sheetName val="3D_P&amp;L_Table14"/>
      <sheetName val="Global_OH_Actuals_Table14"/>
      <sheetName val="Global_OH_Goal_Table14"/>
      <sheetName val="Geo_Hc_Actual_Table14"/>
      <sheetName val="Geo_Hc_Goal_Table14"/>
      <sheetName val="3D_ASPIRE_Table14"/>
      <sheetName val="GGM_Backlog_Table14"/>
      <sheetName val="COMET_FY01_Pull14"/>
      <sheetName val="Labor_Pull_FY0114"/>
      <sheetName val="Pull_HP_Wide14"/>
      <sheetName val="Pull_All_SFs14"/>
      <sheetName val="STD__COST14"/>
      <sheetName val="013_-_การสั่งการ12"/>
      <sheetName val="Control_Panel15"/>
      <sheetName val="WW_Total_HPCI15"/>
      <sheetName val="NAM_w-o_Smartc_15"/>
      <sheetName val="GGM_Sum15"/>
      <sheetName val="HPCI_P&amp;L_Trend_(Blue)15"/>
      <sheetName val="HPCI_P&amp;L_Trend_%_(Blue)15"/>
      <sheetName val="PL4K_P&amp;L_Trend15"/>
      <sheetName val="PL4K_P&amp;L_Trend_%15"/>
      <sheetName val="PL79_P&amp;L_Trend15"/>
      <sheetName val="PL79_P&amp;L_Trend_%15"/>
      <sheetName val="HPCI-COMET_Comparison_(Blue)15"/>
      <sheetName val="Global_OH_(Blue)15"/>
      <sheetName val="Headcount_Reconciliation_(Blu15"/>
      <sheetName val="Headcount_Trend15"/>
      <sheetName val="PL4K_Labor_Trend15"/>
      <sheetName val="3D_P&amp;L_Vs_ASPIRE_(Blue)15"/>
      <sheetName val="COMET_P&amp;L_Trend_(Blue)15"/>
      <sheetName val="COMET_P&amp;L_Trend_%_(Blue)15"/>
      <sheetName val="FY02_Adjusted_P&amp;L_(Blue)15"/>
      <sheetName val="Adjustment_DTL_(Blue)15"/>
      <sheetName val="GGM_Cap__Change_Pull15"/>
      <sheetName val="GGM_Residual_Pull15"/>
      <sheetName val="GGM_Local_OH_Pull15"/>
      <sheetName val="GGM_Allocs_Pull15"/>
      <sheetName val="GGM_Oth_Inc(Exp)_Pull15"/>
      <sheetName val="Smartcontact_Gain_Pull15"/>
      <sheetName val="GGM_Revenue_Fall_Out15"/>
      <sheetName val="GGM_Residual_Fall_Out15"/>
      <sheetName val="Global_OH_Pull15"/>
      <sheetName val="EN50_47_Global_Pull15"/>
      <sheetName val="Labor_Pull15"/>
      <sheetName val="Forecast_Accuracy_Trend15"/>
      <sheetName val="COMET_Pull15"/>
      <sheetName val="WW_P&amp;L_Table15"/>
      <sheetName val="WW_Goal_Table15"/>
      <sheetName val="GGM_CF_Pull15"/>
      <sheetName val="HPC_Region_P&amp;L_Table15"/>
      <sheetName val="HPC_Region_Goal_Table15"/>
      <sheetName val="PL_Region_P&amp;L_Table15"/>
      <sheetName val="PL_Region_Goal_Table15"/>
      <sheetName val="3D_P&amp;L_Table15"/>
      <sheetName val="Global_OH_Actuals_Table15"/>
      <sheetName val="Global_OH_Goal_Table15"/>
      <sheetName val="Geo_Hc_Actual_Table15"/>
      <sheetName val="Geo_Hc_Goal_Table15"/>
      <sheetName val="3D_ASPIRE_Table15"/>
      <sheetName val="GGM_Backlog_Table15"/>
      <sheetName val="COMET_FY01_Pull15"/>
      <sheetName val="Labor_Pull_FY0115"/>
      <sheetName val="Pull_HP_Wide15"/>
      <sheetName val="Pull_All_SFs15"/>
      <sheetName val="STD__COST15"/>
      <sheetName val="013_-_การสั่งการ13"/>
      <sheetName val="Control_Panel17"/>
      <sheetName val="WW_Total_HPCI17"/>
      <sheetName val="NAM_w-o_Smartc_17"/>
      <sheetName val="GGM_Sum17"/>
      <sheetName val="HPCI_P&amp;L_Trend_(Blue)17"/>
      <sheetName val="HPCI_P&amp;L_Trend_%_(Blue)17"/>
      <sheetName val="PL4K_P&amp;L_Trend17"/>
      <sheetName val="PL4K_P&amp;L_Trend_%17"/>
      <sheetName val="PL79_P&amp;L_Trend17"/>
      <sheetName val="PL79_P&amp;L_Trend_%17"/>
      <sheetName val="HPCI-COMET_Comparison_(Blue)17"/>
      <sheetName val="Global_OH_(Blue)17"/>
      <sheetName val="Headcount_Reconciliation_(Blu17"/>
      <sheetName val="Headcount_Trend17"/>
      <sheetName val="PL4K_Labor_Trend17"/>
      <sheetName val="3D_P&amp;L_Vs_ASPIRE_(Blue)17"/>
      <sheetName val="COMET_P&amp;L_Trend_(Blue)17"/>
      <sheetName val="COMET_P&amp;L_Trend_%_(Blue)17"/>
      <sheetName val="FY02_Adjusted_P&amp;L_(Blue)17"/>
      <sheetName val="Adjustment_DTL_(Blue)17"/>
      <sheetName val="GGM_Cap__Change_Pull17"/>
      <sheetName val="GGM_Residual_Pull17"/>
      <sheetName val="GGM_Local_OH_Pull17"/>
      <sheetName val="GGM_Allocs_Pull17"/>
      <sheetName val="GGM_Oth_Inc(Exp)_Pull17"/>
      <sheetName val="Smartcontact_Gain_Pull17"/>
      <sheetName val="GGM_Revenue_Fall_Out17"/>
      <sheetName val="GGM_Residual_Fall_Out17"/>
      <sheetName val="Global_OH_Pull17"/>
      <sheetName val="EN50_47_Global_Pull17"/>
      <sheetName val="Labor_Pull17"/>
      <sheetName val="Forecast_Accuracy_Trend17"/>
      <sheetName val="COMET_Pull17"/>
      <sheetName val="WW_P&amp;L_Table17"/>
      <sheetName val="WW_Goal_Table17"/>
      <sheetName val="GGM_CF_Pull17"/>
      <sheetName val="HPC_Region_P&amp;L_Table17"/>
      <sheetName val="HPC_Region_Goal_Table17"/>
      <sheetName val="PL_Region_P&amp;L_Table17"/>
      <sheetName val="PL_Region_Goal_Table17"/>
      <sheetName val="3D_P&amp;L_Table17"/>
      <sheetName val="Global_OH_Actuals_Table17"/>
      <sheetName val="Global_OH_Goal_Table17"/>
      <sheetName val="Geo_Hc_Actual_Table17"/>
      <sheetName val="Geo_Hc_Goal_Table17"/>
      <sheetName val="3D_ASPIRE_Table17"/>
      <sheetName val="GGM_Backlog_Table17"/>
      <sheetName val="COMET_FY01_Pull17"/>
      <sheetName val="Labor_Pull_FY0117"/>
      <sheetName val="Pull_HP_Wide17"/>
      <sheetName val="Pull_All_SFs17"/>
      <sheetName val="STD__COST17"/>
      <sheetName val="013_-_การสั่งการ15"/>
      <sheetName val="Control_Panel16"/>
      <sheetName val="WW_Total_HPCI16"/>
      <sheetName val="NAM_w-o_Smartc_16"/>
      <sheetName val="GGM_Sum16"/>
      <sheetName val="HPCI_P&amp;L_Trend_(Blue)16"/>
      <sheetName val="HPCI_P&amp;L_Trend_%_(Blue)16"/>
      <sheetName val="PL4K_P&amp;L_Trend16"/>
      <sheetName val="PL4K_P&amp;L_Trend_%16"/>
      <sheetName val="PL79_P&amp;L_Trend16"/>
      <sheetName val="PL79_P&amp;L_Trend_%16"/>
      <sheetName val="HPCI-COMET_Comparison_(Blue)16"/>
      <sheetName val="Global_OH_(Blue)16"/>
      <sheetName val="Headcount_Reconciliation_(Blu16"/>
      <sheetName val="Headcount_Trend16"/>
      <sheetName val="PL4K_Labor_Trend16"/>
      <sheetName val="3D_P&amp;L_Vs_ASPIRE_(Blue)16"/>
      <sheetName val="COMET_P&amp;L_Trend_(Blue)16"/>
      <sheetName val="COMET_P&amp;L_Trend_%_(Blue)16"/>
      <sheetName val="FY02_Adjusted_P&amp;L_(Blue)16"/>
      <sheetName val="Adjustment_DTL_(Blue)16"/>
      <sheetName val="GGM_Cap__Change_Pull16"/>
      <sheetName val="GGM_Residual_Pull16"/>
      <sheetName val="GGM_Local_OH_Pull16"/>
      <sheetName val="GGM_Allocs_Pull16"/>
      <sheetName val="GGM_Oth_Inc(Exp)_Pull16"/>
      <sheetName val="Smartcontact_Gain_Pull16"/>
      <sheetName val="GGM_Revenue_Fall_Out16"/>
      <sheetName val="GGM_Residual_Fall_Out16"/>
      <sheetName val="Global_OH_Pull16"/>
      <sheetName val="EN50_47_Global_Pull16"/>
      <sheetName val="Labor_Pull16"/>
      <sheetName val="Forecast_Accuracy_Trend16"/>
      <sheetName val="COMET_Pull16"/>
      <sheetName val="WW_P&amp;L_Table16"/>
      <sheetName val="WW_Goal_Table16"/>
      <sheetName val="GGM_CF_Pull16"/>
      <sheetName val="HPC_Region_P&amp;L_Table16"/>
      <sheetName val="HPC_Region_Goal_Table16"/>
      <sheetName val="PL_Region_P&amp;L_Table16"/>
      <sheetName val="PL_Region_Goal_Table16"/>
      <sheetName val="3D_P&amp;L_Table16"/>
      <sheetName val="Global_OH_Actuals_Table16"/>
      <sheetName val="Global_OH_Goal_Table16"/>
      <sheetName val="Geo_Hc_Actual_Table16"/>
      <sheetName val="Geo_Hc_Goal_Table16"/>
      <sheetName val="3D_ASPIRE_Table16"/>
      <sheetName val="GGM_Backlog_Table16"/>
      <sheetName val="COMET_FY01_Pull16"/>
      <sheetName val="Labor_Pull_FY0116"/>
      <sheetName val="Pull_HP_Wide16"/>
      <sheetName val="Pull_All_SFs16"/>
      <sheetName val="STD__COST16"/>
      <sheetName val="013_-_การสั่งการ14"/>
      <sheetName val="Control_Panel18"/>
      <sheetName val="WW_Total_HPCI18"/>
      <sheetName val="NAM_w-o_Smartc_18"/>
      <sheetName val="GGM_Sum18"/>
      <sheetName val="HPCI_P&amp;L_Trend_(Blue)18"/>
      <sheetName val="HPCI_P&amp;L_Trend_%_(Blue)18"/>
      <sheetName val="PL4K_P&amp;L_Trend18"/>
      <sheetName val="PL4K_P&amp;L_Trend_%18"/>
      <sheetName val="PL79_P&amp;L_Trend18"/>
      <sheetName val="PL79_P&amp;L_Trend_%18"/>
      <sheetName val="HPCI-COMET_Comparison_(Blue)18"/>
      <sheetName val="Global_OH_(Blue)18"/>
      <sheetName val="Headcount_Reconciliation_(Blu18"/>
      <sheetName val="Headcount_Trend18"/>
      <sheetName val="PL4K_Labor_Trend18"/>
      <sheetName val="3D_P&amp;L_Vs_ASPIRE_(Blue)18"/>
      <sheetName val="COMET_P&amp;L_Trend_(Blue)18"/>
      <sheetName val="COMET_P&amp;L_Trend_%_(Blue)18"/>
      <sheetName val="FY02_Adjusted_P&amp;L_(Blue)18"/>
      <sheetName val="Adjustment_DTL_(Blue)18"/>
      <sheetName val="GGM_Cap__Change_Pull18"/>
      <sheetName val="GGM_Residual_Pull18"/>
      <sheetName val="GGM_Local_OH_Pull18"/>
      <sheetName val="GGM_Allocs_Pull18"/>
      <sheetName val="GGM_Oth_Inc(Exp)_Pull18"/>
      <sheetName val="Smartcontact_Gain_Pull18"/>
      <sheetName val="GGM_Revenue_Fall_Out18"/>
      <sheetName val="GGM_Residual_Fall_Out18"/>
      <sheetName val="Global_OH_Pull18"/>
      <sheetName val="EN50_47_Global_Pull18"/>
      <sheetName val="Labor_Pull18"/>
      <sheetName val="Forecast_Accuracy_Trend18"/>
      <sheetName val="COMET_Pull18"/>
      <sheetName val="WW_P&amp;L_Table18"/>
      <sheetName val="WW_Goal_Table18"/>
      <sheetName val="GGM_CF_Pull18"/>
      <sheetName val="HPC_Region_P&amp;L_Table18"/>
      <sheetName val="HPC_Region_Goal_Table18"/>
      <sheetName val="PL_Region_P&amp;L_Table18"/>
      <sheetName val="PL_Region_Goal_Table18"/>
      <sheetName val="3D_P&amp;L_Table18"/>
      <sheetName val="Global_OH_Actuals_Table18"/>
      <sheetName val="Global_OH_Goal_Table18"/>
      <sheetName val="Geo_Hc_Actual_Table18"/>
      <sheetName val="Geo_Hc_Goal_Table18"/>
      <sheetName val="3D_ASPIRE_Table18"/>
      <sheetName val="GGM_Backlog_Table18"/>
      <sheetName val="COMET_FY01_Pull18"/>
      <sheetName val="Labor_Pull_FY0118"/>
      <sheetName val="Pull_HP_Wide18"/>
      <sheetName val="Pull_All_SFs18"/>
      <sheetName val="STD__COST18"/>
      <sheetName val="013_-_การสั่งการ16"/>
      <sheetName val="Control_Panel19"/>
      <sheetName val="WW_Total_HPCI19"/>
      <sheetName val="NAM_w-o_Smartc_19"/>
      <sheetName val="GGM_Sum19"/>
      <sheetName val="HPCI_P&amp;L_Trend_(Blue)19"/>
      <sheetName val="HPCI_P&amp;L_Trend_%_(Blue)19"/>
      <sheetName val="PL4K_P&amp;L_Trend19"/>
      <sheetName val="PL4K_P&amp;L_Trend_%19"/>
      <sheetName val="PL79_P&amp;L_Trend19"/>
      <sheetName val="PL79_P&amp;L_Trend_%19"/>
      <sheetName val="HPCI-COMET_Comparison_(Blue)19"/>
      <sheetName val="Global_OH_(Blue)19"/>
      <sheetName val="Headcount_Reconciliation_(Blu19"/>
      <sheetName val="Headcount_Trend19"/>
      <sheetName val="PL4K_Labor_Trend19"/>
      <sheetName val="3D_P&amp;L_Vs_ASPIRE_(Blue)19"/>
      <sheetName val="COMET_P&amp;L_Trend_(Blue)19"/>
      <sheetName val="COMET_P&amp;L_Trend_%_(Blue)19"/>
      <sheetName val="FY02_Adjusted_P&amp;L_(Blue)19"/>
      <sheetName val="Adjustment_DTL_(Blue)19"/>
      <sheetName val="GGM_Cap__Change_Pull19"/>
      <sheetName val="GGM_Residual_Pull19"/>
      <sheetName val="GGM_Local_OH_Pull19"/>
      <sheetName val="GGM_Allocs_Pull19"/>
      <sheetName val="GGM_Oth_Inc(Exp)_Pull19"/>
      <sheetName val="Smartcontact_Gain_Pull19"/>
      <sheetName val="GGM_Revenue_Fall_Out19"/>
      <sheetName val="GGM_Residual_Fall_Out19"/>
      <sheetName val="Global_OH_Pull19"/>
      <sheetName val="EN50_47_Global_Pull19"/>
      <sheetName val="Labor_Pull19"/>
      <sheetName val="Forecast_Accuracy_Trend19"/>
      <sheetName val="COMET_Pull19"/>
      <sheetName val="WW_P&amp;L_Table19"/>
      <sheetName val="WW_Goal_Table19"/>
      <sheetName val="GGM_CF_Pull19"/>
      <sheetName val="HPC_Region_P&amp;L_Table19"/>
      <sheetName val="HPC_Region_Goal_Table19"/>
      <sheetName val="PL_Region_P&amp;L_Table19"/>
      <sheetName val="PL_Region_Goal_Table19"/>
      <sheetName val="3D_P&amp;L_Table19"/>
      <sheetName val="Global_OH_Actuals_Table19"/>
      <sheetName val="Global_OH_Goal_Table19"/>
      <sheetName val="Geo_Hc_Actual_Table19"/>
      <sheetName val="Geo_Hc_Goal_Table19"/>
      <sheetName val="3D_ASPIRE_Table19"/>
      <sheetName val="GGM_Backlog_Table19"/>
      <sheetName val="COMET_FY01_Pull19"/>
      <sheetName val="Labor_Pull_FY0119"/>
      <sheetName val="Pull_HP_Wide19"/>
      <sheetName val="Pull_All_SFs19"/>
      <sheetName val="STD__COST19"/>
      <sheetName val="013_-_การสั่งการ17"/>
      <sheetName val="013_-_การสั่งการ18"/>
      <sheetName val="Control_Panel21"/>
      <sheetName val="WW_Total_HPCI21"/>
      <sheetName val="NAM_w-o_Smartc_21"/>
      <sheetName val="GGM_Sum21"/>
      <sheetName val="HPCI_P&amp;L_Trend_(Blue)21"/>
      <sheetName val="HPCI_P&amp;L_Trend_%_(Blue)21"/>
      <sheetName val="PL4K_P&amp;L_Trend21"/>
      <sheetName val="PL4K_P&amp;L_Trend_%21"/>
      <sheetName val="PL79_P&amp;L_Trend21"/>
      <sheetName val="PL79_P&amp;L_Trend_%21"/>
      <sheetName val="HPCI-COMET_Comparison_(Blue)21"/>
      <sheetName val="Global_OH_(Blue)21"/>
      <sheetName val="Headcount_Reconciliation_(Blu21"/>
      <sheetName val="Headcount_Trend21"/>
      <sheetName val="PL4K_Labor_Trend21"/>
      <sheetName val="3D_P&amp;L_Vs_ASPIRE_(Blue)21"/>
      <sheetName val="COMET_P&amp;L_Trend_(Blue)21"/>
      <sheetName val="COMET_P&amp;L_Trend_%_(Blue)21"/>
      <sheetName val="FY02_Adjusted_P&amp;L_(Blue)21"/>
      <sheetName val="Adjustment_DTL_(Blue)21"/>
      <sheetName val="GGM_Cap__Change_Pull21"/>
      <sheetName val="GGM_Residual_Pull21"/>
      <sheetName val="GGM_Local_OH_Pull21"/>
      <sheetName val="GGM_Allocs_Pull21"/>
      <sheetName val="GGM_Oth_Inc(Exp)_Pull21"/>
      <sheetName val="Smartcontact_Gain_Pull21"/>
      <sheetName val="GGM_Revenue_Fall_Out21"/>
      <sheetName val="GGM_Residual_Fall_Out21"/>
      <sheetName val="Global_OH_Pull21"/>
      <sheetName val="EN50_47_Global_Pull21"/>
      <sheetName val="Labor_Pull21"/>
      <sheetName val="Forecast_Accuracy_Trend21"/>
      <sheetName val="COMET_Pull21"/>
      <sheetName val="WW_P&amp;L_Table21"/>
      <sheetName val="WW_Goal_Table21"/>
      <sheetName val="GGM_CF_Pull21"/>
      <sheetName val="HPC_Region_P&amp;L_Table21"/>
      <sheetName val="HPC_Region_Goal_Table21"/>
      <sheetName val="PL_Region_P&amp;L_Table21"/>
      <sheetName val="PL_Region_Goal_Table21"/>
      <sheetName val="3D_P&amp;L_Table21"/>
      <sheetName val="Global_OH_Actuals_Table21"/>
      <sheetName val="Global_OH_Goal_Table21"/>
      <sheetName val="Geo_Hc_Actual_Table21"/>
      <sheetName val="Geo_Hc_Goal_Table21"/>
      <sheetName val="3D_ASPIRE_Table21"/>
      <sheetName val="GGM_Backlog_Table21"/>
      <sheetName val="COMET_FY01_Pull21"/>
      <sheetName val="Labor_Pull_FY0121"/>
      <sheetName val="Pull_HP_Wide21"/>
      <sheetName val="Pull_All_SFs21"/>
      <sheetName val="STD__COST21"/>
      <sheetName val="013_-_การสั่งการ19"/>
      <sheetName val="Control_Panel22"/>
      <sheetName val="WW_Total_HPCI22"/>
      <sheetName val="NAM_w-o_Smartc_22"/>
      <sheetName val="GGM_Sum22"/>
      <sheetName val="HPCI_P&amp;L_Trend_(Blue)22"/>
      <sheetName val="HPCI_P&amp;L_Trend_%_(Blue)22"/>
      <sheetName val="PL4K_P&amp;L_Trend22"/>
      <sheetName val="PL4K_P&amp;L_Trend_%22"/>
      <sheetName val="PL79_P&amp;L_Trend22"/>
      <sheetName val="PL79_P&amp;L_Trend_%22"/>
      <sheetName val="HPCI-COMET_Comparison_(Blue)22"/>
      <sheetName val="Global_OH_(Blue)22"/>
      <sheetName val="Headcount_Reconciliation_(Blu22"/>
      <sheetName val="Headcount_Trend22"/>
      <sheetName val="PL4K_Labor_Trend22"/>
      <sheetName val="3D_P&amp;L_Vs_ASPIRE_(Blue)22"/>
      <sheetName val="COMET_P&amp;L_Trend_(Blue)22"/>
      <sheetName val="COMET_P&amp;L_Trend_%_(Blue)22"/>
      <sheetName val="FY02_Adjusted_P&amp;L_(Blue)22"/>
      <sheetName val="Adjustment_DTL_(Blue)22"/>
      <sheetName val="GGM_Cap__Change_Pull22"/>
      <sheetName val="GGM_Residual_Pull22"/>
      <sheetName val="GGM_Local_OH_Pull22"/>
      <sheetName val="GGM_Allocs_Pull22"/>
      <sheetName val="GGM_Oth_Inc(Exp)_Pull22"/>
      <sheetName val="Smartcontact_Gain_Pull22"/>
      <sheetName val="GGM_Revenue_Fall_Out22"/>
      <sheetName val="GGM_Residual_Fall_Out22"/>
      <sheetName val="Global_OH_Pull22"/>
      <sheetName val="EN50_47_Global_Pull22"/>
      <sheetName val="Labor_Pull22"/>
      <sheetName val="Forecast_Accuracy_Trend22"/>
      <sheetName val="COMET_Pull22"/>
      <sheetName val="WW_P&amp;L_Table22"/>
      <sheetName val="WW_Goal_Table22"/>
      <sheetName val="GGM_CF_Pull22"/>
      <sheetName val="HPC_Region_P&amp;L_Table22"/>
      <sheetName val="HPC_Region_Goal_Table22"/>
      <sheetName val="PL_Region_P&amp;L_Table22"/>
      <sheetName val="PL_Region_Goal_Table22"/>
      <sheetName val="3D_P&amp;L_Table22"/>
      <sheetName val="Global_OH_Actuals_Table22"/>
      <sheetName val="Global_OH_Goal_Table22"/>
      <sheetName val="Geo_Hc_Actual_Table22"/>
      <sheetName val="Geo_Hc_Goal_Table22"/>
      <sheetName val="3D_ASPIRE_Table22"/>
      <sheetName val="GGM_Backlog_Table22"/>
      <sheetName val="COMET_FY01_Pull22"/>
      <sheetName val="Labor_Pull_FY0122"/>
      <sheetName val="Pull_HP_Wide22"/>
      <sheetName val="Pull_All_SFs22"/>
      <sheetName val="STD__COST22"/>
      <sheetName val="013_-_การสั่งการ20"/>
      <sheetName val="Control_Panel26"/>
      <sheetName val="WW_Total_HPCI26"/>
      <sheetName val="NAM_w-o_Smartc_26"/>
      <sheetName val="GGM_Sum26"/>
      <sheetName val="HPCI_P&amp;L_Trend_(Blue)26"/>
      <sheetName val="HPCI_P&amp;L_Trend_%_(Blue)26"/>
      <sheetName val="PL4K_P&amp;L_Trend26"/>
      <sheetName val="PL4K_P&amp;L_Trend_%26"/>
      <sheetName val="PL79_P&amp;L_Trend26"/>
      <sheetName val="PL79_P&amp;L_Trend_%26"/>
      <sheetName val="HPCI-COMET_Comparison_(Blue)26"/>
      <sheetName val="Global_OH_(Blue)26"/>
      <sheetName val="Headcount_Reconciliation_(Blu26"/>
      <sheetName val="Headcount_Trend26"/>
      <sheetName val="PL4K_Labor_Trend26"/>
      <sheetName val="3D_P&amp;L_Vs_ASPIRE_(Blue)26"/>
      <sheetName val="COMET_P&amp;L_Trend_(Blue)26"/>
      <sheetName val="COMET_P&amp;L_Trend_%_(Blue)26"/>
      <sheetName val="FY02_Adjusted_P&amp;L_(Blue)26"/>
      <sheetName val="Adjustment_DTL_(Blue)26"/>
      <sheetName val="GGM_Cap__Change_Pull26"/>
      <sheetName val="GGM_Residual_Pull26"/>
      <sheetName val="GGM_Local_OH_Pull26"/>
      <sheetName val="GGM_Allocs_Pull26"/>
      <sheetName val="GGM_Oth_Inc(Exp)_Pull26"/>
      <sheetName val="Smartcontact_Gain_Pull26"/>
      <sheetName val="GGM_Revenue_Fall_Out26"/>
      <sheetName val="GGM_Residual_Fall_Out26"/>
      <sheetName val="Global_OH_Pull26"/>
      <sheetName val="EN50_47_Global_Pull26"/>
      <sheetName val="Labor_Pull26"/>
      <sheetName val="Forecast_Accuracy_Trend26"/>
      <sheetName val="COMET_Pull26"/>
      <sheetName val="WW_P&amp;L_Table26"/>
      <sheetName val="WW_Goal_Table26"/>
      <sheetName val="GGM_CF_Pull26"/>
      <sheetName val="HPC_Region_P&amp;L_Table26"/>
      <sheetName val="HPC_Region_Goal_Table26"/>
      <sheetName val="PL_Region_P&amp;L_Table26"/>
      <sheetName val="PL_Region_Goal_Table26"/>
      <sheetName val="3D_P&amp;L_Table26"/>
      <sheetName val="Global_OH_Actuals_Table26"/>
      <sheetName val="Global_OH_Goal_Table26"/>
      <sheetName val="Geo_Hc_Actual_Table26"/>
      <sheetName val="Geo_Hc_Goal_Table26"/>
      <sheetName val="3D_ASPIRE_Table26"/>
      <sheetName val="GGM_Backlog_Table26"/>
      <sheetName val="COMET_FY01_Pull26"/>
      <sheetName val="Labor_Pull_FY0126"/>
      <sheetName val="Pull_HP_Wide26"/>
      <sheetName val="Pull_All_SFs26"/>
      <sheetName val="STD__COST26"/>
      <sheetName val="013_-_การสั่งการ24"/>
      <sheetName val="Control_Panel24"/>
      <sheetName val="WW_Total_HPCI24"/>
      <sheetName val="NAM_w-o_Smartc_24"/>
      <sheetName val="GGM_Sum24"/>
      <sheetName val="HPCI_P&amp;L_Trend_(Blue)24"/>
      <sheetName val="HPCI_P&amp;L_Trend_%_(Blue)24"/>
      <sheetName val="PL4K_P&amp;L_Trend24"/>
      <sheetName val="PL4K_P&amp;L_Trend_%24"/>
      <sheetName val="PL79_P&amp;L_Trend24"/>
      <sheetName val="PL79_P&amp;L_Trend_%24"/>
      <sheetName val="HPCI-COMET_Comparison_(Blue)24"/>
      <sheetName val="Global_OH_(Blue)24"/>
      <sheetName val="Headcount_Reconciliation_(Blu24"/>
      <sheetName val="Headcount_Trend24"/>
      <sheetName val="PL4K_Labor_Trend24"/>
      <sheetName val="3D_P&amp;L_Vs_ASPIRE_(Blue)24"/>
      <sheetName val="COMET_P&amp;L_Trend_(Blue)24"/>
      <sheetName val="COMET_P&amp;L_Trend_%_(Blue)24"/>
      <sheetName val="FY02_Adjusted_P&amp;L_(Blue)24"/>
      <sheetName val="Adjustment_DTL_(Blue)24"/>
      <sheetName val="GGM_Cap__Change_Pull24"/>
      <sheetName val="GGM_Residual_Pull24"/>
      <sheetName val="GGM_Local_OH_Pull24"/>
      <sheetName val="GGM_Allocs_Pull24"/>
      <sheetName val="GGM_Oth_Inc(Exp)_Pull24"/>
      <sheetName val="Smartcontact_Gain_Pull24"/>
      <sheetName val="GGM_Revenue_Fall_Out24"/>
      <sheetName val="GGM_Residual_Fall_Out24"/>
      <sheetName val="Global_OH_Pull24"/>
      <sheetName val="EN50_47_Global_Pull24"/>
      <sheetName val="Labor_Pull24"/>
      <sheetName val="Forecast_Accuracy_Trend24"/>
      <sheetName val="COMET_Pull24"/>
      <sheetName val="WW_P&amp;L_Table24"/>
      <sheetName val="WW_Goal_Table24"/>
      <sheetName val="GGM_CF_Pull24"/>
      <sheetName val="HPC_Region_P&amp;L_Table24"/>
      <sheetName val="HPC_Region_Goal_Table24"/>
      <sheetName val="PL_Region_P&amp;L_Table24"/>
      <sheetName val="PL_Region_Goal_Table24"/>
      <sheetName val="3D_P&amp;L_Table24"/>
      <sheetName val="Global_OH_Actuals_Table24"/>
      <sheetName val="Global_OH_Goal_Table24"/>
      <sheetName val="Geo_Hc_Actual_Table24"/>
      <sheetName val="Geo_Hc_Goal_Table24"/>
      <sheetName val="3D_ASPIRE_Table24"/>
      <sheetName val="GGM_Backlog_Table24"/>
      <sheetName val="COMET_FY01_Pull24"/>
      <sheetName val="Labor_Pull_FY0124"/>
      <sheetName val="Pull_HP_Wide24"/>
      <sheetName val="Pull_All_SFs24"/>
      <sheetName val="STD__COST24"/>
      <sheetName val="013_-_การสั่งการ22"/>
      <sheetName val="Control_Panel23"/>
      <sheetName val="WW_Total_HPCI23"/>
      <sheetName val="NAM_w-o_Smartc_23"/>
      <sheetName val="GGM_Sum23"/>
      <sheetName val="HPCI_P&amp;L_Trend_(Blue)23"/>
      <sheetName val="HPCI_P&amp;L_Trend_%_(Blue)23"/>
      <sheetName val="PL4K_P&amp;L_Trend23"/>
      <sheetName val="PL4K_P&amp;L_Trend_%23"/>
      <sheetName val="PL79_P&amp;L_Trend23"/>
      <sheetName val="PL79_P&amp;L_Trend_%23"/>
      <sheetName val="HPCI-COMET_Comparison_(Blue)23"/>
      <sheetName val="Global_OH_(Blue)23"/>
      <sheetName val="Headcount_Reconciliation_(Blu23"/>
      <sheetName val="Headcount_Trend23"/>
      <sheetName val="PL4K_Labor_Trend23"/>
      <sheetName val="3D_P&amp;L_Vs_ASPIRE_(Blue)23"/>
      <sheetName val="COMET_P&amp;L_Trend_(Blue)23"/>
      <sheetName val="COMET_P&amp;L_Trend_%_(Blue)23"/>
      <sheetName val="FY02_Adjusted_P&amp;L_(Blue)23"/>
      <sheetName val="Adjustment_DTL_(Blue)23"/>
      <sheetName val="GGM_Cap__Change_Pull23"/>
      <sheetName val="GGM_Residual_Pull23"/>
      <sheetName val="GGM_Local_OH_Pull23"/>
      <sheetName val="GGM_Allocs_Pull23"/>
      <sheetName val="GGM_Oth_Inc(Exp)_Pull23"/>
      <sheetName val="Smartcontact_Gain_Pull23"/>
      <sheetName val="GGM_Revenue_Fall_Out23"/>
      <sheetName val="GGM_Residual_Fall_Out23"/>
      <sheetName val="Global_OH_Pull23"/>
      <sheetName val="EN50_47_Global_Pull23"/>
      <sheetName val="Labor_Pull23"/>
      <sheetName val="Forecast_Accuracy_Trend23"/>
      <sheetName val="COMET_Pull23"/>
      <sheetName val="WW_P&amp;L_Table23"/>
      <sheetName val="WW_Goal_Table23"/>
      <sheetName val="GGM_CF_Pull23"/>
      <sheetName val="HPC_Region_P&amp;L_Table23"/>
      <sheetName val="HPC_Region_Goal_Table23"/>
      <sheetName val="PL_Region_P&amp;L_Table23"/>
      <sheetName val="PL_Region_Goal_Table23"/>
      <sheetName val="3D_P&amp;L_Table23"/>
      <sheetName val="Global_OH_Actuals_Table23"/>
      <sheetName val="Global_OH_Goal_Table23"/>
      <sheetName val="Geo_Hc_Actual_Table23"/>
      <sheetName val="Geo_Hc_Goal_Table23"/>
      <sheetName val="3D_ASPIRE_Table23"/>
      <sheetName val="GGM_Backlog_Table23"/>
      <sheetName val="COMET_FY01_Pull23"/>
      <sheetName val="Labor_Pull_FY0123"/>
      <sheetName val="Pull_HP_Wide23"/>
      <sheetName val="Pull_All_SFs23"/>
      <sheetName val="STD__COST23"/>
      <sheetName val="013_-_การสั่งการ21"/>
      <sheetName val="Control_Panel25"/>
      <sheetName val="WW_Total_HPCI25"/>
      <sheetName val="NAM_w-o_Smartc_25"/>
      <sheetName val="GGM_Sum25"/>
      <sheetName val="HPCI_P&amp;L_Trend_(Blue)25"/>
      <sheetName val="HPCI_P&amp;L_Trend_%_(Blue)25"/>
      <sheetName val="PL4K_P&amp;L_Trend25"/>
      <sheetName val="PL4K_P&amp;L_Trend_%25"/>
      <sheetName val="PL79_P&amp;L_Trend25"/>
      <sheetName val="PL79_P&amp;L_Trend_%25"/>
      <sheetName val="HPCI-COMET_Comparison_(Blue)25"/>
      <sheetName val="Global_OH_(Blue)25"/>
      <sheetName val="Headcount_Reconciliation_(Blu25"/>
      <sheetName val="Headcount_Trend25"/>
      <sheetName val="PL4K_Labor_Trend25"/>
      <sheetName val="3D_P&amp;L_Vs_ASPIRE_(Blue)25"/>
      <sheetName val="COMET_P&amp;L_Trend_(Blue)25"/>
      <sheetName val="COMET_P&amp;L_Trend_%_(Blue)25"/>
      <sheetName val="FY02_Adjusted_P&amp;L_(Blue)25"/>
      <sheetName val="Adjustment_DTL_(Blue)25"/>
      <sheetName val="GGM_Cap__Change_Pull25"/>
      <sheetName val="GGM_Residual_Pull25"/>
      <sheetName val="GGM_Local_OH_Pull25"/>
      <sheetName val="GGM_Allocs_Pull25"/>
      <sheetName val="GGM_Oth_Inc(Exp)_Pull25"/>
      <sheetName val="Smartcontact_Gain_Pull25"/>
      <sheetName val="GGM_Revenue_Fall_Out25"/>
      <sheetName val="GGM_Residual_Fall_Out25"/>
      <sheetName val="Global_OH_Pull25"/>
      <sheetName val="EN50_47_Global_Pull25"/>
      <sheetName val="Labor_Pull25"/>
      <sheetName val="Forecast_Accuracy_Trend25"/>
      <sheetName val="COMET_Pull25"/>
      <sheetName val="WW_P&amp;L_Table25"/>
      <sheetName val="WW_Goal_Table25"/>
      <sheetName val="GGM_CF_Pull25"/>
      <sheetName val="HPC_Region_P&amp;L_Table25"/>
      <sheetName val="HPC_Region_Goal_Table25"/>
      <sheetName val="PL_Region_P&amp;L_Table25"/>
      <sheetName val="PL_Region_Goal_Table25"/>
      <sheetName val="3D_P&amp;L_Table25"/>
      <sheetName val="Global_OH_Actuals_Table25"/>
      <sheetName val="Global_OH_Goal_Table25"/>
      <sheetName val="Geo_Hc_Actual_Table25"/>
      <sheetName val="Geo_Hc_Goal_Table25"/>
      <sheetName val="3D_ASPIRE_Table25"/>
      <sheetName val="GGM_Backlog_Table25"/>
      <sheetName val="COMET_FY01_Pull25"/>
      <sheetName val="Labor_Pull_FY0125"/>
      <sheetName val="Pull_HP_Wide25"/>
      <sheetName val="Pull_All_SFs25"/>
      <sheetName val="STD__COST25"/>
      <sheetName val="013_-_การสั่งการ23"/>
      <sheetName val="Control_Panel29"/>
      <sheetName val="WW_Total_HPCI29"/>
      <sheetName val="NAM_w-o_Smartc_29"/>
      <sheetName val="GGM_Sum29"/>
      <sheetName val="HPCI_P&amp;L_Trend_(Blue)29"/>
      <sheetName val="HPCI_P&amp;L_Trend_%_(Blue)29"/>
      <sheetName val="PL4K_P&amp;L_Trend29"/>
      <sheetName val="PL4K_P&amp;L_Trend_%29"/>
      <sheetName val="PL79_P&amp;L_Trend29"/>
      <sheetName val="PL79_P&amp;L_Trend_%29"/>
      <sheetName val="HPCI-COMET_Comparison_(Blue)29"/>
      <sheetName val="Global_OH_(Blue)29"/>
      <sheetName val="Headcount_Reconciliation_(Blu29"/>
      <sheetName val="Headcount_Trend29"/>
      <sheetName val="PL4K_Labor_Trend29"/>
      <sheetName val="3D_P&amp;L_Vs_ASPIRE_(Blue)29"/>
      <sheetName val="COMET_P&amp;L_Trend_(Blue)29"/>
      <sheetName val="COMET_P&amp;L_Trend_%_(Blue)29"/>
      <sheetName val="FY02_Adjusted_P&amp;L_(Blue)29"/>
      <sheetName val="Adjustment_DTL_(Blue)29"/>
      <sheetName val="GGM_Cap__Change_Pull29"/>
      <sheetName val="GGM_Residual_Pull29"/>
      <sheetName val="GGM_Local_OH_Pull29"/>
      <sheetName val="GGM_Allocs_Pull29"/>
      <sheetName val="GGM_Oth_Inc(Exp)_Pull29"/>
      <sheetName val="Smartcontact_Gain_Pull29"/>
      <sheetName val="GGM_Revenue_Fall_Out29"/>
      <sheetName val="GGM_Residual_Fall_Out29"/>
      <sheetName val="Global_OH_Pull29"/>
      <sheetName val="EN50_47_Global_Pull29"/>
      <sheetName val="Labor_Pull29"/>
      <sheetName val="Forecast_Accuracy_Trend29"/>
      <sheetName val="COMET_Pull29"/>
      <sheetName val="WW_P&amp;L_Table29"/>
      <sheetName val="WW_Goal_Table29"/>
      <sheetName val="GGM_CF_Pull29"/>
      <sheetName val="HPC_Region_P&amp;L_Table29"/>
      <sheetName val="HPC_Region_Goal_Table29"/>
      <sheetName val="PL_Region_P&amp;L_Table29"/>
      <sheetName val="PL_Region_Goal_Table29"/>
      <sheetName val="3D_P&amp;L_Table29"/>
      <sheetName val="Global_OH_Actuals_Table29"/>
      <sheetName val="Global_OH_Goal_Table29"/>
      <sheetName val="Geo_Hc_Actual_Table29"/>
      <sheetName val="Geo_Hc_Goal_Table29"/>
      <sheetName val="3D_ASPIRE_Table29"/>
      <sheetName val="GGM_Backlog_Table29"/>
      <sheetName val="COMET_FY01_Pull29"/>
      <sheetName val="Labor_Pull_FY0129"/>
      <sheetName val="Pull_HP_Wide29"/>
      <sheetName val="Pull_All_SFs29"/>
      <sheetName val="STD__COST29"/>
      <sheetName val="013_-_การสั่งการ27"/>
      <sheetName val="Control_Panel27"/>
      <sheetName val="WW_Total_HPCI27"/>
      <sheetName val="NAM_w-o_Smartc_27"/>
      <sheetName val="GGM_Sum27"/>
      <sheetName val="HPCI_P&amp;L_Trend_(Blue)27"/>
      <sheetName val="HPCI_P&amp;L_Trend_%_(Blue)27"/>
      <sheetName val="PL4K_P&amp;L_Trend27"/>
      <sheetName val="PL4K_P&amp;L_Trend_%27"/>
      <sheetName val="PL79_P&amp;L_Trend27"/>
      <sheetName val="PL79_P&amp;L_Trend_%27"/>
      <sheetName val="HPCI-COMET_Comparison_(Blue)27"/>
      <sheetName val="Global_OH_(Blue)27"/>
      <sheetName val="Headcount_Reconciliation_(Blu27"/>
      <sheetName val="Headcount_Trend27"/>
      <sheetName val="PL4K_Labor_Trend27"/>
      <sheetName val="3D_P&amp;L_Vs_ASPIRE_(Blue)27"/>
      <sheetName val="COMET_P&amp;L_Trend_(Blue)27"/>
      <sheetName val="COMET_P&amp;L_Trend_%_(Blue)27"/>
      <sheetName val="FY02_Adjusted_P&amp;L_(Blue)27"/>
      <sheetName val="Adjustment_DTL_(Blue)27"/>
      <sheetName val="GGM_Cap__Change_Pull27"/>
      <sheetName val="GGM_Residual_Pull27"/>
      <sheetName val="GGM_Local_OH_Pull27"/>
      <sheetName val="GGM_Allocs_Pull27"/>
      <sheetName val="GGM_Oth_Inc(Exp)_Pull27"/>
      <sheetName val="Smartcontact_Gain_Pull27"/>
      <sheetName val="GGM_Revenue_Fall_Out27"/>
      <sheetName val="GGM_Residual_Fall_Out27"/>
      <sheetName val="Global_OH_Pull27"/>
      <sheetName val="EN50_47_Global_Pull27"/>
      <sheetName val="Labor_Pull27"/>
      <sheetName val="Forecast_Accuracy_Trend27"/>
      <sheetName val="COMET_Pull27"/>
      <sheetName val="WW_P&amp;L_Table27"/>
      <sheetName val="WW_Goal_Table27"/>
      <sheetName val="GGM_CF_Pull27"/>
      <sheetName val="HPC_Region_P&amp;L_Table27"/>
      <sheetName val="HPC_Region_Goal_Table27"/>
      <sheetName val="PL_Region_P&amp;L_Table27"/>
      <sheetName val="PL_Region_Goal_Table27"/>
      <sheetName val="3D_P&amp;L_Table27"/>
      <sheetName val="Global_OH_Actuals_Table27"/>
      <sheetName val="Global_OH_Goal_Table27"/>
      <sheetName val="Geo_Hc_Actual_Table27"/>
      <sheetName val="Geo_Hc_Goal_Table27"/>
      <sheetName val="3D_ASPIRE_Table27"/>
      <sheetName val="GGM_Backlog_Table27"/>
      <sheetName val="COMET_FY01_Pull27"/>
      <sheetName val="Labor_Pull_FY0127"/>
      <sheetName val="Pull_HP_Wide27"/>
      <sheetName val="Pull_All_SFs27"/>
      <sheetName val="STD__COST27"/>
      <sheetName val="013_-_การสั่งการ25"/>
      <sheetName val="Control_Panel28"/>
      <sheetName val="WW_Total_HPCI28"/>
      <sheetName val="NAM_w-o_Smartc_28"/>
      <sheetName val="GGM_Sum28"/>
      <sheetName val="HPCI_P&amp;L_Trend_(Blue)28"/>
      <sheetName val="HPCI_P&amp;L_Trend_%_(Blue)28"/>
      <sheetName val="PL4K_P&amp;L_Trend28"/>
      <sheetName val="PL4K_P&amp;L_Trend_%28"/>
      <sheetName val="PL79_P&amp;L_Trend28"/>
      <sheetName val="PL79_P&amp;L_Trend_%28"/>
      <sheetName val="HPCI-COMET_Comparison_(Blue)28"/>
      <sheetName val="Global_OH_(Blue)28"/>
      <sheetName val="Headcount_Reconciliation_(Blu28"/>
      <sheetName val="Headcount_Trend28"/>
      <sheetName val="PL4K_Labor_Trend28"/>
      <sheetName val="3D_P&amp;L_Vs_ASPIRE_(Blue)28"/>
      <sheetName val="COMET_P&amp;L_Trend_(Blue)28"/>
      <sheetName val="COMET_P&amp;L_Trend_%_(Blue)28"/>
      <sheetName val="FY02_Adjusted_P&amp;L_(Blue)28"/>
      <sheetName val="Adjustment_DTL_(Blue)28"/>
      <sheetName val="GGM_Cap__Change_Pull28"/>
      <sheetName val="GGM_Residual_Pull28"/>
      <sheetName val="GGM_Local_OH_Pull28"/>
      <sheetName val="GGM_Allocs_Pull28"/>
      <sheetName val="GGM_Oth_Inc(Exp)_Pull28"/>
      <sheetName val="Smartcontact_Gain_Pull28"/>
      <sheetName val="GGM_Revenue_Fall_Out28"/>
      <sheetName val="GGM_Residual_Fall_Out28"/>
      <sheetName val="Global_OH_Pull28"/>
      <sheetName val="EN50_47_Global_Pull28"/>
      <sheetName val="Labor_Pull28"/>
      <sheetName val="Forecast_Accuracy_Trend28"/>
      <sheetName val="COMET_Pull28"/>
      <sheetName val="WW_P&amp;L_Table28"/>
      <sheetName val="WW_Goal_Table28"/>
      <sheetName val="GGM_CF_Pull28"/>
      <sheetName val="HPC_Region_P&amp;L_Table28"/>
      <sheetName val="HPC_Region_Goal_Table28"/>
      <sheetName val="PL_Region_P&amp;L_Table28"/>
      <sheetName val="PL_Region_Goal_Table28"/>
      <sheetName val="3D_P&amp;L_Table28"/>
      <sheetName val="Global_OH_Actuals_Table28"/>
      <sheetName val="Global_OH_Goal_Table28"/>
      <sheetName val="Geo_Hc_Actual_Table28"/>
      <sheetName val="Geo_Hc_Goal_Table28"/>
      <sheetName val="3D_ASPIRE_Table28"/>
      <sheetName val="GGM_Backlog_Table28"/>
      <sheetName val="COMET_FY01_Pull28"/>
      <sheetName val="Labor_Pull_FY0128"/>
      <sheetName val="Pull_HP_Wide28"/>
      <sheetName val="Pull_All_SFs28"/>
      <sheetName val="STD__COST28"/>
      <sheetName val="013_-_การสั่งการ26"/>
      <sheetName val="CA_new"/>
      <sheetName val="Funnel"/>
      <sheetName val="FY01 Actuals"/>
      <sheetName val="FY00 Restated"/>
      <sheetName val="FY01 Quota"/>
      <sheetName val="PLALL"/>
      <sheetName val="选择报表"/>
      <sheetName val="写字楼B"/>
      <sheetName val="A翼写字楼"/>
      <sheetName val="Comet Q202 Flash"/>
      <sheetName val="Planet_Ame"/>
      <sheetName val="Planet_AP"/>
      <sheetName val="Planet_EMEA"/>
      <sheetName val="Planet_OG"/>
      <sheetName val="Planet_WW"/>
      <sheetName val="成本表"/>
      <sheetName val="Parameters"/>
      <sheetName val="CateringBanqTable"/>
      <sheetName val="KitchenTable"/>
      <sheetName val="Rooms Table"/>
      <sheetName val="SalesTable"/>
      <sheetName val="SpaTable"/>
      <sheetName val="Control_Panel33"/>
      <sheetName val="WW_Total_HPCI33"/>
      <sheetName val="NAM_w-o_Smartc_33"/>
      <sheetName val="GGM_Sum33"/>
      <sheetName val="HPCI_P&amp;L_Trend_(Blue)33"/>
      <sheetName val="HPCI_P&amp;L_Trend_%_(Blue)33"/>
      <sheetName val="PL4K_P&amp;L_Trend33"/>
      <sheetName val="PL4K_P&amp;L_Trend_%33"/>
      <sheetName val="PL79_P&amp;L_Trend33"/>
      <sheetName val="PL79_P&amp;L_Trend_%33"/>
      <sheetName val="HPCI-COMET_Comparison_(Blue)33"/>
      <sheetName val="Global_OH_(Blue)33"/>
      <sheetName val="Headcount_Reconciliation_(Blu33"/>
      <sheetName val="Headcount_Trend33"/>
      <sheetName val="PL4K_Labor_Trend33"/>
      <sheetName val="3D_P&amp;L_Vs_ASPIRE_(Blue)33"/>
      <sheetName val="COMET_P&amp;L_Trend_(Blue)33"/>
      <sheetName val="COMET_P&amp;L_Trend_%_(Blue)33"/>
      <sheetName val="FY02_Adjusted_P&amp;L_(Blue)33"/>
      <sheetName val="Adjustment_DTL_(Blue)33"/>
      <sheetName val="GGM_Cap__Change_Pull33"/>
      <sheetName val="GGM_Residual_Pull33"/>
      <sheetName val="GGM_Local_OH_Pull33"/>
      <sheetName val="GGM_Allocs_Pull33"/>
      <sheetName val="GGM_Oth_Inc(Exp)_Pull33"/>
      <sheetName val="Smartcontact_Gain_Pull33"/>
      <sheetName val="GGM_Revenue_Fall_Out33"/>
      <sheetName val="GGM_Residual_Fall_Out33"/>
      <sheetName val="Global_OH_Pull33"/>
      <sheetName val="EN50_47_Global_Pull33"/>
      <sheetName val="Labor_Pull33"/>
      <sheetName val="Forecast_Accuracy_Trend33"/>
      <sheetName val="COMET_Pull33"/>
      <sheetName val="WW_P&amp;L_Table33"/>
      <sheetName val="WW_Goal_Table33"/>
      <sheetName val="GGM_CF_Pull33"/>
      <sheetName val="HPC_Region_P&amp;L_Table33"/>
      <sheetName val="HPC_Region_Goal_Table33"/>
      <sheetName val="PL_Region_P&amp;L_Table33"/>
      <sheetName val="PL_Region_Goal_Table33"/>
      <sheetName val="3D_P&amp;L_Table33"/>
      <sheetName val="Global_OH_Actuals_Table33"/>
      <sheetName val="Global_OH_Goal_Table33"/>
      <sheetName val="Geo_Hc_Actual_Table33"/>
      <sheetName val="Geo_Hc_Goal_Table33"/>
      <sheetName val="3D_ASPIRE_Table33"/>
      <sheetName val="GGM_Backlog_Table33"/>
      <sheetName val="COMET_FY01_Pull33"/>
      <sheetName val="Labor_Pull_FY0133"/>
      <sheetName val="Pull_HP_Wide33"/>
      <sheetName val="Pull_All_SFs33"/>
      <sheetName val="STD__COST33"/>
      <sheetName val="013_-_การสั่งการ31"/>
      <sheetName val="INPUT_-_Data_Table5"/>
      <sheetName val="Comet_ASPIRE2"/>
      <sheetName val="Comet_Sequential2"/>
      <sheetName val="Comet_yoy2"/>
      <sheetName val="Labour_costs1"/>
      <sheetName val="Control_Panel30"/>
      <sheetName val="WW_Total_HPCI30"/>
      <sheetName val="NAM_w-o_Smartc_30"/>
      <sheetName val="GGM_Sum30"/>
      <sheetName val="HPCI_P&amp;L_Trend_(Blue)30"/>
      <sheetName val="HPCI_P&amp;L_Trend_%_(Blue)30"/>
      <sheetName val="PL4K_P&amp;L_Trend30"/>
      <sheetName val="PL4K_P&amp;L_Trend_%30"/>
      <sheetName val="PL79_P&amp;L_Trend30"/>
      <sheetName val="PL79_P&amp;L_Trend_%30"/>
      <sheetName val="HPCI-COMET_Comparison_(Blue)30"/>
      <sheetName val="Global_OH_(Blue)30"/>
      <sheetName val="Headcount_Reconciliation_(Blu30"/>
      <sheetName val="Headcount_Trend30"/>
      <sheetName val="PL4K_Labor_Trend30"/>
      <sheetName val="3D_P&amp;L_Vs_ASPIRE_(Blue)30"/>
      <sheetName val="COMET_P&amp;L_Trend_(Blue)30"/>
      <sheetName val="COMET_P&amp;L_Trend_%_(Blue)30"/>
      <sheetName val="FY02_Adjusted_P&amp;L_(Blue)30"/>
      <sheetName val="Adjustment_DTL_(Blue)30"/>
      <sheetName val="GGM_Cap__Change_Pull30"/>
      <sheetName val="GGM_Residual_Pull30"/>
      <sheetName val="GGM_Local_OH_Pull30"/>
      <sheetName val="GGM_Allocs_Pull30"/>
      <sheetName val="GGM_Oth_Inc(Exp)_Pull30"/>
      <sheetName val="Smartcontact_Gain_Pull30"/>
      <sheetName val="GGM_Revenue_Fall_Out30"/>
      <sheetName val="GGM_Residual_Fall_Out30"/>
      <sheetName val="Global_OH_Pull30"/>
      <sheetName val="EN50_47_Global_Pull30"/>
      <sheetName val="Labor_Pull30"/>
      <sheetName val="Forecast_Accuracy_Trend30"/>
      <sheetName val="COMET_Pull30"/>
      <sheetName val="WW_P&amp;L_Table30"/>
      <sheetName val="WW_Goal_Table30"/>
      <sheetName val="GGM_CF_Pull30"/>
      <sheetName val="HPC_Region_P&amp;L_Table30"/>
      <sheetName val="HPC_Region_Goal_Table30"/>
      <sheetName val="PL_Region_P&amp;L_Table30"/>
      <sheetName val="PL_Region_Goal_Table30"/>
      <sheetName val="3D_P&amp;L_Table30"/>
      <sheetName val="Global_OH_Actuals_Table30"/>
      <sheetName val="Global_OH_Goal_Table30"/>
      <sheetName val="Geo_Hc_Actual_Table30"/>
      <sheetName val="Geo_Hc_Goal_Table30"/>
      <sheetName val="3D_ASPIRE_Table30"/>
      <sheetName val="GGM_Backlog_Table30"/>
      <sheetName val="COMET_FY01_Pull30"/>
      <sheetName val="Labor_Pull_FY0130"/>
      <sheetName val="Pull_HP_Wide30"/>
      <sheetName val="Pull_All_SFs30"/>
      <sheetName val="STD__COST30"/>
      <sheetName val="013_-_การสั่งการ28"/>
      <sheetName val="Control_Panel31"/>
      <sheetName val="WW_Total_HPCI31"/>
      <sheetName val="NAM_w-o_Smartc_31"/>
      <sheetName val="GGM_Sum31"/>
      <sheetName val="HPCI_P&amp;L_Trend_(Blue)31"/>
      <sheetName val="HPCI_P&amp;L_Trend_%_(Blue)31"/>
      <sheetName val="PL4K_P&amp;L_Trend31"/>
      <sheetName val="PL4K_P&amp;L_Trend_%31"/>
      <sheetName val="PL79_P&amp;L_Trend31"/>
      <sheetName val="PL79_P&amp;L_Trend_%31"/>
      <sheetName val="HPCI-COMET_Comparison_(Blue)31"/>
      <sheetName val="Global_OH_(Blue)31"/>
      <sheetName val="Headcount_Reconciliation_(Blu31"/>
      <sheetName val="Headcount_Trend31"/>
      <sheetName val="PL4K_Labor_Trend31"/>
      <sheetName val="3D_P&amp;L_Vs_ASPIRE_(Blue)31"/>
      <sheetName val="COMET_P&amp;L_Trend_(Blue)31"/>
      <sheetName val="COMET_P&amp;L_Trend_%_(Blue)31"/>
      <sheetName val="FY02_Adjusted_P&amp;L_(Blue)31"/>
      <sheetName val="Adjustment_DTL_(Blue)31"/>
      <sheetName val="GGM_Cap__Change_Pull31"/>
      <sheetName val="GGM_Residual_Pull31"/>
      <sheetName val="GGM_Local_OH_Pull31"/>
      <sheetName val="GGM_Allocs_Pull31"/>
      <sheetName val="GGM_Oth_Inc(Exp)_Pull31"/>
      <sheetName val="Smartcontact_Gain_Pull31"/>
      <sheetName val="GGM_Revenue_Fall_Out31"/>
      <sheetName val="GGM_Residual_Fall_Out31"/>
      <sheetName val="Global_OH_Pull31"/>
      <sheetName val="EN50_47_Global_Pull31"/>
      <sheetName val="Labor_Pull31"/>
      <sheetName val="Forecast_Accuracy_Trend31"/>
      <sheetName val="COMET_Pull31"/>
      <sheetName val="WW_P&amp;L_Table31"/>
      <sheetName val="WW_Goal_Table31"/>
      <sheetName val="GGM_CF_Pull31"/>
      <sheetName val="HPC_Region_P&amp;L_Table31"/>
      <sheetName val="HPC_Region_Goal_Table31"/>
      <sheetName val="PL_Region_P&amp;L_Table31"/>
      <sheetName val="PL_Region_Goal_Table31"/>
      <sheetName val="3D_P&amp;L_Table31"/>
      <sheetName val="Global_OH_Actuals_Table31"/>
      <sheetName val="Global_OH_Goal_Table31"/>
      <sheetName val="Geo_Hc_Actual_Table31"/>
      <sheetName val="Geo_Hc_Goal_Table31"/>
      <sheetName val="3D_ASPIRE_Table31"/>
      <sheetName val="GGM_Backlog_Table31"/>
      <sheetName val="COMET_FY01_Pull31"/>
      <sheetName val="Labor_Pull_FY0131"/>
      <sheetName val="Pull_HP_Wide31"/>
      <sheetName val="Pull_All_SFs31"/>
      <sheetName val="STD__COST31"/>
      <sheetName val="013_-_การสั่งการ29"/>
      <sheetName val="Control_Panel32"/>
      <sheetName val="WW_Total_HPCI32"/>
      <sheetName val="NAM_w-o_Smartc_32"/>
      <sheetName val="GGM_Sum32"/>
      <sheetName val="HPCI_P&amp;L_Trend_(Blue)32"/>
      <sheetName val="HPCI_P&amp;L_Trend_%_(Blue)32"/>
      <sheetName val="PL4K_P&amp;L_Trend32"/>
      <sheetName val="PL4K_P&amp;L_Trend_%32"/>
      <sheetName val="PL79_P&amp;L_Trend32"/>
      <sheetName val="PL79_P&amp;L_Trend_%32"/>
      <sheetName val="HPCI-COMET_Comparison_(Blue)32"/>
      <sheetName val="Global_OH_(Blue)32"/>
      <sheetName val="Headcount_Reconciliation_(Blu32"/>
      <sheetName val="Headcount_Trend32"/>
      <sheetName val="PL4K_Labor_Trend32"/>
      <sheetName val="3D_P&amp;L_Vs_ASPIRE_(Blue)32"/>
      <sheetName val="COMET_P&amp;L_Trend_(Blue)32"/>
      <sheetName val="COMET_P&amp;L_Trend_%_(Blue)32"/>
      <sheetName val="FY02_Adjusted_P&amp;L_(Blue)32"/>
      <sheetName val="Adjustment_DTL_(Blue)32"/>
      <sheetName val="GGM_Cap__Change_Pull32"/>
      <sheetName val="GGM_Residual_Pull32"/>
      <sheetName val="GGM_Local_OH_Pull32"/>
      <sheetName val="GGM_Allocs_Pull32"/>
      <sheetName val="GGM_Oth_Inc(Exp)_Pull32"/>
      <sheetName val="Smartcontact_Gain_Pull32"/>
      <sheetName val="GGM_Revenue_Fall_Out32"/>
      <sheetName val="GGM_Residual_Fall_Out32"/>
      <sheetName val="Global_OH_Pull32"/>
      <sheetName val="EN50_47_Global_Pull32"/>
      <sheetName val="Labor_Pull32"/>
      <sheetName val="Forecast_Accuracy_Trend32"/>
      <sheetName val="COMET_Pull32"/>
      <sheetName val="WW_P&amp;L_Table32"/>
      <sheetName val="WW_Goal_Table32"/>
      <sheetName val="GGM_CF_Pull32"/>
      <sheetName val="HPC_Region_P&amp;L_Table32"/>
      <sheetName val="HPC_Region_Goal_Table32"/>
      <sheetName val="PL_Region_P&amp;L_Table32"/>
      <sheetName val="PL_Region_Goal_Table32"/>
      <sheetName val="3D_P&amp;L_Table32"/>
      <sheetName val="Global_OH_Actuals_Table32"/>
      <sheetName val="Global_OH_Goal_Table32"/>
      <sheetName val="Geo_Hc_Actual_Table32"/>
      <sheetName val="Geo_Hc_Goal_Table32"/>
      <sheetName val="3D_ASPIRE_Table32"/>
      <sheetName val="GGM_Backlog_Table32"/>
      <sheetName val="COMET_FY01_Pull32"/>
      <sheetName val="Labor_Pull_FY0132"/>
      <sheetName val="Pull_HP_Wide32"/>
      <sheetName val="Pull_All_SFs32"/>
      <sheetName val="STD__COST32"/>
      <sheetName val="013_-_การสั่งการ30"/>
      <sheetName val="INPUT_-_Data_Table4"/>
      <sheetName val="Comet_ASPIRE1"/>
      <sheetName val="Comet_Sequential1"/>
      <sheetName val="Comet_yoy1"/>
      <sheetName val="Labour_costs"/>
      <sheetName val="Control_Panel42"/>
      <sheetName val="WW_Total_HPCI42"/>
      <sheetName val="NAM_w-o_Smartc_42"/>
      <sheetName val="GGM_Sum42"/>
      <sheetName val="HPCI_P&amp;L_Trend_(Blue)42"/>
      <sheetName val="HPCI_P&amp;L_Trend_%_(Blue)42"/>
      <sheetName val="PL4K_P&amp;L_Trend42"/>
      <sheetName val="PL4K_P&amp;L_Trend_%42"/>
      <sheetName val="PL79_P&amp;L_Trend42"/>
      <sheetName val="PL79_P&amp;L_Trend_%42"/>
      <sheetName val="HPCI-COMET_Comparison_(Blue)42"/>
      <sheetName val="Global_OH_(Blue)42"/>
      <sheetName val="Headcount_Reconciliation_(Blu42"/>
      <sheetName val="Headcount_Trend42"/>
      <sheetName val="PL4K_Labor_Trend42"/>
      <sheetName val="3D_P&amp;L_Vs_ASPIRE_(Blue)42"/>
      <sheetName val="COMET_P&amp;L_Trend_(Blue)42"/>
      <sheetName val="COMET_P&amp;L_Trend_%_(Blue)42"/>
      <sheetName val="FY02_Adjusted_P&amp;L_(Blue)42"/>
      <sheetName val="Adjustment_DTL_(Blue)42"/>
      <sheetName val="GGM_Cap__Change_Pull42"/>
      <sheetName val="GGM_Residual_Pull42"/>
      <sheetName val="GGM_Local_OH_Pull42"/>
      <sheetName val="GGM_Allocs_Pull42"/>
      <sheetName val="GGM_Oth_Inc(Exp)_Pull42"/>
      <sheetName val="Smartcontact_Gain_Pull42"/>
      <sheetName val="GGM_Revenue_Fall_Out42"/>
      <sheetName val="GGM_Residual_Fall_Out42"/>
      <sheetName val="Global_OH_Pull42"/>
      <sheetName val="EN50_47_Global_Pull42"/>
      <sheetName val="Labor_Pull42"/>
      <sheetName val="Forecast_Accuracy_Trend42"/>
      <sheetName val="COMET_Pull42"/>
      <sheetName val="WW_P&amp;L_Table42"/>
      <sheetName val="WW_Goal_Table42"/>
      <sheetName val="GGM_CF_Pull42"/>
      <sheetName val="HPC_Region_P&amp;L_Table42"/>
      <sheetName val="HPC_Region_Goal_Table42"/>
      <sheetName val="PL_Region_P&amp;L_Table42"/>
      <sheetName val="PL_Region_Goal_Table42"/>
      <sheetName val="3D_P&amp;L_Table42"/>
      <sheetName val="Global_OH_Actuals_Table42"/>
      <sheetName val="Global_OH_Goal_Table42"/>
      <sheetName val="Geo_Hc_Actual_Table42"/>
      <sheetName val="Geo_Hc_Goal_Table42"/>
      <sheetName val="3D_ASPIRE_Table42"/>
      <sheetName val="GGM_Backlog_Table42"/>
      <sheetName val="COMET_FY01_Pull42"/>
      <sheetName val="Labor_Pull_FY0142"/>
      <sheetName val="Pull_HP_Wide42"/>
      <sheetName val="Pull_All_SFs42"/>
      <sheetName val="STD__COST42"/>
      <sheetName val="013_-_การสั่งการ40"/>
      <sheetName val="INPUT_-_Data_Table14"/>
      <sheetName val="Comet_ASPIRE11"/>
      <sheetName val="Comet_Sequential11"/>
      <sheetName val="Comet_yoy11"/>
      <sheetName val="Labour_costs10"/>
      <sheetName val="FY01_Actuals2"/>
      <sheetName val="FY00_Restated2"/>
      <sheetName val="FY01_Quota2"/>
      <sheetName val="Comet_Q202_Flash2"/>
      <sheetName val="Rooms_Table2"/>
      <sheetName val="Control_Panel36"/>
      <sheetName val="WW_Total_HPCI36"/>
      <sheetName val="NAM_w-o_Smartc_36"/>
      <sheetName val="GGM_Sum36"/>
      <sheetName val="HPCI_P&amp;L_Trend_(Blue)36"/>
      <sheetName val="HPCI_P&amp;L_Trend_%_(Blue)36"/>
      <sheetName val="PL4K_P&amp;L_Trend36"/>
      <sheetName val="PL4K_P&amp;L_Trend_%36"/>
      <sheetName val="PL79_P&amp;L_Trend36"/>
      <sheetName val="PL79_P&amp;L_Trend_%36"/>
      <sheetName val="HPCI-COMET_Comparison_(Blue)36"/>
      <sheetName val="Global_OH_(Blue)36"/>
      <sheetName val="Headcount_Reconciliation_(Blu36"/>
      <sheetName val="Headcount_Trend36"/>
      <sheetName val="PL4K_Labor_Trend36"/>
      <sheetName val="3D_P&amp;L_Vs_ASPIRE_(Blue)36"/>
      <sheetName val="COMET_P&amp;L_Trend_(Blue)36"/>
      <sheetName val="COMET_P&amp;L_Trend_%_(Blue)36"/>
      <sheetName val="FY02_Adjusted_P&amp;L_(Blue)36"/>
      <sheetName val="Adjustment_DTL_(Blue)36"/>
      <sheetName val="GGM_Cap__Change_Pull36"/>
      <sheetName val="GGM_Residual_Pull36"/>
      <sheetName val="GGM_Local_OH_Pull36"/>
      <sheetName val="GGM_Allocs_Pull36"/>
      <sheetName val="GGM_Oth_Inc(Exp)_Pull36"/>
      <sheetName val="Smartcontact_Gain_Pull36"/>
      <sheetName val="GGM_Revenue_Fall_Out36"/>
      <sheetName val="GGM_Residual_Fall_Out36"/>
      <sheetName val="Global_OH_Pull36"/>
      <sheetName val="EN50_47_Global_Pull36"/>
      <sheetName val="Labor_Pull36"/>
      <sheetName val="Forecast_Accuracy_Trend36"/>
      <sheetName val="COMET_Pull36"/>
      <sheetName val="WW_P&amp;L_Table36"/>
      <sheetName val="WW_Goal_Table36"/>
      <sheetName val="GGM_CF_Pull36"/>
      <sheetName val="HPC_Region_P&amp;L_Table36"/>
      <sheetName val="HPC_Region_Goal_Table36"/>
      <sheetName val="PL_Region_P&amp;L_Table36"/>
      <sheetName val="PL_Region_Goal_Table36"/>
      <sheetName val="3D_P&amp;L_Table36"/>
      <sheetName val="Global_OH_Actuals_Table36"/>
      <sheetName val="Global_OH_Goal_Table36"/>
      <sheetName val="Geo_Hc_Actual_Table36"/>
      <sheetName val="Geo_Hc_Goal_Table36"/>
      <sheetName val="3D_ASPIRE_Table36"/>
      <sheetName val="GGM_Backlog_Table36"/>
      <sheetName val="COMET_FY01_Pull36"/>
      <sheetName val="Labor_Pull_FY0136"/>
      <sheetName val="Pull_HP_Wide36"/>
      <sheetName val="Pull_All_SFs36"/>
      <sheetName val="STD__COST36"/>
      <sheetName val="013_-_การสั่งการ34"/>
      <sheetName val="INPUT_-_Data_Table8"/>
      <sheetName val="Comet_ASPIRE5"/>
      <sheetName val="Comet_Sequential5"/>
      <sheetName val="Comet_yoy5"/>
      <sheetName val="Labour_costs4"/>
      <sheetName val="Control_Panel34"/>
      <sheetName val="WW_Total_HPCI34"/>
      <sheetName val="NAM_w-o_Smartc_34"/>
      <sheetName val="GGM_Sum34"/>
      <sheetName val="HPCI_P&amp;L_Trend_(Blue)34"/>
      <sheetName val="HPCI_P&amp;L_Trend_%_(Blue)34"/>
      <sheetName val="PL4K_P&amp;L_Trend34"/>
      <sheetName val="PL4K_P&amp;L_Trend_%34"/>
      <sheetName val="PL79_P&amp;L_Trend34"/>
      <sheetName val="PL79_P&amp;L_Trend_%34"/>
      <sheetName val="HPCI-COMET_Comparison_(Blue)34"/>
      <sheetName val="Global_OH_(Blue)34"/>
      <sheetName val="Headcount_Reconciliation_(Blu34"/>
      <sheetName val="Headcount_Trend34"/>
      <sheetName val="PL4K_Labor_Trend34"/>
      <sheetName val="3D_P&amp;L_Vs_ASPIRE_(Blue)34"/>
      <sheetName val="COMET_P&amp;L_Trend_(Blue)34"/>
      <sheetName val="COMET_P&amp;L_Trend_%_(Blue)34"/>
      <sheetName val="FY02_Adjusted_P&amp;L_(Blue)34"/>
      <sheetName val="Adjustment_DTL_(Blue)34"/>
      <sheetName val="GGM_Cap__Change_Pull34"/>
      <sheetName val="GGM_Residual_Pull34"/>
      <sheetName val="GGM_Local_OH_Pull34"/>
      <sheetName val="GGM_Allocs_Pull34"/>
      <sheetName val="GGM_Oth_Inc(Exp)_Pull34"/>
      <sheetName val="Smartcontact_Gain_Pull34"/>
      <sheetName val="GGM_Revenue_Fall_Out34"/>
      <sheetName val="GGM_Residual_Fall_Out34"/>
      <sheetName val="Global_OH_Pull34"/>
      <sheetName val="EN50_47_Global_Pull34"/>
      <sheetName val="Labor_Pull34"/>
      <sheetName val="Forecast_Accuracy_Trend34"/>
      <sheetName val="COMET_Pull34"/>
      <sheetName val="WW_P&amp;L_Table34"/>
      <sheetName val="WW_Goal_Table34"/>
      <sheetName val="GGM_CF_Pull34"/>
      <sheetName val="HPC_Region_P&amp;L_Table34"/>
      <sheetName val="HPC_Region_Goal_Table34"/>
      <sheetName val="PL_Region_P&amp;L_Table34"/>
      <sheetName val="PL_Region_Goal_Table34"/>
      <sheetName val="3D_P&amp;L_Table34"/>
      <sheetName val="Global_OH_Actuals_Table34"/>
      <sheetName val="Global_OH_Goal_Table34"/>
      <sheetName val="Geo_Hc_Actual_Table34"/>
      <sheetName val="Geo_Hc_Goal_Table34"/>
      <sheetName val="3D_ASPIRE_Table34"/>
      <sheetName val="GGM_Backlog_Table34"/>
      <sheetName val="COMET_FY01_Pull34"/>
      <sheetName val="Labor_Pull_FY0134"/>
      <sheetName val="Pull_HP_Wide34"/>
      <sheetName val="Pull_All_SFs34"/>
      <sheetName val="STD__COST34"/>
      <sheetName val="013_-_การสั่งการ32"/>
      <sheetName val="INPUT_-_Data_Table6"/>
      <sheetName val="Comet_ASPIRE3"/>
      <sheetName val="Comet_Sequential3"/>
      <sheetName val="Comet_yoy3"/>
      <sheetName val="Labour_costs2"/>
      <sheetName val="Control_Panel35"/>
      <sheetName val="WW_Total_HPCI35"/>
      <sheetName val="NAM_w-o_Smartc_35"/>
      <sheetName val="GGM_Sum35"/>
      <sheetName val="HPCI_P&amp;L_Trend_(Blue)35"/>
      <sheetName val="HPCI_P&amp;L_Trend_%_(Blue)35"/>
      <sheetName val="PL4K_P&amp;L_Trend35"/>
      <sheetName val="PL4K_P&amp;L_Trend_%35"/>
      <sheetName val="PL79_P&amp;L_Trend35"/>
      <sheetName val="PL79_P&amp;L_Trend_%35"/>
      <sheetName val="HPCI-COMET_Comparison_(Blue)35"/>
      <sheetName val="Global_OH_(Blue)35"/>
      <sheetName val="Headcount_Reconciliation_(Blu35"/>
      <sheetName val="Headcount_Trend35"/>
      <sheetName val="PL4K_Labor_Trend35"/>
      <sheetName val="3D_P&amp;L_Vs_ASPIRE_(Blue)35"/>
      <sheetName val="COMET_P&amp;L_Trend_(Blue)35"/>
      <sheetName val="COMET_P&amp;L_Trend_%_(Blue)35"/>
      <sheetName val="FY02_Adjusted_P&amp;L_(Blue)35"/>
      <sheetName val="Adjustment_DTL_(Blue)35"/>
      <sheetName val="GGM_Cap__Change_Pull35"/>
      <sheetName val="GGM_Residual_Pull35"/>
      <sheetName val="GGM_Local_OH_Pull35"/>
      <sheetName val="GGM_Allocs_Pull35"/>
      <sheetName val="GGM_Oth_Inc(Exp)_Pull35"/>
      <sheetName val="Smartcontact_Gain_Pull35"/>
      <sheetName val="GGM_Revenue_Fall_Out35"/>
      <sheetName val="GGM_Residual_Fall_Out35"/>
      <sheetName val="Global_OH_Pull35"/>
      <sheetName val="EN50_47_Global_Pull35"/>
      <sheetName val="Labor_Pull35"/>
      <sheetName val="Forecast_Accuracy_Trend35"/>
      <sheetName val="COMET_Pull35"/>
      <sheetName val="WW_P&amp;L_Table35"/>
      <sheetName val="WW_Goal_Table35"/>
      <sheetName val="GGM_CF_Pull35"/>
      <sheetName val="HPC_Region_P&amp;L_Table35"/>
      <sheetName val="HPC_Region_Goal_Table35"/>
      <sheetName val="PL_Region_P&amp;L_Table35"/>
      <sheetName val="PL_Region_Goal_Table35"/>
      <sheetName val="3D_P&amp;L_Table35"/>
      <sheetName val="Global_OH_Actuals_Table35"/>
      <sheetName val="Global_OH_Goal_Table35"/>
      <sheetName val="Geo_Hc_Actual_Table35"/>
      <sheetName val="Geo_Hc_Goal_Table35"/>
      <sheetName val="3D_ASPIRE_Table35"/>
      <sheetName val="GGM_Backlog_Table35"/>
      <sheetName val="COMET_FY01_Pull35"/>
      <sheetName val="Labor_Pull_FY0135"/>
      <sheetName val="Pull_HP_Wide35"/>
      <sheetName val="Pull_All_SFs35"/>
      <sheetName val="STD__COST35"/>
      <sheetName val="013_-_การสั่งการ33"/>
      <sheetName val="INPUT_-_Data_Table7"/>
      <sheetName val="Comet_ASPIRE4"/>
      <sheetName val="Comet_Sequential4"/>
      <sheetName val="Comet_yoy4"/>
      <sheetName val="Labour_costs3"/>
      <sheetName val="Control_Panel39"/>
      <sheetName val="WW_Total_HPCI39"/>
      <sheetName val="NAM_w-o_Smartc_39"/>
      <sheetName val="GGM_Sum39"/>
      <sheetName val="HPCI_P&amp;L_Trend_(Blue)39"/>
      <sheetName val="HPCI_P&amp;L_Trend_%_(Blue)39"/>
      <sheetName val="PL4K_P&amp;L_Trend39"/>
      <sheetName val="PL4K_P&amp;L_Trend_%39"/>
      <sheetName val="PL79_P&amp;L_Trend39"/>
      <sheetName val="PL79_P&amp;L_Trend_%39"/>
      <sheetName val="HPCI-COMET_Comparison_(Blue)39"/>
      <sheetName val="Global_OH_(Blue)39"/>
      <sheetName val="Headcount_Reconciliation_(Blu39"/>
      <sheetName val="Headcount_Trend39"/>
      <sheetName val="PL4K_Labor_Trend39"/>
      <sheetName val="3D_P&amp;L_Vs_ASPIRE_(Blue)39"/>
      <sheetName val="COMET_P&amp;L_Trend_(Blue)39"/>
      <sheetName val="COMET_P&amp;L_Trend_%_(Blue)39"/>
      <sheetName val="FY02_Adjusted_P&amp;L_(Blue)39"/>
      <sheetName val="Adjustment_DTL_(Blue)39"/>
      <sheetName val="GGM_Cap__Change_Pull39"/>
      <sheetName val="GGM_Residual_Pull39"/>
      <sheetName val="GGM_Local_OH_Pull39"/>
      <sheetName val="GGM_Allocs_Pull39"/>
      <sheetName val="GGM_Oth_Inc(Exp)_Pull39"/>
      <sheetName val="Smartcontact_Gain_Pull39"/>
      <sheetName val="GGM_Revenue_Fall_Out39"/>
      <sheetName val="GGM_Residual_Fall_Out39"/>
      <sheetName val="Global_OH_Pull39"/>
      <sheetName val="EN50_47_Global_Pull39"/>
      <sheetName val="Labor_Pull39"/>
      <sheetName val="Forecast_Accuracy_Trend39"/>
      <sheetName val="COMET_Pull39"/>
      <sheetName val="WW_P&amp;L_Table39"/>
      <sheetName val="WW_Goal_Table39"/>
      <sheetName val="GGM_CF_Pull39"/>
      <sheetName val="HPC_Region_P&amp;L_Table39"/>
      <sheetName val="HPC_Region_Goal_Table39"/>
      <sheetName val="PL_Region_P&amp;L_Table39"/>
      <sheetName val="PL_Region_Goal_Table39"/>
      <sheetName val="3D_P&amp;L_Table39"/>
      <sheetName val="Global_OH_Actuals_Table39"/>
      <sheetName val="Global_OH_Goal_Table39"/>
      <sheetName val="Geo_Hc_Actual_Table39"/>
      <sheetName val="Geo_Hc_Goal_Table39"/>
      <sheetName val="3D_ASPIRE_Table39"/>
      <sheetName val="GGM_Backlog_Table39"/>
      <sheetName val="COMET_FY01_Pull39"/>
      <sheetName val="Labor_Pull_FY0139"/>
      <sheetName val="Pull_HP_Wide39"/>
      <sheetName val="Pull_All_SFs39"/>
      <sheetName val="STD__COST39"/>
      <sheetName val="013_-_การสั่งการ37"/>
      <sheetName val="INPUT_-_Data_Table11"/>
      <sheetName val="Comet_ASPIRE8"/>
      <sheetName val="Comet_Sequential8"/>
      <sheetName val="Comet_yoy8"/>
      <sheetName val="Labour_costs7"/>
      <sheetName val="Control_Panel37"/>
      <sheetName val="WW_Total_HPCI37"/>
      <sheetName val="NAM_w-o_Smartc_37"/>
      <sheetName val="GGM_Sum37"/>
      <sheetName val="HPCI_P&amp;L_Trend_(Blue)37"/>
      <sheetName val="HPCI_P&amp;L_Trend_%_(Blue)37"/>
      <sheetName val="PL4K_P&amp;L_Trend37"/>
      <sheetName val="PL4K_P&amp;L_Trend_%37"/>
      <sheetName val="PL79_P&amp;L_Trend37"/>
      <sheetName val="PL79_P&amp;L_Trend_%37"/>
      <sheetName val="HPCI-COMET_Comparison_(Blue)37"/>
      <sheetName val="Global_OH_(Blue)37"/>
      <sheetName val="Headcount_Reconciliation_(Blu37"/>
      <sheetName val="Headcount_Trend37"/>
      <sheetName val="PL4K_Labor_Trend37"/>
      <sheetName val="3D_P&amp;L_Vs_ASPIRE_(Blue)37"/>
      <sheetName val="COMET_P&amp;L_Trend_(Blue)37"/>
      <sheetName val="COMET_P&amp;L_Trend_%_(Blue)37"/>
      <sheetName val="FY02_Adjusted_P&amp;L_(Blue)37"/>
      <sheetName val="Adjustment_DTL_(Blue)37"/>
      <sheetName val="GGM_Cap__Change_Pull37"/>
      <sheetName val="GGM_Residual_Pull37"/>
      <sheetName val="GGM_Local_OH_Pull37"/>
      <sheetName val="GGM_Allocs_Pull37"/>
      <sheetName val="GGM_Oth_Inc(Exp)_Pull37"/>
      <sheetName val="Smartcontact_Gain_Pull37"/>
      <sheetName val="GGM_Revenue_Fall_Out37"/>
      <sheetName val="GGM_Residual_Fall_Out37"/>
      <sheetName val="Global_OH_Pull37"/>
      <sheetName val="EN50_47_Global_Pull37"/>
      <sheetName val="Labor_Pull37"/>
      <sheetName val="Forecast_Accuracy_Trend37"/>
      <sheetName val="COMET_Pull37"/>
      <sheetName val="WW_P&amp;L_Table37"/>
      <sheetName val="WW_Goal_Table37"/>
      <sheetName val="GGM_CF_Pull37"/>
      <sheetName val="HPC_Region_P&amp;L_Table37"/>
      <sheetName val="HPC_Region_Goal_Table37"/>
      <sheetName val="PL_Region_P&amp;L_Table37"/>
      <sheetName val="PL_Region_Goal_Table37"/>
      <sheetName val="3D_P&amp;L_Table37"/>
      <sheetName val="Global_OH_Actuals_Table37"/>
      <sheetName val="Global_OH_Goal_Table37"/>
      <sheetName val="Geo_Hc_Actual_Table37"/>
      <sheetName val="Geo_Hc_Goal_Table37"/>
      <sheetName val="3D_ASPIRE_Table37"/>
      <sheetName val="GGM_Backlog_Table37"/>
      <sheetName val="COMET_FY01_Pull37"/>
      <sheetName val="Labor_Pull_FY0137"/>
      <sheetName val="Pull_HP_Wide37"/>
      <sheetName val="Pull_All_SFs37"/>
      <sheetName val="STD__COST37"/>
      <sheetName val="013_-_การสั่งการ35"/>
      <sheetName val="INPUT_-_Data_Table9"/>
      <sheetName val="Comet_ASPIRE6"/>
      <sheetName val="Comet_Sequential6"/>
      <sheetName val="Comet_yoy6"/>
      <sheetName val="Labour_costs5"/>
      <sheetName val="Control_Panel38"/>
      <sheetName val="WW_Total_HPCI38"/>
      <sheetName val="NAM_w-o_Smartc_38"/>
      <sheetName val="GGM_Sum38"/>
      <sheetName val="HPCI_P&amp;L_Trend_(Blue)38"/>
      <sheetName val="HPCI_P&amp;L_Trend_%_(Blue)38"/>
      <sheetName val="PL4K_P&amp;L_Trend38"/>
      <sheetName val="PL4K_P&amp;L_Trend_%38"/>
      <sheetName val="PL79_P&amp;L_Trend38"/>
      <sheetName val="PL79_P&amp;L_Trend_%38"/>
      <sheetName val="HPCI-COMET_Comparison_(Blue)38"/>
      <sheetName val="Global_OH_(Blue)38"/>
      <sheetName val="Headcount_Reconciliation_(Blu38"/>
      <sheetName val="Headcount_Trend38"/>
      <sheetName val="PL4K_Labor_Trend38"/>
      <sheetName val="3D_P&amp;L_Vs_ASPIRE_(Blue)38"/>
      <sheetName val="COMET_P&amp;L_Trend_(Blue)38"/>
      <sheetName val="COMET_P&amp;L_Trend_%_(Blue)38"/>
      <sheetName val="FY02_Adjusted_P&amp;L_(Blue)38"/>
      <sheetName val="Adjustment_DTL_(Blue)38"/>
      <sheetName val="GGM_Cap__Change_Pull38"/>
      <sheetName val="GGM_Residual_Pull38"/>
      <sheetName val="GGM_Local_OH_Pull38"/>
      <sheetName val="GGM_Allocs_Pull38"/>
      <sheetName val="GGM_Oth_Inc(Exp)_Pull38"/>
      <sheetName val="Smartcontact_Gain_Pull38"/>
      <sheetName val="GGM_Revenue_Fall_Out38"/>
      <sheetName val="GGM_Residual_Fall_Out38"/>
      <sheetName val="Global_OH_Pull38"/>
      <sheetName val="EN50_47_Global_Pull38"/>
      <sheetName val="Labor_Pull38"/>
      <sheetName val="Forecast_Accuracy_Trend38"/>
      <sheetName val="COMET_Pull38"/>
      <sheetName val="WW_P&amp;L_Table38"/>
      <sheetName val="WW_Goal_Table38"/>
      <sheetName val="GGM_CF_Pull38"/>
      <sheetName val="HPC_Region_P&amp;L_Table38"/>
      <sheetName val="HPC_Region_Goal_Table38"/>
      <sheetName val="PL_Region_P&amp;L_Table38"/>
      <sheetName val="PL_Region_Goal_Table38"/>
      <sheetName val="3D_P&amp;L_Table38"/>
      <sheetName val="Global_OH_Actuals_Table38"/>
      <sheetName val="Global_OH_Goal_Table38"/>
      <sheetName val="Geo_Hc_Actual_Table38"/>
      <sheetName val="Geo_Hc_Goal_Table38"/>
      <sheetName val="3D_ASPIRE_Table38"/>
      <sheetName val="GGM_Backlog_Table38"/>
      <sheetName val="COMET_FY01_Pull38"/>
      <sheetName val="Labor_Pull_FY0138"/>
      <sheetName val="Pull_HP_Wide38"/>
      <sheetName val="Pull_All_SFs38"/>
      <sheetName val="STD__COST38"/>
      <sheetName val="013_-_การสั่งการ36"/>
      <sheetName val="INPUT_-_Data_Table10"/>
      <sheetName val="Comet_ASPIRE7"/>
      <sheetName val="Comet_Sequential7"/>
      <sheetName val="Comet_yoy7"/>
      <sheetName val="Labour_costs6"/>
      <sheetName val="Control_Panel40"/>
      <sheetName val="WW_Total_HPCI40"/>
      <sheetName val="NAM_w-o_Smartc_40"/>
      <sheetName val="GGM_Sum40"/>
      <sheetName val="HPCI_P&amp;L_Trend_(Blue)40"/>
      <sheetName val="HPCI_P&amp;L_Trend_%_(Blue)40"/>
      <sheetName val="PL4K_P&amp;L_Trend40"/>
      <sheetName val="PL4K_P&amp;L_Trend_%40"/>
      <sheetName val="PL79_P&amp;L_Trend40"/>
      <sheetName val="PL79_P&amp;L_Trend_%40"/>
      <sheetName val="HPCI-COMET_Comparison_(Blue)40"/>
      <sheetName val="Global_OH_(Blue)40"/>
      <sheetName val="Headcount_Reconciliation_(Blu40"/>
      <sheetName val="Headcount_Trend40"/>
      <sheetName val="PL4K_Labor_Trend40"/>
      <sheetName val="3D_P&amp;L_Vs_ASPIRE_(Blue)40"/>
      <sheetName val="COMET_P&amp;L_Trend_(Blue)40"/>
      <sheetName val="COMET_P&amp;L_Trend_%_(Blue)40"/>
      <sheetName val="FY02_Adjusted_P&amp;L_(Blue)40"/>
      <sheetName val="Adjustment_DTL_(Blue)40"/>
      <sheetName val="GGM_Cap__Change_Pull40"/>
      <sheetName val="GGM_Residual_Pull40"/>
      <sheetName val="GGM_Local_OH_Pull40"/>
      <sheetName val="GGM_Allocs_Pull40"/>
      <sheetName val="GGM_Oth_Inc(Exp)_Pull40"/>
      <sheetName val="Smartcontact_Gain_Pull40"/>
      <sheetName val="GGM_Revenue_Fall_Out40"/>
      <sheetName val="GGM_Residual_Fall_Out40"/>
      <sheetName val="Global_OH_Pull40"/>
      <sheetName val="EN50_47_Global_Pull40"/>
      <sheetName val="Labor_Pull40"/>
      <sheetName val="Forecast_Accuracy_Trend40"/>
      <sheetName val="COMET_Pull40"/>
      <sheetName val="WW_P&amp;L_Table40"/>
      <sheetName val="WW_Goal_Table40"/>
      <sheetName val="GGM_CF_Pull40"/>
      <sheetName val="HPC_Region_P&amp;L_Table40"/>
      <sheetName val="HPC_Region_Goal_Table40"/>
      <sheetName val="PL_Region_P&amp;L_Table40"/>
      <sheetName val="PL_Region_Goal_Table40"/>
      <sheetName val="3D_P&amp;L_Table40"/>
      <sheetName val="Global_OH_Actuals_Table40"/>
      <sheetName val="Global_OH_Goal_Table40"/>
      <sheetName val="Geo_Hc_Actual_Table40"/>
      <sheetName val="Geo_Hc_Goal_Table40"/>
      <sheetName val="3D_ASPIRE_Table40"/>
      <sheetName val="GGM_Backlog_Table40"/>
      <sheetName val="COMET_FY01_Pull40"/>
      <sheetName val="Labor_Pull_FY0140"/>
      <sheetName val="Pull_HP_Wide40"/>
      <sheetName val="Pull_All_SFs40"/>
      <sheetName val="STD__COST40"/>
      <sheetName val="013_-_การสั่งการ38"/>
      <sheetName val="INPUT_-_Data_Table12"/>
      <sheetName val="Comet_ASPIRE9"/>
      <sheetName val="Comet_Sequential9"/>
      <sheetName val="Comet_yoy9"/>
      <sheetName val="Labour_costs8"/>
      <sheetName val="FY01_Actuals"/>
      <sheetName val="FY00_Restated"/>
      <sheetName val="FY01_Quota"/>
      <sheetName val="Comet_Q202_Flash"/>
      <sheetName val="Rooms_Table"/>
      <sheetName val="Control_Panel41"/>
      <sheetName val="WW_Total_HPCI41"/>
      <sheetName val="NAM_w-o_Smartc_41"/>
      <sheetName val="GGM_Sum41"/>
      <sheetName val="HPCI_P&amp;L_Trend_(Blue)41"/>
      <sheetName val="HPCI_P&amp;L_Trend_%_(Blue)41"/>
      <sheetName val="PL4K_P&amp;L_Trend41"/>
      <sheetName val="PL4K_P&amp;L_Trend_%41"/>
      <sheetName val="PL79_P&amp;L_Trend41"/>
      <sheetName val="PL79_P&amp;L_Trend_%41"/>
      <sheetName val="HPCI-COMET_Comparison_(Blue)41"/>
      <sheetName val="Global_OH_(Blue)41"/>
      <sheetName val="Headcount_Reconciliation_(Blu41"/>
      <sheetName val="Headcount_Trend41"/>
      <sheetName val="PL4K_Labor_Trend41"/>
      <sheetName val="3D_P&amp;L_Vs_ASPIRE_(Blue)41"/>
      <sheetName val="COMET_P&amp;L_Trend_(Blue)41"/>
      <sheetName val="COMET_P&amp;L_Trend_%_(Blue)41"/>
      <sheetName val="FY02_Adjusted_P&amp;L_(Blue)41"/>
      <sheetName val="Adjustment_DTL_(Blue)41"/>
      <sheetName val="GGM_Cap__Change_Pull41"/>
      <sheetName val="GGM_Residual_Pull41"/>
      <sheetName val="GGM_Local_OH_Pull41"/>
      <sheetName val="GGM_Allocs_Pull41"/>
      <sheetName val="GGM_Oth_Inc(Exp)_Pull41"/>
      <sheetName val="Smartcontact_Gain_Pull41"/>
      <sheetName val="GGM_Revenue_Fall_Out41"/>
      <sheetName val="GGM_Residual_Fall_Out41"/>
      <sheetName val="Global_OH_Pull41"/>
      <sheetName val="EN50_47_Global_Pull41"/>
      <sheetName val="Labor_Pull41"/>
      <sheetName val="Forecast_Accuracy_Trend41"/>
      <sheetName val="COMET_Pull41"/>
      <sheetName val="WW_P&amp;L_Table41"/>
      <sheetName val="WW_Goal_Table41"/>
      <sheetName val="GGM_CF_Pull41"/>
      <sheetName val="HPC_Region_P&amp;L_Table41"/>
      <sheetName val="HPC_Region_Goal_Table41"/>
      <sheetName val="PL_Region_P&amp;L_Table41"/>
      <sheetName val="PL_Region_Goal_Table41"/>
      <sheetName val="3D_P&amp;L_Table41"/>
      <sheetName val="Global_OH_Actuals_Table41"/>
      <sheetName val="Global_OH_Goal_Table41"/>
      <sheetName val="Geo_Hc_Actual_Table41"/>
      <sheetName val="Geo_Hc_Goal_Table41"/>
      <sheetName val="3D_ASPIRE_Table41"/>
      <sheetName val="GGM_Backlog_Table41"/>
      <sheetName val="COMET_FY01_Pull41"/>
      <sheetName val="Labor_Pull_FY0141"/>
      <sheetName val="Pull_HP_Wide41"/>
      <sheetName val="Pull_All_SFs41"/>
      <sheetName val="STD__COST41"/>
      <sheetName val="013_-_การสั่งการ39"/>
      <sheetName val="INPUT_-_Data_Table13"/>
      <sheetName val="Comet_ASPIRE10"/>
      <sheetName val="Comet_Sequential10"/>
      <sheetName val="Comet_yoy10"/>
      <sheetName val="Labour_costs9"/>
      <sheetName val="FY01_Actuals1"/>
      <sheetName val="FY00_Restated1"/>
      <sheetName val="FY01_Quota1"/>
      <sheetName val="Comet_Q202_Flash1"/>
      <sheetName val="Rooms_Table1"/>
      <sheetName val="Basic PMM"/>
      <sheetName val="Full PMM"/>
      <sheetName val="BaaN FW47"/>
      <sheetName val="Sep BaaN"/>
      <sheetName val="WIBLE"/>
      <sheetName val="Input FX Rates"/>
      <sheetName val="Input Dates"/>
      <sheetName val="MCS"/>
      <sheetName val="co_code"/>
      <sheetName val="Phase2 movementDEC"/>
      <sheetName val="Phase1f.a.DEC"/>
      <sheetName val="Phase2 f.a.DEC (2)"/>
      <sheetName val="HPC Reporting Package -Sep02 -F"/>
      <sheetName val="SUPPORT-JPN"/>
      <sheetName val="COMPON"/>
      <sheetName val="BILLCONT"/>
      <sheetName val="Global variables"/>
      <sheetName val="HTP 2001"/>
      <sheetName val="AR Signature Page"/>
      <sheetName val="Control_Panel43"/>
      <sheetName val="WW_Total_HPCI43"/>
      <sheetName val="NAM_w-o_Smartc_43"/>
      <sheetName val="GGM_Sum43"/>
      <sheetName val="HPCI_P&amp;L_Trend_(Blue)43"/>
      <sheetName val="HPCI_P&amp;L_Trend_%_(Blue)43"/>
      <sheetName val="PL4K_P&amp;L_Trend43"/>
      <sheetName val="PL4K_P&amp;L_Trend_%43"/>
      <sheetName val="PL79_P&amp;L_Trend43"/>
      <sheetName val="PL79_P&amp;L_Trend_%43"/>
      <sheetName val="HPCI-COMET_Comparison_(Blue)43"/>
      <sheetName val="Global_OH_(Blue)43"/>
      <sheetName val="Headcount_Reconciliation_(Blu43"/>
      <sheetName val="Headcount_Trend43"/>
      <sheetName val="PL4K_Labor_Trend43"/>
      <sheetName val="3D_P&amp;L_Vs_ASPIRE_(Blue)43"/>
      <sheetName val="COMET_P&amp;L_Trend_(Blue)43"/>
      <sheetName val="COMET_P&amp;L_Trend_%_(Blue)43"/>
      <sheetName val="FY02_Adjusted_P&amp;L_(Blue)43"/>
      <sheetName val="Adjustment_DTL_(Blue)43"/>
      <sheetName val="GGM_Cap__Change_Pull43"/>
      <sheetName val="GGM_Residual_Pull43"/>
      <sheetName val="GGM_Local_OH_Pull43"/>
      <sheetName val="GGM_Allocs_Pull43"/>
      <sheetName val="GGM_Oth_Inc(Exp)_Pull43"/>
      <sheetName val="Smartcontact_Gain_Pull43"/>
      <sheetName val="GGM_Revenue_Fall_Out43"/>
      <sheetName val="GGM_Residual_Fall_Out43"/>
      <sheetName val="Global_OH_Pull43"/>
      <sheetName val="EN50_47_Global_Pull43"/>
      <sheetName val="Labor_Pull43"/>
      <sheetName val="Forecast_Accuracy_Trend43"/>
      <sheetName val="COMET_Pull43"/>
      <sheetName val="WW_P&amp;L_Table43"/>
      <sheetName val="WW_Goal_Table43"/>
      <sheetName val="GGM_CF_Pull43"/>
      <sheetName val="HPC_Region_P&amp;L_Table43"/>
      <sheetName val="HPC_Region_Goal_Table43"/>
      <sheetName val="PL_Region_P&amp;L_Table43"/>
      <sheetName val="PL_Region_Goal_Table43"/>
      <sheetName val="3D_P&amp;L_Table43"/>
      <sheetName val="Global_OH_Actuals_Table43"/>
      <sheetName val="Global_OH_Goal_Table43"/>
      <sheetName val="Geo_Hc_Actual_Table43"/>
      <sheetName val="Geo_Hc_Goal_Table43"/>
      <sheetName val="3D_ASPIRE_Table43"/>
      <sheetName val="GGM_Backlog_Table43"/>
      <sheetName val="COMET_FY01_Pull43"/>
      <sheetName val="Labor_Pull_FY0143"/>
      <sheetName val="Pull_HP_Wide43"/>
      <sheetName val="Pull_All_SFs43"/>
      <sheetName val="STD__COST43"/>
      <sheetName val="013_-_การสั่งการ41"/>
      <sheetName val="INPUT_-_Data_Table15"/>
      <sheetName val="Comet_ASPIRE12"/>
      <sheetName val="Comet_Sequential12"/>
      <sheetName val="Comet_yoy12"/>
      <sheetName val="Labour_costs11"/>
      <sheetName val="FY01_Actuals3"/>
      <sheetName val="FY00_Restated3"/>
      <sheetName val="FY01_Quota3"/>
      <sheetName val="Comet_Q202_Flash3"/>
      <sheetName val="Rooms_Table3"/>
      <sheetName val="Control_Panel44"/>
      <sheetName val="WW_Total_HPCI44"/>
      <sheetName val="NAM_w-o_Smartc_44"/>
      <sheetName val="GGM_Sum44"/>
      <sheetName val="HPCI_P&amp;L_Trend_(Blue)44"/>
      <sheetName val="HPCI_P&amp;L_Trend_%_(Blue)44"/>
      <sheetName val="PL4K_P&amp;L_Trend44"/>
      <sheetName val="PL4K_P&amp;L_Trend_%44"/>
      <sheetName val="PL79_P&amp;L_Trend44"/>
      <sheetName val="PL79_P&amp;L_Trend_%44"/>
      <sheetName val="HPCI-COMET_Comparison_(Blue)44"/>
      <sheetName val="Global_OH_(Blue)44"/>
      <sheetName val="Headcount_Reconciliation_(Blu44"/>
      <sheetName val="Headcount_Trend44"/>
      <sheetName val="PL4K_Labor_Trend44"/>
      <sheetName val="3D_P&amp;L_Vs_ASPIRE_(Blue)44"/>
      <sheetName val="COMET_P&amp;L_Trend_(Blue)44"/>
      <sheetName val="COMET_P&amp;L_Trend_%_(Blue)44"/>
      <sheetName val="FY02_Adjusted_P&amp;L_(Blue)44"/>
      <sheetName val="Adjustment_DTL_(Blue)44"/>
      <sheetName val="GGM_Cap__Change_Pull44"/>
      <sheetName val="GGM_Residual_Pull44"/>
      <sheetName val="GGM_Local_OH_Pull44"/>
      <sheetName val="GGM_Allocs_Pull44"/>
      <sheetName val="GGM_Oth_Inc(Exp)_Pull44"/>
      <sheetName val="Smartcontact_Gain_Pull44"/>
      <sheetName val="GGM_Revenue_Fall_Out44"/>
      <sheetName val="GGM_Residual_Fall_Out44"/>
      <sheetName val="Global_OH_Pull44"/>
      <sheetName val="EN50_47_Global_Pull44"/>
      <sheetName val="Labor_Pull44"/>
      <sheetName val="Forecast_Accuracy_Trend44"/>
      <sheetName val="COMET_Pull44"/>
      <sheetName val="WW_P&amp;L_Table44"/>
      <sheetName val="WW_Goal_Table44"/>
      <sheetName val="GGM_CF_Pull44"/>
      <sheetName val="HPC_Region_P&amp;L_Table44"/>
      <sheetName val="HPC_Region_Goal_Table44"/>
      <sheetName val="PL_Region_P&amp;L_Table44"/>
      <sheetName val="PL_Region_Goal_Table44"/>
      <sheetName val="3D_P&amp;L_Table44"/>
      <sheetName val="Global_OH_Actuals_Table44"/>
      <sheetName val="Global_OH_Goal_Table44"/>
      <sheetName val="Geo_Hc_Actual_Table44"/>
      <sheetName val="Geo_Hc_Goal_Table44"/>
      <sheetName val="3D_ASPIRE_Table44"/>
      <sheetName val="GGM_Backlog_Table44"/>
      <sheetName val="COMET_FY01_Pull44"/>
      <sheetName val="Labor_Pull_FY0144"/>
      <sheetName val="Pull_HP_Wide44"/>
      <sheetName val="Pull_All_SFs44"/>
      <sheetName val="STD__COST44"/>
      <sheetName val="013_-_การสั่งการ42"/>
      <sheetName val="INPUT_-_Data_Table16"/>
      <sheetName val="Comet_ASPIRE13"/>
      <sheetName val="Comet_Sequential13"/>
      <sheetName val="Comet_yoy13"/>
      <sheetName val="Labour_costs12"/>
      <sheetName val="FY01_Actuals4"/>
      <sheetName val="FY00_Restated4"/>
      <sheetName val="FY01_Quota4"/>
      <sheetName val="Comet_Q202_Flash4"/>
      <sheetName val="Rooms_Table4"/>
      <sheetName val="Control_Panel45"/>
      <sheetName val="WW_Total_HPCI45"/>
      <sheetName val="NAM_w-o_Smartc_45"/>
      <sheetName val="GGM_Sum45"/>
      <sheetName val="HPCI_P&amp;L_Trend_(Blue)45"/>
      <sheetName val="HPCI_P&amp;L_Trend_%_(Blue)45"/>
      <sheetName val="PL4K_P&amp;L_Trend45"/>
      <sheetName val="PL4K_P&amp;L_Trend_%45"/>
      <sheetName val="PL79_P&amp;L_Trend45"/>
      <sheetName val="PL79_P&amp;L_Trend_%45"/>
      <sheetName val="HPCI-COMET_Comparison_(Blue)45"/>
      <sheetName val="Global_OH_(Blue)45"/>
      <sheetName val="Headcount_Reconciliation_(Blu45"/>
      <sheetName val="Headcount_Trend45"/>
      <sheetName val="PL4K_Labor_Trend45"/>
      <sheetName val="3D_P&amp;L_Vs_ASPIRE_(Blue)45"/>
      <sheetName val="COMET_P&amp;L_Trend_(Blue)45"/>
      <sheetName val="COMET_P&amp;L_Trend_%_(Blue)45"/>
      <sheetName val="FY02_Adjusted_P&amp;L_(Blue)45"/>
      <sheetName val="Adjustment_DTL_(Blue)45"/>
      <sheetName val="GGM_Cap__Change_Pull45"/>
      <sheetName val="GGM_Residual_Pull45"/>
      <sheetName val="GGM_Local_OH_Pull45"/>
      <sheetName val="GGM_Allocs_Pull45"/>
      <sheetName val="GGM_Oth_Inc(Exp)_Pull45"/>
      <sheetName val="Smartcontact_Gain_Pull45"/>
      <sheetName val="GGM_Revenue_Fall_Out45"/>
      <sheetName val="GGM_Residual_Fall_Out45"/>
      <sheetName val="Global_OH_Pull45"/>
      <sheetName val="EN50_47_Global_Pull45"/>
      <sheetName val="Labor_Pull45"/>
      <sheetName val="Forecast_Accuracy_Trend45"/>
      <sheetName val="COMET_Pull45"/>
      <sheetName val="WW_P&amp;L_Table45"/>
      <sheetName val="WW_Goal_Table45"/>
      <sheetName val="GGM_CF_Pull45"/>
      <sheetName val="HPC_Region_P&amp;L_Table45"/>
      <sheetName val="HPC_Region_Goal_Table45"/>
      <sheetName val="PL_Region_P&amp;L_Table45"/>
      <sheetName val="PL_Region_Goal_Table45"/>
      <sheetName val="3D_P&amp;L_Table45"/>
      <sheetName val="Global_OH_Actuals_Table45"/>
      <sheetName val="Global_OH_Goal_Table45"/>
      <sheetName val="Geo_Hc_Actual_Table45"/>
      <sheetName val="Geo_Hc_Goal_Table45"/>
      <sheetName val="3D_ASPIRE_Table45"/>
      <sheetName val="GGM_Backlog_Table45"/>
      <sheetName val="COMET_FY01_Pull45"/>
      <sheetName val="Labor_Pull_FY0145"/>
      <sheetName val="Pull_HP_Wide45"/>
      <sheetName val="Pull_All_SFs45"/>
      <sheetName val="STD__COST45"/>
      <sheetName val="013_-_การสั่งการ43"/>
      <sheetName val="INPUT_-_Data_Table17"/>
      <sheetName val="Comet_ASPIRE14"/>
      <sheetName val="Comet_Sequential14"/>
      <sheetName val="Comet_yoy14"/>
      <sheetName val="Labour_costs13"/>
      <sheetName val="FY01_Actuals5"/>
      <sheetName val="FY00_Restated5"/>
      <sheetName val="FY01_Quota5"/>
      <sheetName val="Comet_Q202_Flash5"/>
      <sheetName val="Rooms_Table5"/>
      <sheetName val="Control_Panel46"/>
      <sheetName val="WW_Total_HPCI46"/>
      <sheetName val="NAM_w-o_Smartc_46"/>
      <sheetName val="GGM_Sum46"/>
      <sheetName val="HPCI_P&amp;L_Trend_(Blue)46"/>
      <sheetName val="HPCI_P&amp;L_Trend_%_(Blue)46"/>
      <sheetName val="PL4K_P&amp;L_Trend46"/>
      <sheetName val="PL4K_P&amp;L_Trend_%46"/>
      <sheetName val="PL79_P&amp;L_Trend46"/>
      <sheetName val="PL79_P&amp;L_Trend_%46"/>
      <sheetName val="HPCI-COMET_Comparison_(Blue)46"/>
      <sheetName val="Global_OH_(Blue)46"/>
      <sheetName val="Headcount_Reconciliation_(Blu46"/>
      <sheetName val="Headcount_Trend46"/>
      <sheetName val="PL4K_Labor_Trend46"/>
      <sheetName val="3D_P&amp;L_Vs_ASPIRE_(Blue)46"/>
      <sheetName val="COMET_P&amp;L_Trend_(Blue)46"/>
      <sheetName val="COMET_P&amp;L_Trend_%_(Blue)46"/>
      <sheetName val="FY02_Adjusted_P&amp;L_(Blue)46"/>
      <sheetName val="Adjustment_DTL_(Blue)46"/>
      <sheetName val="GGM_Cap__Change_Pull46"/>
      <sheetName val="GGM_Residual_Pull46"/>
      <sheetName val="GGM_Local_OH_Pull46"/>
      <sheetName val="GGM_Allocs_Pull46"/>
      <sheetName val="GGM_Oth_Inc(Exp)_Pull46"/>
      <sheetName val="Smartcontact_Gain_Pull46"/>
      <sheetName val="GGM_Revenue_Fall_Out46"/>
      <sheetName val="GGM_Residual_Fall_Out46"/>
      <sheetName val="Global_OH_Pull46"/>
      <sheetName val="EN50_47_Global_Pull46"/>
      <sheetName val="Labor_Pull46"/>
      <sheetName val="Forecast_Accuracy_Trend46"/>
      <sheetName val="COMET_Pull46"/>
      <sheetName val="WW_P&amp;L_Table46"/>
      <sheetName val="WW_Goal_Table46"/>
      <sheetName val="GGM_CF_Pull46"/>
      <sheetName val="HPC_Region_P&amp;L_Table46"/>
      <sheetName val="HPC_Region_Goal_Table46"/>
      <sheetName val="PL_Region_P&amp;L_Table46"/>
      <sheetName val="PL_Region_Goal_Table46"/>
      <sheetName val="3D_P&amp;L_Table46"/>
      <sheetName val="Global_OH_Actuals_Table46"/>
      <sheetName val="Global_OH_Goal_Table46"/>
      <sheetName val="Geo_Hc_Actual_Table46"/>
      <sheetName val="Geo_Hc_Goal_Table46"/>
      <sheetName val="3D_ASPIRE_Table46"/>
      <sheetName val="GGM_Backlog_Table46"/>
      <sheetName val="COMET_FY01_Pull46"/>
      <sheetName val="Labor_Pull_FY0146"/>
      <sheetName val="Pull_HP_Wide46"/>
      <sheetName val="Pull_All_SFs46"/>
      <sheetName val="STD__COST46"/>
      <sheetName val="013_-_การสั่งการ44"/>
      <sheetName val="INPUT_-_Data_Table18"/>
      <sheetName val="Comet_ASPIRE15"/>
      <sheetName val="Comet_Sequential15"/>
      <sheetName val="Comet_yoy15"/>
      <sheetName val="Labour_costs14"/>
      <sheetName val="FY01_Actuals6"/>
      <sheetName val="FY00_Restated6"/>
      <sheetName val="FY01_Quota6"/>
      <sheetName val="Comet_Q202_Flash6"/>
      <sheetName val="Rooms_Table6"/>
      <sheetName val="Control_Panel47"/>
      <sheetName val="WW_Total_HPCI47"/>
      <sheetName val="NAM_w-o_Smartc_47"/>
      <sheetName val="GGM_Sum47"/>
      <sheetName val="HPCI_P&amp;L_Trend_(Blue)47"/>
      <sheetName val="HPCI_P&amp;L_Trend_%_(Blue)47"/>
      <sheetName val="PL4K_P&amp;L_Trend47"/>
      <sheetName val="PL4K_P&amp;L_Trend_%47"/>
      <sheetName val="PL79_P&amp;L_Trend47"/>
      <sheetName val="PL79_P&amp;L_Trend_%47"/>
      <sheetName val="HPCI-COMET_Comparison_(Blue)47"/>
      <sheetName val="Global_OH_(Blue)47"/>
      <sheetName val="Headcount_Reconciliation_(Blu47"/>
      <sheetName val="Headcount_Trend47"/>
      <sheetName val="PL4K_Labor_Trend47"/>
      <sheetName val="3D_P&amp;L_Vs_ASPIRE_(Blue)47"/>
      <sheetName val="COMET_P&amp;L_Trend_(Blue)47"/>
      <sheetName val="COMET_P&amp;L_Trend_%_(Blue)47"/>
      <sheetName val="FY02_Adjusted_P&amp;L_(Blue)47"/>
      <sheetName val="Adjustment_DTL_(Blue)47"/>
      <sheetName val="GGM_Cap__Change_Pull47"/>
      <sheetName val="GGM_Residual_Pull47"/>
      <sheetName val="GGM_Local_OH_Pull47"/>
      <sheetName val="GGM_Allocs_Pull47"/>
      <sheetName val="GGM_Oth_Inc(Exp)_Pull47"/>
      <sheetName val="Smartcontact_Gain_Pull47"/>
      <sheetName val="GGM_Revenue_Fall_Out47"/>
      <sheetName val="GGM_Residual_Fall_Out47"/>
      <sheetName val="Global_OH_Pull47"/>
      <sheetName val="EN50_47_Global_Pull47"/>
      <sheetName val="Labor_Pull47"/>
      <sheetName val="Forecast_Accuracy_Trend47"/>
      <sheetName val="COMET_Pull47"/>
      <sheetName val="WW_P&amp;L_Table47"/>
      <sheetName val="WW_Goal_Table47"/>
      <sheetName val="GGM_CF_Pull47"/>
      <sheetName val="HPC_Region_P&amp;L_Table47"/>
      <sheetName val="HPC_Region_Goal_Table47"/>
      <sheetName val="PL_Region_P&amp;L_Table47"/>
      <sheetName val="PL_Region_Goal_Table47"/>
      <sheetName val="3D_P&amp;L_Table47"/>
      <sheetName val="Global_OH_Actuals_Table47"/>
      <sheetName val="Global_OH_Goal_Table47"/>
      <sheetName val="Geo_Hc_Actual_Table47"/>
      <sheetName val="Geo_Hc_Goal_Table47"/>
      <sheetName val="3D_ASPIRE_Table47"/>
      <sheetName val="GGM_Backlog_Table47"/>
      <sheetName val="COMET_FY01_Pull47"/>
      <sheetName val="Labor_Pull_FY0147"/>
      <sheetName val="Pull_HP_Wide47"/>
      <sheetName val="Pull_All_SFs47"/>
      <sheetName val="STD__COST47"/>
      <sheetName val="013_-_การสั่งการ45"/>
      <sheetName val="INPUT_-_Data_Table19"/>
      <sheetName val="Comet_ASPIRE16"/>
      <sheetName val="Comet_Sequential16"/>
      <sheetName val="Comet_yoy16"/>
      <sheetName val="Labour_costs15"/>
      <sheetName val="FY01_Actuals7"/>
      <sheetName val="FY00_Restated7"/>
      <sheetName val="FY01_Quota7"/>
      <sheetName val="Comet_Q202_Flash7"/>
      <sheetName val="Rooms_Table7"/>
      <sheetName val="Control_Panel48"/>
      <sheetName val="WW_Total_HPCI48"/>
      <sheetName val="NAM_w-o_Smartc_48"/>
      <sheetName val="GGM_Sum48"/>
      <sheetName val="HPCI_P&amp;L_Trend_(Blue)48"/>
      <sheetName val="HPCI_P&amp;L_Trend_%_(Blue)48"/>
      <sheetName val="PL4K_P&amp;L_Trend48"/>
      <sheetName val="PL4K_P&amp;L_Trend_%48"/>
      <sheetName val="PL79_P&amp;L_Trend48"/>
      <sheetName val="PL79_P&amp;L_Trend_%48"/>
      <sheetName val="HPCI-COMET_Comparison_(Blue)48"/>
      <sheetName val="Global_OH_(Blue)48"/>
      <sheetName val="Headcount_Reconciliation_(Blu48"/>
      <sheetName val="Headcount_Trend48"/>
      <sheetName val="PL4K_Labor_Trend48"/>
      <sheetName val="3D_P&amp;L_Vs_ASPIRE_(Blue)48"/>
      <sheetName val="COMET_P&amp;L_Trend_(Blue)48"/>
      <sheetName val="COMET_P&amp;L_Trend_%_(Blue)48"/>
      <sheetName val="FY02_Adjusted_P&amp;L_(Blue)48"/>
      <sheetName val="Adjustment_DTL_(Blue)48"/>
      <sheetName val="GGM_Cap__Change_Pull48"/>
      <sheetName val="GGM_Residual_Pull48"/>
      <sheetName val="GGM_Local_OH_Pull48"/>
      <sheetName val="GGM_Allocs_Pull48"/>
      <sheetName val="GGM_Oth_Inc(Exp)_Pull48"/>
      <sheetName val="Smartcontact_Gain_Pull48"/>
      <sheetName val="GGM_Revenue_Fall_Out48"/>
      <sheetName val="GGM_Residual_Fall_Out48"/>
      <sheetName val="Global_OH_Pull48"/>
      <sheetName val="EN50_47_Global_Pull48"/>
      <sheetName val="Labor_Pull48"/>
      <sheetName val="Forecast_Accuracy_Trend48"/>
      <sheetName val="COMET_Pull48"/>
      <sheetName val="WW_P&amp;L_Table48"/>
      <sheetName val="WW_Goal_Table48"/>
      <sheetName val="GGM_CF_Pull48"/>
      <sheetName val="HPC_Region_P&amp;L_Table48"/>
      <sheetName val="HPC_Region_Goal_Table48"/>
      <sheetName val="PL_Region_P&amp;L_Table48"/>
      <sheetName val="PL_Region_Goal_Table48"/>
      <sheetName val="3D_P&amp;L_Table48"/>
      <sheetName val="Global_OH_Actuals_Table48"/>
      <sheetName val="Global_OH_Goal_Table48"/>
      <sheetName val="Geo_Hc_Actual_Table48"/>
      <sheetName val="Geo_Hc_Goal_Table48"/>
      <sheetName val="3D_ASPIRE_Table48"/>
      <sheetName val="GGM_Backlog_Table48"/>
      <sheetName val="COMET_FY01_Pull48"/>
      <sheetName val="Labor_Pull_FY0148"/>
      <sheetName val="Pull_HP_Wide48"/>
      <sheetName val="Pull_All_SFs48"/>
      <sheetName val="STD__COST48"/>
      <sheetName val="013_-_การสั่งการ46"/>
      <sheetName val="INPUT_-_Data_Table20"/>
      <sheetName val="Comet_ASPIRE17"/>
      <sheetName val="Comet_Sequential17"/>
      <sheetName val="Comet_yoy17"/>
      <sheetName val="Labour_costs16"/>
      <sheetName val="FY01_Actuals8"/>
      <sheetName val="FY00_Restated8"/>
      <sheetName val="FY01_Quota8"/>
      <sheetName val="Comet_Q202_Flash8"/>
      <sheetName val="Rooms_Table8"/>
      <sheetName val="Control_Panel50"/>
      <sheetName val="WW_Total_HPCI50"/>
      <sheetName val="NAM_w-o_Smartc_50"/>
      <sheetName val="GGM_Sum50"/>
      <sheetName val="HPCI_P&amp;L_Trend_(Blue)50"/>
      <sheetName val="HPCI_P&amp;L_Trend_%_(Blue)50"/>
      <sheetName val="PL4K_P&amp;L_Trend50"/>
      <sheetName val="PL4K_P&amp;L_Trend_%50"/>
      <sheetName val="PL79_P&amp;L_Trend50"/>
      <sheetName val="PL79_P&amp;L_Trend_%50"/>
      <sheetName val="HPCI-COMET_Comparison_(Blue)50"/>
      <sheetName val="Global_OH_(Blue)50"/>
      <sheetName val="Headcount_Reconciliation_(Blu50"/>
      <sheetName val="Headcount_Trend50"/>
      <sheetName val="PL4K_Labor_Trend50"/>
      <sheetName val="3D_P&amp;L_Vs_ASPIRE_(Blue)50"/>
      <sheetName val="COMET_P&amp;L_Trend_(Blue)50"/>
      <sheetName val="COMET_P&amp;L_Trend_%_(Blue)50"/>
      <sheetName val="FY02_Adjusted_P&amp;L_(Blue)50"/>
      <sheetName val="Adjustment_DTL_(Blue)50"/>
      <sheetName val="GGM_Cap__Change_Pull50"/>
      <sheetName val="GGM_Residual_Pull50"/>
      <sheetName val="GGM_Local_OH_Pull50"/>
      <sheetName val="GGM_Allocs_Pull50"/>
      <sheetName val="GGM_Oth_Inc(Exp)_Pull50"/>
      <sheetName val="Smartcontact_Gain_Pull50"/>
      <sheetName val="GGM_Revenue_Fall_Out50"/>
      <sheetName val="GGM_Residual_Fall_Out50"/>
      <sheetName val="Global_OH_Pull50"/>
      <sheetName val="EN50_47_Global_Pull50"/>
      <sheetName val="Labor_Pull50"/>
      <sheetName val="Forecast_Accuracy_Trend50"/>
      <sheetName val="COMET_Pull50"/>
      <sheetName val="WW_P&amp;L_Table50"/>
      <sheetName val="WW_Goal_Table50"/>
      <sheetName val="GGM_CF_Pull50"/>
      <sheetName val="HPC_Region_P&amp;L_Table50"/>
      <sheetName val="HPC_Region_Goal_Table50"/>
      <sheetName val="PL_Region_P&amp;L_Table50"/>
      <sheetName val="PL_Region_Goal_Table50"/>
      <sheetName val="3D_P&amp;L_Table50"/>
      <sheetName val="Global_OH_Actuals_Table50"/>
      <sheetName val="Global_OH_Goal_Table50"/>
      <sheetName val="Geo_Hc_Actual_Table50"/>
      <sheetName val="Geo_Hc_Goal_Table50"/>
      <sheetName val="3D_ASPIRE_Table50"/>
      <sheetName val="GGM_Backlog_Table50"/>
      <sheetName val="COMET_FY01_Pull50"/>
      <sheetName val="Labor_Pull_FY0150"/>
      <sheetName val="Pull_HP_Wide50"/>
      <sheetName val="Pull_All_SFs50"/>
      <sheetName val="STD__COST50"/>
      <sheetName val="013_-_การสั่งการ48"/>
      <sheetName val="INPUT_-_Data_Table22"/>
      <sheetName val="Comet_ASPIRE19"/>
      <sheetName val="Comet_Sequential19"/>
      <sheetName val="Comet_yoy19"/>
      <sheetName val="Labour_costs18"/>
      <sheetName val="FY01_Actuals10"/>
      <sheetName val="FY00_Restated10"/>
      <sheetName val="FY01_Quota10"/>
      <sheetName val="Comet_Q202_Flash10"/>
      <sheetName val="Rooms_Table10"/>
      <sheetName val="Control_Panel49"/>
      <sheetName val="WW_Total_HPCI49"/>
      <sheetName val="NAM_w-o_Smartc_49"/>
      <sheetName val="GGM_Sum49"/>
      <sheetName val="HPCI_P&amp;L_Trend_(Blue)49"/>
      <sheetName val="HPCI_P&amp;L_Trend_%_(Blue)49"/>
      <sheetName val="PL4K_P&amp;L_Trend49"/>
      <sheetName val="PL4K_P&amp;L_Trend_%49"/>
      <sheetName val="PL79_P&amp;L_Trend49"/>
      <sheetName val="PL79_P&amp;L_Trend_%49"/>
      <sheetName val="HPCI-COMET_Comparison_(Blue)49"/>
      <sheetName val="Global_OH_(Blue)49"/>
      <sheetName val="Headcount_Reconciliation_(Blu49"/>
      <sheetName val="Headcount_Trend49"/>
      <sheetName val="PL4K_Labor_Trend49"/>
      <sheetName val="3D_P&amp;L_Vs_ASPIRE_(Blue)49"/>
      <sheetName val="COMET_P&amp;L_Trend_(Blue)49"/>
      <sheetName val="COMET_P&amp;L_Trend_%_(Blue)49"/>
      <sheetName val="FY02_Adjusted_P&amp;L_(Blue)49"/>
      <sheetName val="Adjustment_DTL_(Blue)49"/>
      <sheetName val="GGM_Cap__Change_Pull49"/>
      <sheetName val="GGM_Residual_Pull49"/>
      <sheetName val="GGM_Local_OH_Pull49"/>
      <sheetName val="GGM_Allocs_Pull49"/>
      <sheetName val="GGM_Oth_Inc(Exp)_Pull49"/>
      <sheetName val="Smartcontact_Gain_Pull49"/>
      <sheetName val="GGM_Revenue_Fall_Out49"/>
      <sheetName val="GGM_Residual_Fall_Out49"/>
      <sheetName val="Global_OH_Pull49"/>
      <sheetName val="EN50_47_Global_Pull49"/>
      <sheetName val="Labor_Pull49"/>
      <sheetName val="Forecast_Accuracy_Trend49"/>
      <sheetName val="COMET_Pull49"/>
      <sheetName val="WW_P&amp;L_Table49"/>
      <sheetName val="WW_Goal_Table49"/>
      <sheetName val="GGM_CF_Pull49"/>
      <sheetName val="HPC_Region_P&amp;L_Table49"/>
      <sheetName val="HPC_Region_Goal_Table49"/>
      <sheetName val="PL_Region_P&amp;L_Table49"/>
      <sheetName val="PL_Region_Goal_Table49"/>
      <sheetName val="3D_P&amp;L_Table49"/>
      <sheetName val="Global_OH_Actuals_Table49"/>
      <sheetName val="Global_OH_Goal_Table49"/>
      <sheetName val="Geo_Hc_Actual_Table49"/>
      <sheetName val="Geo_Hc_Goal_Table49"/>
      <sheetName val="3D_ASPIRE_Table49"/>
      <sheetName val="GGM_Backlog_Table49"/>
      <sheetName val="COMET_FY01_Pull49"/>
      <sheetName val="Labor_Pull_FY0149"/>
      <sheetName val="Pull_HP_Wide49"/>
      <sheetName val="Pull_All_SFs49"/>
      <sheetName val="STD__COST49"/>
      <sheetName val="013_-_การสั่งการ47"/>
      <sheetName val="INPUT_-_Data_Table21"/>
      <sheetName val="Comet_ASPIRE18"/>
      <sheetName val="Comet_Sequential18"/>
      <sheetName val="Comet_yoy18"/>
      <sheetName val="Labour_costs17"/>
      <sheetName val="FY01_Actuals9"/>
      <sheetName val="FY00_Restated9"/>
      <sheetName val="FY01_Quota9"/>
      <sheetName val="Comet_Q202_Flash9"/>
      <sheetName val="Rooms_Table9"/>
      <sheetName val="Control_Panel51"/>
      <sheetName val="WW_Total_HPCI51"/>
      <sheetName val="NAM_w-o_Smartc_51"/>
      <sheetName val="GGM_Sum51"/>
      <sheetName val="HPCI_P&amp;L_Trend_(Blue)51"/>
      <sheetName val="HPCI_P&amp;L_Trend_%_(Blue)51"/>
      <sheetName val="PL4K_P&amp;L_Trend51"/>
      <sheetName val="PL4K_P&amp;L_Trend_%51"/>
      <sheetName val="PL79_P&amp;L_Trend51"/>
      <sheetName val="PL79_P&amp;L_Trend_%51"/>
      <sheetName val="HPCI-COMET_Comparison_(Blue)51"/>
      <sheetName val="Global_OH_(Blue)51"/>
      <sheetName val="Headcount_Reconciliation_(Blu51"/>
      <sheetName val="Headcount_Trend51"/>
      <sheetName val="PL4K_Labor_Trend51"/>
      <sheetName val="3D_P&amp;L_Vs_ASPIRE_(Blue)51"/>
      <sheetName val="COMET_P&amp;L_Trend_(Blue)51"/>
      <sheetName val="COMET_P&amp;L_Trend_%_(Blue)51"/>
      <sheetName val="FY02_Adjusted_P&amp;L_(Blue)51"/>
      <sheetName val="Adjustment_DTL_(Blue)51"/>
      <sheetName val="GGM_Cap__Change_Pull51"/>
      <sheetName val="GGM_Residual_Pull51"/>
      <sheetName val="GGM_Local_OH_Pull51"/>
      <sheetName val="GGM_Allocs_Pull51"/>
      <sheetName val="GGM_Oth_Inc(Exp)_Pull51"/>
      <sheetName val="Smartcontact_Gain_Pull51"/>
      <sheetName val="GGM_Revenue_Fall_Out51"/>
      <sheetName val="GGM_Residual_Fall_Out51"/>
      <sheetName val="Global_OH_Pull51"/>
      <sheetName val="EN50_47_Global_Pull51"/>
      <sheetName val="Labor_Pull51"/>
      <sheetName val="Forecast_Accuracy_Trend51"/>
      <sheetName val="COMET_Pull51"/>
      <sheetName val="WW_P&amp;L_Table51"/>
      <sheetName val="WW_Goal_Table51"/>
      <sheetName val="GGM_CF_Pull51"/>
      <sheetName val="HPC_Region_P&amp;L_Table51"/>
      <sheetName val="HPC_Region_Goal_Table51"/>
      <sheetName val="PL_Region_P&amp;L_Table51"/>
      <sheetName val="PL_Region_Goal_Table51"/>
      <sheetName val="3D_P&amp;L_Table51"/>
      <sheetName val="Global_OH_Actuals_Table51"/>
      <sheetName val="Global_OH_Goal_Table51"/>
      <sheetName val="Geo_Hc_Actual_Table51"/>
      <sheetName val="Geo_Hc_Goal_Table51"/>
      <sheetName val="3D_ASPIRE_Table51"/>
      <sheetName val="GGM_Backlog_Table51"/>
      <sheetName val="COMET_FY01_Pull51"/>
      <sheetName val="Labor_Pull_FY0151"/>
      <sheetName val="Pull_HP_Wide51"/>
      <sheetName val="Pull_All_SFs51"/>
      <sheetName val="STD__COST51"/>
      <sheetName val="013_-_การสั่งการ49"/>
      <sheetName val="INPUT_-_Data_Table23"/>
      <sheetName val="Comet_ASPIRE20"/>
      <sheetName val="Comet_Sequential20"/>
      <sheetName val="Comet_yoy20"/>
      <sheetName val="Labour_costs19"/>
      <sheetName val="FY01_Actuals11"/>
      <sheetName val="FY00_Restated11"/>
      <sheetName val="FY01_Quota11"/>
      <sheetName val="Comet_Q202_Flash11"/>
      <sheetName val="Rooms_Table11"/>
      <sheetName val="Control_Panel52"/>
      <sheetName val="WW_Total_HPCI52"/>
      <sheetName val="NAM_w-o_Smartc_52"/>
      <sheetName val="GGM_Sum52"/>
      <sheetName val="HPCI_P&amp;L_Trend_(Blue)52"/>
      <sheetName val="HPCI_P&amp;L_Trend_%_(Blue)52"/>
      <sheetName val="PL4K_P&amp;L_Trend52"/>
      <sheetName val="PL4K_P&amp;L_Trend_%52"/>
      <sheetName val="PL79_P&amp;L_Trend52"/>
      <sheetName val="PL79_P&amp;L_Trend_%52"/>
      <sheetName val="HPCI-COMET_Comparison_(Blue)52"/>
      <sheetName val="Global_OH_(Blue)52"/>
      <sheetName val="Headcount_Reconciliation_(Blu52"/>
      <sheetName val="Headcount_Trend52"/>
      <sheetName val="PL4K_Labor_Trend52"/>
      <sheetName val="3D_P&amp;L_Vs_ASPIRE_(Blue)52"/>
      <sheetName val="COMET_P&amp;L_Trend_(Blue)52"/>
      <sheetName val="COMET_P&amp;L_Trend_%_(Blue)52"/>
      <sheetName val="FY02_Adjusted_P&amp;L_(Blue)52"/>
      <sheetName val="Adjustment_DTL_(Blue)52"/>
      <sheetName val="GGM_Cap__Change_Pull52"/>
      <sheetName val="GGM_Residual_Pull52"/>
      <sheetName val="GGM_Local_OH_Pull52"/>
      <sheetName val="GGM_Allocs_Pull52"/>
      <sheetName val="GGM_Oth_Inc(Exp)_Pull52"/>
      <sheetName val="Smartcontact_Gain_Pull52"/>
      <sheetName val="GGM_Revenue_Fall_Out52"/>
      <sheetName val="GGM_Residual_Fall_Out52"/>
      <sheetName val="Global_OH_Pull52"/>
      <sheetName val="EN50_47_Global_Pull52"/>
      <sheetName val="Labor_Pull52"/>
      <sheetName val="Forecast_Accuracy_Trend52"/>
      <sheetName val="COMET_Pull52"/>
      <sheetName val="WW_P&amp;L_Table52"/>
      <sheetName val="WW_Goal_Table52"/>
      <sheetName val="GGM_CF_Pull52"/>
      <sheetName val="HPC_Region_P&amp;L_Table52"/>
      <sheetName val="HPC_Region_Goal_Table52"/>
      <sheetName val="PL_Region_P&amp;L_Table52"/>
      <sheetName val="PL_Region_Goal_Table52"/>
      <sheetName val="3D_P&amp;L_Table52"/>
      <sheetName val="Global_OH_Actuals_Table52"/>
      <sheetName val="Global_OH_Goal_Table52"/>
      <sheetName val="Geo_Hc_Actual_Table52"/>
      <sheetName val="Geo_Hc_Goal_Table52"/>
      <sheetName val="3D_ASPIRE_Table52"/>
      <sheetName val="GGM_Backlog_Table52"/>
      <sheetName val="COMET_FY01_Pull52"/>
      <sheetName val="Labor_Pull_FY0152"/>
      <sheetName val="Pull_HP_Wide52"/>
      <sheetName val="Pull_All_SFs52"/>
      <sheetName val="STD__COST52"/>
      <sheetName val="013_-_การสั่งการ50"/>
      <sheetName val="INPUT_-_Data_Table24"/>
      <sheetName val="Comet_ASPIRE21"/>
      <sheetName val="Comet_Sequential21"/>
      <sheetName val="Comet_yoy21"/>
      <sheetName val="Labour_costs20"/>
      <sheetName val="FY01_Actuals12"/>
      <sheetName val="FY00_Restated12"/>
      <sheetName val="FY01_Quota12"/>
      <sheetName val="Comet_Q202_Flash12"/>
      <sheetName val="Rooms_Table12"/>
      <sheetName val="Basic_PMM"/>
      <sheetName val="Full_PMM"/>
      <sheetName val="BaaN_FW47"/>
      <sheetName val="Sep_BaaN"/>
      <sheetName val="Control_Panel60"/>
      <sheetName val="WW_Total_HPCI60"/>
      <sheetName val="NAM_w-o_Smartc_60"/>
      <sheetName val="GGM_Sum60"/>
      <sheetName val="HPCI_P&amp;L_Trend_(Blue)60"/>
      <sheetName val="HPCI_P&amp;L_Trend_%_(Blue)60"/>
      <sheetName val="PL4K_P&amp;L_Trend60"/>
      <sheetName val="PL4K_P&amp;L_Trend_%60"/>
      <sheetName val="PL79_P&amp;L_Trend60"/>
      <sheetName val="PL79_P&amp;L_Trend_%60"/>
      <sheetName val="HPCI-COMET_Comparison_(Blue)60"/>
      <sheetName val="Global_OH_(Blue)60"/>
      <sheetName val="Headcount_Reconciliation_(Blu60"/>
      <sheetName val="Headcount_Trend60"/>
      <sheetName val="PL4K_Labor_Trend60"/>
      <sheetName val="3D_P&amp;L_Vs_ASPIRE_(Blue)60"/>
      <sheetName val="COMET_P&amp;L_Trend_(Blue)60"/>
      <sheetName val="COMET_P&amp;L_Trend_%_(Blue)60"/>
      <sheetName val="FY02_Adjusted_P&amp;L_(Blue)60"/>
      <sheetName val="Adjustment_DTL_(Blue)60"/>
      <sheetName val="GGM_Cap__Change_Pull60"/>
      <sheetName val="GGM_Residual_Pull60"/>
      <sheetName val="GGM_Local_OH_Pull60"/>
      <sheetName val="GGM_Allocs_Pull60"/>
      <sheetName val="GGM_Oth_Inc(Exp)_Pull60"/>
      <sheetName val="Smartcontact_Gain_Pull60"/>
      <sheetName val="GGM_Revenue_Fall_Out60"/>
      <sheetName val="GGM_Residual_Fall_Out60"/>
      <sheetName val="Global_OH_Pull60"/>
      <sheetName val="EN50_47_Global_Pull60"/>
      <sheetName val="Labor_Pull60"/>
      <sheetName val="Forecast_Accuracy_Trend60"/>
      <sheetName val="COMET_Pull60"/>
      <sheetName val="WW_P&amp;L_Table60"/>
      <sheetName val="WW_Goal_Table60"/>
      <sheetName val="GGM_CF_Pull60"/>
      <sheetName val="HPC_Region_P&amp;L_Table60"/>
      <sheetName val="HPC_Region_Goal_Table60"/>
      <sheetName val="PL_Region_P&amp;L_Table60"/>
      <sheetName val="PL_Region_Goal_Table60"/>
      <sheetName val="3D_P&amp;L_Table60"/>
      <sheetName val="Global_OH_Actuals_Table60"/>
      <sheetName val="Global_OH_Goal_Table60"/>
      <sheetName val="Geo_Hc_Actual_Table60"/>
      <sheetName val="Geo_Hc_Goal_Table60"/>
      <sheetName val="3D_ASPIRE_Table60"/>
      <sheetName val="GGM_Backlog_Table60"/>
      <sheetName val="COMET_FY01_Pull60"/>
      <sheetName val="Labor_Pull_FY0160"/>
      <sheetName val="Pull_HP_Wide60"/>
      <sheetName val="Pull_All_SFs60"/>
      <sheetName val="STD__COST60"/>
      <sheetName val="013_-_การสั่งการ58"/>
      <sheetName val="INPUT_-_Data_Table32"/>
      <sheetName val="Comet_ASPIRE29"/>
      <sheetName val="Comet_Sequential29"/>
      <sheetName val="Comet_yoy29"/>
      <sheetName val="Labour_costs28"/>
      <sheetName val="FY01_Actuals20"/>
      <sheetName val="FY00_Restated20"/>
      <sheetName val="FY01_Quota20"/>
      <sheetName val="Comet_Q202_Flash20"/>
      <sheetName val="Rooms_Table20"/>
      <sheetName val="Basic_PMM7"/>
      <sheetName val="Full_PMM7"/>
      <sheetName val="BaaN_FW477"/>
      <sheetName val="Sep_BaaN7"/>
      <sheetName val="Control_Panel53"/>
      <sheetName val="WW_Total_HPCI53"/>
      <sheetName val="NAM_w-o_Smartc_53"/>
      <sheetName val="GGM_Sum53"/>
      <sheetName val="HPCI_P&amp;L_Trend_(Blue)53"/>
      <sheetName val="HPCI_P&amp;L_Trend_%_(Blue)53"/>
      <sheetName val="PL4K_P&amp;L_Trend53"/>
      <sheetName val="PL4K_P&amp;L_Trend_%53"/>
      <sheetName val="PL79_P&amp;L_Trend53"/>
      <sheetName val="PL79_P&amp;L_Trend_%53"/>
      <sheetName val="HPCI-COMET_Comparison_(Blue)53"/>
      <sheetName val="Global_OH_(Blue)53"/>
      <sheetName val="Headcount_Reconciliation_(Blu53"/>
      <sheetName val="Headcount_Trend53"/>
      <sheetName val="PL4K_Labor_Trend53"/>
      <sheetName val="3D_P&amp;L_Vs_ASPIRE_(Blue)53"/>
      <sheetName val="COMET_P&amp;L_Trend_(Blue)53"/>
      <sheetName val="COMET_P&amp;L_Trend_%_(Blue)53"/>
      <sheetName val="FY02_Adjusted_P&amp;L_(Blue)53"/>
      <sheetName val="Adjustment_DTL_(Blue)53"/>
      <sheetName val="GGM_Cap__Change_Pull53"/>
      <sheetName val="GGM_Residual_Pull53"/>
      <sheetName val="GGM_Local_OH_Pull53"/>
      <sheetName val="GGM_Allocs_Pull53"/>
      <sheetName val="GGM_Oth_Inc(Exp)_Pull53"/>
      <sheetName val="Smartcontact_Gain_Pull53"/>
      <sheetName val="GGM_Revenue_Fall_Out53"/>
      <sheetName val="GGM_Residual_Fall_Out53"/>
      <sheetName val="Global_OH_Pull53"/>
      <sheetName val="EN50_47_Global_Pull53"/>
      <sheetName val="Labor_Pull53"/>
      <sheetName val="Forecast_Accuracy_Trend53"/>
      <sheetName val="COMET_Pull53"/>
      <sheetName val="WW_P&amp;L_Table53"/>
      <sheetName val="WW_Goal_Table53"/>
      <sheetName val="GGM_CF_Pull53"/>
      <sheetName val="HPC_Region_P&amp;L_Table53"/>
      <sheetName val="HPC_Region_Goal_Table53"/>
      <sheetName val="PL_Region_P&amp;L_Table53"/>
      <sheetName val="PL_Region_Goal_Table53"/>
      <sheetName val="3D_P&amp;L_Table53"/>
      <sheetName val="Global_OH_Actuals_Table53"/>
      <sheetName val="Global_OH_Goal_Table53"/>
      <sheetName val="Geo_Hc_Actual_Table53"/>
      <sheetName val="Geo_Hc_Goal_Table53"/>
      <sheetName val="3D_ASPIRE_Table53"/>
      <sheetName val="GGM_Backlog_Table53"/>
      <sheetName val="COMET_FY01_Pull53"/>
      <sheetName val="Labor_Pull_FY0153"/>
      <sheetName val="Pull_HP_Wide53"/>
      <sheetName val="Pull_All_SFs53"/>
      <sheetName val="STD__COST53"/>
      <sheetName val="013_-_การสั่งการ51"/>
      <sheetName val="INPUT_-_Data_Table25"/>
      <sheetName val="Comet_ASPIRE22"/>
      <sheetName val="Comet_Sequential22"/>
      <sheetName val="Comet_yoy22"/>
      <sheetName val="Labour_costs21"/>
      <sheetName val="FY01_Actuals13"/>
      <sheetName val="FY00_Restated13"/>
      <sheetName val="FY01_Quota13"/>
      <sheetName val="Comet_Q202_Flash13"/>
      <sheetName val="Rooms_Table13"/>
      <sheetName val="Basic_PMM1"/>
      <sheetName val="Full_PMM1"/>
      <sheetName val="BaaN_FW471"/>
      <sheetName val="Sep_BaaN1"/>
      <sheetName val="Control_Panel56"/>
      <sheetName val="WW_Total_HPCI56"/>
      <sheetName val="NAM_w-o_Smartc_56"/>
      <sheetName val="GGM_Sum56"/>
      <sheetName val="HPCI_P&amp;L_Trend_(Blue)56"/>
      <sheetName val="HPCI_P&amp;L_Trend_%_(Blue)56"/>
      <sheetName val="PL4K_P&amp;L_Trend56"/>
      <sheetName val="PL4K_P&amp;L_Trend_%56"/>
      <sheetName val="PL79_P&amp;L_Trend56"/>
      <sheetName val="PL79_P&amp;L_Trend_%56"/>
      <sheetName val="HPCI-COMET_Comparison_(Blue)56"/>
      <sheetName val="Global_OH_(Blue)56"/>
      <sheetName val="Headcount_Reconciliation_(Blu56"/>
      <sheetName val="Headcount_Trend56"/>
      <sheetName val="PL4K_Labor_Trend56"/>
      <sheetName val="3D_P&amp;L_Vs_ASPIRE_(Blue)56"/>
      <sheetName val="COMET_P&amp;L_Trend_(Blue)56"/>
      <sheetName val="COMET_P&amp;L_Trend_%_(Blue)56"/>
      <sheetName val="FY02_Adjusted_P&amp;L_(Blue)56"/>
      <sheetName val="Adjustment_DTL_(Blue)56"/>
      <sheetName val="GGM_Cap__Change_Pull56"/>
      <sheetName val="GGM_Residual_Pull56"/>
      <sheetName val="GGM_Local_OH_Pull56"/>
      <sheetName val="GGM_Allocs_Pull56"/>
      <sheetName val="GGM_Oth_Inc(Exp)_Pull56"/>
      <sheetName val="Smartcontact_Gain_Pull56"/>
      <sheetName val="GGM_Revenue_Fall_Out56"/>
      <sheetName val="GGM_Residual_Fall_Out56"/>
      <sheetName val="Global_OH_Pull56"/>
      <sheetName val="EN50_47_Global_Pull56"/>
      <sheetName val="Labor_Pull56"/>
      <sheetName val="Forecast_Accuracy_Trend56"/>
      <sheetName val="COMET_Pull56"/>
      <sheetName val="WW_P&amp;L_Table56"/>
      <sheetName val="WW_Goal_Table56"/>
      <sheetName val="GGM_CF_Pull56"/>
      <sheetName val="HPC_Region_P&amp;L_Table56"/>
      <sheetName val="HPC_Region_Goal_Table56"/>
      <sheetName val="PL_Region_P&amp;L_Table56"/>
      <sheetName val="PL_Region_Goal_Table56"/>
      <sheetName val="3D_P&amp;L_Table56"/>
      <sheetName val="Global_OH_Actuals_Table56"/>
      <sheetName val="Global_OH_Goal_Table56"/>
      <sheetName val="Geo_Hc_Actual_Table56"/>
      <sheetName val="Geo_Hc_Goal_Table56"/>
      <sheetName val="3D_ASPIRE_Table56"/>
      <sheetName val="GGM_Backlog_Table56"/>
      <sheetName val="COMET_FY01_Pull56"/>
      <sheetName val="Labor_Pull_FY0156"/>
      <sheetName val="Pull_HP_Wide56"/>
      <sheetName val="Pull_All_SFs56"/>
      <sheetName val="STD__COST56"/>
      <sheetName val="013_-_การสั่งการ54"/>
      <sheetName val="INPUT_-_Data_Table28"/>
      <sheetName val="Comet_ASPIRE25"/>
      <sheetName val="Comet_Sequential25"/>
      <sheetName val="Comet_yoy25"/>
      <sheetName val="Labour_costs24"/>
      <sheetName val="FY01_Actuals16"/>
      <sheetName val="FY00_Restated16"/>
      <sheetName val="FY01_Quota16"/>
      <sheetName val="Comet_Q202_Flash16"/>
      <sheetName val="Rooms_Table16"/>
      <sheetName val="Basic_PMM3"/>
      <sheetName val="Full_PMM3"/>
      <sheetName val="BaaN_FW473"/>
      <sheetName val="Sep_BaaN3"/>
      <sheetName val="Control_Panel54"/>
      <sheetName val="WW_Total_HPCI54"/>
      <sheetName val="NAM_w-o_Smartc_54"/>
      <sheetName val="GGM_Sum54"/>
      <sheetName val="HPCI_P&amp;L_Trend_(Blue)54"/>
      <sheetName val="HPCI_P&amp;L_Trend_%_(Blue)54"/>
      <sheetName val="PL4K_P&amp;L_Trend54"/>
      <sheetName val="PL4K_P&amp;L_Trend_%54"/>
      <sheetName val="PL79_P&amp;L_Trend54"/>
      <sheetName val="PL79_P&amp;L_Trend_%54"/>
      <sheetName val="HPCI-COMET_Comparison_(Blue)54"/>
      <sheetName val="Global_OH_(Blue)54"/>
      <sheetName val="Headcount_Reconciliation_(Blu54"/>
      <sheetName val="Headcount_Trend54"/>
      <sheetName val="PL4K_Labor_Trend54"/>
      <sheetName val="3D_P&amp;L_Vs_ASPIRE_(Blue)54"/>
      <sheetName val="COMET_P&amp;L_Trend_(Blue)54"/>
      <sheetName val="COMET_P&amp;L_Trend_%_(Blue)54"/>
      <sheetName val="FY02_Adjusted_P&amp;L_(Blue)54"/>
      <sheetName val="Adjustment_DTL_(Blue)54"/>
      <sheetName val="GGM_Cap__Change_Pull54"/>
      <sheetName val="GGM_Residual_Pull54"/>
      <sheetName val="GGM_Local_OH_Pull54"/>
      <sheetName val="GGM_Allocs_Pull54"/>
      <sheetName val="GGM_Oth_Inc(Exp)_Pull54"/>
      <sheetName val="Smartcontact_Gain_Pull54"/>
      <sheetName val="GGM_Revenue_Fall_Out54"/>
      <sheetName val="GGM_Residual_Fall_Out54"/>
      <sheetName val="Global_OH_Pull54"/>
      <sheetName val="EN50_47_Global_Pull54"/>
      <sheetName val="Labor_Pull54"/>
      <sheetName val="Forecast_Accuracy_Trend54"/>
      <sheetName val="COMET_Pull54"/>
      <sheetName val="WW_P&amp;L_Table54"/>
      <sheetName val="WW_Goal_Table54"/>
      <sheetName val="GGM_CF_Pull54"/>
      <sheetName val="HPC_Region_P&amp;L_Table54"/>
      <sheetName val="HPC_Region_Goal_Table54"/>
      <sheetName val="PL_Region_P&amp;L_Table54"/>
      <sheetName val="PL_Region_Goal_Table54"/>
      <sheetName val="3D_P&amp;L_Table54"/>
      <sheetName val="Global_OH_Actuals_Table54"/>
      <sheetName val="Global_OH_Goal_Table54"/>
      <sheetName val="Geo_Hc_Actual_Table54"/>
      <sheetName val="Geo_Hc_Goal_Table54"/>
      <sheetName val="3D_ASPIRE_Table54"/>
      <sheetName val="GGM_Backlog_Table54"/>
      <sheetName val="COMET_FY01_Pull54"/>
      <sheetName val="Labor_Pull_FY0154"/>
      <sheetName val="Pull_HP_Wide54"/>
      <sheetName val="Pull_All_SFs54"/>
      <sheetName val="STD__COST54"/>
      <sheetName val="013_-_การสั่งการ52"/>
      <sheetName val="INPUT_-_Data_Table26"/>
      <sheetName val="Comet_ASPIRE23"/>
      <sheetName val="Comet_Sequential23"/>
      <sheetName val="Comet_yoy23"/>
      <sheetName val="Labour_costs22"/>
      <sheetName val="FY01_Actuals14"/>
      <sheetName val="FY00_Restated14"/>
      <sheetName val="FY01_Quota14"/>
      <sheetName val="Comet_Q202_Flash14"/>
      <sheetName val="Rooms_Table14"/>
      <sheetName val="Control_Panel55"/>
      <sheetName val="WW_Total_HPCI55"/>
      <sheetName val="NAM_w-o_Smartc_55"/>
      <sheetName val="GGM_Sum55"/>
      <sheetName val="HPCI_P&amp;L_Trend_(Blue)55"/>
      <sheetName val="HPCI_P&amp;L_Trend_%_(Blue)55"/>
      <sheetName val="PL4K_P&amp;L_Trend55"/>
      <sheetName val="PL4K_P&amp;L_Trend_%55"/>
      <sheetName val="PL79_P&amp;L_Trend55"/>
      <sheetName val="PL79_P&amp;L_Trend_%55"/>
      <sheetName val="HPCI-COMET_Comparison_(Blue)55"/>
      <sheetName val="Global_OH_(Blue)55"/>
      <sheetName val="Headcount_Reconciliation_(Blu55"/>
      <sheetName val="Headcount_Trend55"/>
      <sheetName val="PL4K_Labor_Trend55"/>
      <sheetName val="3D_P&amp;L_Vs_ASPIRE_(Blue)55"/>
      <sheetName val="COMET_P&amp;L_Trend_(Blue)55"/>
      <sheetName val="COMET_P&amp;L_Trend_%_(Blue)55"/>
      <sheetName val="FY02_Adjusted_P&amp;L_(Blue)55"/>
      <sheetName val="Adjustment_DTL_(Blue)55"/>
      <sheetName val="GGM_Cap__Change_Pull55"/>
      <sheetName val="GGM_Residual_Pull55"/>
      <sheetName val="GGM_Local_OH_Pull55"/>
      <sheetName val="GGM_Allocs_Pull55"/>
      <sheetName val="GGM_Oth_Inc(Exp)_Pull55"/>
      <sheetName val="Smartcontact_Gain_Pull55"/>
      <sheetName val="GGM_Revenue_Fall_Out55"/>
      <sheetName val="GGM_Residual_Fall_Out55"/>
      <sheetName val="Global_OH_Pull55"/>
      <sheetName val="EN50_47_Global_Pull55"/>
      <sheetName val="Labor_Pull55"/>
      <sheetName val="Forecast_Accuracy_Trend55"/>
      <sheetName val="COMET_Pull55"/>
      <sheetName val="WW_P&amp;L_Table55"/>
      <sheetName val="WW_Goal_Table55"/>
      <sheetName val="GGM_CF_Pull55"/>
      <sheetName val="HPC_Region_P&amp;L_Table55"/>
      <sheetName val="HPC_Region_Goal_Table55"/>
      <sheetName val="PL_Region_P&amp;L_Table55"/>
      <sheetName val="PL_Region_Goal_Table55"/>
      <sheetName val="3D_P&amp;L_Table55"/>
      <sheetName val="Global_OH_Actuals_Table55"/>
      <sheetName val="Global_OH_Goal_Table55"/>
      <sheetName val="Geo_Hc_Actual_Table55"/>
      <sheetName val="Geo_Hc_Goal_Table55"/>
      <sheetName val="3D_ASPIRE_Table55"/>
      <sheetName val="GGM_Backlog_Table55"/>
      <sheetName val="COMET_FY01_Pull55"/>
      <sheetName val="Labor_Pull_FY0155"/>
      <sheetName val="Pull_HP_Wide55"/>
      <sheetName val="Pull_All_SFs55"/>
      <sheetName val="STD__COST55"/>
      <sheetName val="013_-_การสั่งการ53"/>
      <sheetName val="INPUT_-_Data_Table27"/>
      <sheetName val="Comet_ASPIRE24"/>
      <sheetName val="Comet_Sequential24"/>
      <sheetName val="Comet_yoy24"/>
      <sheetName val="Labour_costs23"/>
      <sheetName val="FY01_Actuals15"/>
      <sheetName val="FY00_Restated15"/>
      <sheetName val="FY01_Quota15"/>
      <sheetName val="Comet_Q202_Flash15"/>
      <sheetName val="Rooms_Table15"/>
      <sheetName val="Basic_PMM2"/>
      <sheetName val="Full_PMM2"/>
      <sheetName val="BaaN_FW472"/>
      <sheetName val="Sep_BaaN2"/>
      <sheetName val="Control_Panel57"/>
      <sheetName val="WW_Total_HPCI57"/>
      <sheetName val="NAM_w-o_Smartc_57"/>
      <sheetName val="GGM_Sum57"/>
      <sheetName val="HPCI_P&amp;L_Trend_(Blue)57"/>
      <sheetName val="HPCI_P&amp;L_Trend_%_(Blue)57"/>
      <sheetName val="PL4K_P&amp;L_Trend57"/>
      <sheetName val="PL4K_P&amp;L_Trend_%57"/>
      <sheetName val="PL79_P&amp;L_Trend57"/>
      <sheetName val="PL79_P&amp;L_Trend_%57"/>
      <sheetName val="HPCI-COMET_Comparison_(Blue)57"/>
      <sheetName val="Global_OH_(Blue)57"/>
      <sheetName val="Headcount_Reconciliation_(Blu57"/>
      <sheetName val="Headcount_Trend57"/>
      <sheetName val="PL4K_Labor_Trend57"/>
      <sheetName val="3D_P&amp;L_Vs_ASPIRE_(Blue)57"/>
      <sheetName val="COMET_P&amp;L_Trend_(Blue)57"/>
      <sheetName val="COMET_P&amp;L_Trend_%_(Blue)57"/>
      <sheetName val="FY02_Adjusted_P&amp;L_(Blue)57"/>
      <sheetName val="Adjustment_DTL_(Blue)57"/>
      <sheetName val="GGM_Cap__Change_Pull57"/>
      <sheetName val="GGM_Residual_Pull57"/>
      <sheetName val="GGM_Local_OH_Pull57"/>
      <sheetName val="GGM_Allocs_Pull57"/>
      <sheetName val="GGM_Oth_Inc(Exp)_Pull57"/>
      <sheetName val="Smartcontact_Gain_Pull57"/>
      <sheetName val="GGM_Revenue_Fall_Out57"/>
      <sheetName val="GGM_Residual_Fall_Out57"/>
      <sheetName val="Global_OH_Pull57"/>
      <sheetName val="EN50_47_Global_Pull57"/>
      <sheetName val="Labor_Pull57"/>
      <sheetName val="Forecast_Accuracy_Trend57"/>
      <sheetName val="COMET_Pull57"/>
      <sheetName val="WW_P&amp;L_Table57"/>
      <sheetName val="WW_Goal_Table57"/>
      <sheetName val="GGM_CF_Pull57"/>
      <sheetName val="HPC_Region_P&amp;L_Table57"/>
      <sheetName val="HPC_Region_Goal_Table57"/>
      <sheetName val="PL_Region_P&amp;L_Table57"/>
      <sheetName val="PL_Region_Goal_Table57"/>
      <sheetName val="3D_P&amp;L_Table57"/>
      <sheetName val="Global_OH_Actuals_Table57"/>
      <sheetName val="Global_OH_Goal_Table57"/>
      <sheetName val="Geo_Hc_Actual_Table57"/>
      <sheetName val="Geo_Hc_Goal_Table57"/>
      <sheetName val="3D_ASPIRE_Table57"/>
      <sheetName val="GGM_Backlog_Table57"/>
      <sheetName val="COMET_FY01_Pull57"/>
      <sheetName val="Labor_Pull_FY0157"/>
      <sheetName val="Pull_HP_Wide57"/>
      <sheetName val="Pull_All_SFs57"/>
      <sheetName val="STD__COST57"/>
      <sheetName val="013_-_การสั่งการ55"/>
      <sheetName val="INPUT_-_Data_Table29"/>
      <sheetName val="Comet_ASPIRE26"/>
      <sheetName val="Comet_Sequential26"/>
      <sheetName val="Comet_yoy26"/>
      <sheetName val="Labour_costs25"/>
      <sheetName val="FY01_Actuals17"/>
      <sheetName val="FY00_Restated17"/>
      <sheetName val="FY01_Quota17"/>
      <sheetName val="Comet_Q202_Flash17"/>
      <sheetName val="Rooms_Table17"/>
      <sheetName val="Basic_PMM4"/>
      <sheetName val="Full_PMM4"/>
      <sheetName val="BaaN_FW474"/>
      <sheetName val="Sep_BaaN4"/>
      <sheetName val="Control_Panel58"/>
      <sheetName val="WW_Total_HPCI58"/>
      <sheetName val="NAM_w-o_Smartc_58"/>
      <sheetName val="GGM_Sum58"/>
      <sheetName val="HPCI_P&amp;L_Trend_(Blue)58"/>
      <sheetName val="HPCI_P&amp;L_Trend_%_(Blue)58"/>
      <sheetName val="PL4K_P&amp;L_Trend58"/>
      <sheetName val="PL4K_P&amp;L_Trend_%58"/>
      <sheetName val="PL79_P&amp;L_Trend58"/>
      <sheetName val="PL79_P&amp;L_Trend_%58"/>
      <sheetName val="HPCI-COMET_Comparison_(Blue)58"/>
      <sheetName val="Global_OH_(Blue)58"/>
      <sheetName val="Headcount_Reconciliation_(Blu58"/>
      <sheetName val="Headcount_Trend58"/>
      <sheetName val="PL4K_Labor_Trend58"/>
      <sheetName val="3D_P&amp;L_Vs_ASPIRE_(Blue)58"/>
      <sheetName val="COMET_P&amp;L_Trend_(Blue)58"/>
      <sheetName val="COMET_P&amp;L_Trend_%_(Blue)58"/>
      <sheetName val="FY02_Adjusted_P&amp;L_(Blue)58"/>
      <sheetName val="Adjustment_DTL_(Blue)58"/>
      <sheetName val="GGM_Cap__Change_Pull58"/>
      <sheetName val="GGM_Residual_Pull58"/>
      <sheetName val="GGM_Local_OH_Pull58"/>
      <sheetName val="GGM_Allocs_Pull58"/>
      <sheetName val="GGM_Oth_Inc(Exp)_Pull58"/>
      <sheetName val="Smartcontact_Gain_Pull58"/>
      <sheetName val="GGM_Revenue_Fall_Out58"/>
      <sheetName val="GGM_Residual_Fall_Out58"/>
      <sheetName val="Global_OH_Pull58"/>
      <sheetName val="EN50_47_Global_Pull58"/>
      <sheetName val="Labor_Pull58"/>
      <sheetName val="Forecast_Accuracy_Trend58"/>
      <sheetName val="COMET_Pull58"/>
      <sheetName val="WW_P&amp;L_Table58"/>
      <sheetName val="WW_Goal_Table58"/>
      <sheetName val="GGM_CF_Pull58"/>
      <sheetName val="HPC_Region_P&amp;L_Table58"/>
      <sheetName val="HPC_Region_Goal_Table58"/>
      <sheetName val="PL_Region_P&amp;L_Table58"/>
      <sheetName val="PL_Region_Goal_Table58"/>
      <sheetName val="3D_P&amp;L_Table58"/>
      <sheetName val="Global_OH_Actuals_Table58"/>
      <sheetName val="Global_OH_Goal_Table58"/>
      <sheetName val="Geo_Hc_Actual_Table58"/>
      <sheetName val="Geo_Hc_Goal_Table58"/>
      <sheetName val="3D_ASPIRE_Table58"/>
      <sheetName val="GGM_Backlog_Table58"/>
      <sheetName val="COMET_FY01_Pull58"/>
      <sheetName val="Labor_Pull_FY0158"/>
      <sheetName val="Pull_HP_Wide58"/>
      <sheetName val="Pull_All_SFs58"/>
      <sheetName val="STD__COST58"/>
      <sheetName val="013_-_การสั่งการ56"/>
      <sheetName val="INPUT_-_Data_Table30"/>
      <sheetName val="Comet_ASPIRE27"/>
      <sheetName val="Comet_Sequential27"/>
      <sheetName val="Comet_yoy27"/>
      <sheetName val="Labour_costs26"/>
      <sheetName val="FY01_Actuals18"/>
      <sheetName val="FY00_Restated18"/>
      <sheetName val="FY01_Quota18"/>
      <sheetName val="Comet_Q202_Flash18"/>
      <sheetName val="Rooms_Table18"/>
      <sheetName val="Basic_PMM5"/>
      <sheetName val="Full_PMM5"/>
      <sheetName val="BaaN_FW475"/>
      <sheetName val="Sep_BaaN5"/>
      <sheetName val="Control_Panel59"/>
      <sheetName val="WW_Total_HPCI59"/>
      <sheetName val="NAM_w-o_Smartc_59"/>
      <sheetName val="GGM_Sum59"/>
      <sheetName val="HPCI_P&amp;L_Trend_(Blue)59"/>
      <sheetName val="HPCI_P&amp;L_Trend_%_(Blue)59"/>
      <sheetName val="PL4K_P&amp;L_Trend59"/>
      <sheetName val="PL4K_P&amp;L_Trend_%59"/>
      <sheetName val="PL79_P&amp;L_Trend59"/>
      <sheetName val="PL79_P&amp;L_Trend_%59"/>
      <sheetName val="HPCI-COMET_Comparison_(Blue)59"/>
      <sheetName val="Global_OH_(Blue)59"/>
      <sheetName val="Headcount_Reconciliation_(Blu59"/>
      <sheetName val="Headcount_Trend59"/>
      <sheetName val="PL4K_Labor_Trend59"/>
      <sheetName val="3D_P&amp;L_Vs_ASPIRE_(Blue)59"/>
      <sheetName val="COMET_P&amp;L_Trend_(Blue)59"/>
      <sheetName val="COMET_P&amp;L_Trend_%_(Blue)59"/>
      <sheetName val="FY02_Adjusted_P&amp;L_(Blue)59"/>
      <sheetName val="Adjustment_DTL_(Blue)59"/>
      <sheetName val="GGM_Cap__Change_Pull59"/>
      <sheetName val="GGM_Residual_Pull59"/>
      <sheetName val="GGM_Local_OH_Pull59"/>
      <sheetName val="GGM_Allocs_Pull59"/>
      <sheetName val="GGM_Oth_Inc(Exp)_Pull59"/>
      <sheetName val="Smartcontact_Gain_Pull59"/>
      <sheetName val="GGM_Revenue_Fall_Out59"/>
      <sheetName val="GGM_Residual_Fall_Out59"/>
      <sheetName val="Global_OH_Pull59"/>
      <sheetName val="EN50_47_Global_Pull59"/>
      <sheetName val="Labor_Pull59"/>
      <sheetName val="Forecast_Accuracy_Trend59"/>
      <sheetName val="COMET_Pull59"/>
      <sheetName val="WW_P&amp;L_Table59"/>
      <sheetName val="WW_Goal_Table59"/>
      <sheetName val="GGM_CF_Pull59"/>
      <sheetName val="HPC_Region_P&amp;L_Table59"/>
      <sheetName val="HPC_Region_Goal_Table59"/>
      <sheetName val="PL_Region_P&amp;L_Table59"/>
      <sheetName val="PL_Region_Goal_Table59"/>
      <sheetName val="3D_P&amp;L_Table59"/>
      <sheetName val="Global_OH_Actuals_Table59"/>
      <sheetName val="Global_OH_Goal_Table59"/>
      <sheetName val="Geo_Hc_Actual_Table59"/>
      <sheetName val="Geo_Hc_Goal_Table59"/>
      <sheetName val="3D_ASPIRE_Table59"/>
      <sheetName val="GGM_Backlog_Table59"/>
      <sheetName val="COMET_FY01_Pull59"/>
      <sheetName val="Labor_Pull_FY0159"/>
      <sheetName val="Pull_HP_Wide59"/>
      <sheetName val="Pull_All_SFs59"/>
      <sheetName val="STD__COST59"/>
      <sheetName val="013_-_การสั่งการ57"/>
      <sheetName val="INPUT_-_Data_Table31"/>
      <sheetName val="Comet_ASPIRE28"/>
      <sheetName val="Comet_Sequential28"/>
      <sheetName val="Comet_yoy28"/>
      <sheetName val="Labour_costs27"/>
      <sheetName val="FY01_Actuals19"/>
      <sheetName val="FY00_Restated19"/>
      <sheetName val="FY01_Quota19"/>
      <sheetName val="Comet_Q202_Flash19"/>
      <sheetName val="Rooms_Table19"/>
      <sheetName val="Basic_PMM6"/>
      <sheetName val="Full_PMM6"/>
      <sheetName val="BaaN_FW476"/>
      <sheetName val="Sep_BaaN6"/>
      <sheetName val="综合成本分析01.01-0205"/>
      <sheetName val="Summary"/>
      <sheetName val="SUM14ZC1"/>
      <sheetName val="SPals"/>
      <sheetName val="Total Financials"/>
      <sheetName val="FCG"/>
      <sheetName val="22年计划"/>
      <sheetName val="Q4 CURRENCY"/>
      <sheetName val="Panel"/>
      <sheetName val="Hidden"/>
      <sheetName val="通貨一覧"/>
      <sheetName val="假设"/>
      <sheetName val="FY03CostStructure"/>
      <sheetName val="FP"/>
      <sheetName val="Time Dimension Lookup"/>
      <sheetName val="Dates"/>
      <sheetName val="EPR"/>
      <sheetName val="VSAMS Summary"/>
      <sheetName val="Glossary"/>
      <sheetName val="FRECEFECBAILEYS"/>
      <sheetName val="Master Schedule"/>
      <sheetName val="Formulas"/>
      <sheetName val="上报资产负债表"/>
      <sheetName val="上报损益表"/>
      <sheetName val="补充表"/>
      <sheetName val="T  B"/>
      <sheetName val="Cover"/>
      <sheetName val="master"/>
      <sheetName val="Sheet2"/>
      <sheetName val="敏感参数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Cost Saving  (24)"/>
      <sheetName val="CHITIET"/>
      <sheetName val="DONGIA"/>
      <sheetName val="合并抵销或调整分录（1）"/>
      <sheetName val="Net REVENUE"/>
      <sheetName val="VEHMAINT"/>
      <sheetName val="VEHDAMAG"/>
      <sheetName val="OTHERVEH"/>
      <sheetName val="GASOLINE"/>
      <sheetName val="PL&amp;PD"/>
      <sheetName val="DEPRECIA"/>
      <sheetName val="INTEREST"/>
      <sheetName val="VEHSALWH"/>
      <sheetName val="VEHSALRE"/>
      <sheetName val="MANUCRED"/>
      <sheetName val="TRAWAGES"/>
      <sheetName val="INCENTIV"/>
      <sheetName val="WAGES"/>
      <sheetName val="OVERWAGE"/>
      <sheetName val="BENEFITS"/>
      <sheetName val="CONCESS"/>
      <sheetName val="COMMISSI"/>
      <sheetName val="RESERVAT"/>
      <sheetName val="CUSTOMER"/>
      <sheetName val="FACILITY"/>
      <sheetName val="SERVIVEH"/>
      <sheetName val="COMPUTER"/>
      <sheetName val="ADVSYST"/>
      <sheetName val="COUADMIN"/>
      <sheetName val="ADMINFLD"/>
      <sheetName val="ADVCIT&amp;D"/>
      <sheetName val="EURSALES"/>
      <sheetName val="ADMINREB"/>
      <sheetName val="U1120"/>
      <sheetName val="Technical"/>
      <sheetName val="INDEXES"/>
      <sheetName val="评估增值"/>
      <sheetName val="股权结构图"/>
      <sheetName val="Key"/>
      <sheetName val="A6620 Detail"/>
      <sheetName val="N201"/>
      <sheetName val="6621"/>
      <sheetName val="关联交易-存款"/>
      <sheetName val="Company Info"/>
      <sheetName val="source"/>
      <sheetName val="Centralisatie"/>
      <sheetName val="1"/>
      <sheetName val="Pick Lists"/>
      <sheetName val="F_Summary"/>
      <sheetName val="W"/>
      <sheetName val="JE"/>
      <sheetName val="Vauxhall Opel 30004"/>
      <sheetName val="COA"/>
      <sheetName val="TAB.Daten"/>
      <sheetName val="IR_Deckblatt"/>
      <sheetName val="CPF"/>
      <sheetName val="0000"/>
      <sheetName val="Client Data"/>
      <sheetName val="VARIABLES"/>
      <sheetName val="Av.Measures"/>
      <sheetName val="Variablen"/>
      <sheetName val="14.04.03"/>
      <sheetName val="analyse"/>
      <sheetName val="CHART_E"/>
      <sheetName val="Collateral"/>
      <sheetName val="CF附注"/>
      <sheetName val="XBase"/>
      <sheetName val="MENU "/>
      <sheetName val="MENU"/>
      <sheetName val="hdcnt 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P"/>
      <sheetName val="COVER PAGE"/>
      <sheetName val="Table of Contents"/>
      <sheetName val="Recon"/>
      <sheetName val="SUMMARY"/>
      <sheetName val="SUMMARY (EXPD)"/>
      <sheetName val="SUMMARY (%)"/>
      <sheetName val="Bridge"/>
      <sheetName val="PL1"/>
      <sheetName val="PL2"/>
      <sheetName val="PL3"/>
      <sheetName val="PL4"/>
      <sheetName val="QTD TO GO"/>
      <sheetName val="Linearity"/>
      <sheetName val="Linearity Chart"/>
      <sheetName val="Rev-GM Detail 1"/>
      <sheetName val="Rev-GM Detail 2"/>
      <sheetName val="COS1"/>
      <sheetName val="COS2"/>
      <sheetName val="COS3"/>
      <sheetName val="COS4"/>
      <sheetName val="Rev Trend"/>
      <sheetName val="Rev Mix Trend"/>
      <sheetName val="GM Trend"/>
      <sheetName val="GM% Trend"/>
      <sheetName val="NP Trend"/>
      <sheetName val="DIO"/>
      <sheetName val="APJSum"/>
      <sheetName val="AmeSum"/>
      <sheetName val="EMEASum"/>
      <sheetName val="HPCoSum"/>
      <sheetName val="OGSum"/>
      <sheetName val="WWSum"/>
      <sheetName val="Pull HP Wide"/>
      <sheetName val="Pull All SFs"/>
      <sheetName val="NVA-300T返品リスト"/>
      <sheetName val="COVER_PAGE"/>
      <sheetName val="Table_of_Contents"/>
      <sheetName val="SUMMARY_(EXPD)"/>
      <sheetName val="SUMMARY_(%)"/>
      <sheetName val="QTD_TO_GO"/>
      <sheetName val="Linearity_Chart"/>
      <sheetName val="Rev-GM_Detail_1"/>
      <sheetName val="Rev-GM_Detail_2"/>
      <sheetName val="Rev_Trend"/>
      <sheetName val="Rev_Mix_Trend"/>
      <sheetName val="GM_Trend"/>
      <sheetName val="GM%_Trend"/>
      <sheetName val="NP_Trend"/>
      <sheetName val="Instructions"/>
      <sheetName val="Data"/>
      <sheetName val="公司"/>
      <sheetName val="工厂"/>
      <sheetName val="经营体"/>
      <sheetName val="供应商"/>
      <sheetName val="Basic PMM"/>
      <sheetName val="Full PMM"/>
      <sheetName val="LOV"/>
      <sheetName val="MCS"/>
      <sheetName val="FY03CostStructure"/>
      <sheetName val="Q4 CURRENC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PD"/>
      <sheetName val="DvsA"/>
      <sheetName val="WWHQ "/>
      <sheetName val="FY03CostStructure"/>
      <sheetName val="FY03P&amp;L"/>
      <sheetName val="Summary"/>
      <sheetName val="XL4Poppy"/>
      <sheetName val="Comet ASPIRE"/>
      <sheetName val="Comet Sequential"/>
      <sheetName val="Comet yoy"/>
      <sheetName val="DIO"/>
      <sheetName val="WWHQ_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abbr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APJSum"/>
      <sheetName val="AmeSum"/>
      <sheetName val="EMEASum"/>
      <sheetName val="HPCoSum"/>
      <sheetName val="OGSum"/>
      <sheetName val="WWSum"/>
      <sheetName val="3D ASPIRE Table"/>
      <sheetName val="Time Dimension Lookup"/>
      <sheetName val="MCS"/>
      <sheetName val="LOV"/>
      <sheetName val="Fun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CS"/>
      <sheetName val="BOD"/>
      <sheetName val="BOD REGION"/>
      <sheetName val="Summary"/>
      <sheetName val="Q2 CY99"/>
      <sheetName val="PLALL2"/>
      <sheetName val="FY01 Actuals"/>
      <sheetName val="FY00 Restated"/>
      <sheetName val="FY01 Quota"/>
      <sheetName val="PLALL"/>
      <sheetName val="敏感详细分析"/>
      <sheetName val="AmeSum"/>
      <sheetName val="FP"/>
      <sheetName val="Time Dimension Lookup"/>
      <sheetName val="APJSum"/>
      <sheetName val="EMEASum"/>
      <sheetName val="HPCoSum"/>
      <sheetName val="OGSum"/>
      <sheetName val="WWSum"/>
      <sheetName val="公司"/>
      <sheetName val="工厂"/>
      <sheetName val="经营体"/>
      <sheetName val="供应商"/>
      <sheetName val="APCODE"/>
      <sheetName val="审核总览"/>
      <sheetName val="LOV"/>
      <sheetName val="產品基本信息"/>
      <sheetName val="SUM14ZC1"/>
      <sheetName val="FY03CostStructure"/>
      <sheetName val="Funnel"/>
      <sheetName val="分产品销售收入、成本分析表"/>
      <sheetName val="SPals"/>
      <sheetName val="面积指标"/>
      <sheetName val="资产负债表"/>
      <sheetName val="资产负债表汇编"/>
      <sheetName val="Instructions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Input FX Rates"/>
      <sheetName val="Input Dates"/>
      <sheetName val="Oct FW42 BaaN for G-Line"/>
      <sheetName val="po list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3D ASPIRE Table"/>
      <sheetName val="津贴"/>
      <sheetName val="Av.Measures"/>
      <sheetName val="MCS_Q197"/>
      <sheetName val="TOTAL"/>
      <sheetName val="Panel"/>
      <sheetName val="Restate"/>
      <sheetName val="Pull HP Wide"/>
      <sheetName val="Pull All SFs"/>
      <sheetName val="FCG"/>
      <sheetName val="MP2006 data"/>
      <sheetName val="p and l"/>
      <sheetName val="Q4 CURRENCY"/>
      <sheetName val="sheet 1"/>
      <sheetName val="内围地梁钢筋说明"/>
      <sheetName val="Comet ASPIRE"/>
      <sheetName val="Comet Sequential"/>
      <sheetName val="Comet yo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P"/>
      <sheetName val="Time Dimension Lookup"/>
      <sheetName val="WW"/>
      <sheetName val="Ame"/>
      <sheetName val="EMEA"/>
      <sheetName val="APJ"/>
      <sheetName val="OG"/>
      <sheetName val="HPCoENs"/>
      <sheetName val="DIO"/>
      <sheetName val="面积指标"/>
      <sheetName val="APJSum"/>
      <sheetName val="AmeSum"/>
      <sheetName val="EMEASum"/>
      <sheetName val="HPCoSum"/>
      <sheetName val="OGSum"/>
      <sheetName val="WWSum"/>
      <sheetName val="Time_Dimension_Lookup"/>
      <sheetName val="LOV"/>
      <sheetName val="CMRCS"/>
      <sheetName val="Parameter"/>
      <sheetName val="公司"/>
      <sheetName val="工厂"/>
      <sheetName val="经营体"/>
      <sheetName val="供应商"/>
      <sheetName val="Q4 CURRENCY"/>
      <sheetName val="MCS"/>
      <sheetName val="3D ASPIRE Table"/>
      <sheetName val="產品基本信息"/>
      <sheetName val="abbr"/>
      <sheetName val="FY03CostStructure"/>
      <sheetName val="Funnel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RENCY (2)"/>
      <sheetName val="Q4 CURRENCY"/>
      <sheetName val="APJSum"/>
      <sheetName val="AmeSum"/>
      <sheetName val="EMEASum"/>
      <sheetName val="HPCoSum"/>
      <sheetName val="OGSum"/>
      <sheetName val="WWSum"/>
      <sheetName val="Raw materials"/>
      <sheetName val="LOV"/>
      <sheetName val="DIO"/>
      <sheetName val="CURRENCY_(2)"/>
      <sheetName val="Q4_CURRENCY"/>
      <sheetName val="Funnel"/>
      <sheetName val="CURRQ4V2"/>
      <sheetName val="FY03CostStructure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公司"/>
      <sheetName val="工厂"/>
      <sheetName val="经营体"/>
      <sheetName val="供应商"/>
      <sheetName val="MCS"/>
      <sheetName val="FCG"/>
      <sheetName val="SP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unnel"/>
      <sheetName val="MC"/>
      <sheetName val="NT"/>
      <sheetName val="OSD"/>
      <sheetName val="NSO"/>
      <sheetName val="SAP"/>
      <sheetName val="EX"/>
      <sheetName val="6M"/>
      <sheetName val="Must-Win"/>
      <sheetName val="Focus ACs"/>
      <sheetName val="Comet Q202 Flash"/>
      <sheetName val="Q4 CURRENCY"/>
      <sheetName val="假设"/>
      <sheetName val="accumdeprn"/>
      <sheetName val="PLALL"/>
      <sheetName val="Tables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3D ASPIRE Table"/>
      <sheetName val="APJSum"/>
      <sheetName val="AmeSum"/>
      <sheetName val="EMEASum"/>
      <sheetName val="HPCoSum"/>
      <sheetName val="OGSum"/>
      <sheetName val="WWSum"/>
      <sheetName val="PL"/>
      <sheetName val="A翼写字楼"/>
      <sheetName val="面积指标"/>
      <sheetName val="FCG"/>
      <sheetName val="LOV"/>
      <sheetName val="FY03CostStructure"/>
      <sheetName val="HTP 2001"/>
      <sheetName val="pull hp wide"/>
      <sheetName val="pull all sfs"/>
      <sheetName val="B"/>
      <sheetName val="PLALL2"/>
      <sheetName val="资产品名库"/>
      <sheetName val="字典(不需输入)"/>
      <sheetName val="银行借款询证"/>
      <sheetName val="XL4Poppy"/>
      <sheetName val="產成品收發明細表5"/>
      <sheetName val="dealer"/>
      <sheetName val="NAV"/>
      <sheetName val="APAC_DEF_REVISED"/>
      <sheetName val="原始数据"/>
      <sheetName val="Janvier Heures Travaillées"/>
      <sheetName val="审核总览"/>
      <sheetName val="MCS"/>
      <sheetName val="公司"/>
      <sheetName val="工厂"/>
      <sheetName val="经营体"/>
      <sheetName val="供应商"/>
      <sheetName val="Company Info"/>
      <sheetName val="Comet ASPIRE"/>
      <sheetName val="Comet Sequential"/>
      <sheetName val="Comet yoy"/>
      <sheetName val="Restate"/>
      <sheetName val="Time Dimension Lookup"/>
      <sheetName val="SPals"/>
      <sheetName val="BALANCE SHEET"/>
      <sheetName val="Consol"/>
      <sheetName val="GWL-RUNING"/>
      <sheetName val="malfun99"/>
      <sheetName val="Sales Seasonality by Month"/>
      <sheetName val="Setup"/>
      <sheetName val="Original"/>
      <sheetName val="SUM14ZC1"/>
      <sheetName val="total(F)"/>
      <sheetName val="Fatt.001"/>
      <sheetName val="Personalizza"/>
      <sheetName val="FX_Rates"/>
      <sheetName val="Start Here!"/>
      <sheetName val="Master Data"/>
      <sheetName val="Planner"/>
      <sheetName val="Planet_Ame"/>
      <sheetName val="Planet_AP"/>
      <sheetName val="Planet_EMEA"/>
      <sheetName val="Planet_OG"/>
      <sheetName val="Planet_WW"/>
      <sheetName val="FY01 Actuals"/>
      <sheetName val="FY00 Restated"/>
      <sheetName val="FY01 Quota"/>
      <sheetName val="Batch Comparison Template"/>
      <sheetName val="Stats Graph Template"/>
      <sheetName val="01_宏命令库"/>
      <sheetName val="spp"/>
      <sheetName val="Histogram"/>
      <sheetName val="Instructions"/>
      <sheetName val="Total Financials"/>
      <sheetName val="科目余额"/>
      <sheetName val="T  B"/>
      <sheetName val="Par"/>
      <sheetName val="6621"/>
      <sheetName val="lookups"/>
      <sheetName val="企业基本情况表限"/>
      <sheetName val="本次清算项目清算成本分摊比例鉴证表（普通住宅和其他商品房）"/>
      <sheetName val="Master"/>
      <sheetName val="Sheet3"/>
      <sheetName val="A6620 Detail"/>
      <sheetName val="F_Summary"/>
      <sheetName val="COVER"/>
      <sheetName val="Source"/>
      <sheetName val="Sheet2"/>
      <sheetName val="设备部房屋"/>
      <sheetName val="VARIABLES"/>
      <sheetName val="Reprice Lookup"/>
      <sheetName val="Termination Dates clean"/>
      <sheetName val="Raw materials"/>
      <sheetName val="FX"/>
      <sheetName val="VIDE1"/>
      <sheetName val="VIDE2"/>
      <sheetName val="Sheet4"/>
      <sheetName val="DM XE+ DIA CHI"/>
      <sheetName val="產成品收發明細表"/>
      <sheetName val="评估结论"/>
      <sheetName val="现 金 流 量 表"/>
      <sheetName val="Table"/>
      <sheetName val="Parametri"/>
      <sheetName val="Lists"/>
      <sheetName val="现金流量表（月报）"/>
      <sheetName val="E101"/>
      <sheetName val="1 LeadSchedule"/>
      <sheetName val="3 Analysis"/>
      <sheetName val="0508"/>
      <sheetName val="0504"/>
      <sheetName val="0506"/>
      <sheetName val="ee&amp;offsort"/>
      <sheetName val="New Cancelled Breakout"/>
      <sheetName val="OfficerList"/>
      <sheetName val="VestTemp&amp;Typeclean"/>
      <sheetName val="gares 02 BON FICHIER "/>
      <sheetName val="Hidden Lists"/>
      <sheetName val="COA"/>
      <sheetName val="JE - Depn Sept"/>
      <sheetName val="Parameters"/>
      <sheetName val="总明细"/>
      <sheetName val="Av.Measures"/>
      <sheetName val="Hidden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PL-MTD"/>
      <sheetName val="PL-YTD"/>
      <sheetName val="PLALL"/>
      <sheetName val="FCG"/>
      <sheetName val="3D ASPIRE Table"/>
      <sheetName val="DIO"/>
      <sheetName val="LOV"/>
      <sheetName val="WIBLE"/>
      <sheetName val="假设"/>
      <sheetName val="Original"/>
      <sheetName val="Safety _ P_A"/>
      <sheetName val="FP"/>
      <sheetName val="Time Dimension Lookup"/>
      <sheetName val="审核总览"/>
      <sheetName val="MCS"/>
      <sheetName val="FY03CostStructure"/>
      <sheetName val="Q4 CURRENCY"/>
      <sheetName val="Summary"/>
      <sheetName val="PLALL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预算原则"/>
      <sheetName val="填写步骤"/>
      <sheetName val="预算标准"/>
      <sheetName val="指标"/>
      <sheetName val="校对"/>
      <sheetName val="年度"/>
      <sheetName val="月度-全球"/>
      <sheetName val="月度-国内"/>
      <sheetName val="月度-海外"/>
      <sheetName val="国内-份额-毛收入"/>
      <sheetName val="国内-渠道"/>
      <sheetName val="国内-净收入"/>
      <sheetName val="海外-净收入"/>
      <sheetName val="产品系列"/>
      <sheetName val="假设"/>
      <sheetName val="PLALL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审核总览"/>
      <sheetName val="UPPER BLOCK"/>
      <sheetName val="HDa16"/>
      <sheetName val="Sheet1"/>
      <sheetName val="Original"/>
      <sheetName val="FCG"/>
      <sheetName val="HTP 2001"/>
      <sheetName val="Funnel"/>
      <sheetName val="Q4 CURRENCY"/>
      <sheetName val="2010E2E预算模板"/>
      <sheetName val="SPals"/>
      <sheetName val="Time Dimension Loo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3P"/>
      <sheetName val="Trend"/>
      <sheetName val="Narr. Tables"/>
      <sheetName val="Order-FY01"/>
      <sheetName val="P&amp;L-FY01"/>
      <sheetName val="Inv-FY01"/>
      <sheetName val="HC-FY01"/>
      <sheetName val="P&amp;L-ASP-FY01"/>
      <sheetName val="order-FY00"/>
      <sheetName val="P&amp;L-FY00"/>
      <sheetName val="Inv-FY00"/>
      <sheetName val="HC-FY00"/>
      <sheetName val="DIO"/>
      <sheetName val="FY01 Actuals"/>
      <sheetName val="FY00 Restated"/>
      <sheetName val="FY01 Quota"/>
      <sheetName val="3D ASPIRE Table"/>
      <sheetName val="A3"/>
      <sheetName val="MCS"/>
      <sheetName val="FY03CostStructure"/>
      <sheetName val="Total Financials"/>
      <sheetName val="PLALL"/>
      <sheetName val="DATA"/>
      <sheetName val="资产负债表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"/>
      <sheetName val="SPals"/>
      <sheetName val="MENU"/>
      <sheetName val="审核总览"/>
      <sheetName val="Leap PO Std."/>
      <sheetName val="Quantum PO Std"/>
      <sheetName val="master PO"/>
      <sheetName val="敏感参数"/>
      <sheetName val="產成品收發明細表5"/>
      <sheetName val="Comet ASPIRE"/>
      <sheetName val="Comet Sequential"/>
      <sheetName val="Comet yoy"/>
      <sheetName val="Narr__Tables"/>
      <sheetName val="FY01_Actuals"/>
      <sheetName val="FY00_Restated"/>
      <sheetName val="FY01_Quota"/>
      <sheetName val="3D_ASPIRE_Table"/>
      <sheetName val="Total_Financials"/>
      <sheetName val="Table_of_Contents"/>
      <sheetName val="GM_Trend"/>
      <sheetName val="GM%_Trend"/>
      <sheetName val="Linearity_Chart"/>
      <sheetName val="NP_Trend"/>
      <sheetName val="Rev_Trend"/>
      <sheetName val="Rev-GM_Detail_1"/>
      <sheetName val="Rev-GM_Detail_2"/>
      <sheetName val="Rev_Mix_Trend"/>
      <sheetName val="SUMMARY_(EXPD)"/>
      <sheetName val="SUMMARY_(%)"/>
      <sheetName val="QTD_TO_GO"/>
      <sheetName val="Leap_PO_Std_"/>
      <sheetName val="Quantum_PO_Std"/>
      <sheetName val="master_PO"/>
      <sheetName val="Narr__Tables3"/>
      <sheetName val="FY01_Actuals3"/>
      <sheetName val="FY00_Restated3"/>
      <sheetName val="FY01_Quota3"/>
      <sheetName val="3D_ASPIRE_Table3"/>
      <sheetName val="Total_Financials3"/>
      <sheetName val="Table_of_Contents3"/>
      <sheetName val="GM_Trend3"/>
      <sheetName val="GM%_Trend3"/>
      <sheetName val="Linearity_Chart3"/>
      <sheetName val="NP_Trend3"/>
      <sheetName val="Rev_Trend3"/>
      <sheetName val="Rev-GM_Detail_13"/>
      <sheetName val="Rev-GM_Detail_23"/>
      <sheetName val="Rev_Mix_Trend3"/>
      <sheetName val="SUMMARY_(EXPD)3"/>
      <sheetName val="SUMMARY_(%)3"/>
      <sheetName val="QTD_TO_GO3"/>
      <sheetName val="Leap_PO_Std_3"/>
      <sheetName val="Quantum_PO_Std3"/>
      <sheetName val="master_PO3"/>
      <sheetName val="Narr__Tables1"/>
      <sheetName val="FY01_Actuals1"/>
      <sheetName val="FY00_Restated1"/>
      <sheetName val="FY01_Quota1"/>
      <sheetName val="3D_ASPIRE_Table1"/>
      <sheetName val="Total_Financials1"/>
      <sheetName val="Table_of_Contents1"/>
      <sheetName val="GM_Trend1"/>
      <sheetName val="GM%_Trend1"/>
      <sheetName val="Linearity_Chart1"/>
      <sheetName val="NP_Trend1"/>
      <sheetName val="Rev_Trend1"/>
      <sheetName val="Rev-GM_Detail_11"/>
      <sheetName val="Rev-GM_Detail_21"/>
      <sheetName val="Rev_Mix_Trend1"/>
      <sheetName val="SUMMARY_(EXPD)1"/>
      <sheetName val="SUMMARY_(%)1"/>
      <sheetName val="QTD_TO_GO1"/>
      <sheetName val="Leap_PO_Std_1"/>
      <sheetName val="Quantum_PO_Std1"/>
      <sheetName val="master_PO1"/>
      <sheetName val="Narr__Tables2"/>
      <sheetName val="FY01_Actuals2"/>
      <sheetName val="FY00_Restated2"/>
      <sheetName val="FY01_Quota2"/>
      <sheetName val="3D_ASPIRE_Table2"/>
      <sheetName val="Total_Financials2"/>
      <sheetName val="Table_of_Contents2"/>
      <sheetName val="GM_Trend2"/>
      <sheetName val="GM%_Trend2"/>
      <sheetName val="Linearity_Chart2"/>
      <sheetName val="NP_Trend2"/>
      <sheetName val="Rev_Trend2"/>
      <sheetName val="Rev-GM_Detail_12"/>
      <sheetName val="Rev-GM_Detail_22"/>
      <sheetName val="Rev_Mix_Trend2"/>
      <sheetName val="SUMMARY_(EXPD)2"/>
      <sheetName val="SUMMARY_(%)2"/>
      <sheetName val="QTD_TO_GO2"/>
      <sheetName val="Leap_PO_Std_2"/>
      <sheetName val="Quantum_PO_Std2"/>
      <sheetName val="master_PO2"/>
      <sheetName val="FX_Rates"/>
      <sheetName val=" DACHSER Price Matrix"/>
      <sheetName val="DHL Price Matrix"/>
      <sheetName val="HOPI Price Matrix"/>
      <sheetName val="LOGWIN Price Matrix"/>
      <sheetName val="RHENUS Price Matrix"/>
      <sheetName val="3.3 Transport Daten"/>
      <sheetName val="Av.Measures"/>
      <sheetName val="RD_ADR"/>
      <sheetName val="CUSTOMER GROUP WISE"/>
      <sheetName val="Curr"/>
      <sheetName val="Sheet1"/>
      <sheetName val="Calendar2008"/>
      <sheetName val="Company Info"/>
      <sheetName val="Narr__Tables20"/>
      <sheetName val="FY01_Actuals20"/>
      <sheetName val="FY00_Restated20"/>
      <sheetName val="FY01_Quota20"/>
      <sheetName val="3D_ASPIRE_Table20"/>
      <sheetName val="Total_Financials20"/>
      <sheetName val="Table_of_Contents20"/>
      <sheetName val="GM_Trend20"/>
      <sheetName val="GM%_Trend20"/>
      <sheetName val="Linearity_Chart20"/>
      <sheetName val="NP_Trend20"/>
      <sheetName val="Rev_Trend20"/>
      <sheetName val="Rev-GM_Detail_120"/>
      <sheetName val="Rev-GM_Detail_220"/>
      <sheetName val="Rev_Mix_Trend20"/>
      <sheetName val="SUMMARY_(EXPD)20"/>
      <sheetName val="SUMMARY_(%)20"/>
      <sheetName val="QTD_TO_GO20"/>
      <sheetName val="Leap_PO_Std_20"/>
      <sheetName val="Quantum_PO_Std20"/>
      <sheetName val="master_PO20"/>
      <sheetName val="Narr__Tables4"/>
      <sheetName val="FY01_Actuals4"/>
      <sheetName val="FY00_Restated4"/>
      <sheetName val="FY01_Quota4"/>
      <sheetName val="3D_ASPIRE_Table4"/>
      <sheetName val="Total_Financials4"/>
      <sheetName val="Table_of_Contents4"/>
      <sheetName val="GM_Trend4"/>
      <sheetName val="GM%_Trend4"/>
      <sheetName val="Linearity_Chart4"/>
      <sheetName val="NP_Trend4"/>
      <sheetName val="Rev_Trend4"/>
      <sheetName val="Rev-GM_Detail_14"/>
      <sheetName val="Rev-GM_Detail_24"/>
      <sheetName val="Rev_Mix_Trend4"/>
      <sheetName val="SUMMARY_(EXPD)4"/>
      <sheetName val="SUMMARY_(%)4"/>
      <sheetName val="QTD_TO_GO4"/>
      <sheetName val="Leap_PO_Std_4"/>
      <sheetName val="Quantum_PO_Std4"/>
      <sheetName val="master_PO4"/>
      <sheetName val="Narr__Tables5"/>
      <sheetName val="FY01_Actuals5"/>
      <sheetName val="FY00_Restated5"/>
      <sheetName val="FY01_Quota5"/>
      <sheetName val="3D_ASPIRE_Table5"/>
      <sheetName val="Total_Financials5"/>
      <sheetName val="Table_of_Contents5"/>
      <sheetName val="GM_Trend5"/>
      <sheetName val="GM%_Trend5"/>
      <sheetName val="Linearity_Chart5"/>
      <sheetName val="NP_Trend5"/>
      <sheetName val="Rev_Trend5"/>
      <sheetName val="Rev-GM_Detail_15"/>
      <sheetName val="Rev-GM_Detail_25"/>
      <sheetName val="Rev_Mix_Trend5"/>
      <sheetName val="SUMMARY_(EXPD)5"/>
      <sheetName val="SUMMARY_(%)5"/>
      <sheetName val="QTD_TO_GO5"/>
      <sheetName val="Leap_PO_Std_5"/>
      <sheetName val="Quantum_PO_Std5"/>
      <sheetName val="master_PO5"/>
      <sheetName val="Narr__Tables6"/>
      <sheetName val="FY01_Actuals6"/>
      <sheetName val="FY00_Restated6"/>
      <sheetName val="FY01_Quota6"/>
      <sheetName val="3D_ASPIRE_Table6"/>
      <sheetName val="Total_Financials6"/>
      <sheetName val="Table_of_Contents6"/>
      <sheetName val="GM_Trend6"/>
      <sheetName val="GM%_Trend6"/>
      <sheetName val="Linearity_Chart6"/>
      <sheetName val="NP_Trend6"/>
      <sheetName val="Rev_Trend6"/>
      <sheetName val="Rev-GM_Detail_16"/>
      <sheetName val="Rev-GM_Detail_26"/>
      <sheetName val="Rev_Mix_Trend6"/>
      <sheetName val="SUMMARY_(EXPD)6"/>
      <sheetName val="SUMMARY_(%)6"/>
      <sheetName val="QTD_TO_GO6"/>
      <sheetName val="Leap_PO_Std_6"/>
      <sheetName val="Quantum_PO_Std6"/>
      <sheetName val="master_PO6"/>
      <sheetName val="Narr__Tables7"/>
      <sheetName val="FY01_Actuals7"/>
      <sheetName val="FY00_Restated7"/>
      <sheetName val="FY01_Quota7"/>
      <sheetName val="3D_ASPIRE_Table7"/>
      <sheetName val="Total_Financials7"/>
      <sheetName val="Table_of_Contents7"/>
      <sheetName val="GM_Trend7"/>
      <sheetName val="GM%_Trend7"/>
      <sheetName val="Linearity_Chart7"/>
      <sheetName val="NP_Trend7"/>
      <sheetName val="Rev_Trend7"/>
      <sheetName val="Rev-GM_Detail_17"/>
      <sheetName val="Rev-GM_Detail_27"/>
      <sheetName val="Rev_Mix_Trend7"/>
      <sheetName val="SUMMARY_(EXPD)7"/>
      <sheetName val="SUMMARY_(%)7"/>
      <sheetName val="QTD_TO_GO7"/>
      <sheetName val="Leap_PO_Std_7"/>
      <sheetName val="Quantum_PO_Std7"/>
      <sheetName val="master_PO7"/>
      <sheetName val="Narr__Tables8"/>
      <sheetName val="FY01_Actuals8"/>
      <sheetName val="FY00_Restated8"/>
      <sheetName val="FY01_Quota8"/>
      <sheetName val="3D_ASPIRE_Table8"/>
      <sheetName val="Total_Financials8"/>
      <sheetName val="Table_of_Contents8"/>
      <sheetName val="GM_Trend8"/>
      <sheetName val="GM%_Trend8"/>
      <sheetName val="Linearity_Chart8"/>
      <sheetName val="NP_Trend8"/>
      <sheetName val="Rev_Trend8"/>
      <sheetName val="Rev-GM_Detail_18"/>
      <sheetName val="Rev-GM_Detail_28"/>
      <sheetName val="Rev_Mix_Trend8"/>
      <sheetName val="SUMMARY_(EXPD)8"/>
      <sheetName val="SUMMARY_(%)8"/>
      <sheetName val="QTD_TO_GO8"/>
      <sheetName val="Leap_PO_Std_8"/>
      <sheetName val="Quantum_PO_Std8"/>
      <sheetName val="master_PO8"/>
      <sheetName val="Narr__Tables9"/>
      <sheetName val="FY01_Actuals9"/>
      <sheetName val="FY00_Restated9"/>
      <sheetName val="FY01_Quota9"/>
      <sheetName val="3D_ASPIRE_Table9"/>
      <sheetName val="Total_Financials9"/>
      <sheetName val="Table_of_Contents9"/>
      <sheetName val="GM_Trend9"/>
      <sheetName val="GM%_Trend9"/>
      <sheetName val="Linearity_Chart9"/>
      <sheetName val="NP_Trend9"/>
      <sheetName val="Rev_Trend9"/>
      <sheetName val="Rev-GM_Detail_19"/>
      <sheetName val="Rev-GM_Detail_29"/>
      <sheetName val="Rev_Mix_Trend9"/>
      <sheetName val="SUMMARY_(EXPD)9"/>
      <sheetName val="SUMMARY_(%)9"/>
      <sheetName val="QTD_TO_GO9"/>
      <sheetName val="Leap_PO_Std_9"/>
      <sheetName val="Quantum_PO_Std9"/>
      <sheetName val="master_PO9"/>
      <sheetName val="Narr__Tables10"/>
      <sheetName val="FY01_Actuals10"/>
      <sheetName val="FY00_Restated10"/>
      <sheetName val="FY01_Quota10"/>
      <sheetName val="3D_ASPIRE_Table10"/>
      <sheetName val="Total_Financials10"/>
      <sheetName val="Table_of_Contents10"/>
      <sheetName val="GM_Trend10"/>
      <sheetName val="GM%_Trend10"/>
      <sheetName val="Linearity_Chart10"/>
      <sheetName val="NP_Trend10"/>
      <sheetName val="Rev_Trend10"/>
      <sheetName val="Rev-GM_Detail_110"/>
      <sheetName val="Rev-GM_Detail_210"/>
      <sheetName val="Rev_Mix_Trend10"/>
      <sheetName val="SUMMARY_(EXPD)10"/>
      <sheetName val="SUMMARY_(%)10"/>
      <sheetName val="QTD_TO_GO10"/>
      <sheetName val="Leap_PO_Std_10"/>
      <sheetName val="Quantum_PO_Std10"/>
      <sheetName val="master_PO10"/>
      <sheetName val="Narr__Tables11"/>
      <sheetName val="FY01_Actuals11"/>
      <sheetName val="FY00_Restated11"/>
      <sheetName val="FY01_Quota11"/>
      <sheetName val="3D_ASPIRE_Table11"/>
      <sheetName val="Total_Financials11"/>
      <sheetName val="Table_of_Contents11"/>
      <sheetName val="GM_Trend11"/>
      <sheetName val="GM%_Trend11"/>
      <sheetName val="Linearity_Chart11"/>
      <sheetName val="NP_Trend11"/>
      <sheetName val="Rev_Trend11"/>
      <sheetName val="Rev-GM_Detail_111"/>
      <sheetName val="Rev-GM_Detail_211"/>
      <sheetName val="Rev_Mix_Trend11"/>
      <sheetName val="SUMMARY_(EXPD)11"/>
      <sheetName val="SUMMARY_(%)11"/>
      <sheetName val="QTD_TO_GO11"/>
      <sheetName val="Leap_PO_Std_11"/>
      <sheetName val="Quantum_PO_Std11"/>
      <sheetName val="master_PO11"/>
      <sheetName val="Comet_ASPIRE"/>
      <sheetName val="Comet_Sequential"/>
      <sheetName val="Comet_yoy"/>
      <sheetName val="Narr__Tables12"/>
      <sheetName val="FY01_Actuals12"/>
      <sheetName val="FY00_Restated12"/>
      <sheetName val="FY01_Quota12"/>
      <sheetName val="3D_ASPIRE_Table12"/>
      <sheetName val="Total_Financials12"/>
      <sheetName val="Table_of_Contents12"/>
      <sheetName val="GM_Trend12"/>
      <sheetName val="GM%_Trend12"/>
      <sheetName val="Linearity_Chart12"/>
      <sheetName val="NP_Trend12"/>
      <sheetName val="Rev_Trend12"/>
      <sheetName val="Rev-GM_Detail_112"/>
      <sheetName val="Rev-GM_Detail_212"/>
      <sheetName val="Rev_Mix_Trend12"/>
      <sheetName val="SUMMARY_(EXPD)12"/>
      <sheetName val="SUMMARY_(%)12"/>
      <sheetName val="QTD_TO_GO12"/>
      <sheetName val="Leap_PO_Std_12"/>
      <sheetName val="Quantum_PO_Std12"/>
      <sheetName val="master_PO12"/>
      <sheetName val="Narr__Tables13"/>
      <sheetName val="FY01_Actuals13"/>
      <sheetName val="FY00_Restated13"/>
      <sheetName val="FY01_Quota13"/>
      <sheetName val="3D_ASPIRE_Table13"/>
      <sheetName val="Total_Financials13"/>
      <sheetName val="Table_of_Contents13"/>
      <sheetName val="GM_Trend13"/>
      <sheetName val="GM%_Trend13"/>
      <sheetName val="Linearity_Chart13"/>
      <sheetName val="NP_Trend13"/>
      <sheetName val="Rev_Trend13"/>
      <sheetName val="Rev-GM_Detail_113"/>
      <sheetName val="Rev-GM_Detail_213"/>
      <sheetName val="Rev_Mix_Trend13"/>
      <sheetName val="SUMMARY_(EXPD)13"/>
      <sheetName val="SUMMARY_(%)13"/>
      <sheetName val="QTD_TO_GO13"/>
      <sheetName val="Leap_PO_Std_13"/>
      <sheetName val="Quantum_PO_Std13"/>
      <sheetName val="master_PO13"/>
      <sheetName val="Narr__Tables14"/>
      <sheetName val="FY01_Actuals14"/>
      <sheetName val="FY00_Restated14"/>
      <sheetName val="FY01_Quota14"/>
      <sheetName val="3D_ASPIRE_Table14"/>
      <sheetName val="Total_Financials14"/>
      <sheetName val="Table_of_Contents14"/>
      <sheetName val="GM_Trend14"/>
      <sheetName val="GM%_Trend14"/>
      <sheetName val="Linearity_Chart14"/>
      <sheetName val="NP_Trend14"/>
      <sheetName val="Rev_Trend14"/>
      <sheetName val="Rev-GM_Detail_114"/>
      <sheetName val="Rev-GM_Detail_214"/>
      <sheetName val="Rev_Mix_Trend14"/>
      <sheetName val="SUMMARY_(EXPD)14"/>
      <sheetName val="SUMMARY_(%)14"/>
      <sheetName val="QTD_TO_GO14"/>
      <sheetName val="Leap_PO_Std_14"/>
      <sheetName val="Quantum_PO_Std14"/>
      <sheetName val="master_PO14"/>
      <sheetName val="Narr__Tables15"/>
      <sheetName val="FY01_Actuals15"/>
      <sheetName val="FY00_Restated15"/>
      <sheetName val="FY01_Quota15"/>
      <sheetName val="3D_ASPIRE_Table15"/>
      <sheetName val="Total_Financials15"/>
      <sheetName val="Table_of_Contents15"/>
      <sheetName val="GM_Trend15"/>
      <sheetName val="GM%_Trend15"/>
      <sheetName val="Linearity_Chart15"/>
      <sheetName val="NP_Trend15"/>
      <sheetName val="Rev_Trend15"/>
      <sheetName val="Rev-GM_Detail_115"/>
      <sheetName val="Rev-GM_Detail_215"/>
      <sheetName val="Rev_Mix_Trend15"/>
      <sheetName val="SUMMARY_(EXPD)15"/>
      <sheetName val="SUMMARY_(%)15"/>
      <sheetName val="QTD_TO_GO15"/>
      <sheetName val="Leap_PO_Std_15"/>
      <sheetName val="Quantum_PO_Std15"/>
      <sheetName val="master_PO15"/>
      <sheetName val="Narr__Tables17"/>
      <sheetName val="FY01_Actuals17"/>
      <sheetName val="FY00_Restated17"/>
      <sheetName val="FY01_Quota17"/>
      <sheetName val="3D_ASPIRE_Table17"/>
      <sheetName val="Total_Financials17"/>
      <sheetName val="Table_of_Contents17"/>
      <sheetName val="GM_Trend17"/>
      <sheetName val="GM%_Trend17"/>
      <sheetName val="Linearity_Chart17"/>
      <sheetName val="NP_Trend17"/>
      <sheetName val="Rev_Trend17"/>
      <sheetName val="Rev-GM_Detail_117"/>
      <sheetName val="Rev-GM_Detail_217"/>
      <sheetName val="Rev_Mix_Trend17"/>
      <sheetName val="SUMMARY_(EXPD)17"/>
      <sheetName val="SUMMARY_(%)17"/>
      <sheetName val="QTD_TO_GO17"/>
      <sheetName val="Leap_PO_Std_17"/>
      <sheetName val="Quantum_PO_Std17"/>
      <sheetName val="master_PO17"/>
      <sheetName val="Narr__Tables16"/>
      <sheetName val="FY01_Actuals16"/>
      <sheetName val="FY00_Restated16"/>
      <sheetName val="FY01_Quota16"/>
      <sheetName val="3D_ASPIRE_Table16"/>
      <sheetName val="Total_Financials16"/>
      <sheetName val="Table_of_Contents16"/>
      <sheetName val="GM_Trend16"/>
      <sheetName val="GM%_Trend16"/>
      <sheetName val="Linearity_Chart16"/>
      <sheetName val="NP_Trend16"/>
      <sheetName val="Rev_Trend16"/>
      <sheetName val="Rev-GM_Detail_116"/>
      <sheetName val="Rev-GM_Detail_216"/>
      <sheetName val="Rev_Mix_Trend16"/>
      <sheetName val="SUMMARY_(EXPD)16"/>
      <sheetName val="SUMMARY_(%)16"/>
      <sheetName val="QTD_TO_GO16"/>
      <sheetName val="Leap_PO_Std_16"/>
      <sheetName val="Quantum_PO_Std16"/>
      <sheetName val="master_PO16"/>
      <sheetName val="Narr__Tables18"/>
      <sheetName val="FY01_Actuals18"/>
      <sheetName val="FY00_Restated18"/>
      <sheetName val="FY01_Quota18"/>
      <sheetName val="3D_ASPIRE_Table18"/>
      <sheetName val="Total_Financials18"/>
      <sheetName val="Table_of_Contents18"/>
      <sheetName val="GM_Trend18"/>
      <sheetName val="GM%_Trend18"/>
      <sheetName val="Linearity_Chart18"/>
      <sheetName val="NP_Trend18"/>
      <sheetName val="Rev_Trend18"/>
      <sheetName val="Rev-GM_Detail_118"/>
      <sheetName val="Rev-GM_Detail_218"/>
      <sheetName val="Rev_Mix_Trend18"/>
      <sheetName val="SUMMARY_(EXPD)18"/>
      <sheetName val="SUMMARY_(%)18"/>
      <sheetName val="QTD_TO_GO18"/>
      <sheetName val="Leap_PO_Std_18"/>
      <sheetName val="Quantum_PO_Std18"/>
      <sheetName val="master_PO18"/>
      <sheetName val="Narr__Tables19"/>
      <sheetName val="FY01_Actuals19"/>
      <sheetName val="FY00_Restated19"/>
      <sheetName val="FY01_Quota19"/>
      <sheetName val="3D_ASPIRE_Table19"/>
      <sheetName val="Total_Financials19"/>
      <sheetName val="Table_of_Contents19"/>
      <sheetName val="GM_Trend19"/>
      <sheetName val="GM%_Trend19"/>
      <sheetName val="Linearity_Chart19"/>
      <sheetName val="NP_Trend19"/>
      <sheetName val="Rev_Trend19"/>
      <sheetName val="Rev-GM_Detail_119"/>
      <sheetName val="Rev-GM_Detail_219"/>
      <sheetName val="Rev_Mix_Trend19"/>
      <sheetName val="SUMMARY_(EXPD)19"/>
      <sheetName val="SUMMARY_(%)19"/>
      <sheetName val="QTD_TO_GO19"/>
      <sheetName val="Leap_PO_Std_19"/>
      <sheetName val="Quantum_PO_Std19"/>
      <sheetName val="master_PO19"/>
      <sheetName val="Narr__Tables21"/>
      <sheetName val="FY01_Actuals21"/>
      <sheetName val="FY00_Restated21"/>
      <sheetName val="FY01_Quota21"/>
      <sheetName val="3D_ASPIRE_Table21"/>
      <sheetName val="Total_Financials21"/>
      <sheetName val="Table_of_Contents21"/>
      <sheetName val="GM_Trend21"/>
      <sheetName val="GM%_Trend21"/>
      <sheetName val="Linearity_Chart21"/>
      <sheetName val="NP_Trend21"/>
      <sheetName val="Rev_Trend21"/>
      <sheetName val="Rev-GM_Detail_121"/>
      <sheetName val="Rev-GM_Detail_221"/>
      <sheetName val="Rev_Mix_Trend21"/>
      <sheetName val="SUMMARY_(EXPD)21"/>
      <sheetName val="SUMMARY_(%)21"/>
      <sheetName val="QTD_TO_GO21"/>
      <sheetName val="Leap_PO_Std_21"/>
      <sheetName val="Quantum_PO_Std21"/>
      <sheetName val="master_PO21"/>
      <sheetName val="Narr__Tables22"/>
      <sheetName val="FY01_Actuals22"/>
      <sheetName val="FY00_Restated22"/>
      <sheetName val="FY01_Quota22"/>
      <sheetName val="3D_ASPIRE_Table22"/>
      <sheetName val="Total_Financials22"/>
      <sheetName val="Table_of_Contents22"/>
      <sheetName val="GM_Trend22"/>
      <sheetName val="GM%_Trend22"/>
      <sheetName val="Linearity_Chart22"/>
      <sheetName val="NP_Trend22"/>
      <sheetName val="Rev_Trend22"/>
      <sheetName val="Rev-GM_Detail_122"/>
      <sheetName val="Rev-GM_Detail_222"/>
      <sheetName val="Rev_Mix_Trend22"/>
      <sheetName val="SUMMARY_(EXPD)22"/>
      <sheetName val="SUMMARY_(%)22"/>
      <sheetName val="QTD_TO_GO22"/>
      <sheetName val="Leap_PO_Std_22"/>
      <sheetName val="Quantum_PO_Std22"/>
      <sheetName val="master_PO22"/>
      <sheetName val="Narr__Tables26"/>
      <sheetName val="FY01_Actuals26"/>
      <sheetName val="FY00_Restated26"/>
      <sheetName val="FY01_Quota26"/>
      <sheetName val="3D_ASPIRE_Table26"/>
      <sheetName val="Total_Financials26"/>
      <sheetName val="Table_of_Contents26"/>
      <sheetName val="GM_Trend26"/>
      <sheetName val="GM%_Trend26"/>
      <sheetName val="Linearity_Chart26"/>
      <sheetName val="NP_Trend26"/>
      <sheetName val="Rev_Trend26"/>
      <sheetName val="Rev-GM_Detail_126"/>
      <sheetName val="Rev-GM_Detail_226"/>
      <sheetName val="Rev_Mix_Trend26"/>
      <sheetName val="SUMMARY_(EXPD)26"/>
      <sheetName val="SUMMARY_(%)26"/>
      <sheetName val="QTD_TO_GO26"/>
      <sheetName val="Leap_PO_Std_26"/>
      <sheetName val="Quantum_PO_Std26"/>
      <sheetName val="master_PO26"/>
      <sheetName val="Narr__Tables24"/>
      <sheetName val="FY01_Actuals24"/>
      <sheetName val="FY00_Restated24"/>
      <sheetName val="FY01_Quota24"/>
      <sheetName val="3D_ASPIRE_Table24"/>
      <sheetName val="Total_Financials24"/>
      <sheetName val="Table_of_Contents24"/>
      <sheetName val="GM_Trend24"/>
      <sheetName val="GM%_Trend24"/>
      <sheetName val="Linearity_Chart24"/>
      <sheetName val="NP_Trend24"/>
      <sheetName val="Rev_Trend24"/>
      <sheetName val="Rev-GM_Detail_124"/>
      <sheetName val="Rev-GM_Detail_224"/>
      <sheetName val="Rev_Mix_Trend24"/>
      <sheetName val="SUMMARY_(EXPD)24"/>
      <sheetName val="SUMMARY_(%)24"/>
      <sheetName val="QTD_TO_GO24"/>
      <sheetName val="Leap_PO_Std_24"/>
      <sheetName val="Quantum_PO_Std24"/>
      <sheetName val="master_PO24"/>
      <sheetName val="Narr__Tables23"/>
      <sheetName val="FY01_Actuals23"/>
      <sheetName val="FY00_Restated23"/>
      <sheetName val="FY01_Quota23"/>
      <sheetName val="3D_ASPIRE_Table23"/>
      <sheetName val="Total_Financials23"/>
      <sheetName val="Table_of_Contents23"/>
      <sheetName val="GM_Trend23"/>
      <sheetName val="GM%_Trend23"/>
      <sheetName val="Linearity_Chart23"/>
      <sheetName val="NP_Trend23"/>
      <sheetName val="Rev_Trend23"/>
      <sheetName val="Rev-GM_Detail_123"/>
      <sheetName val="Rev-GM_Detail_223"/>
      <sheetName val="Rev_Mix_Trend23"/>
      <sheetName val="SUMMARY_(EXPD)23"/>
      <sheetName val="SUMMARY_(%)23"/>
      <sheetName val="QTD_TO_GO23"/>
      <sheetName val="Leap_PO_Std_23"/>
      <sheetName val="Quantum_PO_Std23"/>
      <sheetName val="master_PO23"/>
      <sheetName val="Narr__Tables25"/>
      <sheetName val="FY01_Actuals25"/>
      <sheetName val="FY00_Restated25"/>
      <sheetName val="FY01_Quota25"/>
      <sheetName val="3D_ASPIRE_Table25"/>
      <sheetName val="Total_Financials25"/>
      <sheetName val="Table_of_Contents25"/>
      <sheetName val="GM_Trend25"/>
      <sheetName val="GM%_Trend25"/>
      <sheetName val="Linearity_Chart25"/>
      <sheetName val="NP_Trend25"/>
      <sheetName val="Rev_Trend25"/>
      <sheetName val="Rev-GM_Detail_125"/>
      <sheetName val="Rev-GM_Detail_225"/>
      <sheetName val="Rev_Mix_Trend25"/>
      <sheetName val="SUMMARY_(EXPD)25"/>
      <sheetName val="SUMMARY_(%)25"/>
      <sheetName val="QTD_TO_GO25"/>
      <sheetName val="Leap_PO_Std_25"/>
      <sheetName val="Quantum_PO_Std25"/>
      <sheetName val="master_PO25"/>
      <sheetName val="Narr__Tables29"/>
      <sheetName val="FY01_Actuals29"/>
      <sheetName val="FY00_Restated29"/>
      <sheetName val="FY01_Quota29"/>
      <sheetName val="3D_ASPIRE_Table29"/>
      <sheetName val="Total_Financials29"/>
      <sheetName val="Table_of_Contents29"/>
      <sheetName val="GM_Trend29"/>
      <sheetName val="GM%_Trend29"/>
      <sheetName val="Linearity_Chart29"/>
      <sheetName val="NP_Trend29"/>
      <sheetName val="Rev_Trend29"/>
      <sheetName val="Rev-GM_Detail_129"/>
      <sheetName val="Rev-GM_Detail_229"/>
      <sheetName val="Rev_Mix_Trend29"/>
      <sheetName val="SUMMARY_(EXPD)29"/>
      <sheetName val="SUMMARY_(%)29"/>
      <sheetName val="QTD_TO_GO29"/>
      <sheetName val="Leap_PO_Std_29"/>
      <sheetName val="Quantum_PO_Std29"/>
      <sheetName val="master_PO29"/>
      <sheetName val="Narr__Tables27"/>
      <sheetName val="FY01_Actuals27"/>
      <sheetName val="FY00_Restated27"/>
      <sheetName val="FY01_Quota27"/>
      <sheetName val="3D_ASPIRE_Table27"/>
      <sheetName val="Total_Financials27"/>
      <sheetName val="Table_of_Contents27"/>
      <sheetName val="GM_Trend27"/>
      <sheetName val="GM%_Trend27"/>
      <sheetName val="Linearity_Chart27"/>
      <sheetName val="NP_Trend27"/>
      <sheetName val="Rev_Trend27"/>
      <sheetName val="Rev-GM_Detail_127"/>
      <sheetName val="Rev-GM_Detail_227"/>
      <sheetName val="Rev_Mix_Trend27"/>
      <sheetName val="SUMMARY_(EXPD)27"/>
      <sheetName val="SUMMARY_(%)27"/>
      <sheetName val="QTD_TO_GO27"/>
      <sheetName val="Leap_PO_Std_27"/>
      <sheetName val="Quantum_PO_Std27"/>
      <sheetName val="master_PO27"/>
      <sheetName val="Narr__Tables28"/>
      <sheetName val="FY01_Actuals28"/>
      <sheetName val="FY00_Restated28"/>
      <sheetName val="FY01_Quota28"/>
      <sheetName val="3D_ASPIRE_Table28"/>
      <sheetName val="Total_Financials28"/>
      <sheetName val="Table_of_Contents28"/>
      <sheetName val="GM_Trend28"/>
      <sheetName val="GM%_Trend28"/>
      <sheetName val="Linearity_Chart28"/>
      <sheetName val="NP_Trend28"/>
      <sheetName val="Rev_Trend28"/>
      <sheetName val="Rev-GM_Detail_128"/>
      <sheetName val="Rev-GM_Detail_228"/>
      <sheetName val="Rev_Mix_Trend28"/>
      <sheetName val="SUMMARY_(EXPD)28"/>
      <sheetName val="SUMMARY_(%)28"/>
      <sheetName val="QTD_TO_GO28"/>
      <sheetName val="Leap_PO_Std_28"/>
      <sheetName val="Quantum_PO_Std28"/>
      <sheetName val="master_PO28"/>
      <sheetName val="FX on 2121AP"/>
      <sheetName val="LOV"/>
      <sheetName val="Planet_Ame"/>
      <sheetName val="Planet_AP"/>
      <sheetName val="Planet_EMEA"/>
      <sheetName val="Planet_OG"/>
      <sheetName val="Planet_WW"/>
      <sheetName val="A翼写字楼"/>
      <sheetName val="Aging Datasheet"/>
      <sheetName val="ECCS_1 DataSheet"/>
      <sheetName val="KPI Datasheet"/>
      <sheetName val="Narr__Tables33"/>
      <sheetName val="FY01_Actuals33"/>
      <sheetName val="FY00_Restated33"/>
      <sheetName val="FY01_Quota33"/>
      <sheetName val="3D_ASPIRE_Table33"/>
      <sheetName val="Total_Financials33"/>
      <sheetName val="Table_of_Contents33"/>
      <sheetName val="GM_Trend33"/>
      <sheetName val="GM%_Trend33"/>
      <sheetName val="Linearity_Chart33"/>
      <sheetName val="NP_Trend33"/>
      <sheetName val="Rev_Trend33"/>
      <sheetName val="Rev-GM_Detail_133"/>
      <sheetName val="Rev-GM_Detail_233"/>
      <sheetName val="Rev_Mix_Trend33"/>
      <sheetName val="SUMMARY_(EXPD)33"/>
      <sheetName val="SUMMARY_(%)33"/>
      <sheetName val="QTD_TO_GO33"/>
      <sheetName val="Leap_PO_Std_33"/>
      <sheetName val="Quantum_PO_Std33"/>
      <sheetName val="master_PO33"/>
      <sheetName val="Comet_ASPIRE2"/>
      <sheetName val="Comet_Sequential2"/>
      <sheetName val="Comet_yoy2"/>
      <sheetName val="_DACHSER_Price_Matrix1"/>
      <sheetName val="DHL_Price_Matrix1"/>
      <sheetName val="HOPI_Price_Matrix1"/>
      <sheetName val="LOGWIN_Price_Matrix1"/>
      <sheetName val="RHENUS_Price_Matrix1"/>
      <sheetName val="3_3_Transport_Daten1"/>
      <sheetName val="Av_Measures1"/>
      <sheetName val="CUSTOMER_GROUP_WISE1"/>
      <sheetName val="Company_Info1"/>
      <sheetName val="Narr__Tables30"/>
      <sheetName val="FY01_Actuals30"/>
      <sheetName val="FY00_Restated30"/>
      <sheetName val="FY01_Quota30"/>
      <sheetName val="3D_ASPIRE_Table30"/>
      <sheetName val="Total_Financials30"/>
      <sheetName val="Table_of_Contents30"/>
      <sheetName val="GM_Trend30"/>
      <sheetName val="GM%_Trend30"/>
      <sheetName val="Linearity_Chart30"/>
      <sheetName val="NP_Trend30"/>
      <sheetName val="Rev_Trend30"/>
      <sheetName val="Rev-GM_Detail_130"/>
      <sheetName val="Rev-GM_Detail_230"/>
      <sheetName val="Rev_Mix_Trend30"/>
      <sheetName val="SUMMARY_(EXPD)30"/>
      <sheetName val="SUMMARY_(%)30"/>
      <sheetName val="QTD_TO_GO30"/>
      <sheetName val="Leap_PO_Std_30"/>
      <sheetName val="Quantum_PO_Std30"/>
      <sheetName val="master_PO30"/>
      <sheetName val="Narr__Tables31"/>
      <sheetName val="FY01_Actuals31"/>
      <sheetName val="FY00_Restated31"/>
      <sheetName val="FY01_Quota31"/>
      <sheetName val="3D_ASPIRE_Table31"/>
      <sheetName val="Total_Financials31"/>
      <sheetName val="Table_of_Contents31"/>
      <sheetName val="GM_Trend31"/>
      <sheetName val="GM%_Trend31"/>
      <sheetName val="Linearity_Chart31"/>
      <sheetName val="NP_Trend31"/>
      <sheetName val="Rev_Trend31"/>
      <sheetName val="Rev-GM_Detail_131"/>
      <sheetName val="Rev-GM_Detail_231"/>
      <sheetName val="Rev_Mix_Trend31"/>
      <sheetName val="SUMMARY_(EXPD)31"/>
      <sheetName val="SUMMARY_(%)31"/>
      <sheetName val="QTD_TO_GO31"/>
      <sheetName val="Leap_PO_Std_31"/>
      <sheetName val="Quantum_PO_Std31"/>
      <sheetName val="master_PO31"/>
      <sheetName val="Narr__Tables32"/>
      <sheetName val="FY01_Actuals32"/>
      <sheetName val="FY00_Restated32"/>
      <sheetName val="FY01_Quota32"/>
      <sheetName val="3D_ASPIRE_Table32"/>
      <sheetName val="Total_Financials32"/>
      <sheetName val="Table_of_Contents32"/>
      <sheetName val="GM_Trend32"/>
      <sheetName val="GM%_Trend32"/>
      <sheetName val="Linearity_Chart32"/>
      <sheetName val="NP_Trend32"/>
      <sheetName val="Rev_Trend32"/>
      <sheetName val="Rev-GM_Detail_132"/>
      <sheetName val="Rev-GM_Detail_232"/>
      <sheetName val="Rev_Mix_Trend32"/>
      <sheetName val="SUMMARY_(EXPD)32"/>
      <sheetName val="SUMMARY_(%)32"/>
      <sheetName val="QTD_TO_GO32"/>
      <sheetName val="Leap_PO_Std_32"/>
      <sheetName val="Quantum_PO_Std32"/>
      <sheetName val="master_PO32"/>
      <sheetName val="Comet_ASPIRE1"/>
      <sheetName val="Comet_Sequential1"/>
      <sheetName val="Comet_yoy1"/>
      <sheetName val="_DACHSER_Price_Matrix"/>
      <sheetName val="DHL_Price_Matrix"/>
      <sheetName val="HOPI_Price_Matrix"/>
      <sheetName val="LOGWIN_Price_Matrix"/>
      <sheetName val="RHENUS_Price_Matrix"/>
      <sheetName val="3_3_Transport_Daten"/>
      <sheetName val="Av_Measures"/>
      <sheetName val="CUSTOMER_GROUP_WISE"/>
      <sheetName val="Company_Info"/>
      <sheetName val="Narr__Tables42"/>
      <sheetName val="FY01_Actuals42"/>
      <sheetName val="FY00_Restated42"/>
      <sheetName val="FY01_Quota42"/>
      <sheetName val="3D_ASPIRE_Table42"/>
      <sheetName val="Total_Financials42"/>
      <sheetName val="Table_of_Contents42"/>
      <sheetName val="GM_Trend42"/>
      <sheetName val="GM%_Trend42"/>
      <sheetName val="Linearity_Chart42"/>
      <sheetName val="NP_Trend42"/>
      <sheetName val="Rev_Trend42"/>
      <sheetName val="Rev-GM_Detail_142"/>
      <sheetName val="Rev-GM_Detail_242"/>
      <sheetName val="Rev_Mix_Trend42"/>
      <sheetName val="SUMMARY_(EXPD)42"/>
      <sheetName val="SUMMARY_(%)42"/>
      <sheetName val="QTD_TO_GO42"/>
      <sheetName val="Leap_PO_Std_42"/>
      <sheetName val="Quantum_PO_Std42"/>
      <sheetName val="master_PO42"/>
      <sheetName val="Comet_ASPIRE11"/>
      <sheetName val="Comet_Sequential11"/>
      <sheetName val="Comet_yoy11"/>
      <sheetName val="_DACHSER_Price_Matrix10"/>
      <sheetName val="DHL_Price_Matrix10"/>
      <sheetName val="HOPI_Price_Matrix10"/>
      <sheetName val="LOGWIN_Price_Matrix10"/>
      <sheetName val="RHENUS_Price_Matrix10"/>
      <sheetName val="3_3_Transport_Daten10"/>
      <sheetName val="Av_Measures10"/>
      <sheetName val="CUSTOMER_GROUP_WISE10"/>
      <sheetName val="Company_Info10"/>
      <sheetName val="FX_on_2121AP2"/>
      <sheetName val="Aging_Datasheet2"/>
      <sheetName val="ECCS_1_DataSheet2"/>
      <sheetName val="KPI_Datasheet2"/>
      <sheetName val="Narr__Tables36"/>
      <sheetName val="FY01_Actuals36"/>
      <sheetName val="FY00_Restated36"/>
      <sheetName val="FY01_Quota36"/>
      <sheetName val="3D_ASPIRE_Table36"/>
      <sheetName val="Total_Financials36"/>
      <sheetName val="Table_of_Contents36"/>
      <sheetName val="GM_Trend36"/>
      <sheetName val="GM%_Trend36"/>
      <sheetName val="Linearity_Chart36"/>
      <sheetName val="NP_Trend36"/>
      <sheetName val="Rev_Trend36"/>
      <sheetName val="Rev-GM_Detail_136"/>
      <sheetName val="Rev-GM_Detail_236"/>
      <sheetName val="Rev_Mix_Trend36"/>
      <sheetName val="SUMMARY_(EXPD)36"/>
      <sheetName val="SUMMARY_(%)36"/>
      <sheetName val="QTD_TO_GO36"/>
      <sheetName val="Leap_PO_Std_36"/>
      <sheetName val="Quantum_PO_Std36"/>
      <sheetName val="master_PO36"/>
      <sheetName val="Comet_ASPIRE5"/>
      <sheetName val="Comet_Sequential5"/>
      <sheetName val="Comet_yoy5"/>
      <sheetName val="_DACHSER_Price_Matrix4"/>
      <sheetName val="DHL_Price_Matrix4"/>
      <sheetName val="HOPI_Price_Matrix4"/>
      <sheetName val="LOGWIN_Price_Matrix4"/>
      <sheetName val="RHENUS_Price_Matrix4"/>
      <sheetName val="3_3_Transport_Daten4"/>
      <sheetName val="Av_Measures4"/>
      <sheetName val="CUSTOMER_GROUP_WISE4"/>
      <sheetName val="Company_Info4"/>
      <sheetName val="Narr__Tables34"/>
      <sheetName val="FY01_Actuals34"/>
      <sheetName val="FY00_Restated34"/>
      <sheetName val="FY01_Quota34"/>
      <sheetName val="3D_ASPIRE_Table34"/>
      <sheetName val="Total_Financials34"/>
      <sheetName val="Table_of_Contents34"/>
      <sheetName val="GM_Trend34"/>
      <sheetName val="GM%_Trend34"/>
      <sheetName val="Linearity_Chart34"/>
      <sheetName val="NP_Trend34"/>
      <sheetName val="Rev_Trend34"/>
      <sheetName val="Rev-GM_Detail_134"/>
      <sheetName val="Rev-GM_Detail_234"/>
      <sheetName val="Rev_Mix_Trend34"/>
      <sheetName val="SUMMARY_(EXPD)34"/>
      <sheetName val="SUMMARY_(%)34"/>
      <sheetName val="QTD_TO_GO34"/>
      <sheetName val="Leap_PO_Std_34"/>
      <sheetName val="Quantum_PO_Std34"/>
      <sheetName val="master_PO34"/>
      <sheetName val="Comet_ASPIRE3"/>
      <sheetName val="Comet_Sequential3"/>
      <sheetName val="Comet_yoy3"/>
      <sheetName val="_DACHSER_Price_Matrix2"/>
      <sheetName val="DHL_Price_Matrix2"/>
      <sheetName val="HOPI_Price_Matrix2"/>
      <sheetName val="LOGWIN_Price_Matrix2"/>
      <sheetName val="RHENUS_Price_Matrix2"/>
      <sheetName val="3_3_Transport_Daten2"/>
      <sheetName val="Av_Measures2"/>
      <sheetName val="CUSTOMER_GROUP_WISE2"/>
      <sheetName val="Company_Info2"/>
      <sheetName val="Narr__Tables35"/>
      <sheetName val="FY01_Actuals35"/>
      <sheetName val="FY00_Restated35"/>
      <sheetName val="FY01_Quota35"/>
      <sheetName val="3D_ASPIRE_Table35"/>
      <sheetName val="Total_Financials35"/>
      <sheetName val="Table_of_Contents35"/>
      <sheetName val="GM_Trend35"/>
      <sheetName val="GM%_Trend35"/>
      <sheetName val="Linearity_Chart35"/>
      <sheetName val="NP_Trend35"/>
      <sheetName val="Rev_Trend35"/>
      <sheetName val="Rev-GM_Detail_135"/>
      <sheetName val="Rev-GM_Detail_235"/>
      <sheetName val="Rev_Mix_Trend35"/>
      <sheetName val="SUMMARY_(EXPD)35"/>
      <sheetName val="SUMMARY_(%)35"/>
      <sheetName val="QTD_TO_GO35"/>
      <sheetName val="Leap_PO_Std_35"/>
      <sheetName val="Quantum_PO_Std35"/>
      <sheetName val="master_PO35"/>
      <sheetName val="Comet_ASPIRE4"/>
      <sheetName val="Comet_Sequential4"/>
      <sheetName val="Comet_yoy4"/>
      <sheetName val="_DACHSER_Price_Matrix3"/>
      <sheetName val="DHL_Price_Matrix3"/>
      <sheetName val="HOPI_Price_Matrix3"/>
      <sheetName val="LOGWIN_Price_Matrix3"/>
      <sheetName val="RHENUS_Price_Matrix3"/>
      <sheetName val="3_3_Transport_Daten3"/>
      <sheetName val="Av_Measures3"/>
      <sheetName val="CUSTOMER_GROUP_WISE3"/>
      <sheetName val="Company_Info3"/>
      <sheetName val="Narr__Tables39"/>
      <sheetName val="FY01_Actuals39"/>
      <sheetName val="FY00_Restated39"/>
      <sheetName val="FY01_Quota39"/>
      <sheetName val="3D_ASPIRE_Table39"/>
      <sheetName val="Total_Financials39"/>
      <sheetName val="Table_of_Contents39"/>
      <sheetName val="GM_Trend39"/>
      <sheetName val="GM%_Trend39"/>
      <sheetName val="Linearity_Chart39"/>
      <sheetName val="NP_Trend39"/>
      <sheetName val="Rev_Trend39"/>
      <sheetName val="Rev-GM_Detail_139"/>
      <sheetName val="Rev-GM_Detail_239"/>
      <sheetName val="Rev_Mix_Trend39"/>
      <sheetName val="SUMMARY_(EXPD)39"/>
      <sheetName val="SUMMARY_(%)39"/>
      <sheetName val="QTD_TO_GO39"/>
      <sheetName val="Leap_PO_Std_39"/>
      <sheetName val="Quantum_PO_Std39"/>
      <sheetName val="master_PO39"/>
      <sheetName val="Comet_ASPIRE8"/>
      <sheetName val="Comet_Sequential8"/>
      <sheetName val="Comet_yoy8"/>
      <sheetName val="_DACHSER_Price_Matrix7"/>
      <sheetName val="DHL_Price_Matrix7"/>
      <sheetName val="HOPI_Price_Matrix7"/>
      <sheetName val="LOGWIN_Price_Matrix7"/>
      <sheetName val="RHENUS_Price_Matrix7"/>
      <sheetName val="3_3_Transport_Daten7"/>
      <sheetName val="Av_Measures7"/>
      <sheetName val="CUSTOMER_GROUP_WISE7"/>
      <sheetName val="Company_Info7"/>
      <sheetName val="Narr__Tables37"/>
      <sheetName val="FY01_Actuals37"/>
      <sheetName val="FY00_Restated37"/>
      <sheetName val="FY01_Quota37"/>
      <sheetName val="3D_ASPIRE_Table37"/>
      <sheetName val="Total_Financials37"/>
      <sheetName val="Table_of_Contents37"/>
      <sheetName val="GM_Trend37"/>
      <sheetName val="GM%_Trend37"/>
      <sheetName val="Linearity_Chart37"/>
      <sheetName val="NP_Trend37"/>
      <sheetName val="Rev_Trend37"/>
      <sheetName val="Rev-GM_Detail_137"/>
      <sheetName val="Rev-GM_Detail_237"/>
      <sheetName val="Rev_Mix_Trend37"/>
      <sheetName val="SUMMARY_(EXPD)37"/>
      <sheetName val="SUMMARY_(%)37"/>
      <sheetName val="QTD_TO_GO37"/>
      <sheetName val="Leap_PO_Std_37"/>
      <sheetName val="Quantum_PO_Std37"/>
      <sheetName val="master_PO37"/>
      <sheetName val="Comet_ASPIRE6"/>
      <sheetName val="Comet_Sequential6"/>
      <sheetName val="Comet_yoy6"/>
      <sheetName val="_DACHSER_Price_Matrix5"/>
      <sheetName val="DHL_Price_Matrix5"/>
      <sheetName val="HOPI_Price_Matrix5"/>
      <sheetName val="LOGWIN_Price_Matrix5"/>
      <sheetName val="RHENUS_Price_Matrix5"/>
      <sheetName val="3_3_Transport_Daten5"/>
      <sheetName val="Av_Measures5"/>
      <sheetName val="CUSTOMER_GROUP_WISE5"/>
      <sheetName val="Company_Info5"/>
      <sheetName val="Narr__Tables38"/>
      <sheetName val="FY01_Actuals38"/>
      <sheetName val="FY00_Restated38"/>
      <sheetName val="FY01_Quota38"/>
      <sheetName val="3D_ASPIRE_Table38"/>
      <sheetName val="Total_Financials38"/>
      <sheetName val="Table_of_Contents38"/>
      <sheetName val="GM_Trend38"/>
      <sheetName val="GM%_Trend38"/>
      <sheetName val="Linearity_Chart38"/>
      <sheetName val="NP_Trend38"/>
      <sheetName val="Rev_Trend38"/>
      <sheetName val="Rev-GM_Detail_138"/>
      <sheetName val="Rev-GM_Detail_238"/>
      <sheetName val="Rev_Mix_Trend38"/>
      <sheetName val="SUMMARY_(EXPD)38"/>
      <sheetName val="SUMMARY_(%)38"/>
      <sheetName val="QTD_TO_GO38"/>
      <sheetName val="Leap_PO_Std_38"/>
      <sheetName val="Quantum_PO_Std38"/>
      <sheetName val="master_PO38"/>
      <sheetName val="Comet_ASPIRE7"/>
      <sheetName val="Comet_Sequential7"/>
      <sheetName val="Comet_yoy7"/>
      <sheetName val="_DACHSER_Price_Matrix6"/>
      <sheetName val="DHL_Price_Matrix6"/>
      <sheetName val="HOPI_Price_Matrix6"/>
      <sheetName val="LOGWIN_Price_Matrix6"/>
      <sheetName val="RHENUS_Price_Matrix6"/>
      <sheetName val="3_3_Transport_Daten6"/>
      <sheetName val="Av_Measures6"/>
      <sheetName val="CUSTOMER_GROUP_WISE6"/>
      <sheetName val="Company_Info6"/>
      <sheetName val="Narr__Tables40"/>
      <sheetName val="FY01_Actuals40"/>
      <sheetName val="FY00_Restated40"/>
      <sheetName val="FY01_Quota40"/>
      <sheetName val="3D_ASPIRE_Table40"/>
      <sheetName val="Total_Financials40"/>
      <sheetName val="Table_of_Contents40"/>
      <sheetName val="GM_Trend40"/>
      <sheetName val="GM%_Trend40"/>
      <sheetName val="Linearity_Chart40"/>
      <sheetName val="NP_Trend40"/>
      <sheetName val="Rev_Trend40"/>
      <sheetName val="Rev-GM_Detail_140"/>
      <sheetName val="Rev-GM_Detail_240"/>
      <sheetName val="Rev_Mix_Trend40"/>
      <sheetName val="SUMMARY_(EXPD)40"/>
      <sheetName val="SUMMARY_(%)40"/>
      <sheetName val="QTD_TO_GO40"/>
      <sheetName val="Leap_PO_Std_40"/>
      <sheetName val="Quantum_PO_Std40"/>
      <sheetName val="master_PO40"/>
      <sheetName val="Comet_ASPIRE9"/>
      <sheetName val="Comet_Sequential9"/>
      <sheetName val="Comet_yoy9"/>
      <sheetName val="_DACHSER_Price_Matrix8"/>
      <sheetName val="DHL_Price_Matrix8"/>
      <sheetName val="HOPI_Price_Matrix8"/>
      <sheetName val="LOGWIN_Price_Matrix8"/>
      <sheetName val="RHENUS_Price_Matrix8"/>
      <sheetName val="3_3_Transport_Daten8"/>
      <sheetName val="Av_Measures8"/>
      <sheetName val="CUSTOMER_GROUP_WISE8"/>
      <sheetName val="Company_Info8"/>
      <sheetName val="FX_on_2121AP"/>
      <sheetName val="Aging_Datasheet"/>
      <sheetName val="ECCS_1_DataSheet"/>
      <sheetName val="KPI_Datasheet"/>
      <sheetName val="Narr__Tables41"/>
      <sheetName val="FY01_Actuals41"/>
      <sheetName val="FY00_Restated41"/>
      <sheetName val="FY01_Quota41"/>
      <sheetName val="3D_ASPIRE_Table41"/>
      <sheetName val="Total_Financials41"/>
      <sheetName val="Table_of_Contents41"/>
      <sheetName val="GM_Trend41"/>
      <sheetName val="GM%_Trend41"/>
      <sheetName val="Linearity_Chart41"/>
      <sheetName val="NP_Trend41"/>
      <sheetName val="Rev_Trend41"/>
      <sheetName val="Rev-GM_Detail_141"/>
      <sheetName val="Rev-GM_Detail_241"/>
      <sheetName val="Rev_Mix_Trend41"/>
      <sheetName val="SUMMARY_(EXPD)41"/>
      <sheetName val="SUMMARY_(%)41"/>
      <sheetName val="QTD_TO_GO41"/>
      <sheetName val="Leap_PO_Std_41"/>
      <sheetName val="Quantum_PO_Std41"/>
      <sheetName val="master_PO41"/>
      <sheetName val="Comet_ASPIRE10"/>
      <sheetName val="Comet_Sequential10"/>
      <sheetName val="Comet_yoy10"/>
      <sheetName val="_DACHSER_Price_Matrix9"/>
      <sheetName val="DHL_Price_Matrix9"/>
      <sheetName val="HOPI_Price_Matrix9"/>
      <sheetName val="LOGWIN_Price_Matrix9"/>
      <sheetName val="RHENUS_Price_Matrix9"/>
      <sheetName val="3_3_Transport_Daten9"/>
      <sheetName val="Av_Measures9"/>
      <sheetName val="CUSTOMER_GROUP_WISE9"/>
      <sheetName val="Company_Info9"/>
      <sheetName val="FX_on_2121AP1"/>
      <sheetName val="Aging_Datasheet1"/>
      <sheetName val="ECCS_1_DataSheet1"/>
      <sheetName val="KPI_Datasheet1"/>
      <sheetName val="假设"/>
      <sheetName val="5+7 plan"/>
      <sheetName val="Original"/>
      <sheetName val="FCG"/>
      <sheetName val="Funnel"/>
      <sheetName val="AmeSum"/>
      <sheetName val="Q4 CURRENCY"/>
      <sheetName val="PLALL2"/>
      <sheetName val="dec05 pl"/>
      <sheetName val="Time Dimension Lookup"/>
      <sheetName val="Sheet51"/>
      <sheetName val="Item Type list"/>
      <sheetName val="Item Type"/>
      <sheetName val="Index"/>
      <sheetName val="S-PARTS-XE"/>
      <sheetName val="total(F)"/>
      <sheetName val="Instructions"/>
      <sheetName val="產品基本信息"/>
      <sheetName val="Spec"/>
      <sheetName val="MC3(main)"/>
      <sheetName val="MC1"/>
      <sheetName val="Foams"/>
      <sheetName val="Grid"/>
      <sheetName val="公司"/>
      <sheetName val="工厂"/>
      <sheetName val="经营体"/>
      <sheetName val="供应商"/>
      <sheetName val="Narr__Tables43"/>
      <sheetName val="FY01_Actuals43"/>
      <sheetName val="FY00_Restated43"/>
      <sheetName val="FY01_Quota43"/>
      <sheetName val="3D_ASPIRE_Table43"/>
      <sheetName val="Total_Financials43"/>
      <sheetName val="Table_of_Contents43"/>
      <sheetName val="GM_Trend43"/>
      <sheetName val="GM%_Trend43"/>
      <sheetName val="Linearity_Chart43"/>
      <sheetName val="NP_Trend43"/>
      <sheetName val="Rev_Trend43"/>
      <sheetName val="Rev-GM_Detail_143"/>
      <sheetName val="Rev-GM_Detail_243"/>
      <sheetName val="Rev_Mix_Trend43"/>
      <sheetName val="SUMMARY_(EXPD)43"/>
      <sheetName val="SUMMARY_(%)43"/>
      <sheetName val="QTD_TO_GO43"/>
      <sheetName val="Leap_PO_Std_43"/>
      <sheetName val="Quantum_PO_Std43"/>
      <sheetName val="master_PO43"/>
      <sheetName val="Comet_ASPIRE12"/>
      <sheetName val="Comet_Sequential12"/>
      <sheetName val="Comet_yoy12"/>
      <sheetName val="_DACHSER_Price_Matrix11"/>
      <sheetName val="DHL_Price_Matrix11"/>
      <sheetName val="HOPI_Price_Matrix11"/>
      <sheetName val="LOGWIN_Price_Matrix11"/>
      <sheetName val="RHENUS_Price_Matrix11"/>
      <sheetName val="3_3_Transport_Daten11"/>
      <sheetName val="Av_Measures11"/>
      <sheetName val="CUSTOMER_GROUP_WISE11"/>
      <sheetName val="Company_Info11"/>
      <sheetName val="FX_on_2121AP3"/>
      <sheetName val="Aging_Datasheet3"/>
      <sheetName val="ECCS_1_DataSheet3"/>
      <sheetName val="KPI_Datasheet3"/>
      <sheetName val="Narr__Tables44"/>
      <sheetName val="FY01_Actuals44"/>
      <sheetName val="FY00_Restated44"/>
      <sheetName val="FY01_Quota44"/>
      <sheetName val="3D_ASPIRE_Table44"/>
      <sheetName val="Total_Financials44"/>
      <sheetName val="Table_of_Contents44"/>
      <sheetName val="GM_Trend44"/>
      <sheetName val="GM%_Trend44"/>
      <sheetName val="Linearity_Chart44"/>
      <sheetName val="NP_Trend44"/>
      <sheetName val="Rev_Trend44"/>
      <sheetName val="Rev-GM_Detail_144"/>
      <sheetName val="Rev-GM_Detail_244"/>
      <sheetName val="Rev_Mix_Trend44"/>
      <sheetName val="SUMMARY_(EXPD)44"/>
      <sheetName val="SUMMARY_(%)44"/>
      <sheetName val="QTD_TO_GO44"/>
      <sheetName val="Leap_PO_Std_44"/>
      <sheetName val="Quantum_PO_Std44"/>
      <sheetName val="master_PO44"/>
      <sheetName val="Comet_ASPIRE13"/>
      <sheetName val="Comet_Sequential13"/>
      <sheetName val="Comet_yoy13"/>
      <sheetName val="_DACHSER_Price_Matrix12"/>
      <sheetName val="DHL_Price_Matrix12"/>
      <sheetName val="HOPI_Price_Matrix12"/>
      <sheetName val="LOGWIN_Price_Matrix12"/>
      <sheetName val="RHENUS_Price_Matrix12"/>
      <sheetName val="3_3_Transport_Daten12"/>
      <sheetName val="Av_Measures12"/>
      <sheetName val="CUSTOMER_GROUP_WISE12"/>
      <sheetName val="Company_Info12"/>
      <sheetName val="FX_on_2121AP4"/>
      <sheetName val="Aging_Datasheet4"/>
      <sheetName val="ECCS_1_DataSheet4"/>
      <sheetName val="KPI_Datasheet4"/>
      <sheetName val="Narr__Tables45"/>
      <sheetName val="FY01_Actuals45"/>
      <sheetName val="FY00_Restated45"/>
      <sheetName val="FY01_Quota45"/>
      <sheetName val="3D_ASPIRE_Table45"/>
      <sheetName val="Total_Financials45"/>
      <sheetName val="Table_of_Contents45"/>
      <sheetName val="GM_Trend45"/>
      <sheetName val="GM%_Trend45"/>
      <sheetName val="Linearity_Chart45"/>
      <sheetName val="NP_Trend45"/>
      <sheetName val="Rev_Trend45"/>
      <sheetName val="Rev-GM_Detail_145"/>
      <sheetName val="Rev-GM_Detail_245"/>
      <sheetName val="Rev_Mix_Trend45"/>
      <sheetName val="SUMMARY_(EXPD)45"/>
      <sheetName val="SUMMARY_(%)45"/>
      <sheetName val="QTD_TO_GO45"/>
      <sheetName val="Leap_PO_Std_45"/>
      <sheetName val="Quantum_PO_Std45"/>
      <sheetName val="master_PO45"/>
      <sheetName val="Comet_ASPIRE14"/>
      <sheetName val="Comet_Sequential14"/>
      <sheetName val="Comet_yoy14"/>
      <sheetName val="_DACHSER_Price_Matrix13"/>
      <sheetName val="DHL_Price_Matrix13"/>
      <sheetName val="HOPI_Price_Matrix13"/>
      <sheetName val="LOGWIN_Price_Matrix13"/>
      <sheetName val="RHENUS_Price_Matrix13"/>
      <sheetName val="3_3_Transport_Daten13"/>
      <sheetName val="Av_Measures13"/>
      <sheetName val="CUSTOMER_GROUP_WISE13"/>
      <sheetName val="Company_Info13"/>
      <sheetName val="FX_on_2121AP5"/>
      <sheetName val="Aging_Datasheet5"/>
      <sheetName val="ECCS_1_DataSheet5"/>
      <sheetName val="KPI_Datasheet5"/>
      <sheetName val="Narr__Tables46"/>
      <sheetName val="FY01_Actuals46"/>
      <sheetName val="FY00_Restated46"/>
      <sheetName val="FY01_Quota46"/>
      <sheetName val="3D_ASPIRE_Table46"/>
      <sheetName val="Total_Financials46"/>
      <sheetName val="Table_of_Contents46"/>
      <sheetName val="GM_Trend46"/>
      <sheetName val="GM%_Trend46"/>
      <sheetName val="Linearity_Chart46"/>
      <sheetName val="NP_Trend46"/>
      <sheetName val="Rev_Trend46"/>
      <sheetName val="Rev-GM_Detail_146"/>
      <sheetName val="Rev-GM_Detail_246"/>
      <sheetName val="Rev_Mix_Trend46"/>
      <sheetName val="SUMMARY_(EXPD)46"/>
      <sheetName val="SUMMARY_(%)46"/>
      <sheetName val="QTD_TO_GO46"/>
      <sheetName val="Leap_PO_Std_46"/>
      <sheetName val="Quantum_PO_Std46"/>
      <sheetName val="master_PO46"/>
      <sheetName val="Comet_ASPIRE15"/>
      <sheetName val="Comet_Sequential15"/>
      <sheetName val="Comet_yoy15"/>
      <sheetName val="_DACHSER_Price_Matrix14"/>
      <sheetName val="DHL_Price_Matrix14"/>
      <sheetName val="HOPI_Price_Matrix14"/>
      <sheetName val="LOGWIN_Price_Matrix14"/>
      <sheetName val="RHENUS_Price_Matrix14"/>
      <sheetName val="3_3_Transport_Daten14"/>
      <sheetName val="Av_Measures14"/>
      <sheetName val="CUSTOMER_GROUP_WISE14"/>
      <sheetName val="Company_Info14"/>
      <sheetName val="FX_on_2121AP6"/>
      <sheetName val="Aging_Datasheet6"/>
      <sheetName val="ECCS_1_DataSheet6"/>
      <sheetName val="KPI_Datasheet6"/>
      <sheetName val="Narr__Tables47"/>
      <sheetName val="FY01_Actuals47"/>
      <sheetName val="FY00_Restated47"/>
      <sheetName val="FY01_Quota47"/>
      <sheetName val="3D_ASPIRE_Table47"/>
      <sheetName val="Total_Financials47"/>
      <sheetName val="Table_of_Contents47"/>
      <sheetName val="GM_Trend47"/>
      <sheetName val="GM%_Trend47"/>
      <sheetName val="Linearity_Chart47"/>
      <sheetName val="NP_Trend47"/>
      <sheetName val="Rev_Trend47"/>
      <sheetName val="Rev-GM_Detail_147"/>
      <sheetName val="Rev-GM_Detail_247"/>
      <sheetName val="Rev_Mix_Trend47"/>
      <sheetName val="SUMMARY_(EXPD)47"/>
      <sheetName val="SUMMARY_(%)47"/>
      <sheetName val="QTD_TO_GO47"/>
      <sheetName val="Leap_PO_Std_47"/>
      <sheetName val="Quantum_PO_Std47"/>
      <sheetName val="master_PO47"/>
      <sheetName val="Comet_ASPIRE16"/>
      <sheetName val="Comet_Sequential16"/>
      <sheetName val="Comet_yoy16"/>
      <sheetName val="_DACHSER_Price_Matrix15"/>
      <sheetName val="DHL_Price_Matrix15"/>
      <sheetName val="HOPI_Price_Matrix15"/>
      <sheetName val="LOGWIN_Price_Matrix15"/>
      <sheetName val="RHENUS_Price_Matrix15"/>
      <sheetName val="3_3_Transport_Daten15"/>
      <sheetName val="Av_Measures15"/>
      <sheetName val="CUSTOMER_GROUP_WISE15"/>
      <sheetName val="Company_Info15"/>
      <sheetName val="FX_on_2121AP7"/>
      <sheetName val="Aging_Datasheet7"/>
      <sheetName val="ECCS_1_DataSheet7"/>
      <sheetName val="KPI_Datasheet7"/>
      <sheetName val="Narr__Tables48"/>
      <sheetName val="FY01_Actuals48"/>
      <sheetName val="FY00_Restated48"/>
      <sheetName val="FY01_Quota48"/>
      <sheetName val="3D_ASPIRE_Table48"/>
      <sheetName val="Total_Financials48"/>
      <sheetName val="Table_of_Contents48"/>
      <sheetName val="GM_Trend48"/>
      <sheetName val="GM%_Trend48"/>
      <sheetName val="Linearity_Chart48"/>
      <sheetName val="NP_Trend48"/>
      <sheetName val="Rev_Trend48"/>
      <sheetName val="Rev-GM_Detail_148"/>
      <sheetName val="Rev-GM_Detail_248"/>
      <sheetName val="Rev_Mix_Trend48"/>
      <sheetName val="SUMMARY_(EXPD)48"/>
      <sheetName val="SUMMARY_(%)48"/>
      <sheetName val="QTD_TO_GO48"/>
      <sheetName val="Leap_PO_Std_48"/>
      <sheetName val="Quantum_PO_Std48"/>
      <sheetName val="master_PO48"/>
      <sheetName val="Comet_ASPIRE17"/>
      <sheetName val="Comet_Sequential17"/>
      <sheetName val="Comet_yoy17"/>
      <sheetName val="_DACHSER_Price_Matrix16"/>
      <sheetName val="DHL_Price_Matrix16"/>
      <sheetName val="HOPI_Price_Matrix16"/>
      <sheetName val="LOGWIN_Price_Matrix16"/>
      <sheetName val="RHENUS_Price_Matrix16"/>
      <sheetName val="3_3_Transport_Daten16"/>
      <sheetName val="Av_Measures16"/>
      <sheetName val="CUSTOMER_GROUP_WISE16"/>
      <sheetName val="Company_Info16"/>
      <sheetName val="FX_on_2121AP8"/>
      <sheetName val="Aging_Datasheet8"/>
      <sheetName val="ECCS_1_DataSheet8"/>
      <sheetName val="KPI_Datasheet8"/>
      <sheetName val="Narr__Tables50"/>
      <sheetName val="FY01_Actuals50"/>
      <sheetName val="FY00_Restated50"/>
      <sheetName val="FY01_Quota50"/>
      <sheetName val="3D_ASPIRE_Table50"/>
      <sheetName val="Total_Financials50"/>
      <sheetName val="Table_of_Contents50"/>
      <sheetName val="GM_Trend50"/>
      <sheetName val="GM%_Trend50"/>
      <sheetName val="Linearity_Chart50"/>
      <sheetName val="NP_Trend50"/>
      <sheetName val="Rev_Trend50"/>
      <sheetName val="Rev-GM_Detail_150"/>
      <sheetName val="Rev-GM_Detail_250"/>
      <sheetName val="Rev_Mix_Trend50"/>
      <sheetName val="SUMMARY_(EXPD)50"/>
      <sheetName val="SUMMARY_(%)50"/>
      <sheetName val="QTD_TO_GO50"/>
      <sheetName val="Leap_PO_Std_50"/>
      <sheetName val="Quantum_PO_Std50"/>
      <sheetName val="master_PO50"/>
      <sheetName val="Comet_ASPIRE19"/>
      <sheetName val="Comet_Sequential19"/>
      <sheetName val="Comet_yoy19"/>
      <sheetName val="_DACHSER_Price_Matrix18"/>
      <sheetName val="DHL_Price_Matrix18"/>
      <sheetName val="HOPI_Price_Matrix18"/>
      <sheetName val="LOGWIN_Price_Matrix18"/>
      <sheetName val="RHENUS_Price_Matrix18"/>
      <sheetName val="3_3_Transport_Daten18"/>
      <sheetName val="Av_Measures18"/>
      <sheetName val="CUSTOMER_GROUP_WISE18"/>
      <sheetName val="Company_Info18"/>
      <sheetName val="FX_on_2121AP10"/>
      <sheetName val="Aging_Datasheet10"/>
      <sheetName val="ECCS_1_DataSheet10"/>
      <sheetName val="KPI_Datasheet10"/>
      <sheetName val="Narr__Tables49"/>
      <sheetName val="FY01_Actuals49"/>
      <sheetName val="FY00_Restated49"/>
      <sheetName val="FY01_Quota49"/>
      <sheetName val="3D_ASPIRE_Table49"/>
      <sheetName val="Total_Financials49"/>
      <sheetName val="Table_of_Contents49"/>
      <sheetName val="GM_Trend49"/>
      <sheetName val="GM%_Trend49"/>
      <sheetName val="Linearity_Chart49"/>
      <sheetName val="NP_Trend49"/>
      <sheetName val="Rev_Trend49"/>
      <sheetName val="Rev-GM_Detail_149"/>
      <sheetName val="Rev-GM_Detail_249"/>
      <sheetName val="Rev_Mix_Trend49"/>
      <sheetName val="SUMMARY_(EXPD)49"/>
      <sheetName val="SUMMARY_(%)49"/>
      <sheetName val="QTD_TO_GO49"/>
      <sheetName val="Leap_PO_Std_49"/>
      <sheetName val="Quantum_PO_Std49"/>
      <sheetName val="master_PO49"/>
      <sheetName val="Comet_ASPIRE18"/>
      <sheetName val="Comet_Sequential18"/>
      <sheetName val="Comet_yoy18"/>
      <sheetName val="_DACHSER_Price_Matrix17"/>
      <sheetName val="DHL_Price_Matrix17"/>
      <sheetName val="HOPI_Price_Matrix17"/>
      <sheetName val="LOGWIN_Price_Matrix17"/>
      <sheetName val="RHENUS_Price_Matrix17"/>
      <sheetName val="3_3_Transport_Daten17"/>
      <sheetName val="Av_Measures17"/>
      <sheetName val="CUSTOMER_GROUP_WISE17"/>
      <sheetName val="Company_Info17"/>
      <sheetName val="FX_on_2121AP9"/>
      <sheetName val="Aging_Datasheet9"/>
      <sheetName val="ECCS_1_DataSheet9"/>
      <sheetName val="KPI_Datasheet9"/>
      <sheetName val="Narr__Tables51"/>
      <sheetName val="FY01_Actuals51"/>
      <sheetName val="FY00_Restated51"/>
      <sheetName val="FY01_Quota51"/>
      <sheetName val="3D_ASPIRE_Table51"/>
      <sheetName val="Total_Financials51"/>
      <sheetName val="Table_of_Contents51"/>
      <sheetName val="GM_Trend51"/>
      <sheetName val="GM%_Trend51"/>
      <sheetName val="Linearity_Chart51"/>
      <sheetName val="NP_Trend51"/>
      <sheetName val="Rev_Trend51"/>
      <sheetName val="Rev-GM_Detail_151"/>
      <sheetName val="Rev-GM_Detail_251"/>
      <sheetName val="Rev_Mix_Trend51"/>
      <sheetName val="SUMMARY_(EXPD)51"/>
      <sheetName val="SUMMARY_(%)51"/>
      <sheetName val="QTD_TO_GO51"/>
      <sheetName val="Leap_PO_Std_51"/>
      <sheetName val="Quantum_PO_Std51"/>
      <sheetName val="master_PO51"/>
      <sheetName val="Comet_ASPIRE20"/>
      <sheetName val="Comet_Sequential20"/>
      <sheetName val="Comet_yoy20"/>
      <sheetName val="_DACHSER_Price_Matrix19"/>
      <sheetName val="DHL_Price_Matrix19"/>
      <sheetName val="HOPI_Price_Matrix19"/>
      <sheetName val="LOGWIN_Price_Matrix19"/>
      <sheetName val="RHENUS_Price_Matrix19"/>
      <sheetName val="3_3_Transport_Daten19"/>
      <sheetName val="Av_Measures19"/>
      <sheetName val="CUSTOMER_GROUP_WISE19"/>
      <sheetName val="Company_Info19"/>
      <sheetName val="FX_on_2121AP11"/>
      <sheetName val="Aging_Datasheet11"/>
      <sheetName val="ECCS_1_DataSheet11"/>
      <sheetName val="KPI_Datasheet11"/>
      <sheetName val="Narr__Tables52"/>
      <sheetName val="FY01_Actuals52"/>
      <sheetName val="FY00_Restated52"/>
      <sheetName val="FY01_Quota52"/>
      <sheetName val="3D_ASPIRE_Table52"/>
      <sheetName val="Total_Financials52"/>
      <sheetName val="Table_of_Contents52"/>
      <sheetName val="GM_Trend52"/>
      <sheetName val="GM%_Trend52"/>
      <sheetName val="Linearity_Chart52"/>
      <sheetName val="NP_Trend52"/>
      <sheetName val="Rev_Trend52"/>
      <sheetName val="Rev-GM_Detail_152"/>
      <sheetName val="Rev-GM_Detail_252"/>
      <sheetName val="Rev_Mix_Trend52"/>
      <sheetName val="SUMMARY_(EXPD)52"/>
      <sheetName val="SUMMARY_(%)52"/>
      <sheetName val="QTD_TO_GO52"/>
      <sheetName val="Leap_PO_Std_52"/>
      <sheetName val="Quantum_PO_Std52"/>
      <sheetName val="master_PO52"/>
      <sheetName val="Comet_ASPIRE21"/>
      <sheetName val="Comet_Sequential21"/>
      <sheetName val="Comet_yoy21"/>
      <sheetName val="_DACHSER_Price_Matrix20"/>
      <sheetName val="DHL_Price_Matrix20"/>
      <sheetName val="HOPI_Price_Matrix20"/>
      <sheetName val="LOGWIN_Price_Matrix20"/>
      <sheetName val="RHENUS_Price_Matrix20"/>
      <sheetName val="3_3_Transport_Daten20"/>
      <sheetName val="Av_Measures20"/>
      <sheetName val="CUSTOMER_GROUP_WISE20"/>
      <sheetName val="Company_Info20"/>
      <sheetName val="FX_on_2121AP12"/>
      <sheetName val="Aging_Datasheet12"/>
      <sheetName val="ECCS_1_DataSheet12"/>
      <sheetName val="KPI_Datasheet12"/>
      <sheetName val="5+7_plan"/>
      <sheetName val="Narr__Tables60"/>
      <sheetName val="FY01_Actuals60"/>
      <sheetName val="FY00_Restated60"/>
      <sheetName val="FY01_Quota60"/>
      <sheetName val="3D_ASPIRE_Table60"/>
      <sheetName val="Total_Financials60"/>
      <sheetName val="Table_of_Contents60"/>
      <sheetName val="GM_Trend60"/>
      <sheetName val="GM%_Trend60"/>
      <sheetName val="Linearity_Chart60"/>
      <sheetName val="NP_Trend60"/>
      <sheetName val="Rev_Trend60"/>
      <sheetName val="Rev-GM_Detail_160"/>
      <sheetName val="Rev-GM_Detail_260"/>
      <sheetName val="Rev_Mix_Trend60"/>
      <sheetName val="SUMMARY_(EXPD)60"/>
      <sheetName val="SUMMARY_(%)60"/>
      <sheetName val="QTD_TO_GO60"/>
      <sheetName val="Leap_PO_Std_60"/>
      <sheetName val="Quantum_PO_Std60"/>
      <sheetName val="master_PO60"/>
      <sheetName val="Comet_ASPIRE29"/>
      <sheetName val="Comet_Sequential29"/>
      <sheetName val="Comet_yoy29"/>
      <sheetName val="_DACHSER_Price_Matrix28"/>
      <sheetName val="DHL_Price_Matrix28"/>
      <sheetName val="HOPI_Price_Matrix28"/>
      <sheetName val="LOGWIN_Price_Matrix28"/>
      <sheetName val="RHENUS_Price_Matrix28"/>
      <sheetName val="3_3_Transport_Daten28"/>
      <sheetName val="Av_Measures28"/>
      <sheetName val="CUSTOMER_GROUP_WISE28"/>
      <sheetName val="Company_Info28"/>
      <sheetName val="FX_on_2121AP20"/>
      <sheetName val="Aging_Datasheet20"/>
      <sheetName val="ECCS_1_DataSheet20"/>
      <sheetName val="KPI_Datasheet20"/>
      <sheetName val="5+7_plan7"/>
      <sheetName val="Narr__Tables53"/>
      <sheetName val="FY01_Actuals53"/>
      <sheetName val="FY00_Restated53"/>
      <sheetName val="FY01_Quota53"/>
      <sheetName val="3D_ASPIRE_Table53"/>
      <sheetName val="Total_Financials53"/>
      <sheetName val="Table_of_Contents53"/>
      <sheetName val="GM_Trend53"/>
      <sheetName val="GM%_Trend53"/>
      <sheetName val="Linearity_Chart53"/>
      <sheetName val="NP_Trend53"/>
      <sheetName val="Rev_Trend53"/>
      <sheetName val="Rev-GM_Detail_153"/>
      <sheetName val="Rev-GM_Detail_253"/>
      <sheetName val="Rev_Mix_Trend53"/>
      <sheetName val="SUMMARY_(EXPD)53"/>
      <sheetName val="SUMMARY_(%)53"/>
      <sheetName val="QTD_TO_GO53"/>
      <sheetName val="Leap_PO_Std_53"/>
      <sheetName val="Quantum_PO_Std53"/>
      <sheetName val="master_PO53"/>
      <sheetName val="Comet_ASPIRE22"/>
      <sheetName val="Comet_Sequential22"/>
      <sheetName val="Comet_yoy22"/>
      <sheetName val="_DACHSER_Price_Matrix21"/>
      <sheetName val="DHL_Price_Matrix21"/>
      <sheetName val="HOPI_Price_Matrix21"/>
      <sheetName val="LOGWIN_Price_Matrix21"/>
      <sheetName val="RHENUS_Price_Matrix21"/>
      <sheetName val="3_3_Transport_Daten21"/>
      <sheetName val="Av_Measures21"/>
      <sheetName val="CUSTOMER_GROUP_WISE21"/>
      <sheetName val="Company_Info21"/>
      <sheetName val="FX_on_2121AP13"/>
      <sheetName val="Aging_Datasheet13"/>
      <sheetName val="ECCS_1_DataSheet13"/>
      <sheetName val="KPI_Datasheet13"/>
      <sheetName val="5+7_plan1"/>
      <sheetName val="Narr__Tables56"/>
      <sheetName val="FY01_Actuals56"/>
      <sheetName val="FY00_Restated56"/>
      <sheetName val="FY01_Quota56"/>
      <sheetName val="3D_ASPIRE_Table56"/>
      <sheetName val="Total_Financials56"/>
      <sheetName val="Table_of_Contents56"/>
      <sheetName val="GM_Trend56"/>
      <sheetName val="GM%_Trend56"/>
      <sheetName val="Linearity_Chart56"/>
      <sheetName val="NP_Trend56"/>
      <sheetName val="Rev_Trend56"/>
      <sheetName val="Rev-GM_Detail_156"/>
      <sheetName val="Rev-GM_Detail_256"/>
      <sheetName val="Rev_Mix_Trend56"/>
      <sheetName val="SUMMARY_(EXPD)56"/>
      <sheetName val="SUMMARY_(%)56"/>
      <sheetName val="QTD_TO_GO56"/>
      <sheetName val="Leap_PO_Std_56"/>
      <sheetName val="Quantum_PO_Std56"/>
      <sheetName val="master_PO56"/>
      <sheetName val="Comet_ASPIRE25"/>
      <sheetName val="Comet_Sequential25"/>
      <sheetName val="Comet_yoy25"/>
      <sheetName val="_DACHSER_Price_Matrix24"/>
      <sheetName val="DHL_Price_Matrix24"/>
      <sheetName val="HOPI_Price_Matrix24"/>
      <sheetName val="LOGWIN_Price_Matrix24"/>
      <sheetName val="RHENUS_Price_Matrix24"/>
      <sheetName val="3_3_Transport_Daten24"/>
      <sheetName val="Av_Measures24"/>
      <sheetName val="CUSTOMER_GROUP_WISE24"/>
      <sheetName val="Company_Info24"/>
      <sheetName val="FX_on_2121AP16"/>
      <sheetName val="Aging_Datasheet16"/>
      <sheetName val="ECCS_1_DataSheet16"/>
      <sheetName val="KPI_Datasheet16"/>
      <sheetName val="5+7_plan3"/>
      <sheetName val="Narr__Tables54"/>
      <sheetName val="FY01_Actuals54"/>
      <sheetName val="FY00_Restated54"/>
      <sheetName val="FY01_Quota54"/>
      <sheetName val="3D_ASPIRE_Table54"/>
      <sheetName val="Total_Financials54"/>
      <sheetName val="Table_of_Contents54"/>
      <sheetName val="GM_Trend54"/>
      <sheetName val="GM%_Trend54"/>
      <sheetName val="Linearity_Chart54"/>
      <sheetName val="NP_Trend54"/>
      <sheetName val="Rev_Trend54"/>
      <sheetName val="Rev-GM_Detail_154"/>
      <sheetName val="Rev-GM_Detail_254"/>
      <sheetName val="Rev_Mix_Trend54"/>
      <sheetName val="SUMMARY_(EXPD)54"/>
      <sheetName val="SUMMARY_(%)54"/>
      <sheetName val="QTD_TO_GO54"/>
      <sheetName val="Leap_PO_Std_54"/>
      <sheetName val="Quantum_PO_Std54"/>
      <sheetName val="master_PO54"/>
      <sheetName val="Comet_ASPIRE23"/>
      <sheetName val="Comet_Sequential23"/>
      <sheetName val="Comet_yoy23"/>
      <sheetName val="_DACHSER_Price_Matrix22"/>
      <sheetName val="DHL_Price_Matrix22"/>
      <sheetName val="HOPI_Price_Matrix22"/>
      <sheetName val="LOGWIN_Price_Matrix22"/>
      <sheetName val="RHENUS_Price_Matrix22"/>
      <sheetName val="3_3_Transport_Daten22"/>
      <sheetName val="Av_Measures22"/>
      <sheetName val="CUSTOMER_GROUP_WISE22"/>
      <sheetName val="Company_Info22"/>
      <sheetName val="FX_on_2121AP14"/>
      <sheetName val="Aging_Datasheet14"/>
      <sheetName val="ECCS_1_DataSheet14"/>
      <sheetName val="KPI_Datasheet14"/>
      <sheetName val="Narr__Tables55"/>
      <sheetName val="FY01_Actuals55"/>
      <sheetName val="FY00_Restated55"/>
      <sheetName val="FY01_Quota55"/>
      <sheetName val="3D_ASPIRE_Table55"/>
      <sheetName val="Total_Financials55"/>
      <sheetName val="Table_of_Contents55"/>
      <sheetName val="GM_Trend55"/>
      <sheetName val="GM%_Trend55"/>
      <sheetName val="Linearity_Chart55"/>
      <sheetName val="NP_Trend55"/>
      <sheetName val="Rev_Trend55"/>
      <sheetName val="Rev-GM_Detail_155"/>
      <sheetName val="Rev-GM_Detail_255"/>
      <sheetName val="Rev_Mix_Trend55"/>
      <sheetName val="SUMMARY_(EXPD)55"/>
      <sheetName val="SUMMARY_(%)55"/>
      <sheetName val="QTD_TO_GO55"/>
      <sheetName val="Leap_PO_Std_55"/>
      <sheetName val="Quantum_PO_Std55"/>
      <sheetName val="master_PO55"/>
      <sheetName val="Comet_ASPIRE24"/>
      <sheetName val="Comet_Sequential24"/>
      <sheetName val="Comet_yoy24"/>
      <sheetName val="_DACHSER_Price_Matrix23"/>
      <sheetName val="DHL_Price_Matrix23"/>
      <sheetName val="HOPI_Price_Matrix23"/>
      <sheetName val="LOGWIN_Price_Matrix23"/>
      <sheetName val="RHENUS_Price_Matrix23"/>
      <sheetName val="3_3_Transport_Daten23"/>
      <sheetName val="Av_Measures23"/>
      <sheetName val="CUSTOMER_GROUP_WISE23"/>
      <sheetName val="Company_Info23"/>
      <sheetName val="FX_on_2121AP15"/>
      <sheetName val="Aging_Datasheet15"/>
      <sheetName val="ECCS_1_DataSheet15"/>
      <sheetName val="KPI_Datasheet15"/>
      <sheetName val="5+7_plan2"/>
      <sheetName val="Narr__Tables57"/>
      <sheetName val="FY01_Actuals57"/>
      <sheetName val="FY00_Restated57"/>
      <sheetName val="FY01_Quota57"/>
      <sheetName val="3D_ASPIRE_Table57"/>
      <sheetName val="Total_Financials57"/>
      <sheetName val="Table_of_Contents57"/>
      <sheetName val="GM_Trend57"/>
      <sheetName val="GM%_Trend57"/>
      <sheetName val="Linearity_Chart57"/>
      <sheetName val="NP_Trend57"/>
      <sheetName val="Rev_Trend57"/>
      <sheetName val="Rev-GM_Detail_157"/>
      <sheetName val="Rev-GM_Detail_257"/>
      <sheetName val="Rev_Mix_Trend57"/>
      <sheetName val="SUMMARY_(EXPD)57"/>
      <sheetName val="SUMMARY_(%)57"/>
      <sheetName val="QTD_TO_GO57"/>
      <sheetName val="Leap_PO_Std_57"/>
      <sheetName val="Quantum_PO_Std57"/>
      <sheetName val="master_PO57"/>
      <sheetName val="Comet_ASPIRE26"/>
      <sheetName val="Comet_Sequential26"/>
      <sheetName val="Comet_yoy26"/>
      <sheetName val="_DACHSER_Price_Matrix25"/>
      <sheetName val="DHL_Price_Matrix25"/>
      <sheetName val="HOPI_Price_Matrix25"/>
      <sheetName val="LOGWIN_Price_Matrix25"/>
      <sheetName val="RHENUS_Price_Matrix25"/>
      <sheetName val="3_3_Transport_Daten25"/>
      <sheetName val="Av_Measures25"/>
      <sheetName val="CUSTOMER_GROUP_WISE25"/>
      <sheetName val="Company_Info25"/>
      <sheetName val="FX_on_2121AP17"/>
      <sheetName val="Aging_Datasheet17"/>
      <sheetName val="ECCS_1_DataSheet17"/>
      <sheetName val="KPI_Datasheet17"/>
      <sheetName val="5+7_plan4"/>
      <sheetName val="Narr__Tables58"/>
      <sheetName val="FY01_Actuals58"/>
      <sheetName val="FY00_Restated58"/>
      <sheetName val="FY01_Quota58"/>
      <sheetName val="3D_ASPIRE_Table58"/>
      <sheetName val="Total_Financials58"/>
      <sheetName val="Table_of_Contents58"/>
      <sheetName val="GM_Trend58"/>
      <sheetName val="GM%_Trend58"/>
      <sheetName val="Linearity_Chart58"/>
      <sheetName val="NP_Trend58"/>
      <sheetName val="Rev_Trend58"/>
      <sheetName val="Rev-GM_Detail_158"/>
      <sheetName val="Rev-GM_Detail_258"/>
      <sheetName val="Rev_Mix_Trend58"/>
      <sheetName val="SUMMARY_(EXPD)58"/>
      <sheetName val="SUMMARY_(%)58"/>
      <sheetName val="QTD_TO_GO58"/>
      <sheetName val="Leap_PO_Std_58"/>
      <sheetName val="Quantum_PO_Std58"/>
      <sheetName val="master_PO58"/>
      <sheetName val="Comet_ASPIRE27"/>
      <sheetName val="Comet_Sequential27"/>
      <sheetName val="Comet_yoy27"/>
      <sheetName val="_DACHSER_Price_Matrix26"/>
      <sheetName val="DHL_Price_Matrix26"/>
      <sheetName val="HOPI_Price_Matrix26"/>
      <sheetName val="LOGWIN_Price_Matrix26"/>
      <sheetName val="RHENUS_Price_Matrix26"/>
      <sheetName val="3_3_Transport_Daten26"/>
      <sheetName val="Av_Measures26"/>
      <sheetName val="CUSTOMER_GROUP_WISE26"/>
      <sheetName val="Company_Info26"/>
      <sheetName val="FX_on_2121AP18"/>
      <sheetName val="Aging_Datasheet18"/>
      <sheetName val="ECCS_1_DataSheet18"/>
      <sheetName val="KPI_Datasheet18"/>
      <sheetName val="5+7_plan5"/>
      <sheetName val="Narr__Tables59"/>
      <sheetName val="FY01_Actuals59"/>
      <sheetName val="FY00_Restated59"/>
      <sheetName val="FY01_Quota59"/>
      <sheetName val="3D_ASPIRE_Table59"/>
      <sheetName val="Total_Financials59"/>
      <sheetName val="Table_of_Contents59"/>
      <sheetName val="GM_Trend59"/>
      <sheetName val="GM%_Trend59"/>
      <sheetName val="Linearity_Chart59"/>
      <sheetName val="NP_Trend59"/>
      <sheetName val="Rev_Trend59"/>
      <sheetName val="Rev-GM_Detail_159"/>
      <sheetName val="Rev-GM_Detail_259"/>
      <sheetName val="Rev_Mix_Trend59"/>
      <sheetName val="SUMMARY_(EXPD)59"/>
      <sheetName val="SUMMARY_(%)59"/>
      <sheetName val="QTD_TO_GO59"/>
      <sheetName val="Leap_PO_Std_59"/>
      <sheetName val="Quantum_PO_Std59"/>
      <sheetName val="master_PO59"/>
      <sheetName val="Comet_ASPIRE28"/>
      <sheetName val="Comet_Sequential28"/>
      <sheetName val="Comet_yoy28"/>
      <sheetName val="_DACHSER_Price_Matrix27"/>
      <sheetName val="DHL_Price_Matrix27"/>
      <sheetName val="HOPI_Price_Matrix27"/>
      <sheetName val="LOGWIN_Price_Matrix27"/>
      <sheetName val="RHENUS_Price_Matrix27"/>
      <sheetName val="3_3_Transport_Daten27"/>
      <sheetName val="Av_Measures27"/>
      <sheetName val="CUSTOMER_GROUP_WISE27"/>
      <sheetName val="Company_Info27"/>
      <sheetName val="FX_on_2121AP19"/>
      <sheetName val="Aging_Datasheet19"/>
      <sheetName val="ECCS_1_DataSheet19"/>
      <sheetName val="KPI_Datasheet19"/>
      <sheetName val="5+7_plan6"/>
      <sheetName val="HR Budget"/>
      <sheetName val="Tables"/>
      <sheetName val="sales_ebit act"/>
      <sheetName val="HDa16"/>
      <sheetName val="MP2006 data"/>
      <sheetName val="Service Invoice"/>
      <sheetName val="Raw materials"/>
      <sheetName val="APJSum"/>
      <sheetName val="EMEASum"/>
      <sheetName val="HPCoSum"/>
      <sheetName val="OGSum"/>
      <sheetName val="WWSum"/>
      <sheetName val="Summary Data"/>
      <sheetName val="Restate"/>
      <sheetName val="Launch Costs TMNF"/>
      <sheetName val="April Antonio"/>
      <sheetName val="10. Thermal Limiter Test"/>
      <sheetName val="Table"/>
      <sheetName val="Sheet2"/>
      <sheetName val="FY01_HPS_Reporting_Tool"/>
      <sheetName val="6641"/>
      <sheetName val="T  B"/>
      <sheetName val="Lists"/>
      <sheetName val="Bank Table"/>
      <sheetName val="Expenses"/>
      <sheetName val="master"/>
      <sheetName val="索引表"/>
      <sheetName val="信息"/>
      <sheetName val="项目基本情况鉴证表"/>
      <sheetName val="Sheet3"/>
      <sheetName val="IO LIST"/>
      <sheetName val="W"/>
      <sheetName val="F101"/>
      <sheetName val="2. PPR REVENUE APR10"/>
      <sheetName val="ASSLIST2.XLS"/>
      <sheetName val="Reprice Lookup"/>
      <sheetName val="Termination Dates clean"/>
      <sheetName val="Parametri"/>
      <sheetName val="Original Stefan"/>
      <sheetName val="Company"/>
      <sheetName val="Related transaction accounts"/>
      <sheetName val="Collateral"/>
      <sheetName val="U1120"/>
      <sheetName val="Repayment Summary"/>
      <sheetName val="Material code"/>
      <sheetName val="Source"/>
      <sheetName val="B"/>
      <sheetName val="H101(OK)"/>
      <sheetName val="K110"/>
      <sheetName val="G210"/>
      <sheetName val="O111"/>
      <sheetName val="assembly_r12 detail"/>
      <sheetName val="A6620 Detail"/>
      <sheetName val="Par"/>
      <sheetName val="Openfile"/>
      <sheetName val="Produzione"/>
      <sheetName val="Airport - Downtown"/>
      <sheetName val="Reservations"/>
      <sheetName val="O200-应交企业所得税"/>
      <sheetName val="Rented Equipment"/>
      <sheetName val="CBUGL"/>
      <sheetName val="EQUANT New"/>
      <sheetName val="5201.2004"/>
      <sheetName val="COVER"/>
      <sheetName val="14.04.03"/>
      <sheetName val="XL4Poppy"/>
      <sheetName val="现 金 流 量 表"/>
      <sheetName val="Lin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HC"/>
      <sheetName val="SPals"/>
      <sheetName val="MPals"/>
      <sheetName val="HPSSpe"/>
      <sheetName val="MSSpe"/>
      <sheetName val="CISpe"/>
      <sheetName val="EduSpe"/>
      <sheetName val="ChaSpe"/>
      <sheetName val="IBSpe"/>
      <sheetName val="TeleNbiz"/>
      <sheetName val="MTeleNbiz"/>
      <sheetName val="SM"/>
      <sheetName val="Prf Distrib"/>
      <sheetName val="Chart your own Dist."/>
      <sheetName val="Simu"/>
      <sheetName val="Job #12"/>
      <sheetName val="Job #13"/>
      <sheetName val="Job #14"/>
      <sheetName val="Job #15"/>
      <sheetName val="Job #16"/>
      <sheetName val="Job #17"/>
      <sheetName val="Job #18"/>
      <sheetName val="Job #19"/>
      <sheetName val="Job #20"/>
      <sheetName val="Normal Dist"/>
      <sheetName val="FY03CostStructure"/>
      <sheetName val="DIO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Prf_Distrib"/>
      <sheetName val="Chart_your_own_Dist_"/>
      <sheetName val="Job_#12"/>
      <sheetName val="Job_#13"/>
      <sheetName val="Job_#14"/>
      <sheetName val="Job_#15"/>
      <sheetName val="Job_#16"/>
      <sheetName val="Job_#17"/>
      <sheetName val="Job_#18"/>
      <sheetName val="Job_#19"/>
      <sheetName val="Job_#20"/>
      <sheetName val="Normal_Dist"/>
      <sheetName val="MCS"/>
      <sheetName val="PLALL"/>
      <sheetName val="k-line"/>
      <sheetName val="Foams"/>
      <sheetName val="Grid"/>
      <sheetName val="FCG"/>
      <sheetName val="Safety _ P_A"/>
      <sheetName val="假设"/>
      <sheetName val="PLALL2"/>
      <sheetName val="Funnel"/>
      <sheetName val="Rest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HP_PL-MTD"/>
      <sheetName val="HP_PL-QTD "/>
      <sheetName val="HP_PL-YTD "/>
      <sheetName val="BCO_PL-MTD "/>
      <sheetName val="BCO_PL-QTD  "/>
      <sheetName val="BCO_PL-YTD "/>
      <sheetName val="PLBCO"/>
      <sheetName val="PLALL"/>
      <sheetName val=" "/>
      <sheetName val="FY03CostStructure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HP_PL-QTD_"/>
      <sheetName val="HP_PL-YTD_"/>
      <sheetName val="BCO_PL-MTD_"/>
      <sheetName val="BCO_PL-QTD__"/>
      <sheetName val="BCO_PL-YTD_"/>
      <sheetName val="Sheet2"/>
      <sheetName val="Entity Data"/>
      <sheetName val="PLALL2"/>
      <sheetName val="Original"/>
      <sheetName val="Leap PO Std."/>
      <sheetName val="Quantum PO Std"/>
      <sheetName val="master PO"/>
      <sheetName val="Oct FW42 BaaN for G-Line"/>
      <sheetName val="Foams"/>
      <sheetName val="Grid"/>
      <sheetName val="FCG"/>
      <sheetName val="Summary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HP WIDE"/>
      <sheetName val="ECB BY DIV"/>
      <sheetName val="BU-MTD"/>
      <sheetName val="BU-QTD"/>
      <sheetName val="BU-YTD"/>
      <sheetName val="ECB by SF MTD"/>
      <sheetName val="ECB by SF QTD"/>
      <sheetName val="ECB by SF YTD"/>
      <sheetName val="ECB Regions"/>
      <sheetName val="XPRESS"/>
      <sheetName val="XPRESS_SF"/>
      <sheetName val="Pull HP Wide"/>
      <sheetName val="Pull All SFs"/>
      <sheetName val="PLALL2"/>
      <sheetName val="PLALL1"/>
      <sheetName val="Country-All"/>
      <sheetName val="PLALL"/>
      <sheetName val="FINAL (2)"/>
      <sheetName val="FP"/>
      <sheetName val="Time Dimension Lookup"/>
      <sheetName val="PL"/>
      <sheetName val="MCS"/>
      <sheetName val="Non-Statistical Sampling Master"/>
      <sheetName val="Global Data"/>
      <sheetName val="Q4 CURRENCY"/>
      <sheetName val="master"/>
      <sheetName val="APJSum"/>
      <sheetName val="AmeSum"/>
      <sheetName val="EMEASum"/>
      <sheetName val="HPCoSum"/>
      <sheetName val="OGSum"/>
      <sheetName val="WWSum"/>
      <sheetName val="HP_WIDE"/>
      <sheetName val="ECB_BY_DIV"/>
      <sheetName val="ECB_by_SF_MTD"/>
      <sheetName val="ECB_by_SF_QTD"/>
      <sheetName val="ECB_by_SF_YTD"/>
      <sheetName val="ECB_Regions"/>
      <sheetName val="Pull_HP_Wide"/>
      <sheetName val="Pull_All_SFs"/>
      <sheetName val="FINAL_(2)"/>
      <sheetName val="Time_Dimension_Lookup"/>
      <sheetName val="Q4_CURRENCY"/>
      <sheetName val="Non-Statistical_Sampling_Master"/>
      <sheetName val="Global_Data"/>
      <sheetName val="HP_WIDE3"/>
      <sheetName val="ECB_BY_DIV3"/>
      <sheetName val="ECB_by_SF_MTD3"/>
      <sheetName val="ECB_by_SF_QTD3"/>
      <sheetName val="ECB_by_SF_YTD3"/>
      <sheetName val="ECB_Regions3"/>
      <sheetName val="Pull_HP_Wide3"/>
      <sheetName val="Pull_All_SFs3"/>
      <sheetName val="FINAL_(2)3"/>
      <sheetName val="Time_Dimension_Lookup3"/>
      <sheetName val="Non-Statistical_Sampling_Maste3"/>
      <sheetName val="Global_Data3"/>
      <sheetName val="Q4_CURRENCY3"/>
      <sheetName val="HP_WIDE1"/>
      <sheetName val="ECB_BY_DIV1"/>
      <sheetName val="ECB_by_SF_MTD1"/>
      <sheetName val="ECB_by_SF_QTD1"/>
      <sheetName val="ECB_by_SF_YTD1"/>
      <sheetName val="ECB_Regions1"/>
      <sheetName val="Pull_HP_Wide1"/>
      <sheetName val="Pull_All_SFs1"/>
      <sheetName val="FINAL_(2)1"/>
      <sheetName val="Time_Dimension_Lookup1"/>
      <sheetName val="Q4_CURRENCY1"/>
      <sheetName val="Non-Statistical_Sampling_Maste1"/>
      <sheetName val="Global_Data1"/>
      <sheetName val="HP_WIDE2"/>
      <sheetName val="ECB_BY_DIV2"/>
      <sheetName val="ECB_by_SF_MTD2"/>
      <sheetName val="ECB_by_SF_QTD2"/>
      <sheetName val="ECB_by_SF_YTD2"/>
      <sheetName val="ECB_Regions2"/>
      <sheetName val="Pull_HP_Wide2"/>
      <sheetName val="Pull_All_SFs2"/>
      <sheetName val="FINAL_(2)2"/>
      <sheetName val="Time_Dimension_Lookup2"/>
      <sheetName val="Non-Statistical_Sampling_Maste2"/>
      <sheetName val="Global_Data2"/>
      <sheetName val="Q4_CURRENCY2"/>
      <sheetName val="MENU "/>
      <sheetName val="p and l"/>
      <sheetName val="Zone stucture"/>
      <sheetName val="TR05E"/>
      <sheetName val="Sheet2"/>
      <sheetName val="Sheet1"/>
      <sheetName val="FY03CostStructure"/>
      <sheetName val="KeyData"/>
      <sheetName val="projection-form"/>
      <sheetName val="Attachment-4(2)"/>
      <sheetName val="HP_WIDE20"/>
      <sheetName val="ECB_BY_DIV20"/>
      <sheetName val="ECB_by_SF_MTD20"/>
      <sheetName val="ECB_by_SF_QTD20"/>
      <sheetName val="ECB_by_SF_YTD20"/>
      <sheetName val="ECB_Regions20"/>
      <sheetName val="Pull_HP_Wide20"/>
      <sheetName val="Pull_All_SFs20"/>
      <sheetName val="FINAL_(2)20"/>
      <sheetName val="Time_Dimension_Lookup20"/>
      <sheetName val="Q4_CURRENCY20"/>
      <sheetName val="HP_WIDE4"/>
      <sheetName val="ECB_BY_DIV4"/>
      <sheetName val="ECB_by_SF_MTD4"/>
      <sheetName val="ECB_by_SF_QTD4"/>
      <sheetName val="ECB_by_SF_YTD4"/>
      <sheetName val="ECB_Regions4"/>
      <sheetName val="Pull_HP_Wide4"/>
      <sheetName val="Pull_All_SFs4"/>
      <sheetName val="FINAL_(2)4"/>
      <sheetName val="Time_Dimension_Lookup4"/>
      <sheetName val="Q4_CURRENCY4"/>
      <sheetName val="Non-Statistical_Sampling_Maste4"/>
      <sheetName val="Global_Data4"/>
      <sheetName val="HP_WIDE5"/>
      <sheetName val="ECB_BY_DIV5"/>
      <sheetName val="ECB_by_SF_MTD5"/>
      <sheetName val="ECB_by_SF_QTD5"/>
      <sheetName val="ECB_by_SF_YTD5"/>
      <sheetName val="ECB_Regions5"/>
      <sheetName val="Pull_HP_Wide5"/>
      <sheetName val="Pull_All_SFs5"/>
      <sheetName val="FINAL_(2)5"/>
      <sheetName val="Time_Dimension_Lookup5"/>
      <sheetName val="Q4_CURRENCY5"/>
      <sheetName val="Non-Statistical_Sampling_Maste5"/>
      <sheetName val="Global_Data5"/>
      <sheetName val="HP_WIDE6"/>
      <sheetName val="ECB_BY_DIV6"/>
      <sheetName val="ECB_by_SF_MTD6"/>
      <sheetName val="ECB_by_SF_QTD6"/>
      <sheetName val="ECB_by_SF_YTD6"/>
      <sheetName val="ECB_Regions6"/>
      <sheetName val="Pull_HP_Wide6"/>
      <sheetName val="Pull_All_SFs6"/>
      <sheetName val="FINAL_(2)6"/>
      <sheetName val="Time_Dimension_Lookup6"/>
      <sheetName val="Q4_CURRENCY6"/>
      <sheetName val="Non-Statistical_Sampling_Maste6"/>
      <sheetName val="Global_Data6"/>
      <sheetName val="HP_WIDE7"/>
      <sheetName val="ECB_BY_DIV7"/>
      <sheetName val="ECB_by_SF_MTD7"/>
      <sheetName val="ECB_by_SF_QTD7"/>
      <sheetName val="ECB_by_SF_YTD7"/>
      <sheetName val="ECB_Regions7"/>
      <sheetName val="Pull_HP_Wide7"/>
      <sheetName val="Pull_All_SFs7"/>
      <sheetName val="FINAL_(2)7"/>
      <sheetName val="Time_Dimension_Lookup7"/>
      <sheetName val="Q4_CURRENCY7"/>
      <sheetName val="HP_WIDE8"/>
      <sheetName val="ECB_BY_DIV8"/>
      <sheetName val="ECB_by_SF_MTD8"/>
      <sheetName val="ECB_by_SF_QTD8"/>
      <sheetName val="ECB_by_SF_YTD8"/>
      <sheetName val="ECB_Regions8"/>
      <sheetName val="Pull_HP_Wide8"/>
      <sheetName val="Pull_All_SFs8"/>
      <sheetName val="FINAL_(2)8"/>
      <sheetName val="Time_Dimension_Lookup8"/>
      <sheetName val="Q4_CURRENCY8"/>
      <sheetName val="HP_WIDE9"/>
      <sheetName val="ECB_BY_DIV9"/>
      <sheetName val="ECB_by_SF_MTD9"/>
      <sheetName val="ECB_by_SF_QTD9"/>
      <sheetName val="ECB_by_SF_YTD9"/>
      <sheetName val="ECB_Regions9"/>
      <sheetName val="Pull_HP_Wide9"/>
      <sheetName val="Pull_All_SFs9"/>
      <sheetName val="FINAL_(2)9"/>
      <sheetName val="Time_Dimension_Lookup9"/>
      <sheetName val="Q4_CURRENCY9"/>
      <sheetName val="Non-Statistical_Sampling_Maste7"/>
      <sheetName val="Global_Data7"/>
      <sheetName val="HP_WIDE10"/>
      <sheetName val="ECB_BY_DIV10"/>
      <sheetName val="ECB_by_SF_MTD10"/>
      <sheetName val="ECB_by_SF_QTD10"/>
      <sheetName val="ECB_by_SF_YTD10"/>
      <sheetName val="ECB_Regions10"/>
      <sheetName val="Pull_HP_Wide10"/>
      <sheetName val="Pull_All_SFs10"/>
      <sheetName val="FINAL_(2)10"/>
      <sheetName val="Time_Dimension_Lookup10"/>
      <sheetName val="Q4_CURRENCY10"/>
      <sheetName val="Non-Statistical_Sampling_Maste8"/>
      <sheetName val="Global_Data8"/>
      <sheetName val="HP_WIDE11"/>
      <sheetName val="ECB_BY_DIV11"/>
      <sheetName val="ECB_by_SF_MTD11"/>
      <sheetName val="ECB_by_SF_QTD11"/>
      <sheetName val="ECB_by_SF_YTD11"/>
      <sheetName val="ECB_Regions11"/>
      <sheetName val="Pull_HP_Wide11"/>
      <sheetName val="Pull_All_SFs11"/>
      <sheetName val="FINAL_(2)11"/>
      <sheetName val="Time_Dimension_Lookup11"/>
      <sheetName val="Non-Statistical_Sampling_Maste9"/>
      <sheetName val="Global_Data9"/>
      <sheetName val="Q4_CURRENCY11"/>
      <sheetName val="HP_WIDE12"/>
      <sheetName val="ECB_BY_DIV12"/>
      <sheetName val="ECB_by_SF_MTD12"/>
      <sheetName val="ECB_by_SF_QTD12"/>
      <sheetName val="ECB_by_SF_YTD12"/>
      <sheetName val="ECB_Regions12"/>
      <sheetName val="Pull_HP_Wide12"/>
      <sheetName val="Pull_All_SFs12"/>
      <sheetName val="FINAL_(2)12"/>
      <sheetName val="Time_Dimension_Lookup12"/>
      <sheetName val="Q4_CURRENCY12"/>
      <sheetName val="Non-Statistical_Sampling_Mast10"/>
      <sheetName val="Global_Data10"/>
      <sheetName val="HP_WIDE13"/>
      <sheetName val="ECB_BY_DIV13"/>
      <sheetName val="ECB_by_SF_MTD13"/>
      <sheetName val="ECB_by_SF_QTD13"/>
      <sheetName val="ECB_by_SF_YTD13"/>
      <sheetName val="ECB_Regions13"/>
      <sheetName val="Pull_HP_Wide13"/>
      <sheetName val="Pull_All_SFs13"/>
      <sheetName val="FINAL_(2)13"/>
      <sheetName val="Time_Dimension_Lookup13"/>
      <sheetName val="Q4_CURRENCY13"/>
      <sheetName val="Non-Statistical_Sampling_Mast11"/>
      <sheetName val="Global_Data11"/>
      <sheetName val="HP_WIDE14"/>
      <sheetName val="ECB_BY_DIV14"/>
      <sheetName val="ECB_by_SF_MTD14"/>
      <sheetName val="ECB_by_SF_QTD14"/>
      <sheetName val="ECB_by_SF_YTD14"/>
      <sheetName val="ECB_Regions14"/>
      <sheetName val="Pull_HP_Wide14"/>
      <sheetName val="Pull_All_SFs14"/>
      <sheetName val="FINAL_(2)14"/>
      <sheetName val="Time_Dimension_Lookup14"/>
      <sheetName val="Q4_CURRENCY14"/>
      <sheetName val="Non-Statistical_Sampling_Mast12"/>
      <sheetName val="Global_Data12"/>
      <sheetName val="HP_WIDE15"/>
      <sheetName val="ECB_BY_DIV15"/>
      <sheetName val="ECB_by_SF_MTD15"/>
      <sheetName val="ECB_by_SF_QTD15"/>
      <sheetName val="ECB_by_SF_YTD15"/>
      <sheetName val="ECB_Regions15"/>
      <sheetName val="Pull_HP_Wide15"/>
      <sheetName val="Pull_All_SFs15"/>
      <sheetName val="FINAL_(2)15"/>
      <sheetName val="Time_Dimension_Lookup15"/>
      <sheetName val="Non-Statistical_Sampling_Mast13"/>
      <sheetName val="Global_Data13"/>
      <sheetName val="Q4_CURRENCY15"/>
      <sheetName val="HP_WIDE17"/>
      <sheetName val="ECB_BY_DIV17"/>
      <sheetName val="ECB_by_SF_MTD17"/>
      <sheetName val="ECB_by_SF_QTD17"/>
      <sheetName val="ECB_by_SF_YTD17"/>
      <sheetName val="ECB_Regions17"/>
      <sheetName val="Pull_HP_Wide17"/>
      <sheetName val="Pull_All_SFs17"/>
      <sheetName val="FINAL_(2)17"/>
      <sheetName val="Time_Dimension_Lookup17"/>
      <sheetName val="Q4_CURRENCY17"/>
      <sheetName val="Non-Statistical_Sampling_Mast15"/>
      <sheetName val="Global_Data15"/>
      <sheetName val="HP_WIDE16"/>
      <sheetName val="ECB_BY_DIV16"/>
      <sheetName val="ECB_by_SF_MTD16"/>
      <sheetName val="ECB_by_SF_QTD16"/>
      <sheetName val="ECB_by_SF_YTD16"/>
      <sheetName val="ECB_Regions16"/>
      <sheetName val="Pull_HP_Wide16"/>
      <sheetName val="Pull_All_SFs16"/>
      <sheetName val="FINAL_(2)16"/>
      <sheetName val="Time_Dimension_Lookup16"/>
      <sheetName val="Q4_CURRENCY16"/>
      <sheetName val="Non-Statistical_Sampling_Mast14"/>
      <sheetName val="Global_Data14"/>
      <sheetName val="HP_WIDE18"/>
      <sheetName val="ECB_BY_DIV18"/>
      <sheetName val="ECB_by_SF_MTD18"/>
      <sheetName val="ECB_by_SF_QTD18"/>
      <sheetName val="ECB_by_SF_YTD18"/>
      <sheetName val="ECB_Regions18"/>
      <sheetName val="Pull_HP_Wide18"/>
      <sheetName val="Pull_All_SFs18"/>
      <sheetName val="FINAL_(2)18"/>
      <sheetName val="Time_Dimension_Lookup18"/>
      <sheetName val="Q4_CURRENCY18"/>
      <sheetName val="Non-Statistical_Sampling_Mast16"/>
      <sheetName val="Global_Data16"/>
      <sheetName val="HP_WIDE19"/>
      <sheetName val="ECB_BY_DIV19"/>
      <sheetName val="ECB_by_SF_MTD19"/>
      <sheetName val="ECB_by_SF_QTD19"/>
      <sheetName val="ECB_by_SF_YTD19"/>
      <sheetName val="ECB_Regions19"/>
      <sheetName val="Pull_HP_Wide19"/>
      <sheetName val="Pull_All_SFs19"/>
      <sheetName val="FINAL_(2)19"/>
      <sheetName val="Time_Dimension_Lookup19"/>
      <sheetName val="Q4_CURRENCY19"/>
      <sheetName val="Non-Statistical_Sampling_Mast17"/>
      <sheetName val="Global_Data17"/>
      <sheetName val="Non-Statistical_Sampling_Mast18"/>
      <sheetName val="Global_Data18"/>
      <sheetName val="HP_WIDE21"/>
      <sheetName val="ECB_BY_DIV21"/>
      <sheetName val="ECB_by_SF_MTD21"/>
      <sheetName val="ECB_by_SF_QTD21"/>
      <sheetName val="ECB_by_SF_YTD21"/>
      <sheetName val="ECB_Regions21"/>
      <sheetName val="Pull_HP_Wide21"/>
      <sheetName val="Pull_All_SFs21"/>
      <sheetName val="FINAL_(2)21"/>
      <sheetName val="Time_Dimension_Lookup21"/>
      <sheetName val="Q4_CURRENCY21"/>
      <sheetName val="Non-Statistical_Sampling_Mast19"/>
      <sheetName val="Global_Data19"/>
      <sheetName val="HP_WIDE22"/>
      <sheetName val="ECB_BY_DIV22"/>
      <sheetName val="ECB_by_SF_MTD22"/>
      <sheetName val="ECB_by_SF_QTD22"/>
      <sheetName val="ECB_by_SF_YTD22"/>
      <sheetName val="ECB_Regions22"/>
      <sheetName val="Pull_HP_Wide22"/>
      <sheetName val="Pull_All_SFs22"/>
      <sheetName val="FINAL_(2)22"/>
      <sheetName val="Time_Dimension_Lookup22"/>
      <sheetName val="Q4_CURRENCY22"/>
      <sheetName val="Non-Statistical_Sampling_Mast20"/>
      <sheetName val="Global_Data20"/>
      <sheetName val="HP_WIDE26"/>
      <sheetName val="ECB_BY_DIV26"/>
      <sheetName val="ECB_by_SF_MTD26"/>
      <sheetName val="ECB_by_SF_QTD26"/>
      <sheetName val="ECB_by_SF_YTD26"/>
      <sheetName val="ECB_Regions26"/>
      <sheetName val="Pull_HP_Wide26"/>
      <sheetName val="Pull_All_SFs26"/>
      <sheetName val="FINAL_(2)26"/>
      <sheetName val="Time_Dimension_Lookup26"/>
      <sheetName val="Q4_CURRENCY26"/>
      <sheetName val="Non-Statistical_Sampling_Mast24"/>
      <sheetName val="Global_Data24"/>
      <sheetName val="HP_WIDE24"/>
      <sheetName val="ECB_BY_DIV24"/>
      <sheetName val="ECB_by_SF_MTD24"/>
      <sheetName val="ECB_by_SF_QTD24"/>
      <sheetName val="ECB_by_SF_YTD24"/>
      <sheetName val="ECB_Regions24"/>
      <sheetName val="Pull_HP_Wide24"/>
      <sheetName val="Pull_All_SFs24"/>
      <sheetName val="FINAL_(2)24"/>
      <sheetName val="Time_Dimension_Lookup24"/>
      <sheetName val="Q4_CURRENCY24"/>
      <sheetName val="Non-Statistical_Sampling_Mast22"/>
      <sheetName val="Global_Data22"/>
      <sheetName val="HP_WIDE23"/>
      <sheetName val="ECB_BY_DIV23"/>
      <sheetName val="ECB_by_SF_MTD23"/>
      <sheetName val="ECB_by_SF_QTD23"/>
      <sheetName val="ECB_by_SF_YTD23"/>
      <sheetName val="ECB_Regions23"/>
      <sheetName val="Pull_HP_Wide23"/>
      <sheetName val="Pull_All_SFs23"/>
      <sheetName val="FINAL_(2)23"/>
      <sheetName val="Time_Dimension_Lookup23"/>
      <sheetName val="Q4_CURRENCY23"/>
      <sheetName val="Non-Statistical_Sampling_Mast21"/>
      <sheetName val="Global_Data21"/>
      <sheetName val="HP_WIDE25"/>
      <sheetName val="ECB_BY_DIV25"/>
      <sheetName val="ECB_by_SF_MTD25"/>
      <sheetName val="ECB_by_SF_QTD25"/>
      <sheetName val="ECB_by_SF_YTD25"/>
      <sheetName val="ECB_Regions25"/>
      <sheetName val="Pull_HP_Wide25"/>
      <sheetName val="Pull_All_SFs25"/>
      <sheetName val="FINAL_(2)25"/>
      <sheetName val="Time_Dimension_Lookup25"/>
      <sheetName val="Q4_CURRENCY25"/>
      <sheetName val="Non-Statistical_Sampling_Mast23"/>
      <sheetName val="Global_Data23"/>
      <sheetName val="HP_WIDE29"/>
      <sheetName val="ECB_BY_DIV29"/>
      <sheetName val="ECB_by_SF_MTD29"/>
      <sheetName val="ECB_by_SF_QTD29"/>
      <sheetName val="ECB_by_SF_YTD29"/>
      <sheetName val="ECB_Regions29"/>
      <sheetName val="Pull_HP_Wide29"/>
      <sheetName val="Pull_All_SFs29"/>
      <sheetName val="FINAL_(2)29"/>
      <sheetName val="Time_Dimension_Lookup29"/>
      <sheetName val="Q4_CURRENCY29"/>
      <sheetName val="Non-Statistical_Sampling_Mast27"/>
      <sheetName val="Global_Data27"/>
      <sheetName val="HP_WIDE27"/>
      <sheetName val="ECB_BY_DIV27"/>
      <sheetName val="ECB_by_SF_MTD27"/>
      <sheetName val="ECB_by_SF_QTD27"/>
      <sheetName val="ECB_by_SF_YTD27"/>
      <sheetName val="ECB_Regions27"/>
      <sheetName val="Pull_HP_Wide27"/>
      <sheetName val="Pull_All_SFs27"/>
      <sheetName val="FINAL_(2)27"/>
      <sheetName val="Time_Dimension_Lookup27"/>
      <sheetName val="Q4_CURRENCY27"/>
      <sheetName val="Non-Statistical_Sampling_Mast25"/>
      <sheetName val="Global_Data25"/>
      <sheetName val="HP_WIDE28"/>
      <sheetName val="ECB_BY_DIV28"/>
      <sheetName val="ECB_by_SF_MTD28"/>
      <sheetName val="ECB_by_SF_QTD28"/>
      <sheetName val="ECB_by_SF_YTD28"/>
      <sheetName val="ECB_Regions28"/>
      <sheetName val="Pull_HP_Wide28"/>
      <sheetName val="Pull_All_SFs28"/>
      <sheetName val="FINAL_(2)28"/>
      <sheetName val="Time_Dimension_Lookup28"/>
      <sheetName val="Q4_CURRENCY28"/>
      <sheetName val="Non-Statistical_Sampling_Mast26"/>
      <sheetName val="Global_Data26"/>
      <sheetName val="HP_WIDE30"/>
      <sheetName val="ECB_BY_DIV30"/>
      <sheetName val="ECB_by_SF_MTD30"/>
      <sheetName val="ECB_by_SF_QTD30"/>
      <sheetName val="ECB_by_SF_YTD30"/>
      <sheetName val="ECB_Regions30"/>
      <sheetName val="Pull_HP_Wide30"/>
      <sheetName val="Pull_All_SFs30"/>
      <sheetName val="FINAL_(2)30"/>
      <sheetName val="Time_Dimension_Lookup30"/>
      <sheetName val="Q4_CURRENCY30"/>
      <sheetName val="Non-Statistical_Sampling_Mast28"/>
      <sheetName val="Global_Data28"/>
      <sheetName val="HP_WIDE31"/>
      <sheetName val="ECB_BY_DIV31"/>
      <sheetName val="ECB_by_SF_MTD31"/>
      <sheetName val="ECB_by_SF_QTD31"/>
      <sheetName val="ECB_by_SF_YTD31"/>
      <sheetName val="ECB_Regions31"/>
      <sheetName val="Pull_HP_Wide31"/>
      <sheetName val="Pull_All_SFs31"/>
      <sheetName val="FINAL_(2)31"/>
      <sheetName val="Time_Dimension_Lookup31"/>
      <sheetName val="Q4_CURRENCY31"/>
      <sheetName val="Non-Statistical_Sampling_Mast29"/>
      <sheetName val="Global_Data29"/>
      <sheetName val="MasterList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Comet Q202 Flash"/>
      <sheetName val="LOV"/>
      <sheetName val="选择报表"/>
      <sheetName val="敏感详细分析"/>
      <sheetName val="面积指标"/>
      <sheetName val="Funnel"/>
      <sheetName val=" "/>
      <sheetName val="9100-PO"/>
      <sheetName val="索引表"/>
      <sheetName val="成本测算"/>
      <sheetName val="HP_WIDE33"/>
      <sheetName val="ECB_BY_DIV33"/>
      <sheetName val="ECB_by_SF_MTD33"/>
      <sheetName val="ECB_by_SF_QTD33"/>
      <sheetName val="ECB_by_SF_YTD33"/>
      <sheetName val="ECB_Regions33"/>
      <sheetName val="Pull_HP_Wide33"/>
      <sheetName val="Pull_All_SFs33"/>
      <sheetName val="FINAL_(2)33"/>
      <sheetName val="Time_Dimension_Lookup33"/>
      <sheetName val="Non-Statistical_Sampling_Mast31"/>
      <sheetName val="Global_Data31"/>
      <sheetName val="Q4_CURRENCY33"/>
      <sheetName val="MENU_1"/>
      <sheetName val="p_and_l1"/>
      <sheetName val="Zone_stucture1"/>
      <sheetName val="HP_WIDE32"/>
      <sheetName val="ECB_BY_DIV32"/>
      <sheetName val="ECB_by_SF_MTD32"/>
      <sheetName val="ECB_by_SF_QTD32"/>
      <sheetName val="ECB_by_SF_YTD32"/>
      <sheetName val="ECB_Regions32"/>
      <sheetName val="Pull_HP_Wide32"/>
      <sheetName val="Pull_All_SFs32"/>
      <sheetName val="FINAL_(2)32"/>
      <sheetName val="Time_Dimension_Lookup32"/>
      <sheetName val="Q4_CURRENCY32"/>
      <sheetName val="Non-Statistical_Sampling_Mast30"/>
      <sheetName val="Global_Data30"/>
      <sheetName val="MENU_"/>
      <sheetName val="p_and_l"/>
      <sheetName val="Zone_stucture"/>
      <sheetName val="HP_WIDE42"/>
      <sheetName val="ECB_BY_DIV42"/>
      <sheetName val="ECB_by_SF_MTD42"/>
      <sheetName val="ECB_by_SF_QTD42"/>
      <sheetName val="ECB_by_SF_YTD42"/>
      <sheetName val="ECB_Regions42"/>
      <sheetName val="Pull_HP_Wide42"/>
      <sheetName val="Pull_All_SFs42"/>
      <sheetName val="FINAL_(2)42"/>
      <sheetName val="Time_Dimension_Lookup42"/>
      <sheetName val="Non-Statistical_Sampling_Mast40"/>
      <sheetName val="Global_Data40"/>
      <sheetName val="Q4_CURRENCY42"/>
      <sheetName val="MENU_10"/>
      <sheetName val="p_and_l10"/>
      <sheetName val="Zone_stucture10"/>
      <sheetName val="Table_of_Contents2"/>
      <sheetName val="GM_Trend2"/>
      <sheetName val="GM%_Trend2"/>
      <sheetName val="Linearity_Chart2"/>
      <sheetName val="NP_Trend2"/>
      <sheetName val="Rev_Trend2"/>
      <sheetName val="Rev-GM_Detail_12"/>
      <sheetName val="Rev-GM_Detail_22"/>
      <sheetName val="Rev_Mix_Trend2"/>
      <sheetName val="SUMMARY_(EXPD)2"/>
      <sheetName val="SUMMARY_(%)2"/>
      <sheetName val="QTD_TO_GO2"/>
      <sheetName val="Comet_Q202_Flash2"/>
      <sheetName val="_2"/>
      <sheetName val="HP_WIDE36"/>
      <sheetName val="ECB_BY_DIV36"/>
      <sheetName val="ECB_by_SF_MTD36"/>
      <sheetName val="ECB_by_SF_QTD36"/>
      <sheetName val="ECB_by_SF_YTD36"/>
      <sheetName val="ECB_Regions36"/>
      <sheetName val="Pull_HP_Wide36"/>
      <sheetName val="Pull_All_SFs36"/>
      <sheetName val="FINAL_(2)36"/>
      <sheetName val="Time_Dimension_Lookup36"/>
      <sheetName val="Non-Statistical_Sampling_Mast34"/>
      <sheetName val="Global_Data34"/>
      <sheetName val="Q4_CURRENCY36"/>
      <sheetName val="MENU_4"/>
      <sheetName val="p_and_l4"/>
      <sheetName val="Zone_stucture4"/>
      <sheetName val="HP_WIDE34"/>
      <sheetName val="ECB_BY_DIV34"/>
      <sheetName val="ECB_by_SF_MTD34"/>
      <sheetName val="ECB_by_SF_QTD34"/>
      <sheetName val="ECB_by_SF_YTD34"/>
      <sheetName val="ECB_Regions34"/>
      <sheetName val="Pull_HP_Wide34"/>
      <sheetName val="Pull_All_SFs34"/>
      <sheetName val="FINAL_(2)34"/>
      <sheetName val="Time_Dimension_Lookup34"/>
      <sheetName val="Non-Statistical_Sampling_Mast32"/>
      <sheetName val="Global_Data32"/>
      <sheetName val="Q4_CURRENCY34"/>
      <sheetName val="MENU_2"/>
      <sheetName val="p_and_l2"/>
      <sheetName val="Zone_stucture2"/>
      <sheetName val="HP_WIDE35"/>
      <sheetName val="ECB_BY_DIV35"/>
      <sheetName val="ECB_by_SF_MTD35"/>
      <sheetName val="ECB_by_SF_QTD35"/>
      <sheetName val="ECB_by_SF_YTD35"/>
      <sheetName val="ECB_Regions35"/>
      <sheetName val="Pull_HP_Wide35"/>
      <sheetName val="Pull_All_SFs35"/>
      <sheetName val="FINAL_(2)35"/>
      <sheetName val="Time_Dimension_Lookup35"/>
      <sheetName val="Non-Statistical_Sampling_Mast33"/>
      <sheetName val="Global_Data33"/>
      <sheetName val="Q4_CURRENCY35"/>
      <sheetName val="MENU_3"/>
      <sheetName val="p_and_l3"/>
      <sheetName val="Zone_stucture3"/>
      <sheetName val="HP_WIDE39"/>
      <sheetName val="ECB_BY_DIV39"/>
      <sheetName val="ECB_by_SF_MTD39"/>
      <sheetName val="ECB_by_SF_QTD39"/>
      <sheetName val="ECB_by_SF_YTD39"/>
      <sheetName val="ECB_Regions39"/>
      <sheetName val="Pull_HP_Wide39"/>
      <sheetName val="Pull_All_SFs39"/>
      <sheetName val="FINAL_(2)39"/>
      <sheetName val="Time_Dimension_Lookup39"/>
      <sheetName val="Non-Statistical_Sampling_Mast37"/>
      <sheetName val="Global_Data37"/>
      <sheetName val="Q4_CURRENCY39"/>
      <sheetName val="MENU_7"/>
      <sheetName val="p_and_l7"/>
      <sheetName val="Zone_stucture7"/>
      <sheetName val="HP_WIDE37"/>
      <sheetName val="ECB_BY_DIV37"/>
      <sheetName val="ECB_by_SF_MTD37"/>
      <sheetName val="ECB_by_SF_QTD37"/>
      <sheetName val="ECB_by_SF_YTD37"/>
      <sheetName val="ECB_Regions37"/>
      <sheetName val="Pull_HP_Wide37"/>
      <sheetName val="Pull_All_SFs37"/>
      <sheetName val="FINAL_(2)37"/>
      <sheetName val="Time_Dimension_Lookup37"/>
      <sheetName val="Non-Statistical_Sampling_Mast35"/>
      <sheetName val="Global_Data35"/>
      <sheetName val="Q4_CURRENCY37"/>
      <sheetName val="MENU_5"/>
      <sheetName val="p_and_l5"/>
      <sheetName val="Zone_stucture5"/>
      <sheetName val="HP_WIDE38"/>
      <sheetName val="ECB_BY_DIV38"/>
      <sheetName val="ECB_by_SF_MTD38"/>
      <sheetName val="ECB_by_SF_QTD38"/>
      <sheetName val="ECB_by_SF_YTD38"/>
      <sheetName val="ECB_Regions38"/>
      <sheetName val="Pull_HP_Wide38"/>
      <sheetName val="Pull_All_SFs38"/>
      <sheetName val="FINAL_(2)38"/>
      <sheetName val="Time_Dimension_Lookup38"/>
      <sheetName val="Non-Statistical_Sampling_Mast36"/>
      <sheetName val="Global_Data36"/>
      <sheetName val="Q4_CURRENCY38"/>
      <sheetName val="MENU_6"/>
      <sheetName val="p_and_l6"/>
      <sheetName val="Zone_stucture6"/>
      <sheetName val="HP_WIDE40"/>
      <sheetName val="ECB_BY_DIV40"/>
      <sheetName val="ECB_by_SF_MTD40"/>
      <sheetName val="ECB_by_SF_QTD40"/>
      <sheetName val="ECB_by_SF_YTD40"/>
      <sheetName val="ECB_Regions40"/>
      <sheetName val="Pull_HP_Wide40"/>
      <sheetName val="Pull_All_SFs40"/>
      <sheetName val="FINAL_(2)40"/>
      <sheetName val="Time_Dimension_Lookup40"/>
      <sheetName val="Non-Statistical_Sampling_Mast38"/>
      <sheetName val="Global_Data38"/>
      <sheetName val="Q4_CURRENCY40"/>
      <sheetName val="MENU_8"/>
      <sheetName val="p_and_l8"/>
      <sheetName val="Zone_stucture8"/>
      <sheetName val="Table_of_Contents"/>
      <sheetName val="GM_Trend"/>
      <sheetName val="GM%_Trend"/>
      <sheetName val="Linearity_Chart"/>
      <sheetName val="NP_Trend"/>
      <sheetName val="Rev_Trend"/>
      <sheetName val="Rev-GM_Detail_1"/>
      <sheetName val="Rev-GM_Detail_2"/>
      <sheetName val="Rev_Mix_Trend"/>
      <sheetName val="SUMMARY_(EXPD)"/>
      <sheetName val="SUMMARY_(%)"/>
      <sheetName val="QTD_TO_GO"/>
      <sheetName val="Comet_Q202_Flash"/>
      <sheetName val="_"/>
      <sheetName val="HP_WIDE41"/>
      <sheetName val="ECB_BY_DIV41"/>
      <sheetName val="ECB_by_SF_MTD41"/>
      <sheetName val="ECB_by_SF_QTD41"/>
      <sheetName val="ECB_by_SF_YTD41"/>
      <sheetName val="ECB_Regions41"/>
      <sheetName val="Pull_HP_Wide41"/>
      <sheetName val="Pull_All_SFs41"/>
      <sheetName val="FINAL_(2)41"/>
      <sheetName val="Time_Dimension_Lookup41"/>
      <sheetName val="Non-Statistical_Sampling_Mast39"/>
      <sheetName val="Global_Data39"/>
      <sheetName val="Q4_CURRENCY41"/>
      <sheetName val="MENU_9"/>
      <sheetName val="p_and_l9"/>
      <sheetName val="Zone_stucture9"/>
      <sheetName val="Table_of_Contents1"/>
      <sheetName val="GM_Trend1"/>
      <sheetName val="GM%_Trend1"/>
      <sheetName val="Linearity_Chart1"/>
      <sheetName val="NP_Trend1"/>
      <sheetName val="Rev_Trend1"/>
      <sheetName val="Rev-GM_Detail_11"/>
      <sheetName val="Rev-GM_Detail_21"/>
      <sheetName val="Rev_Mix_Trend1"/>
      <sheetName val="SUMMARY_(EXPD)1"/>
      <sheetName val="SUMMARY_(%)1"/>
      <sheetName val="QTD_TO_GO1"/>
      <sheetName val="Comet_Q202_Flash1"/>
      <sheetName val="_1"/>
      <sheetName val="SPals"/>
      <sheetName val="Oct FW42 BaaN for G-Line"/>
      <sheetName val="po list"/>
      <sheetName val="Foams"/>
      <sheetName val="Refrigerants"/>
      <sheetName val="审核总览"/>
      <sheetName val="通貨一覧"/>
      <sheetName val="假设"/>
      <sheetName val="Summary Data"/>
      <sheetName val="base"/>
      <sheetName val="MENU"/>
      <sheetName val="hdcnt 3"/>
      <sheetName val="HR Budget"/>
      <sheetName val="Av.Measures"/>
      <sheetName val="Main"/>
      <sheetName val="3D ASPIRE Table"/>
      <sheetName val="UPPER BLOCK"/>
      <sheetName val="GE 2001"/>
      <sheetName val="HTP 2001"/>
      <sheetName val="costos fw 52"/>
      <sheetName val="NovOrdersFY00"/>
      <sheetName val="Safety _ P_A"/>
      <sheetName val="项目日程安排"/>
      <sheetName val="HP_WIDE43"/>
      <sheetName val="ECB_BY_DIV43"/>
      <sheetName val="ECB_by_SF_MTD43"/>
      <sheetName val="ECB_by_SF_QTD43"/>
      <sheetName val="ECB_by_SF_YTD43"/>
      <sheetName val="ECB_Regions43"/>
      <sheetName val="Pull_HP_Wide43"/>
      <sheetName val="Pull_All_SFs43"/>
      <sheetName val="FINAL_(2)43"/>
      <sheetName val="Time_Dimension_Lookup43"/>
      <sheetName val="Non-Statistical_Sampling_Mast41"/>
      <sheetName val="Global_Data41"/>
      <sheetName val="Q4_CURRENCY43"/>
      <sheetName val="MENU_11"/>
      <sheetName val="p_and_l11"/>
      <sheetName val="Zone_stucture11"/>
      <sheetName val="Table_of_Contents3"/>
      <sheetName val="GM_Trend3"/>
      <sheetName val="GM%_Trend3"/>
      <sheetName val="Linearity_Chart3"/>
      <sheetName val="NP_Trend3"/>
      <sheetName val="Rev_Trend3"/>
      <sheetName val="Rev-GM_Detail_13"/>
      <sheetName val="Rev-GM_Detail_23"/>
      <sheetName val="Rev_Mix_Trend3"/>
      <sheetName val="SUMMARY_(EXPD)3"/>
      <sheetName val="SUMMARY_(%)3"/>
      <sheetName val="QTD_TO_GO3"/>
      <sheetName val="Comet_Q202_Flash3"/>
      <sheetName val="_3"/>
      <sheetName val="HP_WIDE44"/>
      <sheetName val="ECB_BY_DIV44"/>
      <sheetName val="ECB_by_SF_MTD44"/>
      <sheetName val="ECB_by_SF_QTD44"/>
      <sheetName val="ECB_by_SF_YTD44"/>
      <sheetName val="ECB_Regions44"/>
      <sheetName val="Pull_HP_Wide44"/>
      <sheetName val="Pull_All_SFs44"/>
      <sheetName val="FINAL_(2)44"/>
      <sheetName val="Time_Dimension_Lookup44"/>
      <sheetName val="Non-Statistical_Sampling_Mast42"/>
      <sheetName val="Global_Data42"/>
      <sheetName val="Q4_CURRENCY44"/>
      <sheetName val="MENU_12"/>
      <sheetName val="p_and_l12"/>
      <sheetName val="Zone_stucture12"/>
      <sheetName val="Table_of_Contents4"/>
      <sheetName val="GM_Trend4"/>
      <sheetName val="GM%_Trend4"/>
      <sheetName val="Linearity_Chart4"/>
      <sheetName val="NP_Trend4"/>
      <sheetName val="Rev_Trend4"/>
      <sheetName val="Rev-GM_Detail_14"/>
      <sheetName val="Rev-GM_Detail_24"/>
      <sheetName val="Rev_Mix_Trend4"/>
      <sheetName val="SUMMARY_(EXPD)4"/>
      <sheetName val="SUMMARY_(%)4"/>
      <sheetName val="QTD_TO_GO4"/>
      <sheetName val="Comet_Q202_Flash4"/>
      <sheetName val="_4"/>
      <sheetName val="HP_WIDE45"/>
      <sheetName val="ECB_BY_DIV45"/>
      <sheetName val="ECB_by_SF_MTD45"/>
      <sheetName val="ECB_by_SF_QTD45"/>
      <sheetName val="ECB_by_SF_YTD45"/>
      <sheetName val="ECB_Regions45"/>
      <sheetName val="Pull_HP_Wide45"/>
      <sheetName val="Pull_All_SFs45"/>
      <sheetName val="FINAL_(2)45"/>
      <sheetName val="Time_Dimension_Lookup45"/>
      <sheetName val="Q4_CURRENCY45"/>
      <sheetName val="Non-Statistical_Sampling_Mast43"/>
      <sheetName val="Global_Data43"/>
      <sheetName val="MENU_13"/>
      <sheetName val="p_and_l13"/>
      <sheetName val="Zone_stucture13"/>
      <sheetName val="Table_of_Contents5"/>
      <sheetName val="GM_Trend5"/>
      <sheetName val="GM%_Trend5"/>
      <sheetName val="Linearity_Chart5"/>
      <sheetName val="NP_Trend5"/>
      <sheetName val="Rev_Trend5"/>
      <sheetName val="Rev-GM_Detail_15"/>
      <sheetName val="Rev-GM_Detail_25"/>
      <sheetName val="Rev_Mix_Trend5"/>
      <sheetName val="SUMMARY_(EXPD)5"/>
      <sheetName val="SUMMARY_(%)5"/>
      <sheetName val="QTD_TO_GO5"/>
      <sheetName val="Comet_Q202_Flash5"/>
      <sheetName val="_5"/>
      <sheetName val="HP_WIDE46"/>
      <sheetName val="ECB_BY_DIV46"/>
      <sheetName val="ECB_by_SF_MTD46"/>
      <sheetName val="ECB_by_SF_QTD46"/>
      <sheetName val="ECB_by_SF_YTD46"/>
      <sheetName val="ECB_Regions46"/>
      <sheetName val="Pull_HP_Wide46"/>
      <sheetName val="Pull_All_SFs46"/>
      <sheetName val="FINAL_(2)46"/>
      <sheetName val="Time_Dimension_Lookup46"/>
      <sheetName val="Q4_CURRENCY46"/>
      <sheetName val="Non-Statistical_Sampling_Mast44"/>
      <sheetName val="Global_Data44"/>
      <sheetName val="MENU_14"/>
      <sheetName val="p_and_l14"/>
      <sheetName val="Zone_stucture14"/>
      <sheetName val="Table_of_Contents6"/>
      <sheetName val="GM_Trend6"/>
      <sheetName val="GM%_Trend6"/>
      <sheetName val="Linearity_Chart6"/>
      <sheetName val="NP_Trend6"/>
      <sheetName val="Rev_Trend6"/>
      <sheetName val="Rev-GM_Detail_16"/>
      <sheetName val="Rev-GM_Detail_26"/>
      <sheetName val="Rev_Mix_Trend6"/>
      <sheetName val="SUMMARY_(EXPD)6"/>
      <sheetName val="SUMMARY_(%)6"/>
      <sheetName val="QTD_TO_GO6"/>
      <sheetName val="Comet_Q202_Flash6"/>
      <sheetName val="_6"/>
      <sheetName val="HP_WIDE47"/>
      <sheetName val="ECB_BY_DIV47"/>
      <sheetName val="ECB_by_SF_MTD47"/>
      <sheetName val="ECB_by_SF_QTD47"/>
      <sheetName val="ECB_by_SF_YTD47"/>
      <sheetName val="ECB_Regions47"/>
      <sheetName val="Pull_HP_Wide47"/>
      <sheetName val="Pull_All_SFs47"/>
      <sheetName val="FINAL_(2)47"/>
      <sheetName val="Time_Dimension_Lookup47"/>
      <sheetName val="Q4_CURRENCY47"/>
      <sheetName val="Non-Statistical_Sampling_Mast45"/>
      <sheetName val="Global_Data45"/>
      <sheetName val="MENU_15"/>
      <sheetName val="p_and_l15"/>
      <sheetName val="Zone_stucture15"/>
      <sheetName val="Table_of_Contents7"/>
      <sheetName val="GM_Trend7"/>
      <sheetName val="GM%_Trend7"/>
      <sheetName val="Linearity_Chart7"/>
      <sheetName val="NP_Trend7"/>
      <sheetName val="Rev_Trend7"/>
      <sheetName val="Rev-GM_Detail_17"/>
      <sheetName val="Rev-GM_Detail_27"/>
      <sheetName val="Rev_Mix_Trend7"/>
      <sheetName val="SUMMARY_(EXPD)7"/>
      <sheetName val="SUMMARY_(%)7"/>
      <sheetName val="QTD_TO_GO7"/>
      <sheetName val="Comet_Q202_Flash7"/>
      <sheetName val="_7"/>
      <sheetName val="HP_WIDE48"/>
      <sheetName val="ECB_BY_DIV48"/>
      <sheetName val="ECB_by_SF_MTD48"/>
      <sheetName val="ECB_by_SF_QTD48"/>
      <sheetName val="ECB_by_SF_YTD48"/>
      <sheetName val="ECB_Regions48"/>
      <sheetName val="Pull_HP_Wide48"/>
      <sheetName val="Pull_All_SFs48"/>
      <sheetName val="FINAL_(2)48"/>
      <sheetName val="Time_Dimension_Lookup48"/>
      <sheetName val="Non-Statistical_Sampling_Mast46"/>
      <sheetName val="Global_Data46"/>
      <sheetName val="Q4_CURRENCY48"/>
      <sheetName val="MENU_16"/>
      <sheetName val="p_and_l16"/>
      <sheetName val="Zone_stucture16"/>
      <sheetName val="Table_of_Contents8"/>
      <sheetName val="GM_Trend8"/>
      <sheetName val="GM%_Trend8"/>
      <sheetName val="Linearity_Chart8"/>
      <sheetName val="NP_Trend8"/>
      <sheetName val="Rev_Trend8"/>
      <sheetName val="Rev-GM_Detail_18"/>
      <sheetName val="Rev-GM_Detail_28"/>
      <sheetName val="Rev_Mix_Trend8"/>
      <sheetName val="SUMMARY_(EXPD)8"/>
      <sheetName val="SUMMARY_(%)8"/>
      <sheetName val="QTD_TO_GO8"/>
      <sheetName val="Comet_Q202_Flash8"/>
      <sheetName val="_8"/>
      <sheetName val="HP_WIDE50"/>
      <sheetName val="ECB_BY_DIV50"/>
      <sheetName val="ECB_by_SF_MTD50"/>
      <sheetName val="ECB_by_SF_QTD50"/>
      <sheetName val="ECB_by_SF_YTD50"/>
      <sheetName val="ECB_Regions50"/>
      <sheetName val="Pull_HP_Wide50"/>
      <sheetName val="Pull_All_SFs50"/>
      <sheetName val="FINAL_(2)50"/>
      <sheetName val="Time_Dimension_Lookup50"/>
      <sheetName val="Non-Statistical_Sampling_Mast48"/>
      <sheetName val="Global_Data48"/>
      <sheetName val="Q4_CURRENCY50"/>
      <sheetName val="MENU_18"/>
      <sheetName val="p_and_l18"/>
      <sheetName val="Zone_stucture18"/>
      <sheetName val="Table_of_Contents10"/>
      <sheetName val="GM_Trend10"/>
      <sheetName val="GM%_Trend10"/>
      <sheetName val="Linearity_Chart10"/>
      <sheetName val="NP_Trend10"/>
      <sheetName val="Rev_Trend10"/>
      <sheetName val="Rev-GM_Detail_110"/>
      <sheetName val="Rev-GM_Detail_210"/>
      <sheetName val="Rev_Mix_Trend10"/>
      <sheetName val="SUMMARY_(EXPD)10"/>
      <sheetName val="SUMMARY_(%)10"/>
      <sheetName val="QTD_TO_GO10"/>
      <sheetName val="Comet_Q202_Flash10"/>
      <sheetName val="_10"/>
      <sheetName val="HP_WIDE49"/>
      <sheetName val="ECB_BY_DIV49"/>
      <sheetName val="ECB_by_SF_MTD49"/>
      <sheetName val="ECB_by_SF_QTD49"/>
      <sheetName val="ECB_by_SF_YTD49"/>
      <sheetName val="ECB_Regions49"/>
      <sheetName val="Pull_HP_Wide49"/>
      <sheetName val="Pull_All_SFs49"/>
      <sheetName val="FINAL_(2)49"/>
      <sheetName val="Time_Dimension_Lookup49"/>
      <sheetName val="Non-Statistical_Sampling_Mast47"/>
      <sheetName val="Global_Data47"/>
      <sheetName val="Q4_CURRENCY49"/>
      <sheetName val="MENU_17"/>
      <sheetName val="p_and_l17"/>
      <sheetName val="Zone_stucture17"/>
      <sheetName val="Table_of_Contents9"/>
      <sheetName val="GM_Trend9"/>
      <sheetName val="GM%_Trend9"/>
      <sheetName val="Linearity_Chart9"/>
      <sheetName val="NP_Trend9"/>
      <sheetName val="Rev_Trend9"/>
      <sheetName val="Rev-GM_Detail_19"/>
      <sheetName val="Rev-GM_Detail_29"/>
      <sheetName val="Rev_Mix_Trend9"/>
      <sheetName val="SUMMARY_(EXPD)9"/>
      <sheetName val="SUMMARY_(%)9"/>
      <sheetName val="QTD_TO_GO9"/>
      <sheetName val="Comet_Q202_Flash9"/>
      <sheetName val="_9"/>
      <sheetName val="HP_WIDE51"/>
      <sheetName val="ECB_BY_DIV51"/>
      <sheetName val="ECB_by_SF_MTD51"/>
      <sheetName val="ECB_by_SF_QTD51"/>
      <sheetName val="ECB_by_SF_YTD51"/>
      <sheetName val="ECB_Regions51"/>
      <sheetName val="Pull_HP_Wide51"/>
      <sheetName val="Pull_All_SFs51"/>
      <sheetName val="FINAL_(2)51"/>
      <sheetName val="Time_Dimension_Lookup51"/>
      <sheetName val="Non-Statistical_Sampling_Mast49"/>
      <sheetName val="Global_Data49"/>
      <sheetName val="Q4_CURRENCY51"/>
      <sheetName val="MENU_19"/>
      <sheetName val="p_and_l19"/>
      <sheetName val="Zone_stucture19"/>
      <sheetName val="Table_of_Contents11"/>
      <sheetName val="GM_Trend11"/>
      <sheetName val="GM%_Trend11"/>
      <sheetName val="Linearity_Chart11"/>
      <sheetName val="NP_Trend11"/>
      <sheetName val="Rev_Trend11"/>
      <sheetName val="Rev-GM_Detail_111"/>
      <sheetName val="Rev-GM_Detail_211"/>
      <sheetName val="Rev_Mix_Trend11"/>
      <sheetName val="SUMMARY_(EXPD)11"/>
      <sheetName val="SUMMARY_(%)11"/>
      <sheetName val="QTD_TO_GO11"/>
      <sheetName val="Comet_Q202_Flash11"/>
      <sheetName val="_11"/>
      <sheetName val="FY01 Actuals"/>
      <sheetName val="FY00 Restated"/>
      <sheetName val="FY01 Quota"/>
      <sheetName val="Planet_Ame"/>
      <sheetName val="Planet_AP"/>
      <sheetName val="Planet_EMEA"/>
      <sheetName val="Planet_OG"/>
      <sheetName val="Planet_WW"/>
      <sheetName val="Detail pg 5"/>
      <sheetName val="Tables"/>
      <sheetName val="Restate"/>
      <sheetName val="XL4Poppy"/>
      <sheetName val="Sheet3"/>
      <sheetName val="Total Financials"/>
      <sheetName val="HP_WIDE52"/>
      <sheetName val="ECB_BY_DIV52"/>
      <sheetName val="ECB_by_SF_MTD52"/>
      <sheetName val="ECB_by_SF_QTD52"/>
      <sheetName val="ECB_by_SF_YTD52"/>
      <sheetName val="ECB_Regions52"/>
      <sheetName val="Pull_HP_Wide52"/>
      <sheetName val="Pull_All_SFs52"/>
      <sheetName val="FINAL_(2)52"/>
      <sheetName val="Time_Dimension_Lookup52"/>
      <sheetName val="Non-Statistical_Sampling_Mast50"/>
      <sheetName val="Global_Data50"/>
      <sheetName val="Q4_CURRENCY52"/>
      <sheetName val="MENU_20"/>
      <sheetName val="p_and_l20"/>
      <sheetName val="Zone_stucture20"/>
      <sheetName val="Table_of_Contents12"/>
      <sheetName val="GM_Trend12"/>
      <sheetName val="GM%_Trend12"/>
      <sheetName val="Linearity_Chart12"/>
      <sheetName val="NP_Trend12"/>
      <sheetName val="Rev_Trend12"/>
      <sheetName val="Rev-GM_Detail_112"/>
      <sheetName val="Rev-GM_Detail_212"/>
      <sheetName val="Rev_Mix_Trend12"/>
      <sheetName val="SUMMARY_(EXPD)12"/>
      <sheetName val="SUMMARY_(%)12"/>
      <sheetName val="QTD_TO_GO12"/>
      <sheetName val="Comet_Q202_Flash12"/>
      <sheetName val="_12"/>
      <sheetName val="Raw materials"/>
      <sheetName val="분리멀티형"/>
      <sheetName val="Instructions"/>
      <sheetName val="Index"/>
      <sheetName val="10. Thermal Limiter Test"/>
      <sheetName val="spp"/>
      <sheetName val="Comet ASPIRE"/>
      <sheetName val="Comet Sequential"/>
      <sheetName val="Comet yoy"/>
      <sheetName val="Launch Costs TMNF"/>
      <sheetName val="April Antonio"/>
      <sheetName val="Spec"/>
      <sheetName val="Oct_FW42_BaaN_for_G-Line"/>
      <sheetName val="po_list"/>
      <sheetName val="HP_WIDE60"/>
      <sheetName val="ECB_BY_DIV60"/>
      <sheetName val="ECB_by_SF_MTD60"/>
      <sheetName val="ECB_by_SF_QTD60"/>
      <sheetName val="ECB_by_SF_YTD60"/>
      <sheetName val="ECB_Regions60"/>
      <sheetName val="Pull_HP_Wide60"/>
      <sheetName val="Pull_All_SFs60"/>
      <sheetName val="FINAL_(2)60"/>
      <sheetName val="Time_Dimension_Lookup60"/>
      <sheetName val="Non-Statistical_Sampling_Mast58"/>
      <sheetName val="Global_Data58"/>
      <sheetName val="Q4_CURRENCY60"/>
      <sheetName val="MENU_28"/>
      <sheetName val="p_and_l28"/>
      <sheetName val="Zone_stucture28"/>
      <sheetName val="Table_of_Contents20"/>
      <sheetName val="GM_Trend20"/>
      <sheetName val="GM%_Trend20"/>
      <sheetName val="Linearity_Chart20"/>
      <sheetName val="NP_Trend20"/>
      <sheetName val="Rev_Trend20"/>
      <sheetName val="Rev-GM_Detail_120"/>
      <sheetName val="Rev-GM_Detail_220"/>
      <sheetName val="Rev_Mix_Trend20"/>
      <sheetName val="SUMMARY_(EXPD)20"/>
      <sheetName val="SUMMARY_(%)20"/>
      <sheetName val="QTD_TO_GO20"/>
      <sheetName val="Comet_Q202_Flash20"/>
      <sheetName val="_20"/>
      <sheetName val="Oct_FW42_BaaN_for_G-Line7"/>
      <sheetName val="po_list7"/>
      <sheetName val="HP_WIDE53"/>
      <sheetName val="ECB_BY_DIV53"/>
      <sheetName val="ECB_by_SF_MTD53"/>
      <sheetName val="ECB_by_SF_QTD53"/>
      <sheetName val="ECB_by_SF_YTD53"/>
      <sheetName val="ECB_Regions53"/>
      <sheetName val="Pull_HP_Wide53"/>
      <sheetName val="Pull_All_SFs53"/>
      <sheetName val="FINAL_(2)53"/>
      <sheetName val="Time_Dimension_Lookup53"/>
      <sheetName val="Non-Statistical_Sampling_Mast51"/>
      <sheetName val="Global_Data51"/>
      <sheetName val="Q4_CURRENCY53"/>
      <sheetName val="MENU_21"/>
      <sheetName val="p_and_l21"/>
      <sheetName val="Zone_stucture21"/>
      <sheetName val="Table_of_Contents13"/>
      <sheetName val="GM_Trend13"/>
      <sheetName val="GM%_Trend13"/>
      <sheetName val="Linearity_Chart13"/>
      <sheetName val="NP_Trend13"/>
      <sheetName val="Rev_Trend13"/>
      <sheetName val="Rev-GM_Detail_113"/>
      <sheetName val="Rev-GM_Detail_213"/>
      <sheetName val="Rev_Mix_Trend13"/>
      <sheetName val="SUMMARY_(EXPD)13"/>
      <sheetName val="SUMMARY_(%)13"/>
      <sheetName val="QTD_TO_GO13"/>
      <sheetName val="Comet_Q202_Flash13"/>
      <sheetName val="_13"/>
      <sheetName val="Oct_FW42_BaaN_for_G-Line1"/>
      <sheetName val="po_list1"/>
      <sheetName val="HP_WIDE56"/>
      <sheetName val="ECB_BY_DIV56"/>
      <sheetName val="ECB_by_SF_MTD56"/>
      <sheetName val="ECB_by_SF_QTD56"/>
      <sheetName val="ECB_by_SF_YTD56"/>
      <sheetName val="ECB_Regions56"/>
      <sheetName val="Pull_HP_Wide56"/>
      <sheetName val="Pull_All_SFs56"/>
      <sheetName val="FINAL_(2)56"/>
      <sheetName val="Time_Dimension_Lookup56"/>
      <sheetName val="Non-Statistical_Sampling_Mast54"/>
      <sheetName val="Global_Data54"/>
      <sheetName val="Q4_CURRENCY56"/>
      <sheetName val="MENU_24"/>
      <sheetName val="p_and_l24"/>
      <sheetName val="Zone_stucture24"/>
      <sheetName val="Table_of_Contents16"/>
      <sheetName val="GM_Trend16"/>
      <sheetName val="GM%_Trend16"/>
      <sheetName val="Linearity_Chart16"/>
      <sheetName val="NP_Trend16"/>
      <sheetName val="Rev_Trend16"/>
      <sheetName val="Rev-GM_Detail_116"/>
      <sheetName val="Rev-GM_Detail_216"/>
      <sheetName val="Rev_Mix_Trend16"/>
      <sheetName val="SUMMARY_(EXPD)16"/>
      <sheetName val="SUMMARY_(%)16"/>
      <sheetName val="QTD_TO_GO16"/>
      <sheetName val="Comet_Q202_Flash16"/>
      <sheetName val="_16"/>
      <sheetName val="Oct_FW42_BaaN_for_G-Line3"/>
      <sheetName val="po_list3"/>
      <sheetName val="HP_WIDE54"/>
      <sheetName val="ECB_BY_DIV54"/>
      <sheetName val="ECB_by_SF_MTD54"/>
      <sheetName val="ECB_by_SF_QTD54"/>
      <sheetName val="ECB_by_SF_YTD54"/>
      <sheetName val="ECB_Regions54"/>
      <sheetName val="Pull_HP_Wide54"/>
      <sheetName val="Pull_All_SFs54"/>
      <sheetName val="FINAL_(2)54"/>
      <sheetName val="Time_Dimension_Lookup54"/>
      <sheetName val="Non-Statistical_Sampling_Mast52"/>
      <sheetName val="Global_Data52"/>
      <sheetName val="Q4_CURRENCY54"/>
      <sheetName val="MENU_22"/>
      <sheetName val="p_and_l22"/>
      <sheetName val="Zone_stucture22"/>
      <sheetName val="Table_of_Contents14"/>
      <sheetName val="GM_Trend14"/>
      <sheetName val="GM%_Trend14"/>
      <sheetName val="Linearity_Chart14"/>
      <sheetName val="NP_Trend14"/>
      <sheetName val="Rev_Trend14"/>
      <sheetName val="Rev-GM_Detail_114"/>
      <sheetName val="Rev-GM_Detail_214"/>
      <sheetName val="Rev_Mix_Trend14"/>
      <sheetName val="SUMMARY_(EXPD)14"/>
      <sheetName val="SUMMARY_(%)14"/>
      <sheetName val="QTD_TO_GO14"/>
      <sheetName val="Comet_Q202_Flash14"/>
      <sheetName val="_14"/>
      <sheetName val="HP_WIDE55"/>
      <sheetName val="ECB_BY_DIV55"/>
      <sheetName val="ECB_by_SF_MTD55"/>
      <sheetName val="ECB_by_SF_QTD55"/>
      <sheetName val="ECB_by_SF_YTD55"/>
      <sheetName val="ECB_Regions55"/>
      <sheetName val="Pull_HP_Wide55"/>
      <sheetName val="Pull_All_SFs55"/>
      <sheetName val="FINAL_(2)55"/>
      <sheetName val="Time_Dimension_Lookup55"/>
      <sheetName val="Non-Statistical_Sampling_Mast53"/>
      <sheetName val="Global_Data53"/>
      <sheetName val="Q4_CURRENCY55"/>
      <sheetName val="MENU_23"/>
      <sheetName val="p_and_l23"/>
      <sheetName val="Zone_stucture23"/>
      <sheetName val="Table_of_Contents15"/>
      <sheetName val="GM_Trend15"/>
      <sheetName val="GM%_Trend15"/>
      <sheetName val="Linearity_Chart15"/>
      <sheetName val="NP_Trend15"/>
      <sheetName val="Rev_Trend15"/>
      <sheetName val="Rev-GM_Detail_115"/>
      <sheetName val="Rev-GM_Detail_215"/>
      <sheetName val="Rev_Mix_Trend15"/>
      <sheetName val="SUMMARY_(EXPD)15"/>
      <sheetName val="SUMMARY_(%)15"/>
      <sheetName val="QTD_TO_GO15"/>
      <sheetName val="Comet_Q202_Flash15"/>
      <sheetName val="_15"/>
      <sheetName val="Oct_FW42_BaaN_for_G-Line2"/>
      <sheetName val="po_list2"/>
      <sheetName val="HP_WIDE57"/>
      <sheetName val="ECB_BY_DIV57"/>
      <sheetName val="ECB_by_SF_MTD57"/>
      <sheetName val="ECB_by_SF_QTD57"/>
      <sheetName val="ECB_by_SF_YTD57"/>
      <sheetName val="ECB_Regions57"/>
      <sheetName val="Pull_HP_Wide57"/>
      <sheetName val="Pull_All_SFs57"/>
      <sheetName val="FINAL_(2)57"/>
      <sheetName val="Time_Dimension_Lookup57"/>
      <sheetName val="Non-Statistical_Sampling_Mast55"/>
      <sheetName val="Global_Data55"/>
      <sheetName val="Q4_CURRENCY57"/>
      <sheetName val="MENU_25"/>
      <sheetName val="p_and_l25"/>
      <sheetName val="Zone_stucture25"/>
      <sheetName val="Table_of_Contents17"/>
      <sheetName val="GM_Trend17"/>
      <sheetName val="GM%_Trend17"/>
      <sheetName val="Linearity_Chart17"/>
      <sheetName val="NP_Trend17"/>
      <sheetName val="Rev_Trend17"/>
      <sheetName val="Rev-GM_Detail_117"/>
      <sheetName val="Rev-GM_Detail_217"/>
      <sheetName val="Rev_Mix_Trend17"/>
      <sheetName val="SUMMARY_(EXPD)17"/>
      <sheetName val="SUMMARY_(%)17"/>
      <sheetName val="QTD_TO_GO17"/>
      <sheetName val="Comet_Q202_Flash17"/>
      <sheetName val="_17"/>
      <sheetName val="Oct_FW42_BaaN_for_G-Line4"/>
      <sheetName val="po_list4"/>
      <sheetName val="HP_WIDE58"/>
      <sheetName val="ECB_BY_DIV58"/>
      <sheetName val="ECB_by_SF_MTD58"/>
      <sheetName val="ECB_by_SF_QTD58"/>
      <sheetName val="ECB_by_SF_YTD58"/>
      <sheetName val="ECB_Regions58"/>
      <sheetName val="Pull_HP_Wide58"/>
      <sheetName val="Pull_All_SFs58"/>
      <sheetName val="FINAL_(2)58"/>
      <sheetName val="Time_Dimension_Lookup58"/>
      <sheetName val="Non-Statistical_Sampling_Mast56"/>
      <sheetName val="Global_Data56"/>
      <sheetName val="Q4_CURRENCY58"/>
      <sheetName val="MENU_26"/>
      <sheetName val="p_and_l26"/>
      <sheetName val="Zone_stucture26"/>
      <sheetName val="Table_of_Contents18"/>
      <sheetName val="GM_Trend18"/>
      <sheetName val="GM%_Trend18"/>
      <sheetName val="Linearity_Chart18"/>
      <sheetName val="NP_Trend18"/>
      <sheetName val="Rev_Trend18"/>
      <sheetName val="Rev-GM_Detail_118"/>
      <sheetName val="Rev-GM_Detail_218"/>
      <sheetName val="Rev_Mix_Trend18"/>
      <sheetName val="SUMMARY_(EXPD)18"/>
      <sheetName val="SUMMARY_(%)18"/>
      <sheetName val="QTD_TO_GO18"/>
      <sheetName val="Comet_Q202_Flash18"/>
      <sheetName val="_18"/>
      <sheetName val="Oct_FW42_BaaN_for_G-Line5"/>
      <sheetName val="po_list5"/>
      <sheetName val="HP_WIDE59"/>
      <sheetName val="ECB_BY_DIV59"/>
      <sheetName val="ECB_by_SF_MTD59"/>
      <sheetName val="ECB_by_SF_QTD59"/>
      <sheetName val="ECB_by_SF_YTD59"/>
      <sheetName val="ECB_Regions59"/>
      <sheetName val="Pull_HP_Wide59"/>
      <sheetName val="Pull_All_SFs59"/>
      <sheetName val="FINAL_(2)59"/>
      <sheetName val="Time_Dimension_Lookup59"/>
      <sheetName val="Non-Statistical_Sampling_Mast57"/>
      <sheetName val="Global_Data57"/>
      <sheetName val="Q4_CURRENCY59"/>
      <sheetName val="MENU_27"/>
      <sheetName val="p_and_l27"/>
      <sheetName val="Zone_stucture27"/>
      <sheetName val="Table_of_Contents19"/>
      <sheetName val="GM_Trend19"/>
      <sheetName val="GM%_Trend19"/>
      <sheetName val="Linearity_Chart19"/>
      <sheetName val="NP_Trend19"/>
      <sheetName val="Rev_Trend19"/>
      <sheetName val="Rev-GM_Detail_119"/>
      <sheetName val="Rev-GM_Detail_219"/>
      <sheetName val="Rev_Mix_Trend19"/>
      <sheetName val="SUMMARY_(EXPD)19"/>
      <sheetName val="SUMMARY_(%)19"/>
      <sheetName val="QTD_TO_GO19"/>
      <sheetName val="Comet_Q202_Flash19"/>
      <sheetName val="_19"/>
      <sheetName val="Oct_FW42_BaaN_for_G-Line6"/>
      <sheetName val="po_list6"/>
      <sheetName val="ADJ - RATE"/>
      <sheetName val="6641"/>
      <sheetName val="0521"/>
      <sheetName val="底稿2001年"/>
      <sheetName val="Pick Lists"/>
      <sheetName val="C101"/>
      <sheetName val="E101"/>
      <sheetName val="G101"/>
      <sheetName val="G201"/>
      <sheetName val="G301"/>
      <sheetName val="I101"/>
      <sheetName val="ARP-U301"/>
      <sheetName val="U401"/>
      <sheetName val="ARP-U501"/>
      <sheetName val="Collateral"/>
      <sheetName val="信息"/>
      <sheetName val="FCG"/>
      <sheetName val="Two Step Revenue Testing Master"/>
      <sheetName val="Sat tron"/>
      <sheetName val="source"/>
      <sheetName val="B"/>
      <sheetName val="Client Data"/>
      <sheetName val="analyse"/>
      <sheetName val="Table"/>
      <sheetName val="F1"/>
      <sheetName val="Transl"/>
      <sheetName val="ARCELIK项目收入成本"/>
      <sheetName val="A3"/>
      <sheetName val="ARP-P101"/>
      <sheetName val="046 Fixed Ass. mov."/>
      <sheetName val="F_Summary"/>
      <sheetName val="JE"/>
      <sheetName val="评估增值"/>
      <sheetName val="股权结构图"/>
      <sheetName val="產成品收發明細表"/>
      <sheetName val="企业表一"/>
      <sheetName val="M-5A"/>
      <sheetName val="M-5C"/>
      <sheetName val="1 LeadSchedule"/>
      <sheetName val="3 Analysis"/>
      <sheetName val="合并单位 (2)"/>
      <sheetName val="合并单位"/>
      <sheetName val="ASSLIST2.XLS"/>
      <sheetName val="Sales_p8"/>
      <sheetName val="HideSheet"/>
      <sheetName val="ORI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HP_PL-MTD"/>
      <sheetName val="HP_PL-QTD "/>
      <sheetName val="HP_PL-YTD "/>
      <sheetName val="BCO_PL-MTD "/>
      <sheetName val="BCO_PL-QTD  "/>
      <sheetName val="BCO_PL-YTD "/>
      <sheetName val="PLBCO"/>
      <sheetName val="PLALL"/>
      <sheetName val="FP"/>
      <sheetName val="Time Dimension Lookup"/>
      <sheetName val="FY03CostStructure"/>
      <sheetName val="HP_PL-QTD_"/>
      <sheetName val="HP_PL-YTD_"/>
      <sheetName val="BCO_PL-MTD_"/>
      <sheetName val="BCO_PL-QTD__"/>
      <sheetName val="BCO_PL-YTD_"/>
      <sheetName val="PLALL2"/>
      <sheetName val="Sheet2"/>
      <sheetName val="List"/>
      <sheetName val="Planet_Ame"/>
      <sheetName val="Planet_AP"/>
      <sheetName val="Planet_EMEA"/>
      <sheetName val="Planet_OG"/>
      <sheetName val="Planet_WW"/>
      <sheetName val="Sheet1"/>
      <sheetName val="GE 2001"/>
      <sheetName val="HTP 2001"/>
      <sheetName val="Grafvta00 (2)"/>
      <sheetName val="5+7 plan"/>
      <sheetName val="Restate"/>
      <sheetName val="Summary"/>
      <sheetName val="Comet Q202 Flas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_Report"/>
      <sheetName val="Instructions"/>
      <sheetName val="Lookupvalues"/>
      <sheetName val="WR_FLASH"/>
      <sheetName val="WR_Act"/>
      <sheetName val="WW_BR"/>
      <sheetName val="Monthly_Summary"/>
      <sheetName val="Planet_WW"/>
      <sheetName val="Americas_BR"/>
      <sheetName val="EMEA_BR"/>
      <sheetName val="AP_BR"/>
      <sheetName val="Orders"/>
      <sheetName val="CA Orders"/>
      <sheetName val="CA Rev"/>
      <sheetName val="Current-FLASH"/>
      <sheetName val="Planet_Ame"/>
      <sheetName val="Planet_EMEA"/>
      <sheetName val="Planet_AP"/>
      <sheetName val="Planet_OG"/>
      <sheetName val="PLANET_DvsA Mapping"/>
      <sheetName val="Bad_Debt_pull"/>
      <sheetName val="Tables"/>
      <sheetName val="PLALL"/>
      <sheetName val="A3"/>
      <sheetName val="LOV"/>
      <sheetName val="Cover"/>
      <sheetName val="PLALL2"/>
      <sheetName val="Comet Q202 Flash"/>
      <sheetName val="実績DETA"/>
      <sheetName val="3D ASPIRE Table"/>
      <sheetName val="FY01 Actuals"/>
      <sheetName val="FY00 Restated"/>
      <sheetName val="FY01 Quota"/>
      <sheetName val="FP"/>
      <sheetName val="Time Dimension Lookup"/>
      <sheetName val="Restate"/>
      <sheetName val="KeyData"/>
      <sheetName val="Funnel"/>
      <sheetName val="Q4 CURRENCY"/>
      <sheetName val="CA_Orders"/>
      <sheetName val="CA_Rev"/>
      <sheetName val="PLANET_DvsA_Mapping"/>
      <sheetName val="Comet_Q202_Flash"/>
      <sheetName val="3D_ASPIRE_Table"/>
      <sheetName val="FY01_Actuals"/>
      <sheetName val="FY00_Restated"/>
      <sheetName val="FY01_Quota"/>
      <sheetName val="Time_Dimension_Lookup"/>
      <sheetName val="CA_Orders3"/>
      <sheetName val="CA_Rev3"/>
      <sheetName val="PLANET_DvsA_Mapping3"/>
      <sheetName val="Comet_Q202_Flash3"/>
      <sheetName val="3D_ASPIRE_Table3"/>
      <sheetName val="FY01_Actuals3"/>
      <sheetName val="FY00_Restated3"/>
      <sheetName val="FY01_Quota3"/>
      <sheetName val="Time_Dimension_Lookup3"/>
      <sheetName val="CA_Orders1"/>
      <sheetName val="CA_Rev1"/>
      <sheetName val="PLANET_DvsA_Mapping1"/>
      <sheetName val="Comet_Q202_Flash1"/>
      <sheetName val="3D_ASPIRE_Table1"/>
      <sheetName val="FY01_Actuals1"/>
      <sheetName val="FY00_Restated1"/>
      <sheetName val="FY01_Quota1"/>
      <sheetName val="Time_Dimension_Lookup1"/>
      <sheetName val="CA_Orders2"/>
      <sheetName val="CA_Rev2"/>
      <sheetName val="PLANET_DvsA_Mapping2"/>
      <sheetName val="Comet_Q202_Flash2"/>
      <sheetName val="3D_ASPIRE_Table2"/>
      <sheetName val="FY01_Actuals2"/>
      <sheetName val="FY00_Restated2"/>
      <sheetName val="FY01_Quota2"/>
      <sheetName val="Time_Dimension_Lookup2"/>
      <sheetName val="Businessss_Reviews-Model"/>
      <sheetName val=" "/>
      <sheetName val="Sheet2"/>
      <sheetName val="MCS"/>
      <sheetName val="master"/>
      <sheetName val="CA_Orders20"/>
      <sheetName val="CA_Rev20"/>
      <sheetName val="PLANET_DvsA_Mapping20"/>
      <sheetName val="Comet_Q202_Flash20"/>
      <sheetName val="3D_ASPIRE_Table20"/>
      <sheetName val="FY01_Actuals20"/>
      <sheetName val="FY00_Restated20"/>
      <sheetName val="FY01_Quota20"/>
      <sheetName val="Time_Dimension_Lookup20"/>
      <sheetName val="CA_Orders4"/>
      <sheetName val="CA_Rev4"/>
      <sheetName val="PLANET_DvsA_Mapping4"/>
      <sheetName val="Comet_Q202_Flash4"/>
      <sheetName val="3D_ASPIRE_Table4"/>
      <sheetName val="FY01_Actuals4"/>
      <sheetName val="FY00_Restated4"/>
      <sheetName val="FY01_Quota4"/>
      <sheetName val="Time_Dimension_Lookup4"/>
      <sheetName val="CA_Orders5"/>
      <sheetName val="CA_Rev5"/>
      <sheetName val="PLANET_DvsA_Mapping5"/>
      <sheetName val="Comet_Q202_Flash5"/>
      <sheetName val="3D_ASPIRE_Table5"/>
      <sheetName val="FY01_Actuals5"/>
      <sheetName val="FY00_Restated5"/>
      <sheetName val="FY01_Quota5"/>
      <sheetName val="Time_Dimension_Lookup5"/>
      <sheetName val="CA_Orders6"/>
      <sheetName val="CA_Rev6"/>
      <sheetName val="PLANET_DvsA_Mapping6"/>
      <sheetName val="Comet_Q202_Flash6"/>
      <sheetName val="3D_ASPIRE_Table6"/>
      <sheetName val="FY01_Actuals6"/>
      <sheetName val="FY00_Restated6"/>
      <sheetName val="FY01_Quota6"/>
      <sheetName val="Time_Dimension_Lookup6"/>
      <sheetName val="CA_Orders7"/>
      <sheetName val="CA_Rev7"/>
      <sheetName val="PLANET_DvsA_Mapping7"/>
      <sheetName val="Comet_Q202_Flash7"/>
      <sheetName val="3D_ASPIRE_Table7"/>
      <sheetName val="FY01_Actuals7"/>
      <sheetName val="FY00_Restated7"/>
      <sheetName val="FY01_Quota7"/>
      <sheetName val="Time_Dimension_Lookup7"/>
      <sheetName val="CA_Orders8"/>
      <sheetName val="CA_Rev8"/>
      <sheetName val="PLANET_DvsA_Mapping8"/>
      <sheetName val="Comet_Q202_Flash8"/>
      <sheetName val="3D_ASPIRE_Table8"/>
      <sheetName val="FY01_Actuals8"/>
      <sheetName val="FY00_Restated8"/>
      <sheetName val="FY01_Quota8"/>
      <sheetName val="Time_Dimension_Lookup8"/>
      <sheetName val="CA_Orders9"/>
      <sheetName val="CA_Rev9"/>
      <sheetName val="PLANET_DvsA_Mapping9"/>
      <sheetName val="Comet_Q202_Flash9"/>
      <sheetName val="3D_ASPIRE_Table9"/>
      <sheetName val="FY01_Actuals9"/>
      <sheetName val="FY00_Restated9"/>
      <sheetName val="FY01_Quota9"/>
      <sheetName val="Time_Dimension_Lookup9"/>
      <sheetName val="CA_Orders10"/>
      <sheetName val="CA_Rev10"/>
      <sheetName val="PLANET_DvsA_Mapping10"/>
      <sheetName val="Comet_Q202_Flash10"/>
      <sheetName val="3D_ASPIRE_Table10"/>
      <sheetName val="FY01_Actuals10"/>
      <sheetName val="FY00_Restated10"/>
      <sheetName val="FY01_Quota10"/>
      <sheetName val="Time_Dimension_Lookup10"/>
      <sheetName val="CA_Orders11"/>
      <sheetName val="CA_Rev11"/>
      <sheetName val="PLANET_DvsA_Mapping11"/>
      <sheetName val="Comet_Q202_Flash11"/>
      <sheetName val="3D_ASPIRE_Table11"/>
      <sheetName val="FY01_Actuals11"/>
      <sheetName val="FY00_Restated11"/>
      <sheetName val="FY01_Quota11"/>
      <sheetName val="Time_Dimension_Lookup11"/>
      <sheetName val="Q4_CURRENCY"/>
      <sheetName val="CA_Orders12"/>
      <sheetName val="CA_Rev12"/>
      <sheetName val="PLANET_DvsA_Mapping12"/>
      <sheetName val="Comet_Q202_Flash12"/>
      <sheetName val="3D_ASPIRE_Table12"/>
      <sheetName val="FY01_Actuals12"/>
      <sheetName val="FY00_Restated12"/>
      <sheetName val="FY01_Quota12"/>
      <sheetName val="Time_Dimension_Lookup12"/>
      <sheetName val="CA_Orders13"/>
      <sheetName val="CA_Rev13"/>
      <sheetName val="PLANET_DvsA_Mapping13"/>
      <sheetName val="Comet_Q202_Flash13"/>
      <sheetName val="3D_ASPIRE_Table13"/>
      <sheetName val="FY01_Actuals13"/>
      <sheetName val="FY00_Restated13"/>
      <sheetName val="FY01_Quota13"/>
      <sheetName val="Time_Dimension_Lookup13"/>
      <sheetName val="CA_Orders14"/>
      <sheetName val="CA_Rev14"/>
      <sheetName val="PLANET_DvsA_Mapping14"/>
      <sheetName val="Comet_Q202_Flash14"/>
      <sheetName val="3D_ASPIRE_Table14"/>
      <sheetName val="FY01_Actuals14"/>
      <sheetName val="FY00_Restated14"/>
      <sheetName val="FY01_Quota14"/>
      <sheetName val="Time_Dimension_Lookup14"/>
      <sheetName val="CA_Orders15"/>
      <sheetName val="CA_Rev15"/>
      <sheetName val="PLANET_DvsA_Mapping15"/>
      <sheetName val="Comet_Q202_Flash15"/>
      <sheetName val="3D_ASPIRE_Table15"/>
      <sheetName val="FY01_Actuals15"/>
      <sheetName val="FY00_Restated15"/>
      <sheetName val="FY01_Quota15"/>
      <sheetName val="Time_Dimension_Lookup15"/>
      <sheetName val="CA_Orders17"/>
      <sheetName val="CA_Rev17"/>
      <sheetName val="PLANET_DvsA_Mapping17"/>
      <sheetName val="Comet_Q202_Flash17"/>
      <sheetName val="3D_ASPIRE_Table17"/>
      <sheetName val="FY01_Actuals17"/>
      <sheetName val="FY00_Restated17"/>
      <sheetName val="FY01_Quota17"/>
      <sheetName val="Time_Dimension_Lookup17"/>
      <sheetName val="CA_Orders16"/>
      <sheetName val="CA_Rev16"/>
      <sheetName val="PLANET_DvsA_Mapping16"/>
      <sheetName val="Comet_Q202_Flash16"/>
      <sheetName val="3D_ASPIRE_Table16"/>
      <sheetName val="FY01_Actuals16"/>
      <sheetName val="FY00_Restated16"/>
      <sheetName val="FY01_Quota16"/>
      <sheetName val="Time_Dimension_Lookup16"/>
      <sheetName val="CA_Orders18"/>
      <sheetName val="CA_Rev18"/>
      <sheetName val="PLANET_DvsA_Mapping18"/>
      <sheetName val="Comet_Q202_Flash18"/>
      <sheetName val="3D_ASPIRE_Table18"/>
      <sheetName val="FY01_Actuals18"/>
      <sheetName val="FY00_Restated18"/>
      <sheetName val="FY01_Quota18"/>
      <sheetName val="Time_Dimension_Lookup18"/>
      <sheetName val="CA_Orders19"/>
      <sheetName val="CA_Rev19"/>
      <sheetName val="PLANET_DvsA_Mapping19"/>
      <sheetName val="Comet_Q202_Flash19"/>
      <sheetName val="3D_ASPIRE_Table19"/>
      <sheetName val="FY01_Actuals19"/>
      <sheetName val="FY00_Restated19"/>
      <sheetName val="FY01_Quota19"/>
      <sheetName val="Time_Dimension_Lookup19"/>
      <sheetName val="CA_Orders21"/>
      <sheetName val="CA_Rev21"/>
      <sheetName val="PLANET_DvsA_Mapping21"/>
      <sheetName val="Comet_Q202_Flash21"/>
      <sheetName val="3D_ASPIRE_Table21"/>
      <sheetName val="FY01_Actuals21"/>
      <sheetName val="FY00_Restated21"/>
      <sheetName val="FY01_Quota21"/>
      <sheetName val="Time_Dimension_Lookup21"/>
      <sheetName val="CA_Orders22"/>
      <sheetName val="CA_Rev22"/>
      <sheetName val="PLANET_DvsA_Mapping22"/>
      <sheetName val="Comet_Q202_Flash22"/>
      <sheetName val="3D_ASPIRE_Table22"/>
      <sheetName val="FY01_Actuals22"/>
      <sheetName val="FY00_Restated22"/>
      <sheetName val="FY01_Quota22"/>
      <sheetName val="Time_Dimension_Lookup22"/>
      <sheetName val="CA_Orders26"/>
      <sheetName val="CA_Rev26"/>
      <sheetName val="PLANET_DvsA_Mapping26"/>
      <sheetName val="Comet_Q202_Flash26"/>
      <sheetName val="3D_ASPIRE_Table26"/>
      <sheetName val="FY01_Actuals26"/>
      <sheetName val="FY00_Restated26"/>
      <sheetName val="FY01_Quota26"/>
      <sheetName val="Time_Dimension_Lookup26"/>
      <sheetName val="CA_Orders24"/>
      <sheetName val="CA_Rev24"/>
      <sheetName val="PLANET_DvsA_Mapping24"/>
      <sheetName val="Comet_Q202_Flash24"/>
      <sheetName val="3D_ASPIRE_Table24"/>
      <sheetName val="FY01_Actuals24"/>
      <sheetName val="FY00_Restated24"/>
      <sheetName val="FY01_Quota24"/>
      <sheetName val="Time_Dimension_Lookup24"/>
      <sheetName val="CA_Orders23"/>
      <sheetName val="CA_Rev23"/>
      <sheetName val="PLANET_DvsA_Mapping23"/>
      <sheetName val="Comet_Q202_Flash23"/>
      <sheetName val="3D_ASPIRE_Table23"/>
      <sheetName val="FY01_Actuals23"/>
      <sheetName val="FY00_Restated23"/>
      <sheetName val="FY01_Quota23"/>
      <sheetName val="Time_Dimension_Lookup23"/>
      <sheetName val="CA_Orders25"/>
      <sheetName val="CA_Rev25"/>
      <sheetName val="PLANET_DvsA_Mapping25"/>
      <sheetName val="Comet_Q202_Flash25"/>
      <sheetName val="3D_ASPIRE_Table25"/>
      <sheetName val="FY01_Actuals25"/>
      <sheetName val="FY00_Restated25"/>
      <sheetName val="FY01_Quota25"/>
      <sheetName val="Time_Dimension_Lookup25"/>
      <sheetName val="CA_Orders29"/>
      <sheetName val="CA_Rev29"/>
      <sheetName val="PLANET_DvsA_Mapping29"/>
      <sheetName val="Comet_Q202_Flash29"/>
      <sheetName val="3D_ASPIRE_Table29"/>
      <sheetName val="FY01_Actuals29"/>
      <sheetName val="FY00_Restated29"/>
      <sheetName val="FY01_Quota29"/>
      <sheetName val="Time_Dimension_Lookup29"/>
      <sheetName val="CA_Orders27"/>
      <sheetName val="CA_Rev27"/>
      <sheetName val="PLANET_DvsA_Mapping27"/>
      <sheetName val="Comet_Q202_Flash27"/>
      <sheetName val="3D_ASPIRE_Table27"/>
      <sheetName val="FY01_Actuals27"/>
      <sheetName val="FY00_Restated27"/>
      <sheetName val="FY01_Quota27"/>
      <sheetName val="Time_Dimension_Lookup27"/>
      <sheetName val="CA_Orders28"/>
      <sheetName val="CA_Rev28"/>
      <sheetName val="PLANET_DvsA_Mapping28"/>
      <sheetName val="Comet_Q202_Flash28"/>
      <sheetName val="3D_ASPIRE_Table28"/>
      <sheetName val="FY01_Actuals28"/>
      <sheetName val="FY00_Restated28"/>
      <sheetName val="FY01_Quota28"/>
      <sheetName val="Time_Dimension_Lookup28"/>
      <sheetName val="CA_Orders30"/>
      <sheetName val="CA_Rev30"/>
      <sheetName val="PLANET_DvsA_Mapping30"/>
      <sheetName val="Comet_Q202_Flash30"/>
      <sheetName val="3D_ASPIRE_Table30"/>
      <sheetName val="FY01_Actuals30"/>
      <sheetName val="FY00_Restated30"/>
      <sheetName val="FY01_Quota30"/>
      <sheetName val="Time_Dimension_Lookup30"/>
      <sheetName val="CA_Orders31"/>
      <sheetName val="CA_Rev31"/>
      <sheetName val="PLANET_DvsA_Mapping31"/>
      <sheetName val="Comet_Q202_Flash31"/>
      <sheetName val="3D_ASPIRE_Table31"/>
      <sheetName val="FY01_Actuals31"/>
      <sheetName val="FY00_Restated31"/>
      <sheetName val="FY01_Quota31"/>
      <sheetName val="Time_Dimension_Lookup31"/>
      <sheetName val="摊销表"/>
      <sheetName val="FY03CostStructure"/>
      <sheetName val="成本表"/>
      <sheetName val="XL4Poppy"/>
      <sheetName val="FCG"/>
      <sheetName val="Pull HP Wide"/>
      <sheetName val="Pull All SFs"/>
      <sheetName val="雷梦"/>
      <sheetName val="CA_Orders33"/>
      <sheetName val="CA_Rev33"/>
      <sheetName val="PLANET_DvsA_Mapping33"/>
      <sheetName val="Comet_Q202_Flash33"/>
      <sheetName val="3D_ASPIRE_Table33"/>
      <sheetName val="FY01_Actuals33"/>
      <sheetName val="FY00_Restated33"/>
      <sheetName val="FY01_Quota33"/>
      <sheetName val="Time_Dimension_Lookup33"/>
      <sheetName val="Q4_CURRENCY2"/>
      <sheetName val="_1"/>
      <sheetName val="CA_Orders32"/>
      <sheetName val="CA_Rev32"/>
      <sheetName val="PLANET_DvsA_Mapping32"/>
      <sheetName val="Comet_Q202_Flash32"/>
      <sheetName val="3D_ASPIRE_Table32"/>
      <sheetName val="FY01_Actuals32"/>
      <sheetName val="FY00_Restated32"/>
      <sheetName val="FY01_Quota32"/>
      <sheetName val="Time_Dimension_Lookup32"/>
      <sheetName val="Q4_CURRENCY1"/>
      <sheetName val="_"/>
      <sheetName val="CA_Orders42"/>
      <sheetName val="CA_Rev42"/>
      <sheetName val="PLANET_DvsA_Mapping42"/>
      <sheetName val="Comet_Q202_Flash42"/>
      <sheetName val="3D_ASPIRE_Table42"/>
      <sheetName val="FY01_Actuals42"/>
      <sheetName val="FY00_Restated42"/>
      <sheetName val="FY01_Quota42"/>
      <sheetName val="Time_Dimension_Lookup42"/>
      <sheetName val="Q4_CURRENCY11"/>
      <sheetName val="_10"/>
      <sheetName val="Pull_HP_Wide2"/>
      <sheetName val="Pull_All_SFs2"/>
      <sheetName val="CA_Orders36"/>
      <sheetName val="CA_Rev36"/>
      <sheetName val="PLANET_DvsA_Mapping36"/>
      <sheetName val="Comet_Q202_Flash36"/>
      <sheetName val="3D_ASPIRE_Table36"/>
      <sheetName val="FY01_Actuals36"/>
      <sheetName val="FY00_Restated36"/>
      <sheetName val="FY01_Quota36"/>
      <sheetName val="Time_Dimension_Lookup36"/>
      <sheetName val="Q4_CURRENCY5"/>
      <sheetName val="_4"/>
      <sheetName val="CA_Orders34"/>
      <sheetName val="CA_Rev34"/>
      <sheetName val="PLANET_DvsA_Mapping34"/>
      <sheetName val="Comet_Q202_Flash34"/>
      <sheetName val="3D_ASPIRE_Table34"/>
      <sheetName val="FY01_Actuals34"/>
      <sheetName val="FY00_Restated34"/>
      <sheetName val="FY01_Quota34"/>
      <sheetName val="Time_Dimension_Lookup34"/>
      <sheetName val="Q4_CURRENCY3"/>
      <sheetName val="_2"/>
      <sheetName val="CA_Orders35"/>
      <sheetName val="CA_Rev35"/>
      <sheetName val="PLANET_DvsA_Mapping35"/>
      <sheetName val="Comet_Q202_Flash35"/>
      <sheetName val="3D_ASPIRE_Table35"/>
      <sheetName val="FY01_Actuals35"/>
      <sheetName val="FY00_Restated35"/>
      <sheetName val="FY01_Quota35"/>
      <sheetName val="Time_Dimension_Lookup35"/>
      <sheetName val="Q4_CURRENCY4"/>
      <sheetName val="_3"/>
      <sheetName val="CA_Orders39"/>
      <sheetName val="CA_Rev39"/>
      <sheetName val="PLANET_DvsA_Mapping39"/>
      <sheetName val="Comet_Q202_Flash39"/>
      <sheetName val="3D_ASPIRE_Table39"/>
      <sheetName val="FY01_Actuals39"/>
      <sheetName val="FY00_Restated39"/>
      <sheetName val="FY01_Quota39"/>
      <sheetName val="Time_Dimension_Lookup39"/>
      <sheetName val="Q4_CURRENCY8"/>
      <sheetName val="_7"/>
      <sheetName val="CA_Orders37"/>
      <sheetName val="CA_Rev37"/>
      <sheetName val="PLANET_DvsA_Mapping37"/>
      <sheetName val="Comet_Q202_Flash37"/>
      <sheetName val="3D_ASPIRE_Table37"/>
      <sheetName val="FY01_Actuals37"/>
      <sheetName val="FY00_Restated37"/>
      <sheetName val="FY01_Quota37"/>
      <sheetName val="Time_Dimension_Lookup37"/>
      <sheetName val="Q4_CURRENCY6"/>
      <sheetName val="_5"/>
      <sheetName val="CA_Orders38"/>
      <sheetName val="CA_Rev38"/>
      <sheetName val="PLANET_DvsA_Mapping38"/>
      <sheetName val="Comet_Q202_Flash38"/>
      <sheetName val="3D_ASPIRE_Table38"/>
      <sheetName val="FY01_Actuals38"/>
      <sheetName val="FY00_Restated38"/>
      <sheetName val="FY01_Quota38"/>
      <sheetName val="Time_Dimension_Lookup38"/>
      <sheetName val="Q4_CURRENCY7"/>
      <sheetName val="_6"/>
      <sheetName val="CA_Orders40"/>
      <sheetName val="CA_Rev40"/>
      <sheetName val="PLANET_DvsA_Mapping40"/>
      <sheetName val="Comet_Q202_Flash40"/>
      <sheetName val="3D_ASPIRE_Table40"/>
      <sheetName val="FY01_Actuals40"/>
      <sheetName val="FY00_Restated40"/>
      <sheetName val="FY01_Quota40"/>
      <sheetName val="Time_Dimension_Lookup40"/>
      <sheetName val="Q4_CURRENCY9"/>
      <sheetName val="_8"/>
      <sheetName val="Pull_HP_Wide"/>
      <sheetName val="Pull_All_SFs"/>
      <sheetName val="CA_Orders41"/>
      <sheetName val="CA_Rev41"/>
      <sheetName val="PLANET_DvsA_Mapping41"/>
      <sheetName val="Comet_Q202_Flash41"/>
      <sheetName val="3D_ASPIRE_Table41"/>
      <sheetName val="FY01_Actuals41"/>
      <sheetName val="FY00_Restated41"/>
      <sheetName val="FY01_Quota41"/>
      <sheetName val="Time_Dimension_Lookup41"/>
      <sheetName val="Q4_CURRENCY10"/>
      <sheetName val="_9"/>
      <sheetName val="Pull_HP_Wide1"/>
      <sheetName val="Pull_All_SFs1"/>
      <sheetName val="Original"/>
      <sheetName val="Oct FW42 BaaN for G-Line"/>
      <sheetName val="Foams"/>
      <sheetName val="Grid"/>
      <sheetName val="审核总览"/>
      <sheetName val="p and l"/>
      <sheetName val="XVIa(i) - average price (2)"/>
      <sheetName val="source"/>
      <sheetName val="Summary"/>
      <sheetName val="SPals"/>
      <sheetName val="Main"/>
      <sheetName val="total(F)"/>
      <sheetName val="Attachment-4(2)"/>
      <sheetName val="假设"/>
      <sheetName val="公司"/>
      <sheetName val="工厂"/>
      <sheetName val="经营体"/>
      <sheetName val="供应商"/>
      <sheetName val="MC3(main)"/>
      <sheetName val="MC1"/>
      <sheetName val="CA_Orders43"/>
      <sheetName val="CA_Rev43"/>
      <sheetName val="PLANET_DvsA_Mapping43"/>
      <sheetName val="Comet_Q202_Flash43"/>
      <sheetName val="3D_ASPIRE_Table43"/>
      <sheetName val="FY01_Actuals43"/>
      <sheetName val="FY00_Restated43"/>
      <sheetName val="FY01_Quota43"/>
      <sheetName val="Time_Dimension_Lookup43"/>
      <sheetName val="Q4_CURRENCY12"/>
      <sheetName val="_11"/>
      <sheetName val="Pull_HP_Wide3"/>
      <sheetName val="Pull_All_SFs3"/>
      <sheetName val="CA_Orders44"/>
      <sheetName val="CA_Rev44"/>
      <sheetName val="PLANET_DvsA_Mapping44"/>
      <sheetName val="Comet_Q202_Flash44"/>
      <sheetName val="3D_ASPIRE_Table44"/>
      <sheetName val="FY01_Actuals44"/>
      <sheetName val="FY00_Restated44"/>
      <sheetName val="FY01_Quota44"/>
      <sheetName val="Time_Dimension_Lookup44"/>
      <sheetName val="Q4_CURRENCY13"/>
      <sheetName val="_12"/>
      <sheetName val="Pull_HP_Wide4"/>
      <sheetName val="Pull_All_SFs4"/>
      <sheetName val="CA_Orders45"/>
      <sheetName val="CA_Rev45"/>
      <sheetName val="PLANET_DvsA_Mapping45"/>
      <sheetName val="Comet_Q202_Flash45"/>
      <sheetName val="3D_ASPIRE_Table45"/>
      <sheetName val="FY01_Actuals45"/>
      <sheetName val="FY00_Restated45"/>
      <sheetName val="FY01_Quota45"/>
      <sheetName val="Time_Dimension_Lookup45"/>
      <sheetName val="Q4_CURRENCY14"/>
      <sheetName val="_13"/>
      <sheetName val="Pull_HP_Wide5"/>
      <sheetName val="Pull_All_SFs5"/>
      <sheetName val="CA_Orders46"/>
      <sheetName val="CA_Rev46"/>
      <sheetName val="PLANET_DvsA_Mapping46"/>
      <sheetName val="Comet_Q202_Flash46"/>
      <sheetName val="3D_ASPIRE_Table46"/>
      <sheetName val="FY01_Actuals46"/>
      <sheetName val="FY00_Restated46"/>
      <sheetName val="FY01_Quota46"/>
      <sheetName val="Time_Dimension_Lookup46"/>
      <sheetName val="Q4_CURRENCY15"/>
      <sheetName val="_14"/>
      <sheetName val="Pull_HP_Wide6"/>
      <sheetName val="Pull_All_SFs6"/>
      <sheetName val="CA_Orders47"/>
      <sheetName val="CA_Rev47"/>
      <sheetName val="PLANET_DvsA_Mapping47"/>
      <sheetName val="Comet_Q202_Flash47"/>
      <sheetName val="3D_ASPIRE_Table47"/>
      <sheetName val="FY01_Actuals47"/>
      <sheetName val="FY00_Restated47"/>
      <sheetName val="FY01_Quota47"/>
      <sheetName val="Time_Dimension_Lookup47"/>
      <sheetName val="Q4_CURRENCY16"/>
      <sheetName val="_15"/>
      <sheetName val="Pull_HP_Wide7"/>
      <sheetName val="Pull_All_SFs7"/>
      <sheetName val="CA_Orders48"/>
      <sheetName val="CA_Rev48"/>
      <sheetName val="PLANET_DvsA_Mapping48"/>
      <sheetName val="Comet_Q202_Flash48"/>
      <sheetName val="3D_ASPIRE_Table48"/>
      <sheetName val="FY01_Actuals48"/>
      <sheetName val="FY00_Restated48"/>
      <sheetName val="FY01_Quota48"/>
      <sheetName val="Time_Dimension_Lookup48"/>
      <sheetName val="Q4_CURRENCY17"/>
      <sheetName val="_16"/>
      <sheetName val="Pull_HP_Wide8"/>
      <sheetName val="Pull_All_SFs8"/>
      <sheetName val="CA_Orders50"/>
      <sheetName val="CA_Rev50"/>
      <sheetName val="PLANET_DvsA_Mapping50"/>
      <sheetName val="Comet_Q202_Flash50"/>
      <sheetName val="3D_ASPIRE_Table50"/>
      <sheetName val="FY01_Actuals50"/>
      <sheetName val="FY00_Restated50"/>
      <sheetName val="FY01_Quota50"/>
      <sheetName val="Time_Dimension_Lookup50"/>
      <sheetName val="Q4_CURRENCY19"/>
      <sheetName val="_18"/>
      <sheetName val="Pull_HP_Wide10"/>
      <sheetName val="Pull_All_SFs10"/>
      <sheetName val="CA_Orders49"/>
      <sheetName val="CA_Rev49"/>
      <sheetName val="PLANET_DvsA_Mapping49"/>
      <sheetName val="Comet_Q202_Flash49"/>
      <sheetName val="3D_ASPIRE_Table49"/>
      <sheetName val="FY01_Actuals49"/>
      <sheetName val="FY00_Restated49"/>
      <sheetName val="FY01_Quota49"/>
      <sheetName val="Time_Dimension_Lookup49"/>
      <sheetName val="Q4_CURRENCY18"/>
      <sheetName val="_17"/>
      <sheetName val="Pull_HP_Wide9"/>
      <sheetName val="Pull_All_SFs9"/>
      <sheetName val="CA_Orders51"/>
      <sheetName val="CA_Rev51"/>
      <sheetName val="PLANET_DvsA_Mapping51"/>
      <sheetName val="Comet_Q202_Flash51"/>
      <sheetName val="3D_ASPIRE_Table51"/>
      <sheetName val="FY01_Actuals51"/>
      <sheetName val="FY00_Restated51"/>
      <sheetName val="FY01_Quota51"/>
      <sheetName val="Time_Dimension_Lookup51"/>
      <sheetName val="Q4_CURRENCY20"/>
      <sheetName val="_19"/>
      <sheetName val="Pull_HP_Wide11"/>
      <sheetName val="Pull_All_SFs11"/>
      <sheetName val="CA_Orders52"/>
      <sheetName val="CA_Rev52"/>
      <sheetName val="PLANET_DvsA_Mapping52"/>
      <sheetName val="Comet_Q202_Flash52"/>
      <sheetName val="3D_ASPIRE_Table52"/>
      <sheetName val="FY01_Actuals52"/>
      <sheetName val="FY00_Restated52"/>
      <sheetName val="FY01_Quota52"/>
      <sheetName val="Time_Dimension_Lookup52"/>
      <sheetName val="Q4_CURRENCY21"/>
      <sheetName val="_20"/>
      <sheetName val="Pull_HP_Wide12"/>
      <sheetName val="Pull_All_SFs12"/>
      <sheetName val="Oct_FW42_BaaN_for_G-Line"/>
      <sheetName val="CA_Orders60"/>
      <sheetName val="CA_Rev60"/>
      <sheetName val="PLANET_DvsA_Mapping60"/>
      <sheetName val="Comet_Q202_Flash60"/>
      <sheetName val="3D_ASPIRE_Table60"/>
      <sheetName val="FY01_Actuals60"/>
      <sheetName val="FY00_Restated60"/>
      <sheetName val="FY01_Quota60"/>
      <sheetName val="Time_Dimension_Lookup60"/>
      <sheetName val="Q4_CURRENCY29"/>
      <sheetName val="_28"/>
      <sheetName val="Pull_HP_Wide20"/>
      <sheetName val="Pull_All_SFs20"/>
      <sheetName val="Oct_FW42_BaaN_for_G-Line7"/>
      <sheetName val="CA_Orders53"/>
      <sheetName val="CA_Rev53"/>
      <sheetName val="PLANET_DvsA_Mapping53"/>
      <sheetName val="Comet_Q202_Flash53"/>
      <sheetName val="3D_ASPIRE_Table53"/>
      <sheetName val="FY01_Actuals53"/>
      <sheetName val="FY00_Restated53"/>
      <sheetName val="FY01_Quota53"/>
      <sheetName val="Time_Dimension_Lookup53"/>
      <sheetName val="Q4_CURRENCY22"/>
      <sheetName val="_21"/>
      <sheetName val="Pull_HP_Wide13"/>
      <sheetName val="Pull_All_SFs13"/>
      <sheetName val="Oct_FW42_BaaN_for_G-Line1"/>
      <sheetName val="CA_Orders56"/>
      <sheetName val="CA_Rev56"/>
      <sheetName val="PLANET_DvsA_Mapping56"/>
      <sheetName val="Comet_Q202_Flash56"/>
      <sheetName val="3D_ASPIRE_Table56"/>
      <sheetName val="FY01_Actuals56"/>
      <sheetName val="FY00_Restated56"/>
      <sheetName val="FY01_Quota56"/>
      <sheetName val="Time_Dimension_Lookup56"/>
      <sheetName val="Q4_CURRENCY25"/>
      <sheetName val="_24"/>
      <sheetName val="Pull_HP_Wide16"/>
      <sheetName val="Pull_All_SFs16"/>
      <sheetName val="Oct_FW42_BaaN_for_G-Line3"/>
      <sheetName val="CA_Orders54"/>
      <sheetName val="CA_Rev54"/>
      <sheetName val="PLANET_DvsA_Mapping54"/>
      <sheetName val="Comet_Q202_Flash54"/>
      <sheetName val="3D_ASPIRE_Table54"/>
      <sheetName val="FY01_Actuals54"/>
      <sheetName val="FY00_Restated54"/>
      <sheetName val="FY01_Quota54"/>
      <sheetName val="Time_Dimension_Lookup54"/>
      <sheetName val="Q4_CURRENCY23"/>
      <sheetName val="_22"/>
      <sheetName val="Pull_HP_Wide14"/>
      <sheetName val="Pull_All_SFs14"/>
      <sheetName val="CA_Orders55"/>
      <sheetName val="CA_Rev55"/>
      <sheetName val="PLANET_DvsA_Mapping55"/>
      <sheetName val="Comet_Q202_Flash55"/>
      <sheetName val="3D_ASPIRE_Table55"/>
      <sheetName val="FY01_Actuals55"/>
      <sheetName val="FY00_Restated55"/>
      <sheetName val="FY01_Quota55"/>
      <sheetName val="Time_Dimension_Lookup55"/>
      <sheetName val="Q4_CURRENCY24"/>
      <sheetName val="_23"/>
      <sheetName val="Pull_HP_Wide15"/>
      <sheetName val="Pull_All_SFs15"/>
      <sheetName val="Oct_FW42_BaaN_for_G-Line2"/>
      <sheetName val="CA_Orders57"/>
      <sheetName val="CA_Rev57"/>
      <sheetName val="PLANET_DvsA_Mapping57"/>
      <sheetName val="Comet_Q202_Flash57"/>
      <sheetName val="3D_ASPIRE_Table57"/>
      <sheetName val="FY01_Actuals57"/>
      <sheetName val="FY00_Restated57"/>
      <sheetName val="FY01_Quota57"/>
      <sheetName val="Time_Dimension_Lookup57"/>
      <sheetName val="Q4_CURRENCY26"/>
      <sheetName val="_25"/>
      <sheetName val="Pull_HP_Wide17"/>
      <sheetName val="Pull_All_SFs17"/>
      <sheetName val="Oct_FW42_BaaN_for_G-Line4"/>
      <sheetName val="CA_Orders58"/>
      <sheetName val="CA_Rev58"/>
      <sheetName val="PLANET_DvsA_Mapping58"/>
      <sheetName val="Comet_Q202_Flash58"/>
      <sheetName val="3D_ASPIRE_Table58"/>
      <sheetName val="FY01_Actuals58"/>
      <sheetName val="FY00_Restated58"/>
      <sheetName val="FY01_Quota58"/>
      <sheetName val="Time_Dimension_Lookup58"/>
      <sheetName val="Q4_CURRENCY27"/>
      <sheetName val="_26"/>
      <sheetName val="Pull_HP_Wide18"/>
      <sheetName val="Pull_All_SFs18"/>
      <sheetName val="Oct_FW42_BaaN_for_G-Line5"/>
      <sheetName val="CA_Orders59"/>
      <sheetName val="CA_Rev59"/>
      <sheetName val="PLANET_DvsA_Mapping59"/>
      <sheetName val="Comet_Q202_Flash59"/>
      <sheetName val="3D_ASPIRE_Table59"/>
      <sheetName val="FY01_Actuals59"/>
      <sheetName val="FY00_Restated59"/>
      <sheetName val="FY01_Quota59"/>
      <sheetName val="Time_Dimension_Lookup59"/>
      <sheetName val="Q4_CURRENCY28"/>
      <sheetName val="_27"/>
      <sheetName val="Pull_HP_Wide19"/>
      <sheetName val="Pull_All_SFs19"/>
      <sheetName val="Oct_FW42_BaaN_for_G-Line6"/>
      <sheetName val="MENU"/>
      <sheetName val="Av.Measures"/>
      <sheetName val="APJSum"/>
      <sheetName val="AmeSum"/>
      <sheetName val="EMEASum"/>
      <sheetName val="HPCoSum"/>
      <sheetName val="OGSum"/>
      <sheetName val="WWSum"/>
      <sheetName val="Sales_p8"/>
      <sheetName val="上野ﾌｫｰﾑ台当たり"/>
      <sheetName val="Raw materials"/>
      <sheetName val="pl"/>
      <sheetName val="新品台帐"/>
      <sheetName val="Summary Data"/>
      <sheetName val="Leap PO Std."/>
      <sheetName val="Quantum PO Std"/>
      <sheetName val="master PO"/>
      <sheetName val="Index"/>
      <sheetName val="10. Thermal Limiter Test"/>
      <sheetName val="GE 2001"/>
      <sheetName val="Sheet1"/>
      <sheetName val="HTP 2001"/>
      <sheetName val="未闭环"/>
      <sheetName val="Comet ASPIRE"/>
      <sheetName val="Comet Sequential"/>
      <sheetName val="Comet yoy"/>
      <sheetName val="Sheet3"/>
      <sheetName val="A6620 Detail"/>
      <sheetName val="TB"/>
      <sheetName val="1"/>
      <sheetName val="三分厂04年1-12月销售价 "/>
      <sheetName val="05年1月销售价"/>
      <sheetName val="04年12月销售价"/>
      <sheetName val="企业基本情况表限"/>
      <sheetName val="本次清算项目清算成本分摊比例鉴证表（普通住宅和其他商品房）"/>
      <sheetName val="Total Financials"/>
      <sheetName val="Issues List"/>
      <sheetName val="NEW-PANEL"/>
      <sheetName val="Company"/>
      <sheetName val="Related transaction accounts"/>
      <sheetName val="企业表一"/>
      <sheetName val="M-5C"/>
      <sheetName val="M-5A"/>
      <sheetName val="U1120"/>
      <sheetName val="Pick Lists"/>
      <sheetName val="B"/>
      <sheetName val="Table"/>
      <sheetName val="accode"/>
      <sheetName val="DEP"/>
      <sheetName val="现 金 流 量 表"/>
      <sheetName val="PriceList"/>
      <sheetName val="Permit"/>
      <sheetName val="gares 02 BON FICHIER "/>
      <sheetName val="Chart of Account"/>
      <sheetName val="披露表(上市)"/>
      <sheetName val="披露表(国资)"/>
      <sheetName val="合并单位 (2)"/>
      <sheetName val="合并单位"/>
      <sheetName val="DEF REV"/>
      <sheetName val="Hidden"/>
      <sheetName val="Panel"/>
      <sheetName val="Oct Starts Plan"/>
      <sheetName val="Vendor Data"/>
      <sheetName val="W"/>
      <sheetName val="JE Upload"/>
      <sheetName val="ASSLIST2.XLS"/>
      <sheetName val="U"/>
      <sheetName val="hdcnt 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"/>
      <sheetName val="INPUT"/>
      <sheetName val="SLIDE"/>
      <sheetName val="Slides"/>
      <sheetName val="Restate"/>
      <sheetName val="SCALE"/>
      <sheetName val="Actual"/>
      <sheetName val="Warehouse"/>
      <sheetName val="1st_2nd_Prior"/>
      <sheetName val="May Fcst"/>
      <sheetName val="Macros"/>
      <sheetName val="Macros2"/>
      <sheetName val="Planet_Ame"/>
      <sheetName val="Planet_AP"/>
      <sheetName val="Planet_EMEA"/>
      <sheetName val="Planet_OG"/>
      <sheetName val="Planet_WW"/>
      <sheetName val="source"/>
      <sheetName val="AGRO-DATA"/>
      <sheetName val="Q4 CURRENCY"/>
      <sheetName val="Summary Data"/>
      <sheetName val="sheet 1"/>
      <sheetName val="FCG"/>
      <sheetName val="Original"/>
      <sheetName val="Sheet2"/>
      <sheetName val="PLALL"/>
      <sheetName val="sum14zc1"/>
      <sheetName val="May_Fcst"/>
      <sheetName val="Q4_CURRENCY"/>
      <sheetName val="Summary_Data"/>
      <sheetName val="sheet_1"/>
      <sheetName val="May_Fcst3"/>
      <sheetName val="Q4_CURRENCY3"/>
      <sheetName val="Summary_Data3"/>
      <sheetName val="sheet_13"/>
      <sheetName val="May_Fcst1"/>
      <sheetName val="Q4_CURRENCY1"/>
      <sheetName val="Summary_Data1"/>
      <sheetName val="sheet_11"/>
      <sheetName val="May_Fcst2"/>
      <sheetName val="Q4_CURRENCY2"/>
      <sheetName val="Summary_Data2"/>
      <sheetName val="sheet_12"/>
      <sheetName val="TOTAL"/>
      <sheetName val="Summary  &amp; Assumptions"/>
      <sheetName val="Zone stucture"/>
      <sheetName val="TR05E"/>
      <sheetName val="Sheet1"/>
      <sheetName val="Cover Page"/>
      <sheetName val="Controlling"/>
      <sheetName val="Investments"/>
      <sheetName val="FP"/>
      <sheetName val="Time Dimension Lookup"/>
      <sheetName val="ตารางเงินเดือน"/>
      <sheetName val="abbr"/>
      <sheetName val="master"/>
      <sheetName val=" "/>
      <sheetName val="Disposal"/>
      <sheetName val="May_Fcst20"/>
      <sheetName val="Q4_CURRENCY20"/>
      <sheetName val="Summary_Data20"/>
      <sheetName val="May_Fcst4"/>
      <sheetName val="Q4_CURRENCY4"/>
      <sheetName val="Summary_Data4"/>
      <sheetName val="sheet_14"/>
      <sheetName val="May_Fcst5"/>
      <sheetName val="Q4_CURRENCY5"/>
      <sheetName val="Summary_Data5"/>
      <sheetName val="sheet_15"/>
      <sheetName val="May_Fcst6"/>
      <sheetName val="Q4_CURRENCY6"/>
      <sheetName val="Summary_Data6"/>
      <sheetName val="sheet_16"/>
      <sheetName val="May_Fcst7"/>
      <sheetName val="Q4_CURRENCY7"/>
      <sheetName val="Summary_Data7"/>
      <sheetName val="May_Fcst8"/>
      <sheetName val="Q4_CURRENCY8"/>
      <sheetName val="Summary_Data8"/>
      <sheetName val="May_Fcst9"/>
      <sheetName val="Q4_CURRENCY9"/>
      <sheetName val="Summary_Data9"/>
      <sheetName val="sheet_17"/>
      <sheetName val="May_Fcst10"/>
      <sheetName val="Q4_CURRENCY10"/>
      <sheetName val="Summary_Data10"/>
      <sheetName val="sheet_18"/>
      <sheetName val="May_Fcst11"/>
      <sheetName val="Q4_CURRENCY11"/>
      <sheetName val="Summary_Data11"/>
      <sheetName val="sheet_19"/>
      <sheetName val="May_Fcst12"/>
      <sheetName val="Q4_CURRENCY12"/>
      <sheetName val="Summary_Data12"/>
      <sheetName val="sheet_110"/>
      <sheetName val="May_Fcst13"/>
      <sheetName val="Q4_CURRENCY13"/>
      <sheetName val="Summary_Data13"/>
      <sheetName val="sheet_111"/>
      <sheetName val="May_Fcst14"/>
      <sheetName val="Q4_CURRENCY14"/>
      <sheetName val="Summary_Data14"/>
      <sheetName val="sheet_112"/>
      <sheetName val="May_Fcst15"/>
      <sheetName val="Q4_CURRENCY15"/>
      <sheetName val="Summary_Data15"/>
      <sheetName val="sheet_113"/>
      <sheetName val="May_Fcst17"/>
      <sheetName val="Q4_CURRENCY17"/>
      <sheetName val="Summary_Data17"/>
      <sheetName val="sheet_115"/>
      <sheetName val="May_Fcst16"/>
      <sheetName val="Q4_CURRENCY16"/>
      <sheetName val="Summary_Data16"/>
      <sheetName val="sheet_114"/>
      <sheetName val="May_Fcst18"/>
      <sheetName val="Q4_CURRENCY18"/>
      <sheetName val="Summary_Data18"/>
      <sheetName val="sheet_116"/>
      <sheetName val="May_Fcst19"/>
      <sheetName val="Q4_CURRENCY19"/>
      <sheetName val="Summary_Data19"/>
      <sheetName val="sheet_117"/>
      <sheetName val="sheet_118"/>
      <sheetName val="May_Fcst21"/>
      <sheetName val="Q4_CURRENCY21"/>
      <sheetName val="Summary_Data21"/>
      <sheetName val="sheet_119"/>
      <sheetName val="May_Fcst22"/>
      <sheetName val="Q4_CURRENCY22"/>
      <sheetName val="Summary_Data22"/>
      <sheetName val="sheet_120"/>
      <sheetName val="May_Fcst26"/>
      <sheetName val="Q4_CURRENCY26"/>
      <sheetName val="Summary_Data26"/>
      <sheetName val="sheet_124"/>
      <sheetName val="May_Fcst24"/>
      <sheetName val="Q4_CURRENCY24"/>
      <sheetName val="Summary_Data24"/>
      <sheetName val="sheet_122"/>
      <sheetName val="May_Fcst23"/>
      <sheetName val="Q4_CURRENCY23"/>
      <sheetName val="Summary_Data23"/>
      <sheetName val="sheet_121"/>
      <sheetName val="May_Fcst25"/>
      <sheetName val="Q4_CURRENCY25"/>
      <sheetName val="Summary_Data25"/>
      <sheetName val="sheet_123"/>
      <sheetName val="May_Fcst29"/>
      <sheetName val="Q4_CURRENCY29"/>
      <sheetName val="Summary_Data29"/>
      <sheetName val="sheet_127"/>
      <sheetName val="May_Fcst27"/>
      <sheetName val="Q4_CURRENCY27"/>
      <sheetName val="Summary_Data27"/>
      <sheetName val="sheet_125"/>
      <sheetName val="May_Fcst28"/>
      <sheetName val="Q4_CURRENCY28"/>
      <sheetName val="Summary_Data28"/>
      <sheetName val="sheet_126"/>
      <sheetName val="May_Fcst30"/>
      <sheetName val="Q4_CURRENCY30"/>
      <sheetName val="Summary_Data30"/>
      <sheetName val="sheet_128"/>
      <sheetName val="May_Fcst31"/>
      <sheetName val="Q4_CURRENCY31"/>
      <sheetName val="Summary_Data31"/>
      <sheetName val="sheet_129"/>
      <sheetName val="経費計画"/>
      <sheetName val="base"/>
      <sheetName val="FY03CostStructure"/>
      <sheetName val="面积指标"/>
      <sheetName val="投资估算表"/>
      <sheetName val="Summary"/>
      <sheetName val="PLALL2"/>
      <sheetName val="分产品销售收入、成本分析表"/>
      <sheetName val="敏感参数"/>
      <sheetName val="Parameters"/>
      <sheetName val="CateringBanqTable"/>
      <sheetName val="KitchenTable"/>
      <sheetName val="Rooms Table"/>
      <sheetName val="SalesTable"/>
      <sheetName val="SpaTable"/>
      <sheetName val="Cover"/>
      <sheetName val="MANPOWER"/>
      <sheetName val="May_Fcst33"/>
      <sheetName val="Q4_CURRENCY33"/>
      <sheetName val="Summary_Data33"/>
      <sheetName val="sheet_131"/>
      <sheetName val="Summary__&amp;_Assumptions1"/>
      <sheetName val="Zone_stucture1"/>
      <sheetName val="Cover_Page1"/>
      <sheetName val="Time_Dimension_Lookup1"/>
      <sheetName val="_1"/>
      <sheetName val="May_Fcst32"/>
      <sheetName val="Q4_CURRENCY32"/>
      <sheetName val="Summary_Data32"/>
      <sheetName val="sheet_130"/>
      <sheetName val="Summary__&amp;_Assumptions"/>
      <sheetName val="Zone_stucture"/>
      <sheetName val="Cover_Page"/>
      <sheetName val="Time_Dimension_Lookup"/>
      <sheetName val="_"/>
      <sheetName val="May_Fcst42"/>
      <sheetName val="Q4_CURRENCY42"/>
      <sheetName val="Summary_Data42"/>
      <sheetName val="sheet_140"/>
      <sheetName val="Summary__&amp;_Assumptions10"/>
      <sheetName val="Zone_stucture10"/>
      <sheetName val="Cover_Page10"/>
      <sheetName val="Time_Dimension_Lookup10"/>
      <sheetName val="_10"/>
      <sheetName val="Rooms_Table2"/>
      <sheetName val="May_Fcst36"/>
      <sheetName val="Q4_CURRENCY36"/>
      <sheetName val="Summary_Data36"/>
      <sheetName val="sheet_134"/>
      <sheetName val="Summary__&amp;_Assumptions4"/>
      <sheetName val="Zone_stucture4"/>
      <sheetName val="Cover_Page4"/>
      <sheetName val="Time_Dimension_Lookup4"/>
      <sheetName val="_4"/>
      <sheetName val="May_Fcst34"/>
      <sheetName val="Q4_CURRENCY34"/>
      <sheetName val="Summary_Data34"/>
      <sheetName val="sheet_132"/>
      <sheetName val="Summary__&amp;_Assumptions2"/>
      <sheetName val="Zone_stucture2"/>
      <sheetName val="Cover_Page2"/>
      <sheetName val="Time_Dimension_Lookup2"/>
      <sheetName val="_2"/>
      <sheetName val="May_Fcst35"/>
      <sheetName val="Q4_CURRENCY35"/>
      <sheetName val="Summary_Data35"/>
      <sheetName val="sheet_133"/>
      <sheetName val="Summary__&amp;_Assumptions3"/>
      <sheetName val="Zone_stucture3"/>
      <sheetName val="Cover_Page3"/>
      <sheetName val="Time_Dimension_Lookup3"/>
      <sheetName val="_3"/>
      <sheetName val="May_Fcst39"/>
      <sheetName val="Q4_CURRENCY39"/>
      <sheetName val="Summary_Data39"/>
      <sheetName val="sheet_137"/>
      <sheetName val="Summary__&amp;_Assumptions7"/>
      <sheetName val="Zone_stucture7"/>
      <sheetName val="Cover_Page7"/>
      <sheetName val="Time_Dimension_Lookup7"/>
      <sheetName val="_7"/>
      <sheetName val="May_Fcst37"/>
      <sheetName val="Q4_CURRENCY37"/>
      <sheetName val="Summary_Data37"/>
      <sheetName val="sheet_135"/>
      <sheetName val="Summary__&amp;_Assumptions5"/>
      <sheetName val="Zone_stucture5"/>
      <sheetName val="Cover_Page5"/>
      <sheetName val="Time_Dimension_Lookup5"/>
      <sheetName val="_5"/>
      <sheetName val="May_Fcst38"/>
      <sheetName val="Q4_CURRENCY38"/>
      <sheetName val="Summary_Data38"/>
      <sheetName val="sheet_136"/>
      <sheetName val="Summary__&amp;_Assumptions6"/>
      <sheetName val="Zone_stucture6"/>
      <sheetName val="Cover_Page6"/>
      <sheetName val="Time_Dimension_Lookup6"/>
      <sheetName val="_6"/>
      <sheetName val="May_Fcst40"/>
      <sheetName val="Q4_CURRENCY40"/>
      <sheetName val="Summary_Data40"/>
      <sheetName val="sheet_138"/>
      <sheetName val="Summary__&amp;_Assumptions8"/>
      <sheetName val="Zone_stucture8"/>
      <sheetName val="Cover_Page8"/>
      <sheetName val="Time_Dimension_Lookup8"/>
      <sheetName val="_8"/>
      <sheetName val="Rooms_Table"/>
      <sheetName val="May_Fcst41"/>
      <sheetName val="Q4_CURRENCY41"/>
      <sheetName val="Summary_Data41"/>
      <sheetName val="sheet_139"/>
      <sheetName val="Summary__&amp;_Assumptions9"/>
      <sheetName val="Zone_stucture9"/>
      <sheetName val="Cover_Page9"/>
      <sheetName val="Time_Dimension_Lookup9"/>
      <sheetName val="_9"/>
      <sheetName val="Rooms_Table1"/>
      <sheetName val="UPPER BLOCK"/>
      <sheetName val="假设"/>
      <sheetName val="HDa16"/>
      <sheetName val="Slide98"/>
      <sheetName val="Grafvta00 (2)"/>
      <sheetName val="Funnel"/>
      <sheetName val="MCS"/>
      <sheetName val=""/>
      <sheetName val="LOV"/>
      <sheetName val="SPals"/>
      <sheetName val="Sheet3"/>
      <sheetName val="Sheet80"/>
      <sheetName val="PL"/>
      <sheetName val="Attachment-4(2)"/>
      <sheetName val="JHM"/>
      <sheetName val="Service Invoice"/>
      <sheetName val="Sales_p8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Histogram"/>
      <sheetName val="5+7 plan"/>
      <sheetName val="May_Fcst43"/>
      <sheetName val="Q4_CURRENCY43"/>
      <sheetName val="Summary_Data43"/>
      <sheetName val="sheet_141"/>
      <sheetName val="Summary__&amp;_Assumptions11"/>
      <sheetName val="Zone_stucture11"/>
      <sheetName val="Cover_Page11"/>
      <sheetName val="Time_Dimension_Lookup11"/>
      <sheetName val="_11"/>
      <sheetName val="Rooms_Table3"/>
      <sheetName val="May_Fcst44"/>
      <sheetName val="Q4_CURRENCY44"/>
      <sheetName val="Summary_Data44"/>
      <sheetName val="sheet_142"/>
      <sheetName val="Summary__&amp;_Assumptions12"/>
      <sheetName val="Zone_stucture12"/>
      <sheetName val="Cover_Page12"/>
      <sheetName val="Time_Dimension_Lookup12"/>
      <sheetName val="_12"/>
      <sheetName val="Rooms_Table4"/>
      <sheetName val="May_Fcst45"/>
      <sheetName val="Q4_CURRENCY45"/>
      <sheetName val="Summary_Data45"/>
      <sheetName val="sheet_143"/>
      <sheetName val="Summary__&amp;_Assumptions13"/>
      <sheetName val="Zone_stucture13"/>
      <sheetName val="Cover_Page13"/>
      <sheetName val="Time_Dimension_Lookup13"/>
      <sheetName val="_13"/>
      <sheetName val="Rooms_Table5"/>
      <sheetName val="May_Fcst46"/>
      <sheetName val="Q4_CURRENCY46"/>
      <sheetName val="Summary_Data46"/>
      <sheetName val="sheet_144"/>
      <sheetName val="Summary__&amp;_Assumptions14"/>
      <sheetName val="Zone_stucture14"/>
      <sheetName val="Cover_Page14"/>
      <sheetName val="Time_Dimension_Lookup14"/>
      <sheetName val="_14"/>
      <sheetName val="Rooms_Table6"/>
      <sheetName val="May_Fcst47"/>
      <sheetName val="Q4_CURRENCY47"/>
      <sheetName val="Summary_Data47"/>
      <sheetName val="sheet_145"/>
      <sheetName val="Summary__&amp;_Assumptions15"/>
      <sheetName val="Zone_stucture15"/>
      <sheetName val="Cover_Page15"/>
      <sheetName val="Time_Dimension_Lookup15"/>
      <sheetName val="_15"/>
      <sheetName val="Rooms_Table7"/>
      <sheetName val="May_Fcst48"/>
      <sheetName val="Q4_CURRENCY48"/>
      <sheetName val="Summary_Data48"/>
      <sheetName val="sheet_146"/>
      <sheetName val="Summary__&amp;_Assumptions16"/>
      <sheetName val="Zone_stucture16"/>
      <sheetName val="Cover_Page16"/>
      <sheetName val="Time_Dimension_Lookup16"/>
      <sheetName val="_16"/>
      <sheetName val="Rooms_Table8"/>
      <sheetName val="May_Fcst50"/>
      <sheetName val="Q4_CURRENCY50"/>
      <sheetName val="Summary_Data50"/>
      <sheetName val="sheet_148"/>
      <sheetName val="Summary__&amp;_Assumptions18"/>
      <sheetName val="Zone_stucture18"/>
      <sheetName val="Cover_Page18"/>
      <sheetName val="Time_Dimension_Lookup18"/>
      <sheetName val="_18"/>
      <sheetName val="Rooms_Table10"/>
      <sheetName val="May_Fcst49"/>
      <sheetName val="Q4_CURRENCY49"/>
      <sheetName val="Summary_Data49"/>
      <sheetName val="sheet_147"/>
      <sheetName val="Summary__&amp;_Assumptions17"/>
      <sheetName val="Zone_stucture17"/>
      <sheetName val="Cover_Page17"/>
      <sheetName val="Time_Dimension_Lookup17"/>
      <sheetName val="_17"/>
      <sheetName val="Rooms_Table9"/>
      <sheetName val="May_Fcst51"/>
      <sheetName val="Q4_CURRENCY51"/>
      <sheetName val="Summary_Data51"/>
      <sheetName val="sheet_149"/>
      <sheetName val="Summary__&amp;_Assumptions19"/>
      <sheetName val="Zone_stucture19"/>
      <sheetName val="Cover_Page19"/>
      <sheetName val="Time_Dimension_Lookup19"/>
      <sheetName val="_19"/>
      <sheetName val="Rooms_Table11"/>
      <sheetName val="津贴"/>
      <sheetName val="Av.Measures"/>
      <sheetName val="AmeSum"/>
      <sheetName val="Pull HP Wide"/>
      <sheetName val="Pull All SFs"/>
      <sheetName val="Comet Q202 Flash"/>
      <sheetName val="新品台帐"/>
      <sheetName val="May_Fcst52"/>
      <sheetName val="Q4_CURRENCY52"/>
      <sheetName val="Summary_Data52"/>
      <sheetName val="sheet_150"/>
      <sheetName val="Summary__&amp;_Assumptions20"/>
      <sheetName val="Zone_stucture20"/>
      <sheetName val="Cover_Page20"/>
      <sheetName val="Time_Dimension_Lookup20"/>
      <sheetName val="_20"/>
      <sheetName val="Rooms_Table12"/>
      <sheetName val="Raw materials"/>
      <sheetName val="PO File 2002"/>
      <sheetName val="PO File 2002 Final"/>
      <sheetName val="评价矩阵"/>
      <sheetName val="数据输入"/>
      <sheetName val="UPPER_BLOCK"/>
      <sheetName val="Grafvta00_(2)"/>
      <sheetName val="May_Fcst60"/>
      <sheetName val="Q4_CURRENCY60"/>
      <sheetName val="Summary_Data60"/>
      <sheetName val="sheet_158"/>
      <sheetName val="Summary__&amp;_Assumptions28"/>
      <sheetName val="Zone_stucture28"/>
      <sheetName val="Cover_Page28"/>
      <sheetName val="Time_Dimension_Lookup28"/>
      <sheetName val="_28"/>
      <sheetName val="Rooms_Table20"/>
      <sheetName val="UPPER_BLOCK7"/>
      <sheetName val="Grafvta00_(2)7"/>
      <sheetName val="May_Fcst53"/>
      <sheetName val="Q4_CURRENCY53"/>
      <sheetName val="Summary_Data53"/>
      <sheetName val="sheet_151"/>
      <sheetName val="Summary__&amp;_Assumptions21"/>
      <sheetName val="Zone_stucture21"/>
      <sheetName val="Cover_Page21"/>
      <sheetName val="Time_Dimension_Lookup21"/>
      <sheetName val="_21"/>
      <sheetName val="Rooms_Table13"/>
      <sheetName val="UPPER_BLOCK1"/>
      <sheetName val="Grafvta00_(2)1"/>
      <sheetName val="May_Fcst56"/>
      <sheetName val="Q4_CURRENCY56"/>
      <sheetName val="Summary_Data56"/>
      <sheetName val="sheet_154"/>
      <sheetName val="Summary__&amp;_Assumptions24"/>
      <sheetName val="Zone_stucture24"/>
      <sheetName val="Cover_Page24"/>
      <sheetName val="Time_Dimension_Lookup24"/>
      <sheetName val="_24"/>
      <sheetName val="Rooms_Table16"/>
      <sheetName val="UPPER_BLOCK3"/>
      <sheetName val="Grafvta00_(2)3"/>
      <sheetName val="May_Fcst54"/>
      <sheetName val="Q4_CURRENCY54"/>
      <sheetName val="Summary_Data54"/>
      <sheetName val="sheet_152"/>
      <sheetName val="Summary__&amp;_Assumptions22"/>
      <sheetName val="Zone_stucture22"/>
      <sheetName val="Cover_Page22"/>
      <sheetName val="Time_Dimension_Lookup22"/>
      <sheetName val="_22"/>
      <sheetName val="Rooms_Table14"/>
      <sheetName val="May_Fcst55"/>
      <sheetName val="Q4_CURRENCY55"/>
      <sheetName val="Summary_Data55"/>
      <sheetName val="sheet_153"/>
      <sheetName val="Summary__&amp;_Assumptions23"/>
      <sheetName val="Zone_stucture23"/>
      <sheetName val="Cover_Page23"/>
      <sheetName val="Time_Dimension_Lookup23"/>
      <sheetName val="_23"/>
      <sheetName val="Rooms_Table15"/>
      <sheetName val="UPPER_BLOCK2"/>
      <sheetName val="Grafvta00_(2)2"/>
      <sheetName val="May_Fcst57"/>
      <sheetName val="Q4_CURRENCY57"/>
      <sheetName val="Summary_Data57"/>
      <sheetName val="sheet_155"/>
      <sheetName val="Summary__&amp;_Assumptions25"/>
      <sheetName val="Zone_stucture25"/>
      <sheetName val="Cover_Page25"/>
      <sheetName val="Time_Dimension_Lookup25"/>
      <sheetName val="_25"/>
      <sheetName val="Rooms_Table17"/>
      <sheetName val="UPPER_BLOCK4"/>
      <sheetName val="Grafvta00_(2)4"/>
      <sheetName val="May_Fcst58"/>
      <sheetName val="Q4_CURRENCY58"/>
      <sheetName val="Summary_Data58"/>
      <sheetName val="sheet_156"/>
      <sheetName val="Summary__&amp;_Assumptions26"/>
      <sheetName val="Zone_stucture26"/>
      <sheetName val="Cover_Page26"/>
      <sheetName val="Time_Dimension_Lookup26"/>
      <sheetName val="_26"/>
      <sheetName val="Rooms_Table18"/>
      <sheetName val="UPPER_BLOCK5"/>
      <sheetName val="Grafvta00_(2)5"/>
      <sheetName val="May_Fcst59"/>
      <sheetName val="Q4_CURRENCY59"/>
      <sheetName val="Summary_Data59"/>
      <sheetName val="sheet_157"/>
      <sheetName val="Summary__&amp;_Assumptions27"/>
      <sheetName val="Zone_stucture27"/>
      <sheetName val="Cover_Page27"/>
      <sheetName val="Time_Dimension_Lookup27"/>
      <sheetName val="_27"/>
      <sheetName val="Rooms_Table19"/>
      <sheetName val="UPPER_BLOCK6"/>
      <sheetName val="Grafvta00_(2)6"/>
      <sheetName val="Mapping"/>
      <sheetName val="B"/>
      <sheetName val="MENU"/>
      <sheetName val="p and l"/>
      <sheetName val="F1"/>
      <sheetName val="Vauxhall Opel 30004"/>
      <sheetName val="tf04"/>
      <sheetName val="Invoice Template"/>
      <sheetName val="2各类文件明细表 经适房"/>
      <sheetName val="企业基本情况表限"/>
      <sheetName val="本次清算项目清算成本分摊比例鉴证表（普通住宅和其他商品房）"/>
      <sheetName val="XL4Poppy"/>
      <sheetName val="56 % CIVIC Cost"/>
      <sheetName val="Chemical 2009"/>
      <sheetName val="Grey 2009"/>
      <sheetName val="BT-DSPK"/>
      <sheetName val="재활용분류정보"/>
      <sheetName val="All"/>
      <sheetName val="JE"/>
      <sheetName val="Depr.Exp. Testing (5)"/>
      <sheetName val="TB"/>
      <sheetName val="0000"/>
      <sheetName val="FA Roll to GL (p.2)"/>
      <sheetName val="Lead (p.1)"/>
      <sheetName val="XREF"/>
      <sheetName val="T  B"/>
      <sheetName val="2. PPR REVENUE APR10"/>
      <sheetName val="VARIABLES"/>
      <sheetName val="TABLES"/>
      <sheetName val="OutSum"/>
      <sheetName val="U"/>
      <sheetName val="產成品收發明細表"/>
      <sheetName val="Ex Rates"/>
      <sheetName val="Invest "/>
      <sheetName val="ASSLIST2.XLS"/>
      <sheetName val="F101"/>
      <sheetName val="EMEASum"/>
      <sheetName val="HPCoSum"/>
      <sheetName val="OGSum"/>
      <sheetName val="APJSum"/>
      <sheetName val="现 金 流 量 表"/>
      <sheetName val="GWL-RUNING"/>
      <sheetName val="PriceList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D (no DP)"/>
      <sheetName val="ISSD (with DP)"/>
      <sheetName val="HPSD"/>
      <sheetName val="Tandem"/>
      <sheetName val="Wkstns"/>
      <sheetName val="Data Products"/>
      <sheetName val="Storage"/>
      <sheetName val="Storage &amp; DP Consol"/>
      <sheetName val="Storage (with DP)"/>
      <sheetName val="Business Models"/>
      <sheetName val="Strategic P&amp;L FY"/>
      <sheetName val="Strategic P&amp;L-FY DP"/>
      <sheetName val="Strategic P&amp;L Q4"/>
      <sheetName val="Strategic P&amp;L-Q4 DP"/>
      <sheetName val="Summary Data"/>
      <sheetName val="Funnel"/>
      <sheetName val="FP"/>
      <sheetName val="Time Dimension Lookup"/>
      <sheetName val="3D ASPIRE Table"/>
      <sheetName val="ISSD_(no_DP)"/>
      <sheetName val="ISSD_(with_DP)"/>
      <sheetName val="Data_Products"/>
      <sheetName val="Storage_&amp;_DP_Consol"/>
      <sheetName val="Storage_(with_DP)"/>
      <sheetName val="Business_Models"/>
      <sheetName val="Strategic_P&amp;L_FY"/>
      <sheetName val="Strategic_P&amp;L-FY_DP"/>
      <sheetName val="Strategic_P&amp;L_Q4"/>
      <sheetName val="Strategic_P&amp;L-Q4_DP"/>
      <sheetName val="Summary_Data"/>
      <sheetName val="Planet_Ame"/>
      <sheetName val="Planet_AP"/>
      <sheetName val="Planet_EMEA"/>
      <sheetName val="Planet_OG"/>
      <sheetName val="Planet_WW"/>
      <sheetName val="Costing Para"/>
      <sheetName val="Drop down list"/>
      <sheetName val="FF-2"/>
      <sheetName val="SPEC OF ACCOUNTS"/>
      <sheetName val="p and l"/>
      <sheetName val="Raw materials"/>
      <sheetName val="Restate"/>
      <sheetName val="PLALL"/>
      <sheetName val="假设"/>
      <sheetName val="Bus Model Scenarios_2"/>
      <sheetName val="Oct FW42 BaaN for G-Line"/>
      <sheetName val="Comet Q202 Flash"/>
      <sheetName val="PLALL2"/>
      <sheetName val="序列数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出货"/>
      <sheetName val="收货"/>
      <sheetName val="以此为准"/>
      <sheetName val="Raw materials (2)"/>
      <sheetName val="Raw materials"/>
      <sheetName val="内销"/>
      <sheetName val="1.1"/>
      <sheetName val="Comet Q202 Flash"/>
      <sheetName val="FCG"/>
      <sheetName val="Quantum Stds 12-4-01"/>
      <sheetName val="假设"/>
      <sheetName val="Q4 CURRENCY"/>
      <sheetName val="Raw_materials_(2)"/>
      <sheetName val="Raw_materials"/>
      <sheetName val="1_1"/>
      <sheetName val="Summary Data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Planet_Ame"/>
      <sheetName val="Planet_AP"/>
      <sheetName val="Planet_EMEA"/>
      <sheetName val="Planet_OG"/>
      <sheetName val="Planet_WW"/>
      <sheetName val="k-line"/>
      <sheetName val="Sales Units (3)"/>
      <sheetName val="GE 2001"/>
      <sheetName val="HTP 2001"/>
      <sheetName val="Restate"/>
      <sheetName val="新品台帐"/>
      <sheetName val="9100-PO"/>
      <sheetName val="FY03CostStructure"/>
      <sheetName val="5+7 plan"/>
      <sheetName val="Foams"/>
      <sheetName val="Refrigerants"/>
      <sheetName val="Setup"/>
      <sheetName val="Tables"/>
      <sheetName val="PLALL"/>
      <sheetName val="PLALL2"/>
      <sheetName val="Attachment-4(2)"/>
      <sheetName val="MENU "/>
      <sheetName val="MENU"/>
      <sheetName val="Sheet2"/>
      <sheetName val="Consolidated NEW"/>
      <sheetName val="SUM14ZC1"/>
      <sheetName val="Funnel"/>
      <sheetName val="Total Financials"/>
      <sheetName val="Original"/>
      <sheetName val="Sheet1"/>
      <sheetName val="PO File 2002"/>
      <sheetName val="PO File 2002 Final"/>
      <sheetName val="Spec"/>
      <sheetName val="SP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igation &amp; Assumptions"/>
      <sheetName val="HPCO  GAAP by Qtr"/>
      <sheetName val="HPCO  Pro Forma by Qtr"/>
      <sheetName val="HPCO  GAAP by Half"/>
      <sheetName val="HPCO  Pro Forma by Half"/>
      <sheetName val="BCO by Qtr"/>
      <sheetName val="CBO by Qtr"/>
      <sheetName val="HPS by Qtr"/>
      <sheetName val="BCO by Half"/>
      <sheetName val="CBO by Half"/>
      <sheetName val="HPS by Half"/>
      <sheetName val="IPS by Qtr"/>
      <sheetName val="CS by Qtr"/>
      <sheetName val="ITS by Qtr"/>
      <sheetName val="EPS by Qtr"/>
      <sheetName val="Financing by Qtr"/>
      <sheetName val="IPS by Half"/>
      <sheetName val="CS by Half"/>
      <sheetName val="ITS by Half"/>
      <sheetName val="EPS by Half"/>
      <sheetName val="Financing by Half"/>
      <sheetName val="CF Q302 Slide"/>
      <sheetName val="CF Q402 Slide"/>
      <sheetName val="CF H202 Slide"/>
      <sheetName val="PG Q302 Slide"/>
      <sheetName val="PG Q402 Slide"/>
      <sheetName val="PG H202 Slide"/>
      <sheetName val="CF Q302 vs Q301"/>
      <sheetName val="CF Q302 vs Q202"/>
      <sheetName val="CF Q402 vs Q401"/>
      <sheetName val="CF Q402 vs Q302"/>
      <sheetName val="CF H102 Flash vs H101"/>
      <sheetName val="CF H102 Flash vs H201"/>
      <sheetName val="CF H202 ASPIRE vs H201"/>
      <sheetName val="CF H202 ASPIRE vs H102 Flash"/>
      <sheetName val="CF FY02 ASP-Flash vs FY01"/>
      <sheetName val="PG Q302 vs Q301"/>
      <sheetName val="PG Q302 vs Q202"/>
      <sheetName val="PG Q402 vs Q401"/>
      <sheetName val="PG Q402 vs Q302"/>
      <sheetName val="PG H102 Flash vs H101"/>
      <sheetName val="PG H102 Flash vs H201"/>
      <sheetName val="PG H202 ASPIRE vs H201"/>
      <sheetName val="PG H202 ASPIRE vs H102 Flash"/>
      <sheetName val="PG FY02 ASP-Flash vs FY01"/>
      <sheetName val="CF by PC Q302 vs Q301"/>
      <sheetName val="CF by PC Q302 vs Q202"/>
      <sheetName val="CF by PC Q402 vs Q401"/>
      <sheetName val="CF by PC Q402 vs Q302"/>
      <sheetName val="CF by PC H102 Flash vs H101"/>
      <sheetName val="CF by PC H102 Flash vs H201"/>
      <sheetName val="CF by PC H202 ASP vs H201"/>
      <sheetName val="CF by PC H202 ASP vs H102 Flash"/>
      <sheetName val="CF by PC FY02 ASP-Flash vs FY01"/>
      <sheetName val="PG by PC Q302 vs Q301"/>
      <sheetName val="PG by PC Q302 vs Q202"/>
      <sheetName val="PG by PC Q402 vs Q401"/>
      <sheetName val="PG by PC Q402 vs Q302"/>
      <sheetName val="PG by PC H102 Flash vs H101"/>
      <sheetName val="PG by PC H102 Flash vs H201"/>
      <sheetName val="PG by PC H202 ASP vs H201"/>
      <sheetName val="PG by PC H202 ASP vs H102 Flash"/>
      <sheetName val="PG by PC FY02 ASP-Flash vs FY01"/>
      <sheetName val="Comet Q101"/>
      <sheetName val="Comet Q201"/>
      <sheetName val="Comet Q301"/>
      <sheetName val="Comet Q401"/>
      <sheetName val="Comet H101"/>
      <sheetName val="Comet H201"/>
      <sheetName val="Comet FY01"/>
      <sheetName val="Comet Q102"/>
      <sheetName val="Comet Q202 Flash"/>
      <sheetName val="Flash Template"/>
      <sheetName val="ASPIRE Template Q302"/>
      <sheetName val="ASPIRE Template Q402"/>
      <sheetName val="Comet Q302 ASPIRE"/>
      <sheetName val="Comet Q402 ASPIRE"/>
      <sheetName val="Comet H102 Flash"/>
      <sheetName val="Comet H202 ASPIRE"/>
      <sheetName val="Comet FY02 Flash-ASPIRE"/>
      <sheetName val="Comet ASPIRE"/>
      <sheetName val="Month 1"/>
      <sheetName val="Month 2"/>
      <sheetName val="Extr. Gain Table"/>
      <sheetName val="FCG"/>
      <sheetName val="Q4 CURRENCY"/>
      <sheetName val="Navigation_&amp;_Assumptions"/>
      <sheetName val="HPCO__GAAP_by_Qtr"/>
      <sheetName val="HPCO__Pro_Forma_by_Qtr"/>
      <sheetName val="HPCO__GAAP_by_Half"/>
      <sheetName val="HPCO__Pro_Forma_by_Half"/>
      <sheetName val="BCO_by_Qtr"/>
      <sheetName val="CBO_by_Qtr"/>
      <sheetName val="HPS_by_Qtr"/>
      <sheetName val="BCO_by_Half"/>
      <sheetName val="CBO_by_Half"/>
      <sheetName val="HPS_by_Half"/>
      <sheetName val="IPS_by_Qtr"/>
      <sheetName val="CS_by_Qtr"/>
      <sheetName val="ITS_by_Qtr"/>
      <sheetName val="EPS_by_Qtr"/>
      <sheetName val="Financing_by_Qtr"/>
      <sheetName val="IPS_by_Half"/>
      <sheetName val="CS_by_Half"/>
      <sheetName val="ITS_by_Half"/>
      <sheetName val="EPS_by_Half"/>
      <sheetName val="Financing_by_Half"/>
      <sheetName val="CF_Q302_Slide"/>
      <sheetName val="CF_Q402_Slide"/>
      <sheetName val="CF_H202_Slide"/>
      <sheetName val="PG_Q302_Slide"/>
      <sheetName val="PG_Q402_Slide"/>
      <sheetName val="PG_H202_Slide"/>
      <sheetName val="CF_Q302_vs_Q301"/>
      <sheetName val="CF_Q302_vs_Q202"/>
      <sheetName val="CF_Q402_vs_Q401"/>
      <sheetName val="CF_Q402_vs_Q302"/>
      <sheetName val="CF_H102_Flash_vs_H101"/>
      <sheetName val="CF_H102_Flash_vs_H201"/>
      <sheetName val="CF_H202_ASPIRE_vs_H201"/>
      <sheetName val="CF_H202_ASPIRE_vs_H102_Flash"/>
      <sheetName val="CF_FY02_ASP-Flash_vs_FY01"/>
      <sheetName val="PG_Q302_vs_Q301"/>
      <sheetName val="PG_Q302_vs_Q202"/>
      <sheetName val="PG_Q402_vs_Q401"/>
      <sheetName val="PG_Q402_vs_Q302"/>
      <sheetName val="PG_H102_Flash_vs_H101"/>
      <sheetName val="PG_H102_Flash_vs_H201"/>
      <sheetName val="PG_H202_ASPIRE_vs_H201"/>
      <sheetName val="PG_H202_ASPIRE_vs_H102_Flash"/>
      <sheetName val="PG_FY02_ASP-Flash_vs_FY01"/>
      <sheetName val="CF_by_PC_Q302_vs_Q301"/>
      <sheetName val="CF_by_PC_Q302_vs_Q202"/>
      <sheetName val="CF_by_PC_Q402_vs_Q401"/>
      <sheetName val="CF_by_PC_Q402_vs_Q302"/>
      <sheetName val="CF_by_PC_H102_Flash_vs_H101"/>
      <sheetName val="CF_by_PC_H102_Flash_vs_H201"/>
      <sheetName val="CF_by_PC_H202_ASP_vs_H201"/>
      <sheetName val="CF_by_PC_H202_ASP_vs_H102_Flash"/>
      <sheetName val="CF_by_PC_FY02_ASP-Flash_vs_FY01"/>
      <sheetName val="PG_by_PC_Q302_vs_Q301"/>
      <sheetName val="PG_by_PC_Q302_vs_Q202"/>
      <sheetName val="PG_by_PC_Q402_vs_Q401"/>
      <sheetName val="PG_by_PC_Q402_vs_Q302"/>
      <sheetName val="PG_by_PC_H102_Flash_vs_H101"/>
      <sheetName val="PG_by_PC_H102_Flash_vs_H201"/>
      <sheetName val="PG_by_PC_H202_ASP_vs_H201"/>
      <sheetName val="PG_by_PC_H202_ASP_vs_H102_Flash"/>
      <sheetName val="PG_by_PC_FY02_ASP-Flash_vs_FY01"/>
      <sheetName val="Comet_Q101"/>
      <sheetName val="Comet_Q201"/>
      <sheetName val="Comet_Q301"/>
      <sheetName val="Comet_Q401"/>
      <sheetName val="Comet_H101"/>
      <sheetName val="Comet_H201"/>
      <sheetName val="Comet_FY01"/>
      <sheetName val="Comet_Q102"/>
      <sheetName val="Comet_Q202_Flash"/>
      <sheetName val="Flash_Template"/>
      <sheetName val="ASPIRE_Template_Q302"/>
      <sheetName val="ASPIRE_Template_Q402"/>
      <sheetName val="Comet_Q302_ASPIRE"/>
      <sheetName val="Comet_Q402_ASPIRE"/>
      <sheetName val="Comet_H102_Flash"/>
      <sheetName val="Comet_H202_ASPIRE"/>
      <sheetName val="Comet_FY02_Flash-ASPIRE"/>
      <sheetName val="Comet_ASPIRE"/>
      <sheetName val="Month_1"/>
      <sheetName val="Month_2"/>
      <sheetName val="Extr__Gain_Table"/>
      <sheetName val="Sheet1"/>
      <sheetName val="Assumptions"/>
      <sheetName val="Input Lists &amp; Types"/>
      <sheetName val="PLALL"/>
      <sheetName val="Total Financials"/>
      <sheetName val="URBANO P EST"/>
      <sheetName val="PO File 2002"/>
      <sheetName val="PO File 2002 Final"/>
      <sheetName val="Leap PO Std."/>
      <sheetName val="Quantum PO Std"/>
      <sheetName val="Summary"/>
      <sheetName val="master PO"/>
      <sheetName val="UPPER BLOCK"/>
      <sheetName val="假设"/>
      <sheetName val="3-29 ASPIRE Consol"/>
      <sheetName val="Summary Data"/>
      <sheetName val="Sheet3"/>
      <sheetName val="Planet_Ame"/>
      <sheetName val="Planet_AP"/>
      <sheetName val="Planet_EMEA"/>
      <sheetName val="Planet_OG"/>
      <sheetName val="Planet_W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Financials"/>
      <sheetName val="Q4 Est. vs. Flash"/>
      <sheetName val="Narr"/>
      <sheetName val="Otter Exps"/>
      <sheetName val="3wdoct"/>
      <sheetName val="Restate"/>
      <sheetName val="PLALL2"/>
      <sheetName val="Tables"/>
      <sheetName val="Total_Financials"/>
      <sheetName val="Q4_Est__vs__Flash"/>
      <sheetName val="Otter_Exps"/>
      <sheetName val="Summary"/>
      <sheetName val="XL4Poppy"/>
      <sheetName val="72HX"/>
      <sheetName val="75EX"/>
      <sheetName val="72HY"/>
      <sheetName val="75EY"/>
      <sheetName val="Original"/>
      <sheetName val="SPals"/>
      <sheetName val="假设"/>
      <sheetName val="Sheet1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盘点表"/>
      <sheetName val="Sheet3"/>
      <sheetName val="假设"/>
      <sheetName val="Total Financials"/>
      <sheetName val="Comet Q202 Flash"/>
      <sheetName val="新品台帐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负债表"/>
      <sheetName val="损益表"/>
      <sheetName val="现金流量表"/>
      <sheetName val="调整表"/>
      <sheetName val="XL4Poppy"/>
      <sheetName val="Sheet2"/>
      <sheetName val="Sheet3"/>
      <sheetName val="Sheet4"/>
      <sheetName val="laroux"/>
      <sheetName val="评估结果汇总表"/>
      <sheetName val="评估分类汇总表"/>
      <sheetName val="流动资产汇总表"/>
      <sheetName val="4货币现金"/>
      <sheetName val="5银行存款"/>
      <sheetName val="11应收帐款"/>
      <sheetName val="14预付帐"/>
      <sheetName val="16其他应收"/>
      <sheetName val="存货汇总"/>
      <sheetName val="23产成品 "/>
      <sheetName val="长期投资汇总表"/>
      <sheetName val="其他投资"/>
      <sheetName val="固定资产汇总表"/>
      <sheetName val="38房屋建筑"/>
      <sheetName val="41机器设备"/>
      <sheetName val="42车辆"/>
      <sheetName val="流动负债汇总表"/>
      <sheetName val="58应付帐"/>
      <sheetName val="61其他应付"/>
      <sheetName val="62应付工资"/>
      <sheetName val="63应付福利费"/>
      <sheetName val="64应交税金"/>
      <sheetName val="应付利润"/>
      <sheetName val="其他应交款"/>
      <sheetName val="长期负债汇总表"/>
      <sheetName val="在建"/>
      <sheetName val="生产成本计算单"/>
      <sheetName val="产成品销售成本计算单"/>
      <sheetName val="۽"/>
      <sheetName val="month-wise"/>
      <sheetName val="SPals"/>
      <sheetName val="M-5C"/>
      <sheetName val="企业表一"/>
      <sheetName val="M-5A"/>
      <sheetName val="۽?"/>
      <sheetName val="S-PARTS-XE"/>
      <sheetName val="۽_x005f_x0000_"/>
      <sheetName val="56 % CIVIC Cost"/>
      <sheetName val="chart_calcs"/>
      <sheetName val="master"/>
      <sheetName val="数字视频并帐"/>
      <sheetName val="source"/>
      <sheetName val="hdcnt 3"/>
      <sheetName val="设备部房屋"/>
      <sheetName val="۽_x005f_x005f_x005f_x0000_"/>
      <sheetName val="۽_x005f_x005f_x005f_x005f_x005f_x005f_x005f_x0000_"/>
      <sheetName val="۽_x005f_x005f_x005f_x005f_x005f_x005f_x005f_x005f_x005f"/>
      <sheetName val=""/>
      <sheetName val="۽_"/>
      <sheetName val="_x005f_x0000__x005f_x0000__x005f_x0000__x005f_x0000__x0"/>
      <sheetName val="Attachment-4(2)"/>
      <sheetName val="13 铁路配件"/>
      <sheetName val="CF"/>
      <sheetName val="Consolidated NEW"/>
      <sheetName val="Erection"/>
      <sheetName val="Sheet1"/>
      <sheetName val="Grey 2009"/>
      <sheetName val="Chemical 2009"/>
      <sheetName val="OC Plan"/>
      <sheetName val="AB"/>
      <sheetName val="MENU"/>
      <sheetName val="ราคาไม้สับรวมค่าขนส่ง"/>
      <sheetName val="ราคาไม้ท่อนรวมค่าขนส่ง"/>
      <sheetName val="_x005f_x005f_x005f_x0000__x005f_x005f_x005f_x0000__x005"/>
      <sheetName val="SUPP.CODE"/>
      <sheetName val="۽_x005f_x005f_x005f_x005f_x005f"/>
      <sheetName val="_x005f_x0000__x005f_x0000__x005"/>
      <sheetName val="Comet Q202 Flash"/>
      <sheetName val="۽_x005f_x005f_x005f"/>
      <sheetName val="Bs"/>
      <sheetName val="Main"/>
      <sheetName val="ﾛｲ"/>
      <sheetName val="製品データ"/>
      <sheetName val="假设"/>
      <sheetName val="审核总览"/>
      <sheetName val="自制件材料价格"/>
      <sheetName val="MTL1"/>
      <sheetName val="FP"/>
      <sheetName val="Time Dimension Lookup"/>
      <sheetName val="AmeSum"/>
      <sheetName val="sales_ebit act"/>
      <sheetName val="Hidden"/>
      <sheetName val="23产成品_"/>
      <sheetName val="56_%_CIVIC_Cost"/>
      <sheetName val="hdcnt_3"/>
      <sheetName val="13_铁路配件"/>
      <sheetName val="Consolidated_NEW"/>
      <sheetName val="Grey_2009"/>
      <sheetName val="Chemical_2009"/>
      <sheetName val="OC_Plan"/>
      <sheetName val="SUPP_CODE"/>
      <sheetName val="Comet_Q202_Flash"/>
      <sheetName val="Time_Dimension_Lookup"/>
      <sheetName val="23产成品_3"/>
      <sheetName val="56_%_CIVIC_Cost3"/>
      <sheetName val="hdcnt_33"/>
      <sheetName val="13_铁路配件3"/>
      <sheetName val="Consolidated_NEW3"/>
      <sheetName val="Grey_20093"/>
      <sheetName val="Chemical_20093"/>
      <sheetName val="OC_Plan3"/>
      <sheetName val="SUPP_CODE3"/>
      <sheetName val="Comet_Q202_Flash3"/>
      <sheetName val="Time_Dimension_Lookup3"/>
      <sheetName val="sales_ebit_act1"/>
      <sheetName val="23产成品_1"/>
      <sheetName val="56_%_CIVIC_Cost1"/>
      <sheetName val="hdcnt_31"/>
      <sheetName val="13_铁路配件1"/>
      <sheetName val="Consolidated_NEW1"/>
      <sheetName val="Grey_20091"/>
      <sheetName val="Chemical_20091"/>
      <sheetName val="OC_Plan1"/>
      <sheetName val="SUPP_CODE1"/>
      <sheetName val="Comet_Q202_Flash1"/>
      <sheetName val="Time_Dimension_Lookup1"/>
      <sheetName val="23产成品_2"/>
      <sheetName val="56_%_CIVIC_Cost2"/>
      <sheetName val="hdcnt_32"/>
      <sheetName val="13_铁路配件2"/>
      <sheetName val="Consolidated_NEW2"/>
      <sheetName val="Grey_20092"/>
      <sheetName val="Chemical_20092"/>
      <sheetName val="OC_Plan2"/>
      <sheetName val="SUPP_CODE2"/>
      <sheetName val="Comet_Q202_Flash2"/>
      <sheetName val="Time_Dimension_Lookup2"/>
      <sheetName val="sales_ebit_act"/>
      <sheetName val=" DACHSER Price Matrix"/>
      <sheetName val="DHL Price Matrix"/>
      <sheetName val="HOPI Price Matrix"/>
      <sheetName val="LOGWIN Price Matrix"/>
      <sheetName val="RHENUS Price Matrix"/>
      <sheetName val="3.3 Transport Daten"/>
      <sheetName val="R&amp;D"/>
      <sheetName val="PSI"/>
      <sheetName val="Summary Data"/>
      <sheetName val="Launch Costs TMNF"/>
      <sheetName val="April Antonio"/>
      <sheetName val="Sales Units (3)"/>
      <sheetName val="FCG"/>
      <sheetName val="Summary"/>
      <sheetName val="_x005f_x005f_x005f_x005f_x005f_x005f_x005f_x0000__x005f"/>
      <sheetName val="_x005f_x005f_x005f_x005f_x005f_x005f_x005f_x005f_x005f_x005f_"/>
      <sheetName val="Detail"/>
      <sheetName val="通貨一覧"/>
      <sheetName val="코드"/>
      <sheetName val="合并单位"/>
      <sheetName val="合并单位 (2)"/>
      <sheetName val="INCOMING"/>
      <sheetName val="dec05 pl"/>
      <sheetName val="Tﾁｬｰﾄ"/>
      <sheetName val="23产成品_20"/>
      <sheetName val="56_%_CIVIC_Cost20"/>
      <sheetName val="hdcnt_320"/>
      <sheetName val="13_铁路配件20"/>
      <sheetName val="Consolidated_NEW20"/>
      <sheetName val="Grey_200920"/>
      <sheetName val="Chemical_200920"/>
      <sheetName val="OC_Plan20"/>
      <sheetName val="SUPP_CODE20"/>
      <sheetName val="Comet_Q202_Flash20"/>
      <sheetName val="23产成品_4"/>
      <sheetName val="56_%_CIVIC_Cost4"/>
      <sheetName val="hdcnt_34"/>
      <sheetName val="13_铁路配件4"/>
      <sheetName val="Consolidated_NEW4"/>
      <sheetName val="Grey_20094"/>
      <sheetName val="Chemical_20094"/>
      <sheetName val="OC_Plan4"/>
      <sheetName val="SUPP_CODE4"/>
      <sheetName val="Comet_Q202_Flash4"/>
      <sheetName val="Time_Dimension_Lookup4"/>
      <sheetName val="23产成品_5"/>
      <sheetName val="56_%_CIVIC_Cost5"/>
      <sheetName val="hdcnt_35"/>
      <sheetName val="13_铁路配件5"/>
      <sheetName val="Consolidated_NEW5"/>
      <sheetName val="Grey_20095"/>
      <sheetName val="Chemical_20095"/>
      <sheetName val="OC_Plan5"/>
      <sheetName val="SUPP_CODE5"/>
      <sheetName val="Comet_Q202_Flash5"/>
      <sheetName val="Time_Dimension_Lookup5"/>
      <sheetName val="23产成品_6"/>
      <sheetName val="56_%_CIVIC_Cost6"/>
      <sheetName val="hdcnt_36"/>
      <sheetName val="13_铁路配件6"/>
      <sheetName val="Consolidated_NEW6"/>
      <sheetName val="Grey_20096"/>
      <sheetName val="Chemical_20096"/>
      <sheetName val="OC_Plan6"/>
      <sheetName val="SUPP_CODE6"/>
      <sheetName val="Comet_Q202_Flash6"/>
      <sheetName val="Time_Dimension_Lookup6"/>
      <sheetName val="23产成品_7"/>
      <sheetName val="56_%_CIVIC_Cost7"/>
      <sheetName val="hdcnt_37"/>
      <sheetName val="13_铁路配件7"/>
      <sheetName val="Consolidated_NEW7"/>
      <sheetName val="Grey_20097"/>
      <sheetName val="Chemical_20097"/>
      <sheetName val="OC_Plan7"/>
      <sheetName val="SUPP_CODE7"/>
      <sheetName val="Comet_Q202_Flash7"/>
      <sheetName val="23产成品_8"/>
      <sheetName val="56_%_CIVIC_Cost8"/>
      <sheetName val="hdcnt_38"/>
      <sheetName val="13_铁路配件8"/>
      <sheetName val="Consolidated_NEW8"/>
      <sheetName val="Grey_20098"/>
      <sheetName val="Chemical_20098"/>
      <sheetName val="OC_Plan8"/>
      <sheetName val="SUPP_CODE8"/>
      <sheetName val="Comet_Q202_Flash8"/>
      <sheetName val="23产成品_9"/>
      <sheetName val="56_%_CIVIC_Cost9"/>
      <sheetName val="hdcnt_39"/>
      <sheetName val="13_铁路配件9"/>
      <sheetName val="Consolidated_NEW9"/>
      <sheetName val="Grey_20099"/>
      <sheetName val="Chemical_20099"/>
      <sheetName val="OC_Plan9"/>
      <sheetName val="SUPP_CODE9"/>
      <sheetName val="Comet_Q202_Flash9"/>
      <sheetName val="Time_Dimension_Lookup7"/>
      <sheetName val="23产成品_10"/>
      <sheetName val="56_%_CIVIC_Cost10"/>
      <sheetName val="hdcnt_310"/>
      <sheetName val="13_铁路配件10"/>
      <sheetName val="Consolidated_NEW10"/>
      <sheetName val="Grey_200910"/>
      <sheetName val="Chemical_200910"/>
      <sheetName val="OC_Plan10"/>
      <sheetName val="SUPP_CODE10"/>
      <sheetName val="Comet_Q202_Flash10"/>
      <sheetName val="Time_Dimension_Lookup8"/>
      <sheetName val="23产成品_11"/>
      <sheetName val="56_%_CIVIC_Cost11"/>
      <sheetName val="hdcnt_311"/>
      <sheetName val="13_铁路配件11"/>
      <sheetName val="Consolidated_NEW11"/>
      <sheetName val="Grey_200911"/>
      <sheetName val="Chemical_200911"/>
      <sheetName val="OC_Plan11"/>
      <sheetName val="SUPP_CODE11"/>
      <sheetName val="Comet_Q202_Flash11"/>
      <sheetName val="Time_Dimension_Lookup9"/>
      <sheetName val="sales_ebit_act3"/>
      <sheetName val="sales_ebit_act2"/>
      <sheetName val="23产成品_12"/>
      <sheetName val="56_%_CIVIC_Cost12"/>
      <sheetName val="hdcnt_312"/>
      <sheetName val="13_铁路配件12"/>
      <sheetName val="Consolidated_NEW12"/>
      <sheetName val="Grey_200912"/>
      <sheetName val="Chemical_200912"/>
      <sheetName val="OC_Plan12"/>
      <sheetName val="SUPP_CODE12"/>
      <sheetName val="Comet_Q202_Flash12"/>
      <sheetName val="Time_Dimension_Lookup10"/>
      <sheetName val="23产成品_13"/>
      <sheetName val="56_%_CIVIC_Cost13"/>
      <sheetName val="hdcnt_313"/>
      <sheetName val="13_铁路配件13"/>
      <sheetName val="Consolidated_NEW13"/>
      <sheetName val="Grey_200913"/>
      <sheetName val="Chemical_200913"/>
      <sheetName val="OC_Plan13"/>
      <sheetName val="SUPP_CODE13"/>
      <sheetName val="Comet_Q202_Flash13"/>
      <sheetName val="Time_Dimension_Lookup11"/>
      <sheetName val="23产成品_14"/>
      <sheetName val="56_%_CIVIC_Cost14"/>
      <sheetName val="hdcnt_314"/>
      <sheetName val="13_铁路配件14"/>
      <sheetName val="Consolidated_NEW14"/>
      <sheetName val="Grey_200914"/>
      <sheetName val="Chemical_200914"/>
      <sheetName val="OC_Plan14"/>
      <sheetName val="SUPP_CODE14"/>
      <sheetName val="Comet_Q202_Flash14"/>
      <sheetName val="Time_Dimension_Lookup12"/>
      <sheetName val="23产成品_15"/>
      <sheetName val="56_%_CIVIC_Cost15"/>
      <sheetName val="hdcnt_315"/>
      <sheetName val="13_铁路配件15"/>
      <sheetName val="Consolidated_NEW15"/>
      <sheetName val="Grey_200915"/>
      <sheetName val="Chemical_200915"/>
      <sheetName val="OC_Plan15"/>
      <sheetName val="SUPP_CODE15"/>
      <sheetName val="Comet_Q202_Flash15"/>
      <sheetName val="Time_Dimension_Lookup13"/>
      <sheetName val="23产成品_17"/>
      <sheetName val="56_%_CIVIC_Cost17"/>
      <sheetName val="hdcnt_317"/>
      <sheetName val="13_铁路配件17"/>
      <sheetName val="Consolidated_NEW17"/>
      <sheetName val="Grey_200917"/>
      <sheetName val="Chemical_200917"/>
      <sheetName val="OC_Plan17"/>
      <sheetName val="SUPP_CODE17"/>
      <sheetName val="Comet_Q202_Flash17"/>
      <sheetName val="Time_Dimension_Lookup15"/>
      <sheetName val="23产成品_16"/>
      <sheetName val="56_%_CIVIC_Cost16"/>
      <sheetName val="hdcnt_316"/>
      <sheetName val="13_铁路配件16"/>
      <sheetName val="Consolidated_NEW16"/>
      <sheetName val="Grey_200916"/>
      <sheetName val="Chemical_200916"/>
      <sheetName val="OC_Plan16"/>
      <sheetName val="SUPP_CODE16"/>
      <sheetName val="Comet_Q202_Flash16"/>
      <sheetName val="Time_Dimension_Lookup14"/>
      <sheetName val="23产成品_18"/>
      <sheetName val="56_%_CIVIC_Cost18"/>
      <sheetName val="hdcnt_318"/>
      <sheetName val="13_铁路配件18"/>
      <sheetName val="Consolidated_NEW18"/>
      <sheetName val="Grey_200918"/>
      <sheetName val="Chemical_200918"/>
      <sheetName val="OC_Plan18"/>
      <sheetName val="SUPP_CODE18"/>
      <sheetName val="Comet_Q202_Flash18"/>
      <sheetName val="Time_Dimension_Lookup16"/>
      <sheetName val="23产成品_19"/>
      <sheetName val="56_%_CIVIC_Cost19"/>
      <sheetName val="hdcnt_319"/>
      <sheetName val="13_铁路配件19"/>
      <sheetName val="Consolidated_NEW19"/>
      <sheetName val="Grey_200919"/>
      <sheetName val="Chemical_200919"/>
      <sheetName val="OC_Plan19"/>
      <sheetName val="SUPP_CODE19"/>
      <sheetName val="Comet_Q202_Flash19"/>
      <sheetName val="Time_Dimension_Lookup17"/>
      <sheetName val="Time_Dimension_Lookup18"/>
      <sheetName val="23产成品_21"/>
      <sheetName val="56_%_CIVIC_Cost21"/>
      <sheetName val="hdcnt_321"/>
      <sheetName val="13_铁路配件21"/>
      <sheetName val="Consolidated_NEW21"/>
      <sheetName val="Grey_200921"/>
      <sheetName val="Chemical_200921"/>
      <sheetName val="OC_Plan21"/>
      <sheetName val="SUPP_CODE21"/>
      <sheetName val="Comet_Q202_Flash21"/>
      <sheetName val="Time_Dimension_Lookup19"/>
      <sheetName val="23产成品_22"/>
      <sheetName val="56_%_CIVIC_Cost22"/>
      <sheetName val="hdcnt_322"/>
      <sheetName val="13_铁路配件22"/>
      <sheetName val="Consolidated_NEW22"/>
      <sheetName val="Grey_200922"/>
      <sheetName val="Chemical_200922"/>
      <sheetName val="OC_Plan22"/>
      <sheetName val="SUPP_CODE22"/>
      <sheetName val="Comet_Q202_Flash22"/>
      <sheetName val="Time_Dimension_Lookup20"/>
      <sheetName val="23产成品_26"/>
      <sheetName val="56_%_CIVIC_Cost26"/>
      <sheetName val="hdcnt_326"/>
      <sheetName val="13_铁路配件26"/>
      <sheetName val="Consolidated_NEW26"/>
      <sheetName val="Grey_200926"/>
      <sheetName val="Chemical_200926"/>
      <sheetName val="OC_Plan26"/>
      <sheetName val="SUPP_CODE26"/>
      <sheetName val="Comet_Q202_Flash26"/>
      <sheetName val="Time_Dimension_Lookup24"/>
      <sheetName val="23产成品_24"/>
      <sheetName val="56_%_CIVIC_Cost24"/>
      <sheetName val="hdcnt_324"/>
      <sheetName val="13_铁路配件24"/>
      <sheetName val="Consolidated_NEW24"/>
      <sheetName val="Grey_200924"/>
      <sheetName val="Chemical_200924"/>
      <sheetName val="OC_Plan24"/>
      <sheetName val="SUPP_CODE24"/>
      <sheetName val="Comet_Q202_Flash24"/>
      <sheetName val="Time_Dimension_Lookup22"/>
      <sheetName val="23产成品_23"/>
      <sheetName val="56_%_CIVIC_Cost23"/>
      <sheetName val="hdcnt_323"/>
      <sheetName val="13_铁路配件23"/>
      <sheetName val="Consolidated_NEW23"/>
      <sheetName val="Grey_200923"/>
      <sheetName val="Chemical_200923"/>
      <sheetName val="OC_Plan23"/>
      <sheetName val="SUPP_CODE23"/>
      <sheetName val="Comet_Q202_Flash23"/>
      <sheetName val="Time_Dimension_Lookup21"/>
      <sheetName val="23产成品_25"/>
      <sheetName val="56_%_CIVIC_Cost25"/>
      <sheetName val="hdcnt_325"/>
      <sheetName val="13_铁路配件25"/>
      <sheetName val="Consolidated_NEW25"/>
      <sheetName val="Grey_200925"/>
      <sheetName val="Chemical_200925"/>
      <sheetName val="OC_Plan25"/>
      <sheetName val="SUPP_CODE25"/>
      <sheetName val="Comet_Q202_Flash25"/>
      <sheetName val="Time_Dimension_Lookup23"/>
      <sheetName val="23产成品_29"/>
      <sheetName val="56_%_CIVIC_Cost29"/>
      <sheetName val="hdcnt_329"/>
      <sheetName val="13_铁路配件29"/>
      <sheetName val="Consolidated_NEW29"/>
      <sheetName val="Grey_200929"/>
      <sheetName val="Chemical_200929"/>
      <sheetName val="OC_Plan29"/>
      <sheetName val="SUPP_CODE29"/>
      <sheetName val="Comet_Q202_Flash29"/>
      <sheetName val="Time_Dimension_Lookup27"/>
      <sheetName val="23产成品_27"/>
      <sheetName val="56_%_CIVIC_Cost27"/>
      <sheetName val="hdcnt_327"/>
      <sheetName val="13_铁路配件27"/>
      <sheetName val="Consolidated_NEW27"/>
      <sheetName val="Grey_200927"/>
      <sheetName val="Chemical_200927"/>
      <sheetName val="OC_Plan27"/>
      <sheetName val="SUPP_CODE27"/>
      <sheetName val="Comet_Q202_Flash27"/>
      <sheetName val="Time_Dimension_Lookup25"/>
      <sheetName val="23产成品_28"/>
      <sheetName val="56_%_CIVIC_Cost28"/>
      <sheetName val="hdcnt_328"/>
      <sheetName val="13_铁路配件28"/>
      <sheetName val="Consolidated_NEW28"/>
      <sheetName val="Grey_200928"/>
      <sheetName val="Chemical_200928"/>
      <sheetName val="OC_Plan28"/>
      <sheetName val="SUPP_CODE28"/>
      <sheetName val="Comet_Q202_Flash28"/>
      <sheetName val="Time_Dimension_Lookup26"/>
      <sheetName val="23产成品_30"/>
      <sheetName val="56_%_CIVIC_Cost30"/>
      <sheetName val="hdcnt_330"/>
      <sheetName val="13_铁路配件30"/>
      <sheetName val="Consolidated_NEW30"/>
      <sheetName val="Grey_200930"/>
      <sheetName val="Chemical_200930"/>
      <sheetName val="OC_Plan30"/>
      <sheetName val="SUPP_CODE30"/>
      <sheetName val="Comet_Q202_Flash30"/>
      <sheetName val="Time_Dimension_Lookup28"/>
      <sheetName val="23产成品_31"/>
      <sheetName val="56_%_CIVIC_Cost31"/>
      <sheetName val="hdcnt_331"/>
      <sheetName val="13_铁路配件31"/>
      <sheetName val="Consolidated_NEW31"/>
      <sheetName val="Grey_200931"/>
      <sheetName val="Chemical_200931"/>
      <sheetName val="OC_Plan31"/>
      <sheetName val="SUPP_CODE31"/>
      <sheetName val="Comet_Q202_Flash31"/>
      <sheetName val="Time_Dimension_Lookup29"/>
      <sheetName val="23产成品_33"/>
      <sheetName val="56_%_CIVIC_Cost33"/>
      <sheetName val="hdcnt_333"/>
      <sheetName val="13_铁路配件33"/>
      <sheetName val="Consolidated_NEW33"/>
      <sheetName val="Grey_200933"/>
      <sheetName val="Chemical_200933"/>
      <sheetName val="OC_Plan33"/>
      <sheetName val="SUPP_CODE33"/>
      <sheetName val="Comet_Q202_Flash33"/>
      <sheetName val="Time_Dimension_Lookup31"/>
      <sheetName val="sales_ebit_act5"/>
      <sheetName val="_DACHSER_Price_Matrix1"/>
      <sheetName val="DHL_Price_Matrix1"/>
      <sheetName val="HOPI_Price_Matrix1"/>
      <sheetName val="LOGWIN_Price_Matrix1"/>
      <sheetName val="RHENUS_Price_Matrix1"/>
      <sheetName val="3_3_Transport_Daten1"/>
      <sheetName val="Summary_Data1"/>
      <sheetName val="Launch_Costs_TMNF1"/>
      <sheetName val="April_Antonio1"/>
      <sheetName val="Sales_Units_(3)1"/>
      <sheetName val="合并单位_(2)1"/>
      <sheetName val="dec05_pl1"/>
      <sheetName val="23产成品_32"/>
      <sheetName val="56_%_CIVIC_Cost32"/>
      <sheetName val="hdcnt_332"/>
      <sheetName val="13_铁路配件32"/>
      <sheetName val="Consolidated_NEW32"/>
      <sheetName val="Grey_200932"/>
      <sheetName val="Chemical_200932"/>
      <sheetName val="OC_Plan32"/>
      <sheetName val="SUPP_CODE32"/>
      <sheetName val="Comet_Q202_Flash32"/>
      <sheetName val="Time_Dimension_Lookup30"/>
      <sheetName val="sales_ebit_act4"/>
      <sheetName val="_DACHSER_Price_Matrix"/>
      <sheetName val="DHL_Price_Matrix"/>
      <sheetName val="HOPI_Price_Matrix"/>
      <sheetName val="LOGWIN_Price_Matrix"/>
      <sheetName val="RHENUS_Price_Matrix"/>
      <sheetName val="3_3_Transport_Daten"/>
      <sheetName val="Summary_Data"/>
      <sheetName val="Launch_Costs_TMNF"/>
      <sheetName val="April_Antonio"/>
      <sheetName val="Sales_Units_(3)"/>
      <sheetName val="合并单位_(2)"/>
      <sheetName val="dec05_pl"/>
      <sheetName val="23产成品_42"/>
      <sheetName val="56_%_CIVIC_Cost42"/>
      <sheetName val="hdcnt_342"/>
      <sheetName val="13_铁路配件42"/>
      <sheetName val="Consolidated_NEW42"/>
      <sheetName val="Grey_200942"/>
      <sheetName val="Chemical_200942"/>
      <sheetName val="OC_Plan42"/>
      <sheetName val="SUPP_CODE42"/>
      <sheetName val="Comet_Q202_Flash42"/>
      <sheetName val="Time_Dimension_Lookup40"/>
      <sheetName val="sales_ebit_act14"/>
      <sheetName val="_DACHSER_Price_Matrix10"/>
      <sheetName val="DHL_Price_Matrix10"/>
      <sheetName val="HOPI_Price_Matrix10"/>
      <sheetName val="LOGWIN_Price_Matrix10"/>
      <sheetName val="RHENUS_Price_Matrix10"/>
      <sheetName val="3_3_Transport_Daten10"/>
      <sheetName val="Summary_Data10"/>
      <sheetName val="Launch_Costs_TMNF10"/>
      <sheetName val="April_Antonio10"/>
      <sheetName val="Sales_Units_(3)10"/>
      <sheetName val="合并单位_(2)10"/>
      <sheetName val="dec05_pl10"/>
      <sheetName val="23产成品_36"/>
      <sheetName val="56_%_CIVIC_Cost36"/>
      <sheetName val="hdcnt_336"/>
      <sheetName val="13_铁路配件36"/>
      <sheetName val="Consolidated_NEW36"/>
      <sheetName val="Grey_200936"/>
      <sheetName val="Chemical_200936"/>
      <sheetName val="OC_Plan36"/>
      <sheetName val="SUPP_CODE36"/>
      <sheetName val="Comet_Q202_Flash36"/>
      <sheetName val="Time_Dimension_Lookup34"/>
      <sheetName val="sales_ebit_act8"/>
      <sheetName val="_DACHSER_Price_Matrix4"/>
      <sheetName val="DHL_Price_Matrix4"/>
      <sheetName val="HOPI_Price_Matrix4"/>
      <sheetName val="LOGWIN_Price_Matrix4"/>
      <sheetName val="RHENUS_Price_Matrix4"/>
      <sheetName val="3_3_Transport_Daten4"/>
      <sheetName val="Summary_Data4"/>
      <sheetName val="Launch_Costs_TMNF4"/>
      <sheetName val="April_Antonio4"/>
      <sheetName val="Sales_Units_(3)4"/>
      <sheetName val="合并单位_(2)4"/>
      <sheetName val="dec05_pl4"/>
      <sheetName val="23产成品_34"/>
      <sheetName val="56_%_CIVIC_Cost34"/>
      <sheetName val="hdcnt_334"/>
      <sheetName val="13_铁路配件34"/>
      <sheetName val="Consolidated_NEW34"/>
      <sheetName val="Grey_200934"/>
      <sheetName val="Chemical_200934"/>
      <sheetName val="OC_Plan34"/>
      <sheetName val="SUPP_CODE34"/>
      <sheetName val="Comet_Q202_Flash34"/>
      <sheetName val="Time_Dimension_Lookup32"/>
      <sheetName val="sales_ebit_act6"/>
      <sheetName val="_DACHSER_Price_Matrix2"/>
      <sheetName val="DHL_Price_Matrix2"/>
      <sheetName val="HOPI_Price_Matrix2"/>
      <sheetName val="LOGWIN_Price_Matrix2"/>
      <sheetName val="RHENUS_Price_Matrix2"/>
      <sheetName val="3_3_Transport_Daten2"/>
      <sheetName val="Summary_Data2"/>
      <sheetName val="Launch_Costs_TMNF2"/>
      <sheetName val="April_Antonio2"/>
      <sheetName val="Sales_Units_(3)2"/>
      <sheetName val="合并单位_(2)2"/>
      <sheetName val="dec05_pl2"/>
      <sheetName val="23产成品_35"/>
      <sheetName val="56_%_CIVIC_Cost35"/>
      <sheetName val="hdcnt_335"/>
      <sheetName val="13_铁路配件35"/>
      <sheetName val="Consolidated_NEW35"/>
      <sheetName val="Grey_200935"/>
      <sheetName val="Chemical_200935"/>
      <sheetName val="OC_Plan35"/>
      <sheetName val="SUPP_CODE35"/>
      <sheetName val="Comet_Q202_Flash35"/>
      <sheetName val="Time_Dimension_Lookup33"/>
      <sheetName val="sales_ebit_act7"/>
      <sheetName val="_DACHSER_Price_Matrix3"/>
      <sheetName val="DHL_Price_Matrix3"/>
      <sheetName val="HOPI_Price_Matrix3"/>
      <sheetName val="LOGWIN_Price_Matrix3"/>
      <sheetName val="RHENUS_Price_Matrix3"/>
      <sheetName val="3_3_Transport_Daten3"/>
      <sheetName val="Summary_Data3"/>
      <sheetName val="Launch_Costs_TMNF3"/>
      <sheetName val="April_Antonio3"/>
      <sheetName val="Sales_Units_(3)3"/>
      <sheetName val="合并单位_(2)3"/>
      <sheetName val="dec05_pl3"/>
      <sheetName val="23产成品_39"/>
      <sheetName val="56_%_CIVIC_Cost39"/>
      <sheetName val="hdcnt_339"/>
      <sheetName val="13_铁路配件39"/>
      <sheetName val="Consolidated_NEW39"/>
      <sheetName val="Grey_200939"/>
      <sheetName val="Chemical_200939"/>
      <sheetName val="OC_Plan39"/>
      <sheetName val="SUPP_CODE39"/>
      <sheetName val="Comet_Q202_Flash39"/>
      <sheetName val="Time_Dimension_Lookup37"/>
      <sheetName val="sales_ebit_act11"/>
      <sheetName val="_DACHSER_Price_Matrix7"/>
      <sheetName val="DHL_Price_Matrix7"/>
      <sheetName val="HOPI_Price_Matrix7"/>
      <sheetName val="LOGWIN_Price_Matrix7"/>
      <sheetName val="RHENUS_Price_Matrix7"/>
      <sheetName val="3_3_Transport_Daten7"/>
      <sheetName val="Summary_Data7"/>
      <sheetName val="Launch_Costs_TMNF7"/>
      <sheetName val="April_Antonio7"/>
      <sheetName val="Sales_Units_(3)7"/>
      <sheetName val="合并单位_(2)7"/>
      <sheetName val="dec05_pl7"/>
      <sheetName val="23产成品_37"/>
      <sheetName val="56_%_CIVIC_Cost37"/>
      <sheetName val="hdcnt_337"/>
      <sheetName val="13_铁路配件37"/>
      <sheetName val="Consolidated_NEW37"/>
      <sheetName val="Grey_200937"/>
      <sheetName val="Chemical_200937"/>
      <sheetName val="OC_Plan37"/>
      <sheetName val="SUPP_CODE37"/>
      <sheetName val="Comet_Q202_Flash37"/>
      <sheetName val="Time_Dimension_Lookup35"/>
      <sheetName val="sales_ebit_act9"/>
      <sheetName val="_DACHSER_Price_Matrix5"/>
      <sheetName val="DHL_Price_Matrix5"/>
      <sheetName val="HOPI_Price_Matrix5"/>
      <sheetName val="LOGWIN_Price_Matrix5"/>
      <sheetName val="RHENUS_Price_Matrix5"/>
      <sheetName val="3_3_Transport_Daten5"/>
      <sheetName val="Summary_Data5"/>
      <sheetName val="Launch_Costs_TMNF5"/>
      <sheetName val="April_Antonio5"/>
      <sheetName val="Sales_Units_(3)5"/>
      <sheetName val="合并单位_(2)5"/>
      <sheetName val="dec05_pl5"/>
      <sheetName val="23产成品_38"/>
      <sheetName val="56_%_CIVIC_Cost38"/>
      <sheetName val="hdcnt_338"/>
      <sheetName val="13_铁路配件38"/>
      <sheetName val="Consolidated_NEW38"/>
      <sheetName val="Grey_200938"/>
      <sheetName val="Chemical_200938"/>
      <sheetName val="OC_Plan38"/>
      <sheetName val="SUPP_CODE38"/>
      <sheetName val="Comet_Q202_Flash38"/>
      <sheetName val="Time_Dimension_Lookup36"/>
      <sheetName val="sales_ebit_act10"/>
      <sheetName val="_DACHSER_Price_Matrix6"/>
      <sheetName val="DHL_Price_Matrix6"/>
      <sheetName val="HOPI_Price_Matrix6"/>
      <sheetName val="LOGWIN_Price_Matrix6"/>
      <sheetName val="RHENUS_Price_Matrix6"/>
      <sheetName val="3_3_Transport_Daten6"/>
      <sheetName val="Summary_Data6"/>
      <sheetName val="Launch_Costs_TMNF6"/>
      <sheetName val="April_Antonio6"/>
      <sheetName val="Sales_Units_(3)6"/>
      <sheetName val="合并单位_(2)6"/>
      <sheetName val="dec05_pl6"/>
      <sheetName val="23产成品_40"/>
      <sheetName val="56_%_CIVIC_Cost40"/>
      <sheetName val="hdcnt_340"/>
      <sheetName val="13_铁路配件40"/>
      <sheetName val="Consolidated_NEW40"/>
      <sheetName val="Grey_200940"/>
      <sheetName val="Chemical_200940"/>
      <sheetName val="OC_Plan40"/>
      <sheetName val="SUPP_CODE40"/>
      <sheetName val="Comet_Q202_Flash40"/>
      <sheetName val="Time_Dimension_Lookup38"/>
      <sheetName val="sales_ebit_act12"/>
      <sheetName val="_DACHSER_Price_Matrix8"/>
      <sheetName val="DHL_Price_Matrix8"/>
      <sheetName val="HOPI_Price_Matrix8"/>
      <sheetName val="LOGWIN_Price_Matrix8"/>
      <sheetName val="RHENUS_Price_Matrix8"/>
      <sheetName val="3_3_Transport_Daten8"/>
      <sheetName val="Summary_Data8"/>
      <sheetName val="Launch_Costs_TMNF8"/>
      <sheetName val="April_Antonio8"/>
      <sheetName val="Sales_Units_(3)8"/>
      <sheetName val="合并单位_(2)8"/>
      <sheetName val="dec05_pl8"/>
      <sheetName val="23产成品_41"/>
      <sheetName val="56_%_CIVIC_Cost41"/>
      <sheetName val="hdcnt_341"/>
      <sheetName val="13_铁路配件41"/>
      <sheetName val="Consolidated_NEW41"/>
      <sheetName val="Grey_200941"/>
      <sheetName val="Chemical_200941"/>
      <sheetName val="OC_Plan41"/>
      <sheetName val="SUPP_CODE41"/>
      <sheetName val="Comet_Q202_Flash41"/>
      <sheetName val="Time_Dimension_Lookup39"/>
      <sheetName val="sales_ebit_act13"/>
      <sheetName val="_DACHSER_Price_Matrix9"/>
      <sheetName val="DHL_Price_Matrix9"/>
      <sheetName val="HOPI_Price_Matrix9"/>
      <sheetName val="LOGWIN_Price_Matrix9"/>
      <sheetName val="RHENUS_Price_Matrix9"/>
      <sheetName val="3_3_Transport_Daten9"/>
      <sheetName val="Summary_Data9"/>
      <sheetName val="Launch_Costs_TMNF9"/>
      <sheetName val="April_Antonio9"/>
      <sheetName val="Sales_Units_(3)9"/>
      <sheetName val="合并单位_(2)9"/>
      <sheetName val="dec05_pl9"/>
      <sheetName val="ﾒｰｶｰ名"/>
      <sheetName val="Av.Measures"/>
      <sheetName val="Total Financials"/>
      <sheetName val=" "/>
      <sheetName val="Material BOMS"/>
      <sheetName val="基PLBS"/>
      <sheetName val="Materials BOM for HIPS"/>
      <sheetName val="FINAL (2)"/>
      <sheetName val="Panel"/>
      <sheetName val="生产质量说明0106"/>
      <sheetName val="Administrative"/>
      <sheetName val="FINISHED GOODS MASTER"/>
      <sheetName val="UFPrn20070303114642"/>
      <sheetName val="KKKKKKKK"/>
      <sheetName val="选择报表"/>
      <sheetName val="完"/>
      <sheetName val="Raw materials"/>
      <sheetName val="_x005f_x005f_x005f_x0000__x005f"/>
      <sheetName val="۽_x005f"/>
      <sheetName val="_x005f_x005f_x005f_x005f_"/>
      <sheetName val="Sheet52"/>
      <sheetName val="_x0"/>
      <sheetName val="_x005"/>
      <sheetName val="LOV"/>
      <sheetName val="Restate"/>
      <sheetName val="改善路径"/>
      <sheetName val="Original"/>
      <sheetName val="SUM14ZC1"/>
      <sheetName val="项目日程安排"/>
      <sheetName val="PLALL2"/>
      <sheetName val="GWL-RUNING"/>
      <sheetName val="KeyData"/>
      <sheetName val="Foams"/>
      <sheetName val="Oct FW42 BaaN for G-Line"/>
      <sheetName val="Refrigerants"/>
      <sheetName val="23产成品_43"/>
      <sheetName val="56_%_CIVIC_Cost43"/>
      <sheetName val="hdcnt_343"/>
      <sheetName val="13_铁路配件43"/>
      <sheetName val="Consolidated_NEW43"/>
      <sheetName val="Grey_200943"/>
      <sheetName val="Chemical_200943"/>
      <sheetName val="OC_Plan43"/>
      <sheetName val="SUPP_CODE43"/>
      <sheetName val="Comet_Q202_Flash43"/>
      <sheetName val="Time_Dimension_Lookup41"/>
      <sheetName val="sales_ebit_act15"/>
      <sheetName val="_DACHSER_Price_Matrix11"/>
      <sheetName val="DHL_Price_Matrix11"/>
      <sheetName val="HOPI_Price_Matrix11"/>
      <sheetName val="LOGWIN_Price_Matrix11"/>
      <sheetName val="RHENUS_Price_Matrix11"/>
      <sheetName val="3_3_Transport_Daten11"/>
      <sheetName val="Summary_Data11"/>
      <sheetName val="Launch_Costs_TMNF11"/>
      <sheetName val="April_Antonio11"/>
      <sheetName val="Sales_Units_(3)11"/>
      <sheetName val="合并单位_(2)11"/>
      <sheetName val="dec05_pl11"/>
      <sheetName val="23产成品_44"/>
      <sheetName val="56_%_CIVIC_Cost44"/>
      <sheetName val="hdcnt_344"/>
      <sheetName val="13_铁路配件44"/>
      <sheetName val="Consolidated_NEW44"/>
      <sheetName val="Grey_200944"/>
      <sheetName val="Chemical_200944"/>
      <sheetName val="OC_Plan44"/>
      <sheetName val="SUPP_CODE44"/>
      <sheetName val="Comet_Q202_Flash44"/>
      <sheetName val="Time_Dimension_Lookup42"/>
      <sheetName val="sales_ebit_act16"/>
      <sheetName val="_DACHSER_Price_Matrix12"/>
      <sheetName val="DHL_Price_Matrix12"/>
      <sheetName val="HOPI_Price_Matrix12"/>
      <sheetName val="LOGWIN_Price_Matrix12"/>
      <sheetName val="RHENUS_Price_Matrix12"/>
      <sheetName val="3_3_Transport_Daten12"/>
      <sheetName val="Summary_Data12"/>
      <sheetName val="Launch_Costs_TMNF12"/>
      <sheetName val="April_Antonio12"/>
      <sheetName val="Sales_Units_(3)12"/>
      <sheetName val="合并单位_(2)12"/>
      <sheetName val="dec05_pl12"/>
      <sheetName val="23产成品_45"/>
      <sheetName val="56_%_CIVIC_Cost45"/>
      <sheetName val="hdcnt_345"/>
      <sheetName val="13_铁路配件45"/>
      <sheetName val="Consolidated_NEW45"/>
      <sheetName val="Grey_200945"/>
      <sheetName val="Chemical_200945"/>
      <sheetName val="OC_Plan45"/>
      <sheetName val="SUPP_CODE45"/>
      <sheetName val="Comet_Q202_Flash45"/>
      <sheetName val="Time_Dimension_Lookup43"/>
      <sheetName val="sales_ebit_act17"/>
      <sheetName val="_DACHSER_Price_Matrix13"/>
      <sheetName val="DHL_Price_Matrix13"/>
      <sheetName val="HOPI_Price_Matrix13"/>
      <sheetName val="LOGWIN_Price_Matrix13"/>
      <sheetName val="RHENUS_Price_Matrix13"/>
      <sheetName val="3_3_Transport_Daten13"/>
      <sheetName val="Summary_Data13"/>
      <sheetName val="Launch_Costs_TMNF13"/>
      <sheetName val="April_Antonio13"/>
      <sheetName val="Sales_Units_(3)13"/>
      <sheetName val="合并单位_(2)13"/>
      <sheetName val="dec05_pl13"/>
      <sheetName val="Planet_Ame"/>
      <sheetName val="Planet_AP"/>
      <sheetName val="Planet_EMEA"/>
      <sheetName val="Planet_OG"/>
      <sheetName val="Planet_WW"/>
      <sheetName val="PLALL"/>
      <sheetName val="Comet ASPIRE"/>
      <sheetName val="Comet Sequential"/>
      <sheetName val="Comet yoy"/>
      <sheetName val="TOTAL"/>
      <sheetName val="SUPPORT-JPN"/>
      <sheetName val="Histogram"/>
      <sheetName val="Index"/>
      <sheetName val="10. Thermal Limiter Test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WIBLE"/>
      <sheetName val="MCS"/>
      <sheetName val="Instructions"/>
      <sheetName val="NVA-300T返品リスト"/>
      <sheetName val="Production Database 399"/>
      <sheetName val="3D ASPIRE Table"/>
      <sheetName val="pl"/>
      <sheetName val="SPEC OF ACCOUNTS"/>
      <sheetName val="p and l"/>
      <sheetName val="23产成品_46"/>
      <sheetName val="56_%_CIVIC_Cost46"/>
      <sheetName val="hdcnt_346"/>
      <sheetName val="13_铁路配件46"/>
      <sheetName val="Consolidated_NEW46"/>
      <sheetName val="Grey_200946"/>
      <sheetName val="Chemical_200946"/>
      <sheetName val="OC_Plan46"/>
      <sheetName val="SUPP_CODE46"/>
      <sheetName val="Comet_Q202_Flash46"/>
      <sheetName val="Time_Dimension_Lookup44"/>
      <sheetName val="sales_ebit_act18"/>
      <sheetName val="_DACHSER_Price_Matrix14"/>
      <sheetName val="DHL_Price_Matrix14"/>
      <sheetName val="HOPI_Price_Matrix14"/>
      <sheetName val="LOGWIN_Price_Matrix14"/>
      <sheetName val="RHENUS_Price_Matrix14"/>
      <sheetName val="3_3_Transport_Daten14"/>
      <sheetName val="Summary_Data14"/>
      <sheetName val="Launch_Costs_TMNF14"/>
      <sheetName val="April_Antonio14"/>
      <sheetName val="Sales_Units_(3)14"/>
      <sheetName val="合并单位_(2)14"/>
      <sheetName val="dec05_pl14"/>
      <sheetName val="23产成品_47"/>
      <sheetName val="56_%_CIVIC_Cost47"/>
      <sheetName val="hdcnt_347"/>
      <sheetName val="13_铁路配件47"/>
      <sheetName val="Consolidated_NEW47"/>
      <sheetName val="Grey_200947"/>
      <sheetName val="Chemical_200947"/>
      <sheetName val="OC_Plan47"/>
      <sheetName val="SUPP_CODE47"/>
      <sheetName val="Comet_Q202_Flash47"/>
      <sheetName val="Time_Dimension_Lookup45"/>
      <sheetName val="sales_ebit_act19"/>
      <sheetName val="_DACHSER_Price_Matrix15"/>
      <sheetName val="DHL_Price_Matrix15"/>
      <sheetName val="HOPI_Price_Matrix15"/>
      <sheetName val="LOGWIN_Price_Matrix15"/>
      <sheetName val="RHENUS_Price_Matrix15"/>
      <sheetName val="3_3_Transport_Daten15"/>
      <sheetName val="Summary_Data15"/>
      <sheetName val="Launch_Costs_TMNF15"/>
      <sheetName val="April_Antonio15"/>
      <sheetName val="Sales_Units_(3)15"/>
      <sheetName val="合并单位_(2)15"/>
      <sheetName val="dec05_pl15"/>
      <sheetName val="23产成品_48"/>
      <sheetName val="56_%_CIVIC_Cost48"/>
      <sheetName val="hdcnt_348"/>
      <sheetName val="13_铁路配件48"/>
      <sheetName val="Consolidated_NEW48"/>
      <sheetName val="Grey_200948"/>
      <sheetName val="Chemical_200948"/>
      <sheetName val="OC_Plan48"/>
      <sheetName val="SUPP_CODE48"/>
      <sheetName val="Comet_Q202_Flash48"/>
      <sheetName val="Time_Dimension_Lookup46"/>
      <sheetName val="sales_ebit_act20"/>
      <sheetName val="_DACHSER_Price_Matrix16"/>
      <sheetName val="DHL_Price_Matrix16"/>
      <sheetName val="HOPI_Price_Matrix16"/>
      <sheetName val="LOGWIN_Price_Matrix16"/>
      <sheetName val="RHENUS_Price_Matrix16"/>
      <sheetName val="3_3_Transport_Daten16"/>
      <sheetName val="Summary_Data16"/>
      <sheetName val="Launch_Costs_TMNF16"/>
      <sheetName val="April_Antonio16"/>
      <sheetName val="Sales_Units_(3)16"/>
      <sheetName val="合并单位_(2)16"/>
      <sheetName val="dec05_pl16"/>
      <sheetName val="Company"/>
      <sheetName val="Related transaction accounts"/>
      <sheetName val="23产成品_50"/>
      <sheetName val="56_%_CIVIC_Cost50"/>
      <sheetName val="hdcnt_350"/>
      <sheetName val="13_铁路配件50"/>
      <sheetName val="Consolidated_NEW50"/>
      <sheetName val="Grey_200950"/>
      <sheetName val="Chemical_200950"/>
      <sheetName val="OC_Plan50"/>
      <sheetName val="SUPP_CODE50"/>
      <sheetName val="Comet_Q202_Flash50"/>
      <sheetName val="Time_Dimension_Lookup48"/>
      <sheetName val="sales_ebit_act22"/>
      <sheetName val="_DACHSER_Price_Matrix18"/>
      <sheetName val="DHL_Price_Matrix18"/>
      <sheetName val="HOPI_Price_Matrix18"/>
      <sheetName val="LOGWIN_Price_Matrix18"/>
      <sheetName val="RHENUS_Price_Matrix18"/>
      <sheetName val="3_3_Transport_Daten18"/>
      <sheetName val="Summary_Data18"/>
      <sheetName val="Launch_Costs_TMNF18"/>
      <sheetName val="April_Antonio18"/>
      <sheetName val="Sales_Units_(3)18"/>
      <sheetName val="合并单位_(2)18"/>
      <sheetName val="dec05_pl18"/>
      <sheetName val="23产成品_49"/>
      <sheetName val="56_%_CIVIC_Cost49"/>
      <sheetName val="hdcnt_349"/>
      <sheetName val="13_铁路配件49"/>
      <sheetName val="Consolidated_NEW49"/>
      <sheetName val="Grey_200949"/>
      <sheetName val="Chemical_200949"/>
      <sheetName val="OC_Plan49"/>
      <sheetName val="SUPP_CODE49"/>
      <sheetName val="Comet_Q202_Flash49"/>
      <sheetName val="Time_Dimension_Lookup47"/>
      <sheetName val="sales_ebit_act21"/>
      <sheetName val="_DACHSER_Price_Matrix17"/>
      <sheetName val="DHL_Price_Matrix17"/>
      <sheetName val="HOPI_Price_Matrix17"/>
      <sheetName val="LOGWIN_Price_Matrix17"/>
      <sheetName val="RHENUS_Price_Matrix17"/>
      <sheetName val="3_3_Transport_Daten17"/>
      <sheetName val="Summary_Data17"/>
      <sheetName val="Launch_Costs_TMNF17"/>
      <sheetName val="April_Antonio17"/>
      <sheetName val="Sales_Units_(3)17"/>
      <sheetName val="合并单位_(2)17"/>
      <sheetName val="dec05_pl17"/>
      <sheetName val="23产成品_51"/>
      <sheetName val="56_%_CIVIC_Cost51"/>
      <sheetName val="hdcnt_351"/>
      <sheetName val="13_铁路配件51"/>
      <sheetName val="Consolidated_NEW51"/>
      <sheetName val="Grey_200951"/>
      <sheetName val="Chemical_200951"/>
      <sheetName val="OC_Plan51"/>
      <sheetName val="SUPP_CODE51"/>
      <sheetName val="Comet_Q202_Flash51"/>
      <sheetName val="Time_Dimension_Lookup49"/>
      <sheetName val="sales_ebit_act23"/>
      <sheetName val="_DACHSER_Price_Matrix19"/>
      <sheetName val="DHL_Price_Matrix19"/>
      <sheetName val="HOPI_Price_Matrix19"/>
      <sheetName val="LOGWIN_Price_Matrix19"/>
      <sheetName val="RHENUS_Price_Matrix19"/>
      <sheetName val="3_3_Transport_Daten19"/>
      <sheetName val="Summary_Data19"/>
      <sheetName val="Launch_Costs_TMNF19"/>
      <sheetName val="April_Antonio19"/>
      <sheetName val="Sales_Units_(3)19"/>
      <sheetName val="合并单位_(2)19"/>
      <sheetName val="dec05_pl19"/>
      <sheetName val="23产成品_52"/>
      <sheetName val="56_%_CIVIC_Cost52"/>
      <sheetName val="hdcnt_352"/>
      <sheetName val="13_铁路配件52"/>
      <sheetName val="Consolidated_NEW52"/>
      <sheetName val="Grey_200952"/>
      <sheetName val="Chemical_200952"/>
      <sheetName val="OC_Plan52"/>
      <sheetName val="SUPP_CODE52"/>
      <sheetName val="Comet_Q202_Flash52"/>
      <sheetName val="Time_Dimension_Lookup50"/>
      <sheetName val="sales_ebit_act24"/>
      <sheetName val="_DACHSER_Price_Matrix20"/>
      <sheetName val="DHL_Price_Matrix20"/>
      <sheetName val="HOPI_Price_Matrix20"/>
      <sheetName val="LOGWIN_Price_Matrix20"/>
      <sheetName val="RHENUS_Price_Matrix20"/>
      <sheetName val="3_3_Transport_Daten20"/>
      <sheetName val="Summary_Data20"/>
      <sheetName val="Launch_Costs_TMNF20"/>
      <sheetName val="April_Antonio20"/>
      <sheetName val="Sales_Units_(3)20"/>
      <sheetName val="合并单位_(2)20"/>
      <sheetName val="dec05_pl20"/>
      <sheetName val="Safety _ P_A"/>
      <sheetName val="Spec"/>
      <sheetName val="Batch Comparison Template"/>
      <sheetName val="Stats Graph Template"/>
      <sheetName val="MC3(main)"/>
      <sheetName val="MC1"/>
      <sheetName val="분리멀티형"/>
      <sheetName val="Costos"/>
      <sheetName val="Table"/>
      <sheetName val="新品台帐"/>
      <sheetName val="ShTactime"/>
      <sheetName val="MAR"/>
      <sheetName val="外注實裝工數"/>
      <sheetName val="列表"/>
      <sheetName val="Assumptions"/>
      <sheetName val="cash flow, BS monthly(3)"/>
      <sheetName val="Sales Seasonality by Month"/>
      <sheetName val="PKG"/>
      <sheetName val="BEWL"/>
      <sheetName val="BOM MASTER"/>
      <sheetName val="MRN Rejection"/>
      <sheetName val="Assmptns"/>
      <sheetName val="Present Value"/>
      <sheetName val="Fixed Assets 2015"/>
      <sheetName val="Funnel"/>
      <sheetName val="总明细"/>
      <sheetName val="模具"/>
      <sheetName val="表外数据录入"/>
      <sheetName val="NHAP"/>
      <sheetName val="XUAT"/>
      <sheetName val="TEN HANG"/>
      <sheetName val="9100-PO"/>
      <sheetName val="accode"/>
      <sheetName val="科目余额"/>
      <sheetName val="K110"/>
      <sheetName val="G210"/>
      <sheetName val="O111"/>
      <sheetName val="sheet6"/>
      <sheetName val="sheet96"/>
      <sheetName val="sheet100"/>
      <sheetName val="sheet900"/>
      <sheetName val="72HX"/>
      <sheetName val="75EX"/>
      <sheetName val="72HY"/>
      <sheetName val="75EY"/>
      <sheetName val="23产成品_53"/>
      <sheetName val="56_%_CIVIC_Cost53"/>
      <sheetName val="hdcnt_353"/>
      <sheetName val="13_铁路配件53"/>
      <sheetName val="Consolidated_NEW53"/>
      <sheetName val="Grey_200953"/>
      <sheetName val="Chemical_200953"/>
      <sheetName val="OC_Plan53"/>
      <sheetName val="SUPP_CODE53"/>
      <sheetName val="Comet_Q202_Flash53"/>
      <sheetName val="Time_Dimension_Lookup51"/>
      <sheetName val="sales_ebit_act25"/>
      <sheetName val="_DACHSER_Price_Matrix21"/>
      <sheetName val="DHL_Price_Matrix21"/>
      <sheetName val="HOPI_Price_Matrix21"/>
      <sheetName val="LOGWIN_Price_Matrix21"/>
      <sheetName val="RHENUS_Price_Matrix21"/>
      <sheetName val="3_3_Transport_Daten21"/>
      <sheetName val="Summary_Data21"/>
      <sheetName val="Launch_Costs_TMNF21"/>
      <sheetName val="April_Antonio21"/>
      <sheetName val="Sales_Units_(3)21"/>
      <sheetName val="合并单位_(2)21"/>
      <sheetName val="dec05_pl21"/>
      <sheetName val="Av_Measures"/>
      <sheetName val="Material_BOMS"/>
      <sheetName val="Related_transaction_accounts"/>
      <sheetName val="23产成品_58"/>
      <sheetName val="56_%_CIVIC_Cost58"/>
      <sheetName val="hdcnt_358"/>
      <sheetName val="13_铁路配件58"/>
      <sheetName val="Consolidated_NEW58"/>
      <sheetName val="Grey_200958"/>
      <sheetName val="Chemical_200958"/>
      <sheetName val="OC_Plan58"/>
      <sheetName val="SUPP_CODE58"/>
      <sheetName val="Comet_Q202_Flash58"/>
      <sheetName val="Time_Dimension_Lookup56"/>
      <sheetName val="sales_ebit_act30"/>
      <sheetName val="_DACHSER_Price_Matrix26"/>
      <sheetName val="DHL_Price_Matrix26"/>
      <sheetName val="HOPI_Price_Matrix26"/>
      <sheetName val="LOGWIN_Price_Matrix26"/>
      <sheetName val="RHENUS_Price_Matrix26"/>
      <sheetName val="3_3_Transport_Daten26"/>
      <sheetName val="Summary_Data26"/>
      <sheetName val="Launch_Costs_TMNF26"/>
      <sheetName val="April_Antonio26"/>
      <sheetName val="Sales_Units_(3)26"/>
      <sheetName val="合并单位_(2)26"/>
      <sheetName val="dec05_pl26"/>
      <sheetName val="Av_Measures5"/>
      <sheetName val="Material_BOMS5"/>
      <sheetName val="Related_transaction_accounts5"/>
      <sheetName val="23产成品_56"/>
      <sheetName val="56_%_CIVIC_Cost56"/>
      <sheetName val="hdcnt_356"/>
      <sheetName val="13_铁路配件56"/>
      <sheetName val="Consolidated_NEW56"/>
      <sheetName val="Grey_200956"/>
      <sheetName val="Chemical_200956"/>
      <sheetName val="OC_Plan56"/>
      <sheetName val="SUPP_CODE56"/>
      <sheetName val="Comet_Q202_Flash56"/>
      <sheetName val="Time_Dimension_Lookup54"/>
      <sheetName val="sales_ebit_act28"/>
      <sheetName val="_DACHSER_Price_Matrix24"/>
      <sheetName val="DHL_Price_Matrix24"/>
      <sheetName val="HOPI_Price_Matrix24"/>
      <sheetName val="LOGWIN_Price_Matrix24"/>
      <sheetName val="RHENUS_Price_Matrix24"/>
      <sheetName val="3_3_Transport_Daten24"/>
      <sheetName val="Summary_Data24"/>
      <sheetName val="Launch_Costs_TMNF24"/>
      <sheetName val="April_Antonio24"/>
      <sheetName val="Sales_Units_(3)24"/>
      <sheetName val="合并单位_(2)24"/>
      <sheetName val="dec05_pl24"/>
      <sheetName val="Av_Measures3"/>
      <sheetName val="Material_BOMS3"/>
      <sheetName val="Related_transaction_accounts3"/>
      <sheetName val="23产成品_54"/>
      <sheetName val="56_%_CIVIC_Cost54"/>
      <sheetName val="hdcnt_354"/>
      <sheetName val="13_铁路配件54"/>
      <sheetName val="Consolidated_NEW54"/>
      <sheetName val="Grey_200954"/>
      <sheetName val="Chemical_200954"/>
      <sheetName val="OC_Plan54"/>
      <sheetName val="SUPP_CODE54"/>
      <sheetName val="Comet_Q202_Flash54"/>
      <sheetName val="Time_Dimension_Lookup52"/>
      <sheetName val="sales_ebit_act26"/>
      <sheetName val="_DACHSER_Price_Matrix22"/>
      <sheetName val="DHL_Price_Matrix22"/>
      <sheetName val="HOPI_Price_Matrix22"/>
      <sheetName val="LOGWIN_Price_Matrix22"/>
      <sheetName val="RHENUS_Price_Matrix22"/>
      <sheetName val="3_3_Transport_Daten22"/>
      <sheetName val="Summary_Data22"/>
      <sheetName val="Launch_Costs_TMNF22"/>
      <sheetName val="April_Antonio22"/>
      <sheetName val="Sales_Units_(3)22"/>
      <sheetName val="合并单位_(2)22"/>
      <sheetName val="dec05_pl22"/>
      <sheetName val="Av_Measures1"/>
      <sheetName val="Material_BOMS1"/>
      <sheetName val="Related_transaction_accounts1"/>
      <sheetName val="23产成品_55"/>
      <sheetName val="56_%_CIVIC_Cost55"/>
      <sheetName val="hdcnt_355"/>
      <sheetName val="13_铁路配件55"/>
      <sheetName val="Consolidated_NEW55"/>
      <sheetName val="Grey_200955"/>
      <sheetName val="Chemical_200955"/>
      <sheetName val="OC_Plan55"/>
      <sheetName val="SUPP_CODE55"/>
      <sheetName val="Comet_Q202_Flash55"/>
      <sheetName val="Time_Dimension_Lookup53"/>
      <sheetName val="sales_ebit_act27"/>
      <sheetName val="_DACHSER_Price_Matrix23"/>
      <sheetName val="DHL_Price_Matrix23"/>
      <sheetName val="HOPI_Price_Matrix23"/>
      <sheetName val="LOGWIN_Price_Matrix23"/>
      <sheetName val="RHENUS_Price_Matrix23"/>
      <sheetName val="3_3_Transport_Daten23"/>
      <sheetName val="Summary_Data23"/>
      <sheetName val="Launch_Costs_TMNF23"/>
      <sheetName val="April_Antonio23"/>
      <sheetName val="Sales_Units_(3)23"/>
      <sheetName val="合并单位_(2)23"/>
      <sheetName val="dec05_pl23"/>
      <sheetName val="Av_Measures2"/>
      <sheetName val="Material_BOMS2"/>
      <sheetName val="Related_transaction_accounts2"/>
      <sheetName val="23产成品_57"/>
      <sheetName val="56_%_CIVIC_Cost57"/>
      <sheetName val="hdcnt_357"/>
      <sheetName val="13_铁路配件57"/>
      <sheetName val="Consolidated_NEW57"/>
      <sheetName val="Grey_200957"/>
      <sheetName val="Chemical_200957"/>
      <sheetName val="OC_Plan57"/>
      <sheetName val="SUPP_CODE57"/>
      <sheetName val="Comet_Q202_Flash57"/>
      <sheetName val="Time_Dimension_Lookup55"/>
      <sheetName val="sales_ebit_act29"/>
      <sheetName val="_DACHSER_Price_Matrix25"/>
      <sheetName val="DHL_Price_Matrix25"/>
      <sheetName val="HOPI_Price_Matrix25"/>
      <sheetName val="LOGWIN_Price_Matrix25"/>
      <sheetName val="RHENUS_Price_Matrix25"/>
      <sheetName val="3_3_Transport_Daten25"/>
      <sheetName val="Summary_Data25"/>
      <sheetName val="Launch_Costs_TMNF25"/>
      <sheetName val="April_Antonio25"/>
      <sheetName val="Sales_Units_(3)25"/>
      <sheetName val="合并单位_(2)25"/>
      <sheetName val="dec05_pl25"/>
      <sheetName val="Av_Measures4"/>
      <sheetName val="Material_BOMS4"/>
      <sheetName val="Related_transaction_accounts4"/>
      <sheetName val="Pull HP Wide"/>
      <sheetName val="Pull All SFs"/>
      <sheetName val="FA-LISTING"/>
      <sheetName val="Sheet49"/>
      <sheetName val="k-line"/>
      <sheetName val="SPP current as of 1-3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新品台帐"/>
      <sheetName val="Sheet1"/>
      <sheetName val="Sheet4"/>
      <sheetName val="成本核算"/>
      <sheetName val="Sheet2"/>
      <sheetName val="日赁表"/>
      <sheetName val="门框核算"/>
      <sheetName val="模块化"/>
      <sheetName val="模块台账"/>
      <sheetName val="新品完成情况"/>
      <sheetName val="1.13双经销"/>
      <sheetName val="原材料"/>
      <sheetName val="维护配额"/>
      <sheetName val="衍生核算"/>
      <sheetName val="690自制"/>
      <sheetName val="转工厂"/>
      <sheetName val="竞争力预算表"/>
      <sheetName val="参与设计"/>
      <sheetName val="XL4Poppy"/>
      <sheetName val="Total Financi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>
      <selection activeCell="AH116" sqref="AH116"/>
    </sheetView>
  </sheetViews>
  <sheetFormatPr defaultColWidth="9.81640625" defaultRowHeight="14"/>
  <sheetData/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2" filterMode="1">
    <tabColor rgb="FFFFFF00"/>
    <pageSetUpPr fitToPage="1"/>
  </sheetPr>
  <dimension ref="A1:BK580"/>
  <sheetViews>
    <sheetView zoomScale="70" zoomScaleNormal="70" workbookViewId="0">
      <pane ySplit="6" topLeftCell="A448" activePane="bottomLeft" state="frozen"/>
      <selection pane="bottomLeft" activeCell="B10" sqref="B10:AT571"/>
    </sheetView>
  </sheetViews>
  <sheetFormatPr defaultColWidth="8.81640625" defaultRowHeight="13"/>
  <cols>
    <col min="1" max="1" width="8.36328125" style="101" customWidth="1"/>
    <col min="2" max="2" width="11.6328125" style="102" customWidth="1"/>
    <col min="3" max="3" width="54.1796875" style="102" customWidth="1"/>
    <col min="4" max="4" width="12.453125" style="102" hidden="1" customWidth="1"/>
    <col min="5" max="5" width="29.90625" style="103" hidden="1" customWidth="1"/>
    <col min="6" max="6" width="11.81640625" style="102" hidden="1" customWidth="1"/>
    <col min="7" max="7" width="14.6328125" style="102" hidden="1" customWidth="1"/>
    <col min="8" max="8" width="7.1796875" style="102" hidden="1" customWidth="1"/>
    <col min="9" max="23" width="10.453125" style="102" hidden="1" customWidth="1"/>
    <col min="24" max="24" width="6.6328125" style="102" hidden="1" customWidth="1"/>
    <col min="25" max="25" width="7.08984375" style="102" hidden="1" customWidth="1"/>
    <col min="26" max="29" width="7.6328125" style="102" hidden="1" customWidth="1"/>
    <col min="30" max="30" width="13.1796875" style="104" hidden="1" customWidth="1"/>
    <col min="31" max="36" width="7.6328125" style="102" customWidth="1"/>
    <col min="37" max="37" width="8.90625" style="105" customWidth="1"/>
    <col min="38" max="38" width="8.36328125" style="102" customWidth="1"/>
    <col min="39" max="39" width="7.6328125" style="101" hidden="1" customWidth="1"/>
    <col min="40" max="40" width="7.6328125" style="106" hidden="1" customWidth="1"/>
    <col min="41" max="41" width="7.6328125" style="107" hidden="1" customWidth="1"/>
    <col min="42" max="45" width="7.6328125" style="106" hidden="1" customWidth="1"/>
    <col min="46" max="46" width="8.36328125" style="101" customWidth="1"/>
    <col min="47" max="47" width="7.6328125" style="102" customWidth="1"/>
    <col min="48" max="48" width="36.6328125" style="104" customWidth="1"/>
    <col min="49" max="56" width="8.7265625" style="104" customWidth="1"/>
    <col min="57" max="63" width="8.81640625" style="104" hidden="1" customWidth="1"/>
    <col min="64" max="16384" width="8.81640625" style="108"/>
  </cols>
  <sheetData>
    <row r="1" spans="1:63" ht="12.65" customHeight="1">
      <c r="A1" s="145" t="s">
        <v>0</v>
      </c>
      <c r="B1" s="148" t="s">
        <v>1</v>
      </c>
      <c r="C1" s="151" t="s">
        <v>2</v>
      </c>
      <c r="D1" s="151" t="s">
        <v>3</v>
      </c>
      <c r="E1" s="145" t="s">
        <v>4</v>
      </c>
      <c r="F1" s="151" t="s">
        <v>5</v>
      </c>
      <c r="G1" s="151" t="s">
        <v>6</v>
      </c>
      <c r="H1" s="151" t="s">
        <v>7</v>
      </c>
      <c r="I1" s="161" t="s">
        <v>8</v>
      </c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44" t="s">
        <v>9</v>
      </c>
      <c r="Y1" s="144"/>
      <c r="Z1" s="144"/>
      <c r="AA1" s="152" t="s">
        <v>10</v>
      </c>
      <c r="AB1" s="153" t="s">
        <v>11</v>
      </c>
      <c r="AC1" s="154" t="s">
        <v>12</v>
      </c>
      <c r="AD1" s="156" t="s">
        <v>13</v>
      </c>
      <c r="AE1" s="116" t="s">
        <v>14</v>
      </c>
      <c r="AF1" s="116" t="s">
        <v>15</v>
      </c>
      <c r="AG1" s="116" t="s">
        <v>16</v>
      </c>
      <c r="AH1" s="116" t="s">
        <v>17</v>
      </c>
      <c r="AI1" s="116" t="s">
        <v>18</v>
      </c>
      <c r="AJ1" s="116" t="s">
        <v>19</v>
      </c>
      <c r="AK1" s="116" t="s">
        <v>20</v>
      </c>
      <c r="AL1" s="116" t="s">
        <v>14</v>
      </c>
      <c r="AM1" s="116" t="s">
        <v>15</v>
      </c>
      <c r="AN1" s="116" t="s">
        <v>16</v>
      </c>
      <c r="AO1" s="116" t="s">
        <v>17</v>
      </c>
      <c r="AP1" s="116" t="s">
        <v>18</v>
      </c>
      <c r="AQ1" s="116" t="s">
        <v>19</v>
      </c>
      <c r="AR1" s="116" t="s">
        <v>20</v>
      </c>
      <c r="AS1" s="116" t="s">
        <v>14</v>
      </c>
      <c r="AT1" s="152" t="s">
        <v>21</v>
      </c>
      <c r="AU1" s="152" t="s">
        <v>22</v>
      </c>
      <c r="AV1" s="158" t="s">
        <v>23</v>
      </c>
      <c r="AW1" s="167" t="s">
        <v>24</v>
      </c>
      <c r="AX1" s="167"/>
      <c r="AY1" s="167"/>
      <c r="AZ1" s="167"/>
      <c r="BA1" s="167"/>
      <c r="BB1" s="167"/>
      <c r="BC1" s="167"/>
      <c r="BD1" s="167"/>
      <c r="BE1" s="167"/>
      <c r="BF1" s="167"/>
      <c r="BG1" s="167"/>
      <c r="BH1" s="167"/>
      <c r="BI1" s="167"/>
      <c r="BJ1" s="167"/>
      <c r="BK1" s="167"/>
    </row>
    <row r="2" spans="1:63" ht="12.65" customHeight="1">
      <c r="A2" s="146"/>
      <c r="B2" s="149"/>
      <c r="C2" s="151"/>
      <c r="D2" s="151"/>
      <c r="E2" s="146"/>
      <c r="F2" s="151"/>
      <c r="G2" s="151"/>
      <c r="H2" s="151"/>
      <c r="I2" s="163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13" t="s">
        <v>25</v>
      </c>
      <c r="Y2" s="113" t="s">
        <v>26</v>
      </c>
      <c r="Z2" s="115" t="s">
        <v>27</v>
      </c>
      <c r="AA2" s="152"/>
      <c r="AB2" s="153"/>
      <c r="AC2" s="155"/>
      <c r="AD2" s="157"/>
      <c r="AE2" s="3">
        <v>46083</v>
      </c>
      <c r="AF2" s="3">
        <v>46084</v>
      </c>
      <c r="AG2" s="3">
        <v>46085</v>
      </c>
      <c r="AH2" s="3">
        <v>46086</v>
      </c>
      <c r="AI2" s="3">
        <v>46087</v>
      </c>
      <c r="AJ2" s="3">
        <v>46088</v>
      </c>
      <c r="AK2" s="3">
        <v>46089</v>
      </c>
      <c r="AL2" s="3">
        <v>46090</v>
      </c>
      <c r="AM2" s="3">
        <v>46091</v>
      </c>
      <c r="AN2" s="3">
        <v>46092</v>
      </c>
      <c r="AO2" s="3">
        <v>46093</v>
      </c>
      <c r="AP2" s="3">
        <v>46094</v>
      </c>
      <c r="AQ2" s="3">
        <v>46095</v>
      </c>
      <c r="AR2" s="3">
        <v>46096</v>
      </c>
      <c r="AS2" s="3">
        <v>46097</v>
      </c>
      <c r="AT2" s="152"/>
      <c r="AU2" s="152"/>
      <c r="AV2" s="159"/>
      <c r="AW2" s="167"/>
      <c r="AX2" s="167"/>
      <c r="AY2" s="167"/>
      <c r="AZ2" s="167"/>
      <c r="BA2" s="167"/>
      <c r="BB2" s="167"/>
      <c r="BC2" s="167"/>
      <c r="BD2" s="167"/>
      <c r="BE2" s="167"/>
      <c r="BF2" s="167"/>
      <c r="BG2" s="167"/>
      <c r="BH2" s="167"/>
      <c r="BI2" s="167"/>
      <c r="BJ2" s="167"/>
      <c r="BK2" s="167"/>
    </row>
    <row r="3" spans="1:63" ht="12.65" customHeight="1">
      <c r="A3" s="146"/>
      <c r="B3" s="149"/>
      <c r="C3" s="17" t="s">
        <v>28</v>
      </c>
      <c r="D3" s="151"/>
      <c r="E3" s="146"/>
      <c r="F3" s="151"/>
      <c r="G3" s="151"/>
      <c r="H3" s="151"/>
      <c r="I3" s="163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7">
        <f>SUM(X7:X86)</f>
        <v>60327</v>
      </c>
      <c r="Y3" s="17">
        <f>SUM(Y7:Y86)</f>
        <v>22301</v>
      </c>
      <c r="Z3" s="17">
        <f>SUM(Z7:Z86)</f>
        <v>51895</v>
      </c>
      <c r="AA3" s="17">
        <v>0</v>
      </c>
      <c r="AB3" s="17">
        <f t="shared" ref="AB3:AI3" si="0">SUM(AB7:AB86)</f>
        <v>52432</v>
      </c>
      <c r="AC3" s="17">
        <f t="shared" si="0"/>
        <v>13869</v>
      </c>
      <c r="AD3" s="17">
        <f t="shared" si="0"/>
        <v>44200</v>
      </c>
      <c r="AE3" s="17">
        <f t="shared" si="0"/>
        <v>0</v>
      </c>
      <c r="AF3" s="17">
        <f t="shared" si="0"/>
        <v>20</v>
      </c>
      <c r="AG3" s="17">
        <f t="shared" si="0"/>
        <v>8355</v>
      </c>
      <c r="AH3" s="17">
        <f t="shared" si="0"/>
        <v>8699</v>
      </c>
      <c r="AI3" s="17">
        <f t="shared" si="0"/>
        <v>9668</v>
      </c>
      <c r="AJ3" s="17">
        <f t="shared" ref="AJ3:AS3" si="1">SUM(AJ7:AJ80)</f>
        <v>9535</v>
      </c>
      <c r="AK3" s="17">
        <f t="shared" si="1"/>
        <v>0</v>
      </c>
      <c r="AL3" s="17">
        <f t="shared" si="1"/>
        <v>7923</v>
      </c>
      <c r="AM3" s="17">
        <f t="shared" si="1"/>
        <v>0</v>
      </c>
      <c r="AN3" s="17">
        <f t="shared" si="1"/>
        <v>0</v>
      </c>
      <c r="AO3" s="17">
        <f t="shared" si="1"/>
        <v>0</v>
      </c>
      <c r="AP3" s="17">
        <f t="shared" si="1"/>
        <v>0</v>
      </c>
      <c r="AQ3" s="17">
        <f t="shared" si="1"/>
        <v>0</v>
      </c>
      <c r="AR3" s="17">
        <f t="shared" si="1"/>
        <v>0</v>
      </c>
      <c r="AS3" s="17">
        <f t="shared" si="1"/>
        <v>0</v>
      </c>
      <c r="AT3" s="17">
        <f>SUM(AE3:AN3)</f>
        <v>44200</v>
      </c>
      <c r="AU3" s="17">
        <f>SUM(AU7:AU80)</f>
        <v>0</v>
      </c>
      <c r="AV3" s="159"/>
      <c r="AW3" s="167"/>
      <c r="AX3" s="167"/>
      <c r="AY3" s="167"/>
      <c r="AZ3" s="167"/>
      <c r="BA3" s="167"/>
      <c r="BB3" s="167"/>
      <c r="BC3" s="167"/>
      <c r="BD3" s="167"/>
      <c r="BE3" s="167"/>
      <c r="BF3" s="167"/>
      <c r="BG3" s="167"/>
      <c r="BH3" s="167"/>
      <c r="BI3" s="167"/>
      <c r="BJ3" s="167"/>
      <c r="BK3" s="167"/>
    </row>
    <row r="4" spans="1:63" ht="12.65" customHeight="1">
      <c r="A4" s="146"/>
      <c r="B4" s="149"/>
      <c r="C4" s="17" t="s">
        <v>29</v>
      </c>
      <c r="D4" s="151"/>
      <c r="E4" s="146"/>
      <c r="F4" s="151"/>
      <c r="G4" s="151"/>
      <c r="H4" s="151"/>
      <c r="I4" s="163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7">
        <f>SUM(X87:X189)</f>
        <v>39391</v>
      </c>
      <c r="Y4" s="17">
        <f>SUM(Y87:Y187)</f>
        <v>12689</v>
      </c>
      <c r="Z4" s="17">
        <f>SUM(Z87:Z187)</f>
        <v>47695</v>
      </c>
      <c r="AA4" s="17">
        <v>0</v>
      </c>
      <c r="AB4" s="17">
        <f>SUM(AB87:AB187)</f>
        <v>27306</v>
      </c>
      <c r="AC4" s="17">
        <f>SUM(AC87:AC187)</f>
        <v>21383</v>
      </c>
      <c r="AD4" s="17">
        <f>SUM(AD87:AD187)</f>
        <v>36000</v>
      </c>
      <c r="AE4" s="17">
        <f>SUM(AE87:AE186)</f>
        <v>0</v>
      </c>
      <c r="AF4" s="17">
        <f>SUM(AF87:AF186)</f>
        <v>800</v>
      </c>
      <c r="AG4" s="17">
        <f t="shared" ref="AG4:AM4" si="2">SUM(AG87:AG186)</f>
        <v>7283</v>
      </c>
      <c r="AH4" s="17">
        <f t="shared" si="2"/>
        <v>7400</v>
      </c>
      <c r="AI4" s="17">
        <f t="shared" si="2"/>
        <v>5500</v>
      </c>
      <c r="AJ4" s="17">
        <f t="shared" si="2"/>
        <v>7400</v>
      </c>
      <c r="AK4" s="17">
        <f t="shared" si="2"/>
        <v>0</v>
      </c>
      <c r="AL4" s="17">
        <f t="shared" si="2"/>
        <v>7617</v>
      </c>
      <c r="AM4" s="17">
        <f t="shared" si="2"/>
        <v>0</v>
      </c>
      <c r="AN4" s="17">
        <f t="shared" ref="AN4:AS4" si="3">SUM(AN91:AN186)</f>
        <v>0</v>
      </c>
      <c r="AO4" s="17">
        <f t="shared" si="3"/>
        <v>0</v>
      </c>
      <c r="AP4" s="17">
        <f t="shared" si="3"/>
        <v>0</v>
      </c>
      <c r="AQ4" s="17">
        <f t="shared" si="3"/>
        <v>0</v>
      </c>
      <c r="AR4" s="17">
        <f t="shared" si="3"/>
        <v>0</v>
      </c>
      <c r="AS4" s="17">
        <f t="shared" si="3"/>
        <v>0</v>
      </c>
      <c r="AT4" s="17">
        <f>SUM(AE4:AN4)</f>
        <v>36000</v>
      </c>
      <c r="AU4" s="17">
        <f>SUM(AU87:AU186)</f>
        <v>0</v>
      </c>
      <c r="AV4" s="159"/>
      <c r="AW4" s="167"/>
      <c r="AX4" s="167"/>
      <c r="AY4" s="167"/>
      <c r="AZ4" s="167"/>
      <c r="BA4" s="167"/>
      <c r="BB4" s="167"/>
      <c r="BC4" s="167"/>
      <c r="BD4" s="167"/>
      <c r="BE4" s="167"/>
      <c r="BF4" s="167"/>
      <c r="BG4" s="167"/>
      <c r="BH4" s="167"/>
      <c r="BI4" s="167"/>
      <c r="BJ4" s="167"/>
      <c r="BK4" s="167"/>
    </row>
    <row r="5" spans="1:63" ht="12.65" customHeight="1">
      <c r="A5" s="146"/>
      <c r="B5" s="149"/>
      <c r="C5" s="17" t="s">
        <v>30</v>
      </c>
      <c r="D5" s="151"/>
      <c r="E5" s="146"/>
      <c r="F5" s="151"/>
      <c r="G5" s="151"/>
      <c r="H5" s="151"/>
      <c r="I5" s="165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7">
        <f t="shared" ref="X5:AF5" si="4">SUM(X263:X427)</f>
        <v>0</v>
      </c>
      <c r="Y5" s="17">
        <f t="shared" si="4"/>
        <v>0</v>
      </c>
      <c r="Z5" s="17">
        <f t="shared" si="4"/>
        <v>195</v>
      </c>
      <c r="AA5" s="17">
        <v>0</v>
      </c>
      <c r="AB5" s="17">
        <f t="shared" si="4"/>
        <v>411</v>
      </c>
      <c r="AC5" s="17">
        <f t="shared" si="4"/>
        <v>195</v>
      </c>
      <c r="AD5" s="17">
        <f t="shared" si="4"/>
        <v>606</v>
      </c>
      <c r="AE5" s="17">
        <f t="shared" si="4"/>
        <v>0</v>
      </c>
      <c r="AF5" s="17">
        <f t="shared" si="4"/>
        <v>200</v>
      </c>
      <c r="AG5" s="17">
        <f t="shared" ref="AG5:AS5" si="5">SUM(AG263:AG427)</f>
        <v>182</v>
      </c>
      <c r="AH5" s="17">
        <f t="shared" si="5"/>
        <v>0</v>
      </c>
      <c r="AI5" s="17">
        <f t="shared" si="5"/>
        <v>224</v>
      </c>
      <c r="AJ5" s="17">
        <f t="shared" si="5"/>
        <v>0</v>
      </c>
      <c r="AK5" s="17">
        <f t="shared" si="5"/>
        <v>0</v>
      </c>
      <c r="AL5" s="17">
        <f t="shared" si="5"/>
        <v>0</v>
      </c>
      <c r="AM5" s="17">
        <f t="shared" si="5"/>
        <v>0</v>
      </c>
      <c r="AN5" s="17">
        <f t="shared" si="5"/>
        <v>0</v>
      </c>
      <c r="AO5" s="17">
        <f t="shared" si="5"/>
        <v>0</v>
      </c>
      <c r="AP5" s="17">
        <f t="shared" si="5"/>
        <v>0</v>
      </c>
      <c r="AQ5" s="17">
        <f t="shared" si="5"/>
        <v>0</v>
      </c>
      <c r="AR5" s="17">
        <f t="shared" si="5"/>
        <v>0</v>
      </c>
      <c r="AS5" s="17">
        <f t="shared" si="5"/>
        <v>0</v>
      </c>
      <c r="AT5" s="17">
        <f>SUM(AE5:AN5)</f>
        <v>606</v>
      </c>
      <c r="AU5" s="17">
        <f>SUM(AU263:AU427)</f>
        <v>0</v>
      </c>
      <c r="AV5" s="159"/>
      <c r="AW5" s="167"/>
      <c r="AX5" s="167"/>
      <c r="AY5" s="167"/>
      <c r="AZ5" s="167"/>
      <c r="BA5" s="167"/>
      <c r="BB5" s="167"/>
      <c r="BC5" s="167"/>
      <c r="BD5" s="167"/>
      <c r="BE5" s="167"/>
      <c r="BF5" s="167"/>
      <c r="BG5" s="167"/>
      <c r="BH5" s="167"/>
      <c r="BI5" s="167"/>
      <c r="BJ5" s="167"/>
      <c r="BK5" s="167"/>
    </row>
    <row r="6" spans="1:63" ht="12.65" customHeight="1">
      <c r="A6" s="147"/>
      <c r="B6" s="150"/>
      <c r="C6" s="17" t="s">
        <v>31</v>
      </c>
      <c r="D6" s="151"/>
      <c r="E6" s="147"/>
      <c r="F6" s="151"/>
      <c r="G6" s="151"/>
      <c r="H6" s="151"/>
      <c r="I6" s="112">
        <v>46083</v>
      </c>
      <c r="J6" s="112">
        <v>46084</v>
      </c>
      <c r="K6" s="112">
        <v>46085</v>
      </c>
      <c r="L6" s="112">
        <v>46086</v>
      </c>
      <c r="M6" s="112">
        <v>46087</v>
      </c>
      <c r="N6" s="112">
        <v>46088</v>
      </c>
      <c r="O6" s="112">
        <v>46089</v>
      </c>
      <c r="P6" s="112">
        <v>46090</v>
      </c>
      <c r="Q6" s="112">
        <v>46091</v>
      </c>
      <c r="R6" s="112">
        <v>46092</v>
      </c>
      <c r="S6" s="112">
        <v>46093</v>
      </c>
      <c r="T6" s="112">
        <v>46094</v>
      </c>
      <c r="U6" s="112">
        <v>46095</v>
      </c>
      <c r="V6" s="112">
        <v>46096</v>
      </c>
      <c r="W6" s="112">
        <v>46097</v>
      </c>
      <c r="X6" s="4">
        <f t="shared" ref="X6:AF6" si="6">SUM(X3:X5)</f>
        <v>99718</v>
      </c>
      <c r="Y6" s="4">
        <f t="shared" si="6"/>
        <v>34990</v>
      </c>
      <c r="Z6" s="4">
        <f t="shared" si="6"/>
        <v>99785</v>
      </c>
      <c r="AA6" s="4">
        <v>0</v>
      </c>
      <c r="AB6" s="4">
        <f t="shared" si="6"/>
        <v>80149</v>
      </c>
      <c r="AC6" s="4">
        <f t="shared" si="6"/>
        <v>35447</v>
      </c>
      <c r="AD6" s="4">
        <f t="shared" si="6"/>
        <v>80806</v>
      </c>
      <c r="AE6" s="4">
        <f t="shared" si="6"/>
        <v>0</v>
      </c>
      <c r="AF6" s="4">
        <f t="shared" si="6"/>
        <v>1020</v>
      </c>
      <c r="AG6" s="4">
        <f t="shared" ref="AG6:AL6" si="7">SUM(AG3:AG5)</f>
        <v>15820</v>
      </c>
      <c r="AH6" s="4">
        <f t="shared" si="7"/>
        <v>16099</v>
      </c>
      <c r="AI6" s="4">
        <f t="shared" si="7"/>
        <v>15392</v>
      </c>
      <c r="AJ6" s="4">
        <f t="shared" si="7"/>
        <v>16935</v>
      </c>
      <c r="AK6" s="4">
        <f t="shared" si="7"/>
        <v>0</v>
      </c>
      <c r="AL6" s="121">
        <f t="shared" si="7"/>
        <v>15540</v>
      </c>
      <c r="AM6" s="121">
        <f t="shared" ref="AM6:AS6" si="8">SUM(AM3:AM4)</f>
        <v>0</v>
      </c>
      <c r="AN6" s="121">
        <f t="shared" si="8"/>
        <v>0</v>
      </c>
      <c r="AO6" s="121">
        <f t="shared" si="8"/>
        <v>0</v>
      </c>
      <c r="AP6" s="121">
        <f t="shared" si="8"/>
        <v>0</v>
      </c>
      <c r="AQ6" s="121">
        <f t="shared" si="8"/>
        <v>0</v>
      </c>
      <c r="AR6" s="121">
        <f t="shared" si="8"/>
        <v>0</v>
      </c>
      <c r="AS6" s="121">
        <f t="shared" si="8"/>
        <v>0</v>
      </c>
      <c r="AT6" s="17">
        <f>SUM(AE6:AN6)</f>
        <v>80806</v>
      </c>
      <c r="AU6" s="121">
        <f>SUM(AU3:AU5)</f>
        <v>0</v>
      </c>
      <c r="AV6" s="160"/>
      <c r="AW6" s="124">
        <f>AE2</f>
        <v>46083</v>
      </c>
      <c r="AX6" s="124">
        <f>AF2</f>
        <v>46084</v>
      </c>
      <c r="AY6" s="124">
        <f t="shared" ref="AY6:BK6" si="9">AG2</f>
        <v>46085</v>
      </c>
      <c r="AZ6" s="124">
        <f t="shared" si="9"/>
        <v>46086</v>
      </c>
      <c r="BA6" s="124">
        <f t="shared" si="9"/>
        <v>46087</v>
      </c>
      <c r="BB6" s="124">
        <f t="shared" si="9"/>
        <v>46088</v>
      </c>
      <c r="BC6" s="124">
        <f t="shared" si="9"/>
        <v>46089</v>
      </c>
      <c r="BD6" s="124">
        <f t="shared" si="9"/>
        <v>46090</v>
      </c>
      <c r="BE6" s="124">
        <f t="shared" si="9"/>
        <v>46091</v>
      </c>
      <c r="BF6" s="124">
        <f t="shared" si="9"/>
        <v>46092</v>
      </c>
      <c r="BG6" s="124">
        <f t="shared" si="9"/>
        <v>46093</v>
      </c>
      <c r="BH6" s="124">
        <f t="shared" si="9"/>
        <v>46094</v>
      </c>
      <c r="BI6" s="124">
        <f t="shared" si="9"/>
        <v>46095</v>
      </c>
      <c r="BJ6" s="124">
        <f t="shared" si="9"/>
        <v>46096</v>
      </c>
      <c r="BK6" s="124">
        <f t="shared" si="9"/>
        <v>46097</v>
      </c>
    </row>
    <row r="7" spans="1:63" s="100" customFormat="1" ht="16" hidden="1" customHeight="1">
      <c r="A7" s="17" t="s">
        <v>28</v>
      </c>
      <c r="B7" s="4" t="s">
        <v>32</v>
      </c>
      <c r="C7" s="4" t="s">
        <v>33</v>
      </c>
      <c r="D7" s="7" t="s">
        <v>34</v>
      </c>
      <c r="E7" s="7" t="s">
        <v>35</v>
      </c>
      <c r="F7" s="7" t="s">
        <v>36</v>
      </c>
      <c r="G7" s="109" t="s">
        <v>37</v>
      </c>
      <c r="H7" s="110" t="s">
        <v>38</v>
      </c>
      <c r="I7" s="7"/>
      <c r="J7" s="7"/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/>
      <c r="R7" s="7"/>
      <c r="S7" s="7"/>
      <c r="T7" s="7"/>
      <c r="U7" s="7"/>
      <c r="V7" s="7"/>
      <c r="W7" s="7"/>
      <c r="X7" s="114">
        <v>0</v>
      </c>
      <c r="Y7" s="114">
        <v>0</v>
      </c>
      <c r="Z7" s="117">
        <f>X7-Y7+AC7</f>
        <v>0</v>
      </c>
      <c r="AA7" s="5"/>
      <c r="AB7" s="118">
        <v>0</v>
      </c>
      <c r="AC7" s="119">
        <v>0</v>
      </c>
      <c r="AD7" s="5">
        <f t="shared" ref="AD7:AD29" si="10">AB7-Y7+AA7+AC7</f>
        <v>0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4"/>
      <c r="AQ7" s="4"/>
      <c r="AR7" s="4"/>
      <c r="AS7" s="4"/>
      <c r="AT7" s="17">
        <f>SUM(AE7:AR7)</f>
        <v>0</v>
      </c>
      <c r="AU7" s="122">
        <f>AD7-AT7</f>
        <v>0</v>
      </c>
      <c r="AV7" s="123"/>
      <c r="AW7" s="5">
        <f>AE7+Y7-I7</f>
        <v>0</v>
      </c>
      <c r="AX7" s="5">
        <f>AW7+AF7-J7</f>
        <v>0</v>
      </c>
      <c r="AY7" s="5">
        <f>AX7+AG7-K7</f>
        <v>0</v>
      </c>
      <c r="AZ7" s="5">
        <f t="shared" ref="AZ7:BG7" si="11">AY7+AH7-L7</f>
        <v>0</v>
      </c>
      <c r="BA7" s="5">
        <f t="shared" si="11"/>
        <v>0</v>
      </c>
      <c r="BB7" s="5">
        <f t="shared" si="11"/>
        <v>0</v>
      </c>
      <c r="BC7" s="5">
        <f t="shared" si="11"/>
        <v>0</v>
      </c>
      <c r="BD7" s="5">
        <f t="shared" si="11"/>
        <v>0</v>
      </c>
      <c r="BE7" s="5">
        <f t="shared" si="11"/>
        <v>0</v>
      </c>
      <c r="BF7" s="5">
        <f t="shared" si="11"/>
        <v>0</v>
      </c>
      <c r="BG7" s="5">
        <f t="shared" si="11"/>
        <v>0</v>
      </c>
      <c r="BH7" s="5">
        <f t="shared" ref="BH7:BK9" si="12">AP7+AJ7-T7</f>
        <v>0</v>
      </c>
      <c r="BI7" s="5">
        <f t="shared" si="12"/>
        <v>0</v>
      </c>
      <c r="BJ7" s="5">
        <f t="shared" si="12"/>
        <v>0</v>
      </c>
      <c r="BK7" s="5">
        <f t="shared" si="12"/>
        <v>0</v>
      </c>
    </row>
    <row r="8" spans="1:63" s="100" customFormat="1" ht="16" hidden="1" customHeight="1">
      <c r="A8" s="17" t="s">
        <v>28</v>
      </c>
      <c r="B8" s="4" t="s">
        <v>39</v>
      </c>
      <c r="C8" s="4" t="s">
        <v>40</v>
      </c>
      <c r="D8" s="109" t="s">
        <v>34</v>
      </c>
      <c r="E8" s="7" t="s">
        <v>41</v>
      </c>
      <c r="F8" s="109" t="s">
        <v>36</v>
      </c>
      <c r="G8" s="109" t="s">
        <v>37</v>
      </c>
      <c r="H8" s="110" t="s">
        <v>38</v>
      </c>
      <c r="I8" s="7"/>
      <c r="J8" s="7"/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/>
      <c r="R8" s="7"/>
      <c r="S8" s="7"/>
      <c r="T8" s="7"/>
      <c r="U8" s="7"/>
      <c r="V8" s="7"/>
      <c r="W8" s="7"/>
      <c r="X8" s="114">
        <v>0</v>
      </c>
      <c r="Y8" s="114">
        <v>0</v>
      </c>
      <c r="Z8" s="117">
        <f>X8-Y8+AC8</f>
        <v>0</v>
      </c>
      <c r="AA8" s="5"/>
      <c r="AB8" s="118">
        <v>0</v>
      </c>
      <c r="AC8" s="119">
        <v>0</v>
      </c>
      <c r="AD8" s="5">
        <f t="shared" si="10"/>
        <v>0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4"/>
      <c r="AQ8" s="4"/>
      <c r="AR8" s="4"/>
      <c r="AS8" s="4"/>
      <c r="AT8" s="17">
        <f>SUM(AE8:AR8)</f>
        <v>0</v>
      </c>
      <c r="AU8" s="122">
        <f>AD8-AT8</f>
        <v>0</v>
      </c>
      <c r="AV8" s="123"/>
      <c r="AW8" s="5">
        <f>AE8+Y8-I8</f>
        <v>0</v>
      </c>
      <c r="AX8" s="5">
        <f t="shared" ref="AX8:AX69" si="13">AW8+AF8-J8</f>
        <v>0</v>
      </c>
      <c r="AY8" s="5">
        <f t="shared" ref="AY8:AY69" si="14">AX8+AG8-K8</f>
        <v>0</v>
      </c>
      <c r="AZ8" s="5">
        <f t="shared" ref="AZ8:AZ69" si="15">AY8+AH8-L8</f>
        <v>0</v>
      </c>
      <c r="BA8" s="5">
        <f t="shared" ref="BA8:BA69" si="16">AZ8+AI8-M8</f>
        <v>0</v>
      </c>
      <c r="BB8" s="5">
        <f t="shared" ref="BB8:BB69" si="17">BA8+AJ8-N8</f>
        <v>0</v>
      </c>
      <c r="BC8" s="5">
        <f t="shared" ref="BC8:BC69" si="18">BB8+AK8-O8</f>
        <v>0</v>
      </c>
      <c r="BD8" s="5">
        <f t="shared" ref="BD8:BD69" si="19">BC8+AL8-P8</f>
        <v>0</v>
      </c>
      <c r="BE8" s="5">
        <f t="shared" ref="BE8:BE61" si="20">BD8+AM8-Q8</f>
        <v>0</v>
      </c>
      <c r="BF8" s="5">
        <f t="shared" ref="BF8:BF24" si="21">BE8+AN8-R8</f>
        <v>0</v>
      </c>
      <c r="BG8" s="5">
        <f t="shared" ref="BG8:BG24" si="22">BF8+AO8-S8</f>
        <v>0</v>
      </c>
      <c r="BH8" s="5">
        <f t="shared" si="12"/>
        <v>0</v>
      </c>
      <c r="BI8" s="5">
        <f t="shared" si="12"/>
        <v>0</v>
      </c>
      <c r="BJ8" s="5">
        <f t="shared" si="12"/>
        <v>0</v>
      </c>
      <c r="BK8" s="5">
        <f t="shared" si="12"/>
        <v>0</v>
      </c>
    </row>
    <row r="9" spans="1:63" s="100" customFormat="1" ht="16" hidden="1" customHeight="1">
      <c r="A9" s="17" t="s">
        <v>28</v>
      </c>
      <c r="B9" s="4" t="s">
        <v>42</v>
      </c>
      <c r="C9" s="4" t="s">
        <v>43</v>
      </c>
      <c r="D9" s="109" t="s">
        <v>34</v>
      </c>
      <c r="E9" s="7" t="s">
        <v>44</v>
      </c>
      <c r="F9" s="109" t="s">
        <v>36</v>
      </c>
      <c r="G9" s="109" t="s">
        <v>37</v>
      </c>
      <c r="H9" s="110" t="s">
        <v>45</v>
      </c>
      <c r="I9" s="7"/>
      <c r="J9" s="7"/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/>
      <c r="R9" s="7"/>
      <c r="S9" s="7"/>
      <c r="T9" s="7"/>
      <c r="U9" s="7"/>
      <c r="V9" s="7"/>
      <c r="W9" s="7"/>
      <c r="X9" s="114">
        <v>0</v>
      </c>
      <c r="Y9" s="114">
        <v>0</v>
      </c>
      <c r="Z9" s="117">
        <f>X9-Y9+AC9</f>
        <v>0</v>
      </c>
      <c r="AA9" s="5"/>
      <c r="AB9" s="118">
        <v>0</v>
      </c>
      <c r="AC9" s="119">
        <v>0</v>
      </c>
      <c r="AD9" s="5">
        <f t="shared" si="10"/>
        <v>0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4"/>
      <c r="AQ9" s="4"/>
      <c r="AR9" s="4"/>
      <c r="AS9" s="4"/>
      <c r="AT9" s="17">
        <f>SUM(AE9:AR9)</f>
        <v>0</v>
      </c>
      <c r="AU9" s="122">
        <f>AD9-AT9</f>
        <v>0</v>
      </c>
      <c r="AV9" s="123"/>
      <c r="AW9" s="5">
        <f>AE9+Y9-I9</f>
        <v>0</v>
      </c>
      <c r="AX9" s="5">
        <f t="shared" si="13"/>
        <v>0</v>
      </c>
      <c r="AY9" s="5">
        <f t="shared" si="14"/>
        <v>0</v>
      </c>
      <c r="AZ9" s="5">
        <f t="shared" si="15"/>
        <v>0</v>
      </c>
      <c r="BA9" s="5">
        <f t="shared" si="16"/>
        <v>0</v>
      </c>
      <c r="BB9" s="5">
        <f t="shared" si="17"/>
        <v>0</v>
      </c>
      <c r="BC9" s="5">
        <f t="shared" si="18"/>
        <v>0</v>
      </c>
      <c r="BD9" s="5">
        <f t="shared" si="19"/>
        <v>0</v>
      </c>
      <c r="BE9" s="5">
        <f t="shared" si="20"/>
        <v>0</v>
      </c>
      <c r="BF9" s="5">
        <f t="shared" si="21"/>
        <v>0</v>
      </c>
      <c r="BG9" s="5">
        <f t="shared" si="22"/>
        <v>0</v>
      </c>
      <c r="BH9" s="5">
        <f t="shared" si="12"/>
        <v>0</v>
      </c>
      <c r="BI9" s="5">
        <f t="shared" si="12"/>
        <v>0</v>
      </c>
      <c r="BJ9" s="5">
        <f t="shared" si="12"/>
        <v>0</v>
      </c>
      <c r="BK9" s="5">
        <f t="shared" si="12"/>
        <v>0</v>
      </c>
    </row>
    <row r="10" spans="1:63" s="100" customFormat="1" ht="16" customHeight="1">
      <c r="A10" s="17" t="s">
        <v>28</v>
      </c>
      <c r="B10" s="4" t="s">
        <v>46</v>
      </c>
      <c r="C10" s="4" t="s">
        <v>47</v>
      </c>
      <c r="D10" s="7" t="s">
        <v>34</v>
      </c>
      <c r="E10" s="7" t="s">
        <v>48</v>
      </c>
      <c r="F10" s="7" t="s">
        <v>36</v>
      </c>
      <c r="G10" s="109" t="s">
        <v>37</v>
      </c>
      <c r="H10" s="110" t="s">
        <v>38</v>
      </c>
      <c r="I10" s="7"/>
      <c r="J10" s="7"/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1500</v>
      </c>
      <c r="Q10" s="7"/>
      <c r="R10" s="7"/>
      <c r="S10" s="7"/>
      <c r="T10" s="7"/>
      <c r="U10" s="7"/>
      <c r="V10" s="7"/>
      <c r="W10" s="7"/>
      <c r="X10" s="114">
        <v>1001</v>
      </c>
      <c r="Y10" s="114">
        <v>1001</v>
      </c>
      <c r="Z10" s="117">
        <f>X10-Y10+AC10</f>
        <v>0</v>
      </c>
      <c r="AA10" s="5"/>
      <c r="AB10" s="118">
        <v>2100</v>
      </c>
      <c r="AC10" s="119">
        <v>0</v>
      </c>
      <c r="AD10" s="5">
        <f t="shared" si="10"/>
        <v>1099</v>
      </c>
      <c r="AE10" s="5"/>
      <c r="AF10" s="5"/>
      <c r="AG10" s="6">
        <v>1099</v>
      </c>
      <c r="AH10" s="5"/>
      <c r="AI10" s="5"/>
      <c r="AJ10" s="5"/>
      <c r="AK10" s="5"/>
      <c r="AL10" s="5"/>
      <c r="AM10" s="5"/>
      <c r="AN10" s="5"/>
      <c r="AO10" s="5"/>
      <c r="AP10" s="4"/>
      <c r="AQ10" s="4"/>
      <c r="AR10" s="4"/>
      <c r="AS10" s="4"/>
      <c r="AT10" s="17">
        <f>SUM(AE10:AS10)</f>
        <v>1099</v>
      </c>
      <c r="AU10" s="122">
        <f>AD10-AT10</f>
        <v>0</v>
      </c>
      <c r="AV10" s="123"/>
      <c r="AW10" s="5">
        <f>AE10+Y10-I10</f>
        <v>1001</v>
      </c>
      <c r="AX10" s="5">
        <f t="shared" si="13"/>
        <v>1001</v>
      </c>
      <c r="AY10" s="5">
        <f t="shared" si="14"/>
        <v>2100</v>
      </c>
      <c r="AZ10" s="5">
        <f t="shared" si="15"/>
        <v>2100</v>
      </c>
      <c r="BA10" s="5">
        <f t="shared" si="16"/>
        <v>2100</v>
      </c>
      <c r="BB10" s="5">
        <f t="shared" si="17"/>
        <v>2100</v>
      </c>
      <c r="BC10" s="5">
        <f t="shared" si="18"/>
        <v>2100</v>
      </c>
      <c r="BD10" s="5">
        <f t="shared" si="19"/>
        <v>600</v>
      </c>
      <c r="BE10" s="5">
        <f t="shared" si="20"/>
        <v>600</v>
      </c>
      <c r="BF10" s="5">
        <f t="shared" ref="BF10:BK10" si="23">BE10+AN10-R10</f>
        <v>600</v>
      </c>
      <c r="BG10" s="5">
        <f t="shared" si="23"/>
        <v>600</v>
      </c>
      <c r="BH10" s="5">
        <f t="shared" si="23"/>
        <v>600</v>
      </c>
      <c r="BI10" s="5">
        <f t="shared" si="23"/>
        <v>600</v>
      </c>
      <c r="BJ10" s="5">
        <f t="shared" si="23"/>
        <v>600</v>
      </c>
      <c r="BK10" s="5">
        <f t="shared" si="23"/>
        <v>600</v>
      </c>
    </row>
    <row r="11" spans="1:63" s="100" customFormat="1" ht="16" customHeight="1">
      <c r="A11" s="17" t="s">
        <v>28</v>
      </c>
      <c r="B11" s="4" t="s">
        <v>49</v>
      </c>
      <c r="C11" s="4" t="s">
        <v>50</v>
      </c>
      <c r="D11" s="7" t="s">
        <v>34</v>
      </c>
      <c r="E11" s="7" t="s">
        <v>51</v>
      </c>
      <c r="F11" s="7" t="s">
        <v>36</v>
      </c>
      <c r="G11" s="109" t="s">
        <v>37</v>
      </c>
      <c r="H11" s="110" t="s">
        <v>38</v>
      </c>
      <c r="I11" s="7"/>
      <c r="J11" s="7"/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/>
      <c r="R11" s="7"/>
      <c r="S11" s="7"/>
      <c r="T11" s="7"/>
      <c r="U11" s="7"/>
      <c r="V11" s="7"/>
      <c r="W11" s="7"/>
      <c r="X11" s="114">
        <v>1930</v>
      </c>
      <c r="Y11" s="114">
        <v>1930</v>
      </c>
      <c r="Z11" s="117">
        <f>X11-Y11+AC11</f>
        <v>1131</v>
      </c>
      <c r="AA11" s="5"/>
      <c r="AB11" s="118">
        <v>5600</v>
      </c>
      <c r="AC11" s="119">
        <v>1131</v>
      </c>
      <c r="AD11" s="5">
        <f t="shared" si="10"/>
        <v>4801</v>
      </c>
      <c r="AE11" s="5"/>
      <c r="AF11" s="5"/>
      <c r="AG11" s="6">
        <v>1500</v>
      </c>
      <c r="AH11" s="6">
        <v>2000</v>
      </c>
      <c r="AI11" s="6">
        <v>1301</v>
      </c>
      <c r="AJ11" s="5"/>
      <c r="AK11" s="5"/>
      <c r="AL11" s="5"/>
      <c r="AM11" s="5"/>
      <c r="AN11" s="5"/>
      <c r="AO11" s="5"/>
      <c r="AP11" s="4"/>
      <c r="AQ11" s="4"/>
      <c r="AR11" s="4"/>
      <c r="AS11" s="4"/>
      <c r="AT11" s="17">
        <f>SUM(AE11:AS11)</f>
        <v>4801</v>
      </c>
      <c r="AU11" s="122">
        <f>AD11-AT11</f>
        <v>0</v>
      </c>
      <c r="AV11" s="123"/>
      <c r="AW11" s="5">
        <f>AE11+Y11-I11</f>
        <v>1930</v>
      </c>
      <c r="AX11" s="5">
        <f t="shared" si="13"/>
        <v>1930</v>
      </c>
      <c r="AY11" s="5">
        <f t="shared" si="14"/>
        <v>3430</v>
      </c>
      <c r="AZ11" s="5">
        <f t="shared" si="15"/>
        <v>5430</v>
      </c>
      <c r="BA11" s="5">
        <f t="shared" si="16"/>
        <v>6731</v>
      </c>
      <c r="BB11" s="5">
        <f t="shared" si="17"/>
        <v>6731</v>
      </c>
      <c r="BC11" s="5">
        <f t="shared" si="18"/>
        <v>6731</v>
      </c>
      <c r="BD11" s="5">
        <f t="shared" si="19"/>
        <v>6731</v>
      </c>
      <c r="BE11" s="5">
        <f t="shared" si="20"/>
        <v>6731</v>
      </c>
      <c r="BF11" s="5">
        <f t="shared" ref="BF11:BK11" si="24">BE11+AN11-R11</f>
        <v>6731</v>
      </c>
      <c r="BG11" s="5">
        <f t="shared" si="24"/>
        <v>6731</v>
      </c>
      <c r="BH11" s="5">
        <f t="shared" si="24"/>
        <v>6731</v>
      </c>
      <c r="BI11" s="5">
        <f t="shared" si="24"/>
        <v>6731</v>
      </c>
      <c r="BJ11" s="5">
        <f t="shared" si="24"/>
        <v>6731</v>
      </c>
      <c r="BK11" s="5">
        <f t="shared" si="24"/>
        <v>6731</v>
      </c>
    </row>
    <row r="12" spans="1:63" s="100" customFormat="1" ht="16" customHeight="1">
      <c r="A12" s="17" t="s">
        <v>28</v>
      </c>
      <c r="B12" s="4" t="s">
        <v>52</v>
      </c>
      <c r="C12" s="4" t="s">
        <v>53</v>
      </c>
      <c r="D12" s="7" t="s">
        <v>34</v>
      </c>
      <c r="E12" s="7" t="s">
        <v>54</v>
      </c>
      <c r="F12" s="7" t="s">
        <v>36</v>
      </c>
      <c r="G12" s="109" t="s">
        <v>37</v>
      </c>
      <c r="H12" s="110" t="s">
        <v>45</v>
      </c>
      <c r="I12" s="7"/>
      <c r="J12" s="7"/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/>
      <c r="R12" s="7"/>
      <c r="S12" s="7"/>
      <c r="T12" s="7"/>
      <c r="U12" s="7"/>
      <c r="V12" s="7"/>
      <c r="W12" s="7"/>
      <c r="X12" s="114">
        <v>83</v>
      </c>
      <c r="Y12" s="114">
        <v>0</v>
      </c>
      <c r="Z12" s="117">
        <f t="shared" ref="Z12:Z29" si="25">X12-Y12+AC12</f>
        <v>83</v>
      </c>
      <c r="AA12" s="5"/>
      <c r="AB12" s="118">
        <v>400</v>
      </c>
      <c r="AC12" s="119">
        <v>0</v>
      </c>
      <c r="AD12" s="5">
        <f t="shared" si="10"/>
        <v>400</v>
      </c>
      <c r="AE12" s="5"/>
      <c r="AF12" s="5"/>
      <c r="AG12" s="6">
        <v>400</v>
      </c>
      <c r="AH12" s="5"/>
      <c r="AI12" s="5"/>
      <c r="AJ12" s="5"/>
      <c r="AK12" s="5"/>
      <c r="AL12" s="5"/>
      <c r="AM12" s="5"/>
      <c r="AN12" s="5"/>
      <c r="AO12" s="5"/>
      <c r="AP12" s="4"/>
      <c r="AQ12" s="4"/>
      <c r="AR12" s="4"/>
      <c r="AS12" s="4"/>
      <c r="AT12" s="17">
        <f t="shared" ref="AT12:AT24" si="26">SUM(AE12:AR12)</f>
        <v>400</v>
      </c>
      <c r="AU12" s="122">
        <f t="shared" ref="AU12:AU29" si="27">AD12-AT12</f>
        <v>0</v>
      </c>
      <c r="AV12" s="123"/>
      <c r="AW12" s="5">
        <f t="shared" ref="AW12:AW29" si="28">AE12+Y12-I12</f>
        <v>0</v>
      </c>
      <c r="AX12" s="5">
        <f t="shared" si="13"/>
        <v>0</v>
      </c>
      <c r="AY12" s="5">
        <f t="shared" si="14"/>
        <v>400</v>
      </c>
      <c r="AZ12" s="5">
        <f t="shared" si="15"/>
        <v>400</v>
      </c>
      <c r="BA12" s="5">
        <f t="shared" si="16"/>
        <v>400</v>
      </c>
      <c r="BB12" s="5">
        <f t="shared" si="17"/>
        <v>400</v>
      </c>
      <c r="BC12" s="5">
        <f t="shared" si="18"/>
        <v>400</v>
      </c>
      <c r="BD12" s="5">
        <f t="shared" si="19"/>
        <v>400</v>
      </c>
      <c r="BE12" s="5">
        <f t="shared" si="20"/>
        <v>400</v>
      </c>
      <c r="BF12" s="5">
        <f t="shared" si="21"/>
        <v>400</v>
      </c>
      <c r="BG12" s="5">
        <f t="shared" si="22"/>
        <v>400</v>
      </c>
      <c r="BH12" s="5">
        <f t="shared" ref="BH12:BK15" si="29">AP12+AJ12-T12</f>
        <v>0</v>
      </c>
      <c r="BI12" s="5">
        <f t="shared" si="29"/>
        <v>0</v>
      </c>
      <c r="BJ12" s="5">
        <f t="shared" si="29"/>
        <v>0</v>
      </c>
      <c r="BK12" s="5">
        <f t="shared" si="29"/>
        <v>0</v>
      </c>
    </row>
    <row r="13" spans="1:63" s="100" customFormat="1" ht="16" hidden="1" customHeight="1">
      <c r="A13" s="17" t="s">
        <v>28</v>
      </c>
      <c r="B13" s="4" t="s">
        <v>55</v>
      </c>
      <c r="C13" s="4" t="s">
        <v>56</v>
      </c>
      <c r="D13" s="7" t="s">
        <v>34</v>
      </c>
      <c r="E13" s="7" t="s">
        <v>57</v>
      </c>
      <c r="F13" s="7" t="s">
        <v>36</v>
      </c>
      <c r="G13" s="109" t="s">
        <v>58</v>
      </c>
      <c r="H13" s="110" t="s">
        <v>45</v>
      </c>
      <c r="I13" s="7"/>
      <c r="J13" s="7"/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/>
      <c r="R13" s="7"/>
      <c r="S13" s="7"/>
      <c r="T13" s="7"/>
      <c r="U13" s="7"/>
      <c r="V13" s="7"/>
      <c r="W13" s="7"/>
      <c r="X13" s="114">
        <v>0</v>
      </c>
      <c r="Y13" s="114">
        <v>0</v>
      </c>
      <c r="Z13" s="117">
        <f t="shared" si="25"/>
        <v>0</v>
      </c>
      <c r="AA13" s="5"/>
      <c r="AB13" s="118">
        <v>0</v>
      </c>
      <c r="AC13" s="119">
        <v>0</v>
      </c>
      <c r="AD13" s="5">
        <f t="shared" si="10"/>
        <v>0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4"/>
      <c r="AQ13" s="4"/>
      <c r="AR13" s="4"/>
      <c r="AS13" s="4"/>
      <c r="AT13" s="17">
        <f t="shared" si="26"/>
        <v>0</v>
      </c>
      <c r="AU13" s="122">
        <f t="shared" si="27"/>
        <v>0</v>
      </c>
      <c r="AV13" s="123"/>
      <c r="AW13" s="5">
        <f t="shared" si="28"/>
        <v>0</v>
      </c>
      <c r="AX13" s="5">
        <f t="shared" si="13"/>
        <v>0</v>
      </c>
      <c r="AY13" s="5">
        <f t="shared" si="14"/>
        <v>0</v>
      </c>
      <c r="AZ13" s="5">
        <f t="shared" si="15"/>
        <v>0</v>
      </c>
      <c r="BA13" s="5">
        <f t="shared" si="16"/>
        <v>0</v>
      </c>
      <c r="BB13" s="5">
        <f t="shared" si="17"/>
        <v>0</v>
      </c>
      <c r="BC13" s="5">
        <f t="shared" si="18"/>
        <v>0</v>
      </c>
      <c r="BD13" s="5">
        <f t="shared" si="19"/>
        <v>0</v>
      </c>
      <c r="BE13" s="5">
        <f t="shared" si="20"/>
        <v>0</v>
      </c>
      <c r="BF13" s="5">
        <f t="shared" si="21"/>
        <v>0</v>
      </c>
      <c r="BG13" s="5">
        <f t="shared" si="22"/>
        <v>0</v>
      </c>
      <c r="BH13" s="5">
        <f t="shared" si="29"/>
        <v>0</v>
      </c>
      <c r="BI13" s="5">
        <f t="shared" si="29"/>
        <v>0</v>
      </c>
      <c r="BJ13" s="5">
        <f t="shared" si="29"/>
        <v>0</v>
      </c>
      <c r="BK13" s="5">
        <f t="shared" si="29"/>
        <v>0</v>
      </c>
    </row>
    <row r="14" spans="1:63" s="100" customFormat="1" ht="16" hidden="1" customHeight="1">
      <c r="A14" s="17" t="s">
        <v>28</v>
      </c>
      <c r="B14" s="4" t="s">
        <v>59</v>
      </c>
      <c r="C14" s="4" t="s">
        <v>60</v>
      </c>
      <c r="D14" s="7" t="s">
        <v>34</v>
      </c>
      <c r="E14" s="7" t="s">
        <v>54</v>
      </c>
      <c r="F14" s="7" t="s">
        <v>36</v>
      </c>
      <c r="G14" s="109" t="s">
        <v>37</v>
      </c>
      <c r="H14" s="110" t="s">
        <v>45</v>
      </c>
      <c r="I14" s="7"/>
      <c r="J14" s="7"/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/>
      <c r="R14" s="7"/>
      <c r="S14" s="7"/>
      <c r="T14" s="7"/>
      <c r="U14" s="7"/>
      <c r="V14" s="7"/>
      <c r="W14" s="7"/>
      <c r="X14" s="114">
        <v>0</v>
      </c>
      <c r="Y14" s="114">
        <v>0</v>
      </c>
      <c r="Z14" s="117">
        <f t="shared" si="25"/>
        <v>0</v>
      </c>
      <c r="AA14" s="5"/>
      <c r="AB14" s="118">
        <v>0</v>
      </c>
      <c r="AC14" s="119">
        <v>0</v>
      </c>
      <c r="AD14" s="5">
        <f t="shared" si="10"/>
        <v>0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4"/>
      <c r="AQ14" s="4"/>
      <c r="AR14" s="4"/>
      <c r="AS14" s="4"/>
      <c r="AT14" s="17">
        <f t="shared" si="26"/>
        <v>0</v>
      </c>
      <c r="AU14" s="122">
        <f t="shared" si="27"/>
        <v>0</v>
      </c>
      <c r="AV14" s="123"/>
      <c r="AW14" s="5">
        <f t="shared" si="28"/>
        <v>0</v>
      </c>
      <c r="AX14" s="5">
        <f t="shared" si="13"/>
        <v>0</v>
      </c>
      <c r="AY14" s="5">
        <f t="shared" si="14"/>
        <v>0</v>
      </c>
      <c r="AZ14" s="5">
        <f t="shared" si="15"/>
        <v>0</v>
      </c>
      <c r="BA14" s="5">
        <f t="shared" si="16"/>
        <v>0</v>
      </c>
      <c r="BB14" s="5">
        <f t="shared" si="17"/>
        <v>0</v>
      </c>
      <c r="BC14" s="5">
        <f t="shared" si="18"/>
        <v>0</v>
      </c>
      <c r="BD14" s="5">
        <f t="shared" si="19"/>
        <v>0</v>
      </c>
      <c r="BE14" s="5">
        <f t="shared" si="20"/>
        <v>0</v>
      </c>
      <c r="BF14" s="5">
        <f t="shared" si="21"/>
        <v>0</v>
      </c>
      <c r="BG14" s="5">
        <f t="shared" si="22"/>
        <v>0</v>
      </c>
      <c r="BH14" s="5">
        <f t="shared" si="29"/>
        <v>0</v>
      </c>
      <c r="BI14" s="5">
        <f t="shared" si="29"/>
        <v>0</v>
      </c>
      <c r="BJ14" s="5">
        <f t="shared" si="29"/>
        <v>0</v>
      </c>
      <c r="BK14" s="5">
        <f t="shared" si="29"/>
        <v>0</v>
      </c>
    </row>
    <row r="15" spans="1:63" s="100" customFormat="1" ht="16" hidden="1" customHeight="1">
      <c r="A15" s="17" t="s">
        <v>28</v>
      </c>
      <c r="B15" s="4" t="s">
        <v>61</v>
      </c>
      <c r="C15" s="4" t="s">
        <v>62</v>
      </c>
      <c r="D15" s="109" t="s">
        <v>34</v>
      </c>
      <c r="E15" s="7" t="s">
        <v>57</v>
      </c>
      <c r="F15" s="109" t="s">
        <v>36</v>
      </c>
      <c r="G15" s="109" t="s">
        <v>58</v>
      </c>
      <c r="H15" s="110" t="s">
        <v>45</v>
      </c>
      <c r="I15" s="7"/>
      <c r="J15" s="7"/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/>
      <c r="R15" s="7"/>
      <c r="S15" s="7"/>
      <c r="T15" s="7"/>
      <c r="U15" s="7"/>
      <c r="V15" s="7"/>
      <c r="W15" s="7"/>
      <c r="X15" s="114">
        <v>0</v>
      </c>
      <c r="Y15" s="114">
        <v>0</v>
      </c>
      <c r="Z15" s="117">
        <f t="shared" si="25"/>
        <v>0</v>
      </c>
      <c r="AA15" s="5"/>
      <c r="AB15" s="118">
        <v>0</v>
      </c>
      <c r="AC15" s="119">
        <v>0</v>
      </c>
      <c r="AD15" s="5">
        <f t="shared" si="10"/>
        <v>0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4"/>
      <c r="AQ15" s="4"/>
      <c r="AR15" s="4"/>
      <c r="AS15" s="4"/>
      <c r="AT15" s="17">
        <f t="shared" si="26"/>
        <v>0</v>
      </c>
      <c r="AU15" s="122">
        <f t="shared" si="27"/>
        <v>0</v>
      </c>
      <c r="AV15" s="123"/>
      <c r="AW15" s="5">
        <f t="shared" si="28"/>
        <v>0</v>
      </c>
      <c r="AX15" s="5">
        <f t="shared" si="13"/>
        <v>0</v>
      </c>
      <c r="AY15" s="5">
        <f t="shared" si="14"/>
        <v>0</v>
      </c>
      <c r="AZ15" s="5">
        <f t="shared" si="15"/>
        <v>0</v>
      </c>
      <c r="BA15" s="5">
        <f t="shared" si="16"/>
        <v>0</v>
      </c>
      <c r="BB15" s="5">
        <f t="shared" si="17"/>
        <v>0</v>
      </c>
      <c r="BC15" s="5">
        <f t="shared" si="18"/>
        <v>0</v>
      </c>
      <c r="BD15" s="5">
        <f t="shared" si="19"/>
        <v>0</v>
      </c>
      <c r="BE15" s="5">
        <f t="shared" si="20"/>
        <v>0</v>
      </c>
      <c r="BF15" s="5">
        <f t="shared" si="21"/>
        <v>0</v>
      </c>
      <c r="BG15" s="5">
        <f t="shared" si="22"/>
        <v>0</v>
      </c>
      <c r="BH15" s="5">
        <f t="shared" si="29"/>
        <v>0</v>
      </c>
      <c r="BI15" s="5">
        <f t="shared" si="29"/>
        <v>0</v>
      </c>
      <c r="BJ15" s="5">
        <f t="shared" si="29"/>
        <v>0</v>
      </c>
      <c r="BK15" s="5">
        <f t="shared" si="29"/>
        <v>0</v>
      </c>
    </row>
    <row r="16" spans="1:63" s="100" customFormat="1" ht="16" hidden="1" customHeight="1">
      <c r="A16" s="17" t="s">
        <v>28</v>
      </c>
      <c r="B16" s="4" t="s">
        <v>63</v>
      </c>
      <c r="C16" s="4" t="s">
        <v>64</v>
      </c>
      <c r="D16" s="109" t="s">
        <v>34</v>
      </c>
      <c r="E16" s="7" t="s">
        <v>65</v>
      </c>
      <c r="F16" s="109" t="s">
        <v>36</v>
      </c>
      <c r="G16" s="109" t="s">
        <v>37</v>
      </c>
      <c r="H16" s="110" t="s">
        <v>38</v>
      </c>
      <c r="I16" s="7"/>
      <c r="J16" s="7"/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/>
      <c r="R16" s="7"/>
      <c r="S16" s="7"/>
      <c r="T16" s="7"/>
      <c r="U16" s="7"/>
      <c r="V16" s="7"/>
      <c r="W16" s="7"/>
      <c r="X16" s="114">
        <v>1765</v>
      </c>
      <c r="Y16" s="114">
        <v>0</v>
      </c>
      <c r="Z16" s="117">
        <f t="shared" si="25"/>
        <v>1765</v>
      </c>
      <c r="AA16" s="5"/>
      <c r="AB16" s="118">
        <v>0</v>
      </c>
      <c r="AC16" s="119">
        <v>0</v>
      </c>
      <c r="AD16" s="5">
        <f t="shared" si="10"/>
        <v>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4"/>
      <c r="AQ16" s="4"/>
      <c r="AR16" s="4"/>
      <c r="AS16" s="4"/>
      <c r="AT16" s="17">
        <f>SUM(AE16:AS16)</f>
        <v>0</v>
      </c>
      <c r="AU16" s="122">
        <f t="shared" si="27"/>
        <v>0</v>
      </c>
      <c r="AV16" s="123"/>
      <c r="AW16" s="5">
        <f t="shared" si="28"/>
        <v>0</v>
      </c>
      <c r="AX16" s="5">
        <f t="shared" si="13"/>
        <v>0</v>
      </c>
      <c r="AY16" s="5">
        <f t="shared" si="14"/>
        <v>0</v>
      </c>
      <c r="AZ16" s="5">
        <f t="shared" si="15"/>
        <v>0</v>
      </c>
      <c r="BA16" s="5">
        <f t="shared" si="16"/>
        <v>0</v>
      </c>
      <c r="BB16" s="5">
        <f t="shared" si="17"/>
        <v>0</v>
      </c>
      <c r="BC16" s="5">
        <f t="shared" si="18"/>
        <v>0</v>
      </c>
      <c r="BD16" s="5">
        <f t="shared" si="19"/>
        <v>0</v>
      </c>
      <c r="BE16" s="5">
        <f t="shared" si="20"/>
        <v>0</v>
      </c>
      <c r="BF16" s="5">
        <f t="shared" ref="BF16:BK16" si="30">BE16+AN16-R16</f>
        <v>0</v>
      </c>
      <c r="BG16" s="5">
        <f t="shared" si="30"/>
        <v>0</v>
      </c>
      <c r="BH16" s="5">
        <f t="shared" si="30"/>
        <v>0</v>
      </c>
      <c r="BI16" s="5">
        <f t="shared" si="30"/>
        <v>0</v>
      </c>
      <c r="BJ16" s="5">
        <f t="shared" si="30"/>
        <v>0</v>
      </c>
      <c r="BK16" s="5">
        <f t="shared" si="30"/>
        <v>0</v>
      </c>
    </row>
    <row r="17" spans="1:63" s="100" customFormat="1" ht="16" hidden="1" customHeight="1">
      <c r="A17" s="17" t="s">
        <v>28</v>
      </c>
      <c r="B17" s="4" t="s">
        <v>66</v>
      </c>
      <c r="C17" s="4" t="s">
        <v>67</v>
      </c>
      <c r="D17" s="7" t="s">
        <v>34</v>
      </c>
      <c r="E17" s="7" t="s">
        <v>68</v>
      </c>
      <c r="F17" s="7" t="s">
        <v>36</v>
      </c>
      <c r="G17" s="109" t="s">
        <v>37</v>
      </c>
      <c r="H17" s="110" t="s">
        <v>38</v>
      </c>
      <c r="I17" s="7"/>
      <c r="J17" s="7"/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/>
      <c r="R17" s="7"/>
      <c r="S17" s="7"/>
      <c r="T17" s="7"/>
      <c r="U17" s="7"/>
      <c r="V17" s="7"/>
      <c r="W17" s="7"/>
      <c r="X17" s="114">
        <v>0</v>
      </c>
      <c r="Y17" s="114">
        <v>0</v>
      </c>
      <c r="Z17" s="117">
        <f t="shared" si="25"/>
        <v>0</v>
      </c>
      <c r="AA17" s="5"/>
      <c r="AB17" s="118">
        <v>0</v>
      </c>
      <c r="AC17" s="119">
        <v>0</v>
      </c>
      <c r="AD17" s="5">
        <f t="shared" si="10"/>
        <v>0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4"/>
      <c r="AQ17" s="4"/>
      <c r="AR17" s="4"/>
      <c r="AS17" s="4"/>
      <c r="AT17" s="17">
        <f t="shared" si="26"/>
        <v>0</v>
      </c>
      <c r="AU17" s="122">
        <f t="shared" si="27"/>
        <v>0</v>
      </c>
      <c r="AV17" s="123"/>
      <c r="AW17" s="5">
        <f t="shared" si="28"/>
        <v>0</v>
      </c>
      <c r="AX17" s="5">
        <f t="shared" si="13"/>
        <v>0</v>
      </c>
      <c r="AY17" s="5">
        <f t="shared" si="14"/>
        <v>0</v>
      </c>
      <c r="AZ17" s="5">
        <f t="shared" si="15"/>
        <v>0</v>
      </c>
      <c r="BA17" s="5">
        <f t="shared" si="16"/>
        <v>0</v>
      </c>
      <c r="BB17" s="5">
        <f t="shared" si="17"/>
        <v>0</v>
      </c>
      <c r="BC17" s="5">
        <f t="shared" si="18"/>
        <v>0</v>
      </c>
      <c r="BD17" s="5">
        <f t="shared" si="19"/>
        <v>0</v>
      </c>
      <c r="BE17" s="5">
        <f t="shared" si="20"/>
        <v>0</v>
      </c>
      <c r="BF17" s="5">
        <f t="shared" si="21"/>
        <v>0</v>
      </c>
      <c r="BG17" s="5">
        <f t="shared" si="22"/>
        <v>0</v>
      </c>
      <c r="BH17" s="5">
        <f t="shared" ref="BH17:BH24" si="31">AP17+AJ17-T17</f>
        <v>0</v>
      </c>
      <c r="BI17" s="5">
        <f t="shared" ref="BI17:BI24" si="32">AQ17+AK17-U17</f>
        <v>0</v>
      </c>
      <c r="BJ17" s="5">
        <f t="shared" ref="BJ17:BJ24" si="33">AR17+AL17-V17</f>
        <v>0</v>
      </c>
      <c r="BK17" s="5">
        <f t="shared" ref="BK17:BK24" si="34">AS17+AM17-W17</f>
        <v>0</v>
      </c>
    </row>
    <row r="18" spans="1:63" s="100" customFormat="1" ht="16" hidden="1" customHeight="1">
      <c r="A18" s="17" t="s">
        <v>28</v>
      </c>
      <c r="B18" s="4" t="s">
        <v>69</v>
      </c>
      <c r="C18" s="4" t="s">
        <v>70</v>
      </c>
      <c r="D18" s="7" t="s">
        <v>34</v>
      </c>
      <c r="E18" s="7" t="s">
        <v>71</v>
      </c>
      <c r="F18" s="109" t="s">
        <v>72</v>
      </c>
      <c r="G18" s="109" t="s">
        <v>37</v>
      </c>
      <c r="H18" s="110" t="s">
        <v>38</v>
      </c>
      <c r="I18" s="7"/>
      <c r="J18" s="7"/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/>
      <c r="R18" s="7"/>
      <c r="S18" s="7"/>
      <c r="T18" s="7"/>
      <c r="U18" s="7"/>
      <c r="V18" s="7"/>
      <c r="W18" s="7"/>
      <c r="X18" s="114">
        <v>0</v>
      </c>
      <c r="Y18" s="114">
        <v>0</v>
      </c>
      <c r="Z18" s="117">
        <f t="shared" si="25"/>
        <v>0</v>
      </c>
      <c r="AA18" s="5"/>
      <c r="AB18" s="118">
        <v>0</v>
      </c>
      <c r="AC18" s="119">
        <v>0</v>
      </c>
      <c r="AD18" s="5">
        <f t="shared" si="10"/>
        <v>0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4"/>
      <c r="AQ18" s="4"/>
      <c r="AR18" s="4"/>
      <c r="AS18" s="4"/>
      <c r="AT18" s="17">
        <f t="shared" si="26"/>
        <v>0</v>
      </c>
      <c r="AU18" s="122">
        <f t="shared" si="27"/>
        <v>0</v>
      </c>
      <c r="AV18" s="123"/>
      <c r="AW18" s="5">
        <f t="shared" si="28"/>
        <v>0</v>
      </c>
      <c r="AX18" s="5">
        <f t="shared" si="13"/>
        <v>0</v>
      </c>
      <c r="AY18" s="5">
        <f t="shared" si="14"/>
        <v>0</v>
      </c>
      <c r="AZ18" s="5">
        <f t="shared" si="15"/>
        <v>0</v>
      </c>
      <c r="BA18" s="5">
        <f t="shared" si="16"/>
        <v>0</v>
      </c>
      <c r="BB18" s="5">
        <f t="shared" si="17"/>
        <v>0</v>
      </c>
      <c r="BC18" s="5">
        <f t="shared" si="18"/>
        <v>0</v>
      </c>
      <c r="BD18" s="5">
        <f t="shared" si="19"/>
        <v>0</v>
      </c>
      <c r="BE18" s="5">
        <f t="shared" si="20"/>
        <v>0</v>
      </c>
      <c r="BF18" s="5">
        <f t="shared" si="21"/>
        <v>0</v>
      </c>
      <c r="BG18" s="5">
        <f t="shared" si="22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</row>
    <row r="19" spans="1:63" s="100" customFormat="1" ht="16" hidden="1" customHeight="1">
      <c r="A19" s="17" t="s">
        <v>28</v>
      </c>
      <c r="B19" s="4" t="s">
        <v>73</v>
      </c>
      <c r="C19" s="4" t="s">
        <v>74</v>
      </c>
      <c r="D19" s="7" t="s">
        <v>34</v>
      </c>
      <c r="E19" s="7" t="s">
        <v>75</v>
      </c>
      <c r="F19" s="109" t="s">
        <v>36</v>
      </c>
      <c r="G19" s="109" t="s">
        <v>58</v>
      </c>
      <c r="H19" s="110" t="s">
        <v>38</v>
      </c>
      <c r="I19" s="7"/>
      <c r="J19" s="7"/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/>
      <c r="R19" s="7"/>
      <c r="S19" s="7"/>
      <c r="T19" s="7"/>
      <c r="U19" s="7"/>
      <c r="V19" s="7"/>
      <c r="W19" s="7"/>
      <c r="X19" s="114">
        <v>0</v>
      </c>
      <c r="Y19" s="114">
        <v>0</v>
      </c>
      <c r="Z19" s="117">
        <f t="shared" si="25"/>
        <v>0</v>
      </c>
      <c r="AA19" s="5"/>
      <c r="AB19" s="118">
        <v>0</v>
      </c>
      <c r="AC19" s="119">
        <v>0</v>
      </c>
      <c r="AD19" s="5">
        <f t="shared" si="10"/>
        <v>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4"/>
      <c r="AQ19" s="4"/>
      <c r="AR19" s="4"/>
      <c r="AS19" s="4"/>
      <c r="AT19" s="17">
        <f t="shared" si="26"/>
        <v>0</v>
      </c>
      <c r="AU19" s="122">
        <f t="shared" si="27"/>
        <v>0</v>
      </c>
      <c r="AV19" s="123"/>
      <c r="AW19" s="5">
        <f t="shared" si="28"/>
        <v>0</v>
      </c>
      <c r="AX19" s="5">
        <f t="shared" si="13"/>
        <v>0</v>
      </c>
      <c r="AY19" s="5">
        <f t="shared" si="14"/>
        <v>0</v>
      </c>
      <c r="AZ19" s="5">
        <f t="shared" si="15"/>
        <v>0</v>
      </c>
      <c r="BA19" s="5">
        <f t="shared" si="16"/>
        <v>0</v>
      </c>
      <c r="BB19" s="5">
        <f t="shared" si="17"/>
        <v>0</v>
      </c>
      <c r="BC19" s="5">
        <f t="shared" si="18"/>
        <v>0</v>
      </c>
      <c r="BD19" s="5">
        <f t="shared" si="19"/>
        <v>0</v>
      </c>
      <c r="BE19" s="5">
        <f t="shared" si="20"/>
        <v>0</v>
      </c>
      <c r="BF19" s="5">
        <f t="shared" si="21"/>
        <v>0</v>
      </c>
      <c r="BG19" s="5">
        <f t="shared" si="22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</row>
    <row r="20" spans="1:63" s="100" customFormat="1" ht="16" hidden="1" customHeight="1">
      <c r="A20" s="17" t="s">
        <v>28</v>
      </c>
      <c r="B20" s="4" t="s">
        <v>76</v>
      </c>
      <c r="C20" s="4" t="s">
        <v>77</v>
      </c>
      <c r="D20" s="7" t="s">
        <v>34</v>
      </c>
      <c r="E20" s="7" t="s">
        <v>78</v>
      </c>
      <c r="F20" s="7" t="s">
        <v>36</v>
      </c>
      <c r="G20" s="109" t="s">
        <v>37</v>
      </c>
      <c r="H20" s="110" t="s">
        <v>38</v>
      </c>
      <c r="I20" s="7"/>
      <c r="J20" s="7"/>
      <c r="K20" s="7">
        <v>0</v>
      </c>
      <c r="L20" s="7">
        <v>0</v>
      </c>
      <c r="M20" s="7">
        <v>0</v>
      </c>
      <c r="N20" s="7">
        <v>0</v>
      </c>
      <c r="O20" s="7">
        <v>277</v>
      </c>
      <c r="P20" s="7">
        <v>200</v>
      </c>
      <c r="Q20" s="7"/>
      <c r="R20" s="7"/>
      <c r="S20" s="7"/>
      <c r="T20" s="7"/>
      <c r="U20" s="7"/>
      <c r="V20" s="7"/>
      <c r="W20" s="7"/>
      <c r="X20" s="114">
        <v>479</v>
      </c>
      <c r="Y20" s="114">
        <v>477</v>
      </c>
      <c r="Z20" s="117">
        <f t="shared" si="25"/>
        <v>2</v>
      </c>
      <c r="AA20" s="5"/>
      <c r="AB20" s="118">
        <v>477</v>
      </c>
      <c r="AC20" s="119">
        <v>0</v>
      </c>
      <c r="AD20" s="5">
        <f t="shared" si="10"/>
        <v>0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4"/>
      <c r="AQ20" s="4"/>
      <c r="AR20" s="4"/>
      <c r="AS20" s="4"/>
      <c r="AT20" s="17">
        <f t="shared" si="26"/>
        <v>0</v>
      </c>
      <c r="AU20" s="122">
        <f t="shared" si="27"/>
        <v>0</v>
      </c>
      <c r="AV20" s="123"/>
      <c r="AW20" s="5">
        <f t="shared" si="28"/>
        <v>477</v>
      </c>
      <c r="AX20" s="5">
        <f t="shared" si="13"/>
        <v>477</v>
      </c>
      <c r="AY20" s="5">
        <f t="shared" si="14"/>
        <v>477</v>
      </c>
      <c r="AZ20" s="5">
        <f t="shared" si="15"/>
        <v>477</v>
      </c>
      <c r="BA20" s="5">
        <f t="shared" si="16"/>
        <v>477</v>
      </c>
      <c r="BB20" s="5">
        <f t="shared" si="17"/>
        <v>477</v>
      </c>
      <c r="BC20" s="5">
        <f t="shared" si="18"/>
        <v>200</v>
      </c>
      <c r="BD20" s="5">
        <f t="shared" si="19"/>
        <v>0</v>
      </c>
      <c r="BE20" s="5">
        <f t="shared" si="20"/>
        <v>0</v>
      </c>
      <c r="BF20" s="5">
        <f t="shared" si="21"/>
        <v>0</v>
      </c>
      <c r="BG20" s="5">
        <f t="shared" si="22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</row>
    <row r="21" spans="1:63" s="100" customFormat="1" ht="16" hidden="1" customHeight="1">
      <c r="A21" s="17" t="s">
        <v>28</v>
      </c>
      <c r="B21" s="4" t="s">
        <v>79</v>
      </c>
      <c r="C21" s="4" t="s">
        <v>80</v>
      </c>
      <c r="D21" s="7" t="s">
        <v>34</v>
      </c>
      <c r="E21" s="7" t="s">
        <v>35</v>
      </c>
      <c r="F21" s="7" t="s">
        <v>36</v>
      </c>
      <c r="G21" s="109" t="s">
        <v>37</v>
      </c>
      <c r="H21" s="110" t="s">
        <v>38</v>
      </c>
      <c r="I21" s="7"/>
      <c r="J21" s="7"/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/>
      <c r="R21" s="7"/>
      <c r="S21" s="7"/>
      <c r="T21" s="7"/>
      <c r="U21" s="7"/>
      <c r="V21" s="7"/>
      <c r="W21" s="7"/>
      <c r="X21" s="114">
        <v>0</v>
      </c>
      <c r="Y21" s="114">
        <v>0</v>
      </c>
      <c r="Z21" s="117">
        <f t="shared" si="25"/>
        <v>0</v>
      </c>
      <c r="AA21" s="5"/>
      <c r="AB21" s="118">
        <v>0</v>
      </c>
      <c r="AC21" s="119">
        <v>0</v>
      </c>
      <c r="AD21" s="5">
        <f t="shared" si="10"/>
        <v>0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4"/>
      <c r="AQ21" s="4"/>
      <c r="AR21" s="4"/>
      <c r="AS21" s="4"/>
      <c r="AT21" s="17">
        <f t="shared" si="26"/>
        <v>0</v>
      </c>
      <c r="AU21" s="122">
        <f t="shared" si="27"/>
        <v>0</v>
      </c>
      <c r="AV21" s="123"/>
      <c r="AW21" s="5">
        <f t="shared" si="28"/>
        <v>0</v>
      </c>
      <c r="AX21" s="5">
        <f t="shared" si="13"/>
        <v>0</v>
      </c>
      <c r="AY21" s="5">
        <f t="shared" si="14"/>
        <v>0</v>
      </c>
      <c r="AZ21" s="5">
        <f t="shared" si="15"/>
        <v>0</v>
      </c>
      <c r="BA21" s="5">
        <f t="shared" si="16"/>
        <v>0</v>
      </c>
      <c r="BB21" s="5">
        <f t="shared" si="17"/>
        <v>0</v>
      </c>
      <c r="BC21" s="5">
        <f t="shared" si="18"/>
        <v>0</v>
      </c>
      <c r="BD21" s="5">
        <f t="shared" si="19"/>
        <v>0</v>
      </c>
      <c r="BE21" s="5">
        <f t="shared" si="20"/>
        <v>0</v>
      </c>
      <c r="BF21" s="5">
        <f t="shared" si="21"/>
        <v>0</v>
      </c>
      <c r="BG21" s="5">
        <f t="shared" si="22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</row>
    <row r="22" spans="1:63" s="100" customFormat="1" ht="16" hidden="1" customHeight="1">
      <c r="A22" s="17" t="s">
        <v>28</v>
      </c>
      <c r="B22" s="4" t="s">
        <v>81</v>
      </c>
      <c r="C22" s="4" t="s">
        <v>82</v>
      </c>
      <c r="D22" s="109" t="s">
        <v>34</v>
      </c>
      <c r="E22" s="7" t="s">
        <v>83</v>
      </c>
      <c r="F22" s="109" t="s">
        <v>36</v>
      </c>
      <c r="G22" s="109" t="s">
        <v>37</v>
      </c>
      <c r="H22" s="110" t="s">
        <v>38</v>
      </c>
      <c r="I22" s="7"/>
      <c r="J22" s="7"/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/>
      <c r="R22" s="7"/>
      <c r="S22" s="7"/>
      <c r="T22" s="7"/>
      <c r="U22" s="7"/>
      <c r="V22" s="7"/>
      <c r="W22" s="7"/>
      <c r="X22" s="114">
        <v>0</v>
      </c>
      <c r="Y22" s="114">
        <v>0</v>
      </c>
      <c r="Z22" s="117">
        <f t="shared" si="25"/>
        <v>0</v>
      </c>
      <c r="AA22" s="5"/>
      <c r="AB22" s="118">
        <v>0</v>
      </c>
      <c r="AC22" s="119">
        <v>0</v>
      </c>
      <c r="AD22" s="5">
        <f t="shared" si="10"/>
        <v>0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4"/>
      <c r="AQ22" s="4"/>
      <c r="AR22" s="4"/>
      <c r="AS22" s="4"/>
      <c r="AT22" s="17">
        <f t="shared" si="26"/>
        <v>0</v>
      </c>
      <c r="AU22" s="122">
        <f t="shared" si="27"/>
        <v>0</v>
      </c>
      <c r="AV22" s="123"/>
      <c r="AW22" s="5">
        <f t="shared" si="28"/>
        <v>0</v>
      </c>
      <c r="AX22" s="5">
        <f t="shared" si="13"/>
        <v>0</v>
      </c>
      <c r="AY22" s="5">
        <f t="shared" si="14"/>
        <v>0</v>
      </c>
      <c r="AZ22" s="5">
        <f t="shared" si="15"/>
        <v>0</v>
      </c>
      <c r="BA22" s="5">
        <f t="shared" si="16"/>
        <v>0</v>
      </c>
      <c r="BB22" s="5">
        <f t="shared" si="17"/>
        <v>0</v>
      </c>
      <c r="BC22" s="5">
        <f t="shared" si="18"/>
        <v>0</v>
      </c>
      <c r="BD22" s="5">
        <f t="shared" si="19"/>
        <v>0</v>
      </c>
      <c r="BE22" s="5">
        <f t="shared" si="20"/>
        <v>0</v>
      </c>
      <c r="BF22" s="5">
        <f t="shared" si="21"/>
        <v>0</v>
      </c>
      <c r="BG22" s="5">
        <f t="shared" si="22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</row>
    <row r="23" spans="1:63" s="100" customFormat="1" ht="16" hidden="1" customHeight="1">
      <c r="A23" s="17" t="s">
        <v>28</v>
      </c>
      <c r="B23" s="4" t="s">
        <v>84</v>
      </c>
      <c r="C23" s="4" t="s">
        <v>85</v>
      </c>
      <c r="D23" s="109" t="s">
        <v>34</v>
      </c>
      <c r="E23" s="7" t="s">
        <v>86</v>
      </c>
      <c r="F23" s="109" t="s">
        <v>36</v>
      </c>
      <c r="G23" s="109" t="s">
        <v>37</v>
      </c>
      <c r="H23" s="110" t="s">
        <v>38</v>
      </c>
      <c r="I23" s="7"/>
      <c r="J23" s="7"/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/>
      <c r="R23" s="7"/>
      <c r="S23" s="7"/>
      <c r="T23" s="7"/>
      <c r="U23" s="7"/>
      <c r="V23" s="7"/>
      <c r="W23" s="7"/>
      <c r="X23" s="114">
        <v>0</v>
      </c>
      <c r="Y23" s="114">
        <v>0</v>
      </c>
      <c r="Z23" s="117">
        <f t="shared" si="25"/>
        <v>0</v>
      </c>
      <c r="AA23" s="5"/>
      <c r="AB23" s="118">
        <v>0</v>
      </c>
      <c r="AC23" s="119">
        <v>0</v>
      </c>
      <c r="AD23" s="5">
        <f t="shared" si="10"/>
        <v>0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4"/>
      <c r="AQ23" s="4"/>
      <c r="AR23" s="4"/>
      <c r="AS23" s="4"/>
      <c r="AT23" s="17">
        <f t="shared" si="26"/>
        <v>0</v>
      </c>
      <c r="AU23" s="122">
        <f t="shared" si="27"/>
        <v>0</v>
      </c>
      <c r="AV23" s="123"/>
      <c r="AW23" s="5">
        <f t="shared" si="28"/>
        <v>0</v>
      </c>
      <c r="AX23" s="5">
        <f t="shared" si="13"/>
        <v>0</v>
      </c>
      <c r="AY23" s="5">
        <f t="shared" si="14"/>
        <v>0</v>
      </c>
      <c r="AZ23" s="5">
        <f t="shared" si="15"/>
        <v>0</v>
      </c>
      <c r="BA23" s="5">
        <f t="shared" si="16"/>
        <v>0</v>
      </c>
      <c r="BB23" s="5">
        <f t="shared" si="17"/>
        <v>0</v>
      </c>
      <c r="BC23" s="5">
        <f t="shared" si="18"/>
        <v>0</v>
      </c>
      <c r="BD23" s="5">
        <f t="shared" si="19"/>
        <v>0</v>
      </c>
      <c r="BE23" s="5">
        <f t="shared" si="20"/>
        <v>0</v>
      </c>
      <c r="BF23" s="5">
        <f t="shared" si="21"/>
        <v>0</v>
      </c>
      <c r="BG23" s="5">
        <f t="shared" si="22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</row>
    <row r="24" spans="1:63" s="100" customFormat="1" ht="16" hidden="1" customHeight="1">
      <c r="A24" s="17" t="s">
        <v>28</v>
      </c>
      <c r="B24" s="4" t="s">
        <v>87</v>
      </c>
      <c r="C24" s="4" t="s">
        <v>88</v>
      </c>
      <c r="D24" s="109" t="s">
        <v>34</v>
      </c>
      <c r="E24" s="7" t="s">
        <v>89</v>
      </c>
      <c r="F24" s="109" t="s">
        <v>36</v>
      </c>
      <c r="G24" s="109" t="s">
        <v>37</v>
      </c>
      <c r="H24" s="110" t="s">
        <v>38</v>
      </c>
      <c r="I24" s="7"/>
      <c r="J24" s="7"/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/>
      <c r="R24" s="7"/>
      <c r="S24" s="7"/>
      <c r="T24" s="7"/>
      <c r="U24" s="7"/>
      <c r="V24" s="7"/>
      <c r="W24" s="7"/>
      <c r="X24" s="114">
        <v>0</v>
      </c>
      <c r="Y24" s="114">
        <v>0</v>
      </c>
      <c r="Z24" s="117">
        <f t="shared" si="25"/>
        <v>0</v>
      </c>
      <c r="AA24" s="5"/>
      <c r="AB24" s="118">
        <v>0</v>
      </c>
      <c r="AC24" s="119">
        <v>0</v>
      </c>
      <c r="AD24" s="5">
        <f t="shared" si="10"/>
        <v>0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4"/>
      <c r="AQ24" s="4"/>
      <c r="AR24" s="4"/>
      <c r="AS24" s="4"/>
      <c r="AT24" s="17">
        <f t="shared" si="26"/>
        <v>0</v>
      </c>
      <c r="AU24" s="122">
        <f t="shared" si="27"/>
        <v>0</v>
      </c>
      <c r="AV24" s="123"/>
      <c r="AW24" s="5">
        <f t="shared" si="28"/>
        <v>0</v>
      </c>
      <c r="AX24" s="5">
        <f t="shared" si="13"/>
        <v>0</v>
      </c>
      <c r="AY24" s="5">
        <f t="shared" si="14"/>
        <v>0</v>
      </c>
      <c r="AZ24" s="5">
        <f t="shared" si="15"/>
        <v>0</v>
      </c>
      <c r="BA24" s="5">
        <f t="shared" si="16"/>
        <v>0</v>
      </c>
      <c r="BB24" s="5">
        <f t="shared" si="17"/>
        <v>0</v>
      </c>
      <c r="BC24" s="5">
        <f t="shared" si="18"/>
        <v>0</v>
      </c>
      <c r="BD24" s="5">
        <f t="shared" si="19"/>
        <v>0</v>
      </c>
      <c r="BE24" s="5">
        <f t="shared" si="20"/>
        <v>0</v>
      </c>
      <c r="BF24" s="5">
        <f t="shared" si="21"/>
        <v>0</v>
      </c>
      <c r="BG24" s="5">
        <f t="shared" si="22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</row>
    <row r="25" spans="1:63" s="100" customFormat="1" ht="16" customHeight="1">
      <c r="A25" s="17" t="s">
        <v>28</v>
      </c>
      <c r="B25" s="4" t="s">
        <v>90</v>
      </c>
      <c r="C25" s="4" t="s">
        <v>91</v>
      </c>
      <c r="D25" s="7" t="s">
        <v>34</v>
      </c>
      <c r="E25" s="7" t="s">
        <v>92</v>
      </c>
      <c r="F25" s="7" t="s">
        <v>36</v>
      </c>
      <c r="G25" s="109"/>
      <c r="H25" s="110"/>
      <c r="I25" s="7"/>
      <c r="J25" s="7"/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/>
      <c r="R25" s="7"/>
      <c r="S25" s="7"/>
      <c r="T25" s="7"/>
      <c r="U25" s="7"/>
      <c r="V25" s="7"/>
      <c r="W25" s="7"/>
      <c r="X25" s="114">
        <v>2919</v>
      </c>
      <c r="Y25" s="114">
        <v>2919</v>
      </c>
      <c r="Z25" s="117">
        <f t="shared" si="25"/>
        <v>0</v>
      </c>
      <c r="AA25" s="5"/>
      <c r="AB25" s="118">
        <v>5700</v>
      </c>
      <c r="AC25" s="119">
        <v>0</v>
      </c>
      <c r="AD25" s="5">
        <f t="shared" si="10"/>
        <v>2781</v>
      </c>
      <c r="AE25" s="5"/>
      <c r="AF25" s="5"/>
      <c r="AG25" s="5"/>
      <c r="AH25" s="5"/>
      <c r="AI25" s="6">
        <v>1500</v>
      </c>
      <c r="AJ25" s="6">
        <v>1281</v>
      </c>
      <c r="AK25" s="5"/>
      <c r="AL25" s="5"/>
      <c r="AM25" s="5"/>
      <c r="AN25" s="5"/>
      <c r="AO25" s="5"/>
      <c r="AP25" s="4"/>
      <c r="AQ25" s="4"/>
      <c r="AR25" s="4"/>
      <c r="AS25" s="4"/>
      <c r="AT25" s="17">
        <f>SUM(AE25:AS25)</f>
        <v>2781</v>
      </c>
      <c r="AU25" s="122">
        <f t="shared" si="27"/>
        <v>0</v>
      </c>
      <c r="AV25" s="123"/>
      <c r="AW25" s="5">
        <f t="shared" si="28"/>
        <v>2919</v>
      </c>
      <c r="AX25" s="5">
        <f t="shared" si="13"/>
        <v>2919</v>
      </c>
      <c r="AY25" s="5">
        <f t="shared" si="14"/>
        <v>2919</v>
      </c>
      <c r="AZ25" s="5">
        <f t="shared" si="15"/>
        <v>2919</v>
      </c>
      <c r="BA25" s="5">
        <f t="shared" si="16"/>
        <v>4419</v>
      </c>
      <c r="BB25" s="5">
        <f t="shared" si="17"/>
        <v>5700</v>
      </c>
      <c r="BC25" s="5">
        <f t="shared" si="18"/>
        <v>5700</v>
      </c>
      <c r="BD25" s="5">
        <f t="shared" si="19"/>
        <v>5700</v>
      </c>
      <c r="BE25" s="5">
        <f t="shared" si="20"/>
        <v>5700</v>
      </c>
      <c r="BF25" s="5">
        <f t="shared" ref="BF25:BK25" si="35">BE25+AN25-R25</f>
        <v>5700</v>
      </c>
      <c r="BG25" s="5">
        <f t="shared" si="35"/>
        <v>5700</v>
      </c>
      <c r="BH25" s="5">
        <f t="shared" si="35"/>
        <v>5700</v>
      </c>
      <c r="BI25" s="5">
        <f t="shared" si="35"/>
        <v>5700</v>
      </c>
      <c r="BJ25" s="5">
        <f t="shared" si="35"/>
        <v>5700</v>
      </c>
      <c r="BK25" s="5">
        <f t="shared" si="35"/>
        <v>5700</v>
      </c>
    </row>
    <row r="26" spans="1:63" s="100" customFormat="1" ht="16" hidden="1" customHeight="1">
      <c r="A26" s="4" t="s">
        <v>28</v>
      </c>
      <c r="B26" s="4" t="s">
        <v>93</v>
      </c>
      <c r="C26" s="4" t="s">
        <v>94</v>
      </c>
      <c r="D26" s="109" t="s">
        <v>34</v>
      </c>
      <c r="E26" s="7" t="s">
        <v>95</v>
      </c>
      <c r="F26" s="109" t="s">
        <v>36</v>
      </c>
      <c r="G26" s="109"/>
      <c r="H26" s="110"/>
      <c r="I26" s="7"/>
      <c r="J26" s="7"/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/>
      <c r="R26" s="7"/>
      <c r="S26" s="7"/>
      <c r="T26" s="7"/>
      <c r="U26" s="7"/>
      <c r="V26" s="7"/>
      <c r="W26" s="7"/>
      <c r="X26" s="114">
        <v>355</v>
      </c>
      <c r="Y26" s="114">
        <v>0</v>
      </c>
      <c r="Z26" s="117">
        <f t="shared" si="25"/>
        <v>355</v>
      </c>
      <c r="AA26" s="5"/>
      <c r="AB26" s="118">
        <v>0</v>
      </c>
      <c r="AC26" s="119">
        <v>0</v>
      </c>
      <c r="AD26" s="5">
        <f t="shared" si="10"/>
        <v>0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4"/>
      <c r="AQ26" s="4"/>
      <c r="AR26" s="4"/>
      <c r="AS26" s="4"/>
      <c r="AT26" s="17">
        <f>SUM(AE26:AS26)</f>
        <v>0</v>
      </c>
      <c r="AU26" s="122">
        <f t="shared" si="27"/>
        <v>0</v>
      </c>
      <c r="AV26" s="123"/>
      <c r="AW26" s="5">
        <f t="shared" si="28"/>
        <v>0</v>
      </c>
      <c r="AX26" s="5">
        <f t="shared" si="13"/>
        <v>0</v>
      </c>
      <c r="AY26" s="5">
        <f t="shared" si="14"/>
        <v>0</v>
      </c>
      <c r="AZ26" s="5">
        <f t="shared" si="15"/>
        <v>0</v>
      </c>
      <c r="BA26" s="5">
        <f t="shared" si="16"/>
        <v>0</v>
      </c>
      <c r="BB26" s="5">
        <f t="shared" si="17"/>
        <v>0</v>
      </c>
      <c r="BC26" s="5">
        <f t="shared" si="18"/>
        <v>0</v>
      </c>
      <c r="BD26" s="5">
        <f t="shared" si="19"/>
        <v>0</v>
      </c>
      <c r="BE26" s="5">
        <f t="shared" si="20"/>
        <v>0</v>
      </c>
      <c r="BF26" s="5">
        <f t="shared" ref="BF26:BK26" si="36">BE26+AN26-R26</f>
        <v>0</v>
      </c>
      <c r="BG26" s="5">
        <f t="shared" si="36"/>
        <v>0</v>
      </c>
      <c r="BH26" s="5">
        <f t="shared" si="36"/>
        <v>0</v>
      </c>
      <c r="BI26" s="5">
        <f t="shared" si="36"/>
        <v>0</v>
      </c>
      <c r="BJ26" s="5">
        <f t="shared" si="36"/>
        <v>0</v>
      </c>
      <c r="BK26" s="5">
        <f t="shared" si="36"/>
        <v>0</v>
      </c>
    </row>
    <row r="27" spans="1:63" s="100" customFormat="1" ht="16" hidden="1" customHeight="1">
      <c r="A27" s="4" t="s">
        <v>28</v>
      </c>
      <c r="B27" s="4" t="s">
        <v>96</v>
      </c>
      <c r="C27" s="4" t="s">
        <v>97</v>
      </c>
      <c r="D27" s="109" t="s">
        <v>34</v>
      </c>
      <c r="E27" s="7" t="s">
        <v>95</v>
      </c>
      <c r="F27" s="109" t="s">
        <v>36</v>
      </c>
      <c r="G27" s="109"/>
      <c r="H27" s="110"/>
      <c r="I27" s="7"/>
      <c r="J27" s="7"/>
      <c r="K27" s="7">
        <v>0</v>
      </c>
      <c r="L27" s="7">
        <v>0</v>
      </c>
      <c r="M27" s="7">
        <v>0</v>
      </c>
      <c r="N27" s="7">
        <v>0</v>
      </c>
      <c r="O27" s="7">
        <v>205</v>
      </c>
      <c r="P27" s="7">
        <v>179</v>
      </c>
      <c r="Q27" s="7"/>
      <c r="R27" s="7"/>
      <c r="S27" s="7"/>
      <c r="T27" s="7"/>
      <c r="U27" s="7"/>
      <c r="V27" s="7"/>
      <c r="W27" s="7"/>
      <c r="X27" s="114">
        <v>1000</v>
      </c>
      <c r="Y27" s="114">
        <v>804</v>
      </c>
      <c r="Z27" s="117">
        <f t="shared" si="25"/>
        <v>196</v>
      </c>
      <c r="AA27" s="5"/>
      <c r="AB27" s="118">
        <v>804</v>
      </c>
      <c r="AC27" s="119">
        <v>0</v>
      </c>
      <c r="AD27" s="5">
        <f t="shared" si="10"/>
        <v>0</v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4"/>
      <c r="AQ27" s="4"/>
      <c r="AR27" s="4"/>
      <c r="AS27" s="4"/>
      <c r="AT27" s="17">
        <f>SUM(AE27:AS27)</f>
        <v>0</v>
      </c>
      <c r="AU27" s="122">
        <f t="shared" si="27"/>
        <v>0</v>
      </c>
      <c r="AV27" s="123"/>
      <c r="AW27" s="5">
        <f t="shared" si="28"/>
        <v>804</v>
      </c>
      <c r="AX27" s="5">
        <f t="shared" si="13"/>
        <v>804</v>
      </c>
      <c r="AY27" s="5">
        <f t="shared" si="14"/>
        <v>804</v>
      </c>
      <c r="AZ27" s="5">
        <f t="shared" si="15"/>
        <v>804</v>
      </c>
      <c r="BA27" s="5">
        <f t="shared" si="16"/>
        <v>804</v>
      </c>
      <c r="BB27" s="5">
        <f t="shared" si="17"/>
        <v>804</v>
      </c>
      <c r="BC27" s="5">
        <f t="shared" si="18"/>
        <v>599</v>
      </c>
      <c r="BD27" s="5">
        <f t="shared" si="19"/>
        <v>420</v>
      </c>
      <c r="BE27" s="5">
        <f t="shared" si="20"/>
        <v>420</v>
      </c>
      <c r="BF27" s="5">
        <f t="shared" ref="BF27:BK27" si="37">BE27+AN27-R27</f>
        <v>420</v>
      </c>
      <c r="BG27" s="5">
        <f t="shared" si="37"/>
        <v>420</v>
      </c>
      <c r="BH27" s="5">
        <f t="shared" si="37"/>
        <v>420</v>
      </c>
      <c r="BI27" s="5">
        <f t="shared" si="37"/>
        <v>420</v>
      </c>
      <c r="BJ27" s="5">
        <f t="shared" si="37"/>
        <v>420</v>
      </c>
      <c r="BK27" s="5">
        <f t="shared" si="37"/>
        <v>420</v>
      </c>
    </row>
    <row r="28" spans="1:63" s="100" customFormat="1" ht="16" hidden="1" customHeight="1">
      <c r="A28" s="4" t="s">
        <v>28</v>
      </c>
      <c r="B28" s="4" t="s">
        <v>98</v>
      </c>
      <c r="C28" s="4" t="s">
        <v>99</v>
      </c>
      <c r="D28" s="109" t="s">
        <v>34</v>
      </c>
      <c r="E28" s="7" t="s">
        <v>100</v>
      </c>
      <c r="F28" s="109" t="s">
        <v>36</v>
      </c>
      <c r="G28" s="109"/>
      <c r="H28" s="110"/>
      <c r="I28" s="7"/>
      <c r="J28" s="7"/>
      <c r="K28" s="7">
        <v>0</v>
      </c>
      <c r="L28" s="7">
        <v>0</v>
      </c>
      <c r="M28" s="7">
        <v>0</v>
      </c>
      <c r="N28" s="7">
        <v>150</v>
      </c>
      <c r="O28" s="7">
        <v>150</v>
      </c>
      <c r="P28" s="7">
        <v>300</v>
      </c>
      <c r="Q28" s="7"/>
      <c r="R28" s="7"/>
      <c r="S28" s="7"/>
      <c r="T28" s="7"/>
      <c r="U28" s="7"/>
      <c r="V28" s="7"/>
      <c r="W28" s="7"/>
      <c r="X28" s="114">
        <v>4425</v>
      </c>
      <c r="Y28" s="114">
        <v>3150</v>
      </c>
      <c r="Z28" s="117">
        <f t="shared" si="25"/>
        <v>1275</v>
      </c>
      <c r="AA28" s="5"/>
      <c r="AB28" s="118">
        <v>3150</v>
      </c>
      <c r="AC28" s="119">
        <v>0</v>
      </c>
      <c r="AD28" s="5">
        <f t="shared" si="10"/>
        <v>0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4"/>
      <c r="AQ28" s="4"/>
      <c r="AR28" s="4"/>
      <c r="AS28" s="4"/>
      <c r="AT28" s="17">
        <f>SUM(AE28:AS28)</f>
        <v>0</v>
      </c>
      <c r="AU28" s="122">
        <f t="shared" si="27"/>
        <v>0</v>
      </c>
      <c r="AV28" s="123"/>
      <c r="AW28" s="5">
        <f t="shared" si="28"/>
        <v>3150</v>
      </c>
      <c r="AX28" s="5">
        <f t="shared" si="13"/>
        <v>3150</v>
      </c>
      <c r="AY28" s="5">
        <f t="shared" si="14"/>
        <v>3150</v>
      </c>
      <c r="AZ28" s="5">
        <f t="shared" si="15"/>
        <v>3150</v>
      </c>
      <c r="BA28" s="5">
        <f t="shared" si="16"/>
        <v>3150</v>
      </c>
      <c r="BB28" s="5">
        <f t="shared" si="17"/>
        <v>3000</v>
      </c>
      <c r="BC28" s="5">
        <f t="shared" si="18"/>
        <v>2850</v>
      </c>
      <c r="BD28" s="5">
        <f t="shared" si="19"/>
        <v>2550</v>
      </c>
      <c r="BE28" s="5">
        <f t="shared" si="20"/>
        <v>2550</v>
      </c>
      <c r="BF28" s="5">
        <f t="shared" ref="BF28:BK28" si="38">BE28+AN28-R28</f>
        <v>2550</v>
      </c>
      <c r="BG28" s="5">
        <f t="shared" si="38"/>
        <v>2550</v>
      </c>
      <c r="BH28" s="5">
        <f t="shared" si="38"/>
        <v>2550</v>
      </c>
      <c r="BI28" s="5">
        <f t="shared" si="38"/>
        <v>2550</v>
      </c>
      <c r="BJ28" s="5">
        <f t="shared" si="38"/>
        <v>2550</v>
      </c>
      <c r="BK28" s="5">
        <f t="shared" si="38"/>
        <v>2550</v>
      </c>
    </row>
    <row r="29" spans="1:63" s="100" customFormat="1" ht="16" hidden="1" customHeight="1">
      <c r="A29" s="4" t="s">
        <v>28</v>
      </c>
      <c r="B29" s="4" t="s">
        <v>101</v>
      </c>
      <c r="C29" s="4" t="s">
        <v>102</v>
      </c>
      <c r="D29" s="109" t="s">
        <v>34</v>
      </c>
      <c r="E29" s="7" t="s">
        <v>100</v>
      </c>
      <c r="F29" s="109" t="s">
        <v>36</v>
      </c>
      <c r="G29" s="109"/>
      <c r="H29" s="110"/>
      <c r="I29" s="7"/>
      <c r="J29" s="7"/>
      <c r="K29" s="7">
        <v>0</v>
      </c>
      <c r="L29" s="7">
        <v>65</v>
      </c>
      <c r="M29" s="7">
        <v>0</v>
      </c>
      <c r="N29" s="7">
        <v>0</v>
      </c>
      <c r="O29" s="7">
        <v>0</v>
      </c>
      <c r="P29" s="7">
        <v>0</v>
      </c>
      <c r="Q29" s="7"/>
      <c r="R29" s="7"/>
      <c r="S29" s="7"/>
      <c r="T29" s="7"/>
      <c r="U29" s="7"/>
      <c r="V29" s="7"/>
      <c r="W29" s="7"/>
      <c r="X29" s="114">
        <v>980</v>
      </c>
      <c r="Y29" s="114">
        <v>65</v>
      </c>
      <c r="Z29" s="117">
        <f t="shared" si="25"/>
        <v>915</v>
      </c>
      <c r="AA29" s="5"/>
      <c r="AB29" s="118">
        <v>65</v>
      </c>
      <c r="AC29" s="119">
        <v>0</v>
      </c>
      <c r="AD29" s="5">
        <f t="shared" si="10"/>
        <v>0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4"/>
      <c r="AQ29" s="4"/>
      <c r="AR29" s="4"/>
      <c r="AS29" s="4"/>
      <c r="AT29" s="17">
        <f>SUM(AE29:AS29)</f>
        <v>0</v>
      </c>
      <c r="AU29" s="122">
        <f t="shared" si="27"/>
        <v>0</v>
      </c>
      <c r="AV29" s="123"/>
      <c r="AW29" s="5">
        <f t="shared" si="28"/>
        <v>65</v>
      </c>
      <c r="AX29" s="5">
        <f t="shared" si="13"/>
        <v>65</v>
      </c>
      <c r="AY29" s="5">
        <f t="shared" si="14"/>
        <v>65</v>
      </c>
      <c r="AZ29" s="5">
        <f t="shared" si="15"/>
        <v>0</v>
      </c>
      <c r="BA29" s="5">
        <f t="shared" si="16"/>
        <v>0</v>
      </c>
      <c r="BB29" s="5">
        <f t="shared" si="17"/>
        <v>0</v>
      </c>
      <c r="BC29" s="5">
        <f t="shared" si="18"/>
        <v>0</v>
      </c>
      <c r="BD29" s="5">
        <f t="shared" si="19"/>
        <v>0</v>
      </c>
      <c r="BE29" s="5">
        <f t="shared" si="20"/>
        <v>0</v>
      </c>
      <c r="BF29" s="5">
        <f t="shared" ref="BF29:BK29" si="39">BE29+AN29-R29</f>
        <v>0</v>
      </c>
      <c r="BG29" s="5">
        <f t="shared" si="39"/>
        <v>0</v>
      </c>
      <c r="BH29" s="5">
        <f t="shared" si="39"/>
        <v>0</v>
      </c>
      <c r="BI29" s="5">
        <f t="shared" si="39"/>
        <v>0</v>
      </c>
      <c r="BJ29" s="5">
        <f t="shared" si="39"/>
        <v>0</v>
      </c>
      <c r="BK29" s="5">
        <f t="shared" si="39"/>
        <v>0</v>
      </c>
    </row>
    <row r="30" spans="1:63" s="100" customFormat="1" ht="16" hidden="1" customHeight="1">
      <c r="A30" s="17" t="s">
        <v>28</v>
      </c>
      <c r="B30" s="4" t="s">
        <v>103</v>
      </c>
      <c r="C30" s="4" t="s">
        <v>104</v>
      </c>
      <c r="D30" s="109" t="s">
        <v>105</v>
      </c>
      <c r="E30" s="7" t="s">
        <v>106</v>
      </c>
      <c r="F30" s="109" t="s">
        <v>36</v>
      </c>
      <c r="G30" s="109" t="s">
        <v>37</v>
      </c>
      <c r="H30" s="110" t="s">
        <v>38</v>
      </c>
      <c r="I30" s="7"/>
      <c r="J30" s="7"/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/>
      <c r="R30" s="7"/>
      <c r="S30" s="7"/>
      <c r="T30" s="7"/>
      <c r="U30" s="7"/>
      <c r="V30" s="7"/>
      <c r="W30" s="7"/>
      <c r="X30" s="114">
        <v>0</v>
      </c>
      <c r="Y30" s="114">
        <v>0</v>
      </c>
      <c r="Z30" s="117">
        <f t="shared" ref="Z30:Z73" si="40">X30-Y30+AC30</f>
        <v>0</v>
      </c>
      <c r="AA30" s="5"/>
      <c r="AB30" s="118">
        <v>0</v>
      </c>
      <c r="AC30" s="119">
        <v>0</v>
      </c>
      <c r="AD30" s="5">
        <f t="shared" ref="AD30:AD73" si="41">AB30-Y30+AA30+AC30</f>
        <v>0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4"/>
      <c r="AQ30" s="4"/>
      <c r="AR30" s="4"/>
      <c r="AS30" s="4"/>
      <c r="AT30" s="17">
        <f t="shared" ref="AT30:AT54" si="42">SUM(AE30:AR30)</f>
        <v>0</v>
      </c>
      <c r="AU30" s="122">
        <f t="shared" ref="AU30:AU73" si="43">AD30-AT30</f>
        <v>0</v>
      </c>
      <c r="AV30" s="123"/>
      <c r="AW30" s="5">
        <f t="shared" ref="AW30:AW73" si="44">AE30+Y30-I30</f>
        <v>0</v>
      </c>
      <c r="AX30" s="5">
        <f t="shared" si="13"/>
        <v>0</v>
      </c>
      <c r="AY30" s="5">
        <f t="shared" si="14"/>
        <v>0</v>
      </c>
      <c r="AZ30" s="5">
        <f t="shared" si="15"/>
        <v>0</v>
      </c>
      <c r="BA30" s="5">
        <f t="shared" si="16"/>
        <v>0</v>
      </c>
      <c r="BB30" s="5">
        <f t="shared" si="17"/>
        <v>0</v>
      </c>
      <c r="BC30" s="5">
        <f t="shared" si="18"/>
        <v>0</v>
      </c>
      <c r="BD30" s="5">
        <f t="shared" si="19"/>
        <v>0</v>
      </c>
      <c r="BE30" s="5">
        <f t="shared" si="20"/>
        <v>0</v>
      </c>
      <c r="BF30" s="5">
        <f t="shared" ref="BF30:BF51" si="45">BE30+AN30-R30</f>
        <v>0</v>
      </c>
      <c r="BG30" s="5">
        <f t="shared" ref="BG30:BG51" si="46">BF30+AO30-S30</f>
        <v>0</v>
      </c>
      <c r="BH30" s="5">
        <f t="shared" ref="BH30:BH51" si="47">AP30+AJ30-T30</f>
        <v>0</v>
      </c>
      <c r="BI30" s="5">
        <f t="shared" ref="BI30:BI51" si="48">AQ30+AK30-U30</f>
        <v>0</v>
      </c>
      <c r="BJ30" s="5">
        <f t="shared" ref="BJ30:BJ51" si="49">AR30+AL30-V30</f>
        <v>0</v>
      </c>
      <c r="BK30" s="5">
        <f t="shared" ref="BK30:BK51" si="50">AS30+AM30-W30</f>
        <v>0</v>
      </c>
    </row>
    <row r="31" spans="1:63" s="100" customFormat="1" ht="16" hidden="1" customHeight="1">
      <c r="A31" s="17" t="s">
        <v>28</v>
      </c>
      <c r="B31" s="4" t="s">
        <v>107</v>
      </c>
      <c r="C31" s="4" t="s">
        <v>108</v>
      </c>
      <c r="D31" s="7" t="s">
        <v>109</v>
      </c>
      <c r="E31" s="7" t="s">
        <v>110</v>
      </c>
      <c r="F31" s="109" t="s">
        <v>36</v>
      </c>
      <c r="G31" s="109" t="s">
        <v>37</v>
      </c>
      <c r="H31" s="110" t="s">
        <v>38</v>
      </c>
      <c r="I31" s="7"/>
      <c r="J31" s="7"/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/>
      <c r="R31" s="7"/>
      <c r="S31" s="7"/>
      <c r="T31" s="7"/>
      <c r="U31" s="7"/>
      <c r="V31" s="7"/>
      <c r="W31" s="7"/>
      <c r="X31" s="114">
        <v>0</v>
      </c>
      <c r="Y31" s="114">
        <v>0</v>
      </c>
      <c r="Z31" s="117">
        <f t="shared" si="40"/>
        <v>0</v>
      </c>
      <c r="AA31" s="5"/>
      <c r="AB31" s="118">
        <v>0</v>
      </c>
      <c r="AC31" s="119">
        <v>0</v>
      </c>
      <c r="AD31" s="5">
        <f t="shared" si="41"/>
        <v>0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4"/>
      <c r="AQ31" s="4"/>
      <c r="AR31" s="4"/>
      <c r="AS31" s="4"/>
      <c r="AT31" s="17">
        <f t="shared" si="42"/>
        <v>0</v>
      </c>
      <c r="AU31" s="122">
        <f t="shared" si="43"/>
        <v>0</v>
      </c>
      <c r="AV31" s="123"/>
      <c r="AW31" s="5">
        <f t="shared" si="44"/>
        <v>0</v>
      </c>
      <c r="AX31" s="5">
        <f t="shared" si="13"/>
        <v>0</v>
      </c>
      <c r="AY31" s="5">
        <f t="shared" si="14"/>
        <v>0</v>
      </c>
      <c r="AZ31" s="5">
        <f t="shared" si="15"/>
        <v>0</v>
      </c>
      <c r="BA31" s="5">
        <f t="shared" si="16"/>
        <v>0</v>
      </c>
      <c r="BB31" s="5">
        <f t="shared" si="17"/>
        <v>0</v>
      </c>
      <c r="BC31" s="5">
        <f t="shared" si="18"/>
        <v>0</v>
      </c>
      <c r="BD31" s="5">
        <f t="shared" si="19"/>
        <v>0</v>
      </c>
      <c r="BE31" s="5">
        <f t="shared" si="20"/>
        <v>0</v>
      </c>
      <c r="BF31" s="5">
        <f t="shared" si="45"/>
        <v>0</v>
      </c>
      <c r="BG31" s="5">
        <f t="shared" si="46"/>
        <v>0</v>
      </c>
      <c r="BH31" s="5">
        <f t="shared" si="47"/>
        <v>0</v>
      </c>
      <c r="BI31" s="5">
        <f t="shared" si="48"/>
        <v>0</v>
      </c>
      <c r="BJ31" s="5">
        <f t="shared" si="49"/>
        <v>0</v>
      </c>
      <c r="BK31" s="5">
        <f t="shared" si="50"/>
        <v>0</v>
      </c>
    </row>
    <row r="32" spans="1:63" s="100" customFormat="1" ht="16" customHeight="1">
      <c r="A32" s="17" t="s">
        <v>28</v>
      </c>
      <c r="B32" s="4" t="s">
        <v>111</v>
      </c>
      <c r="C32" s="4" t="s">
        <v>112</v>
      </c>
      <c r="D32" s="7" t="s">
        <v>109</v>
      </c>
      <c r="E32" s="7" t="s">
        <v>86</v>
      </c>
      <c r="F32" s="109" t="s">
        <v>36</v>
      </c>
      <c r="G32" s="109" t="s">
        <v>37</v>
      </c>
      <c r="H32" s="110" t="s">
        <v>38</v>
      </c>
      <c r="I32" s="7"/>
      <c r="J32" s="7"/>
      <c r="K32" s="7">
        <v>40</v>
      </c>
      <c r="L32" s="7">
        <v>0</v>
      </c>
      <c r="M32" s="7">
        <v>0</v>
      </c>
      <c r="N32" s="7">
        <v>20</v>
      </c>
      <c r="O32" s="7">
        <v>1096</v>
      </c>
      <c r="P32" s="7">
        <v>0</v>
      </c>
      <c r="Q32" s="7"/>
      <c r="R32" s="7"/>
      <c r="S32" s="7"/>
      <c r="T32" s="7"/>
      <c r="U32" s="7"/>
      <c r="V32" s="7"/>
      <c r="W32" s="7"/>
      <c r="X32" s="114">
        <v>0</v>
      </c>
      <c r="Y32" s="114">
        <v>0</v>
      </c>
      <c r="Z32" s="117">
        <f t="shared" si="40"/>
        <v>0</v>
      </c>
      <c r="AA32" s="5"/>
      <c r="AB32" s="118">
        <v>1156</v>
      </c>
      <c r="AC32" s="119">
        <v>0</v>
      </c>
      <c r="AD32" s="5">
        <f t="shared" si="41"/>
        <v>1156</v>
      </c>
      <c r="AE32" s="5"/>
      <c r="AF32" s="5"/>
      <c r="AG32" s="6">
        <v>1156</v>
      </c>
      <c r="AH32" s="5"/>
      <c r="AI32" s="5"/>
      <c r="AJ32" s="5"/>
      <c r="AK32" s="5"/>
      <c r="AL32" s="5"/>
      <c r="AM32" s="5"/>
      <c r="AN32" s="5"/>
      <c r="AO32" s="5"/>
      <c r="AP32" s="4"/>
      <c r="AQ32" s="4"/>
      <c r="AR32" s="4"/>
      <c r="AS32" s="4"/>
      <c r="AT32" s="17">
        <f t="shared" si="42"/>
        <v>1156</v>
      </c>
      <c r="AU32" s="122">
        <f t="shared" si="43"/>
        <v>0</v>
      </c>
      <c r="AV32" s="123"/>
      <c r="AW32" s="5">
        <f t="shared" si="44"/>
        <v>0</v>
      </c>
      <c r="AX32" s="5">
        <f t="shared" si="13"/>
        <v>0</v>
      </c>
      <c r="AY32" s="5">
        <f t="shared" si="14"/>
        <v>1116</v>
      </c>
      <c r="AZ32" s="5">
        <f t="shared" si="15"/>
        <v>1116</v>
      </c>
      <c r="BA32" s="5">
        <f t="shared" si="16"/>
        <v>1116</v>
      </c>
      <c r="BB32" s="5">
        <f t="shared" si="17"/>
        <v>1096</v>
      </c>
      <c r="BC32" s="5">
        <f t="shared" si="18"/>
        <v>0</v>
      </c>
      <c r="BD32" s="5">
        <f t="shared" si="19"/>
        <v>0</v>
      </c>
      <c r="BE32" s="5">
        <f t="shared" si="20"/>
        <v>0</v>
      </c>
      <c r="BF32" s="5">
        <f t="shared" si="45"/>
        <v>0</v>
      </c>
      <c r="BG32" s="5">
        <f t="shared" si="46"/>
        <v>0</v>
      </c>
      <c r="BH32" s="5">
        <f t="shared" si="47"/>
        <v>0</v>
      </c>
      <c r="BI32" s="5">
        <f t="shared" si="48"/>
        <v>0</v>
      </c>
      <c r="BJ32" s="5">
        <f t="shared" si="49"/>
        <v>0</v>
      </c>
      <c r="BK32" s="5">
        <f t="shared" si="50"/>
        <v>0</v>
      </c>
    </row>
    <row r="33" spans="1:63" s="100" customFormat="1" ht="16" hidden="1" customHeight="1">
      <c r="A33" s="17" t="s">
        <v>28</v>
      </c>
      <c r="B33" s="4" t="s">
        <v>113</v>
      </c>
      <c r="C33" s="4" t="s">
        <v>114</v>
      </c>
      <c r="D33" s="7" t="s">
        <v>109</v>
      </c>
      <c r="E33" s="7" t="s">
        <v>115</v>
      </c>
      <c r="F33" s="7" t="s">
        <v>36</v>
      </c>
      <c r="G33" s="109" t="s">
        <v>37</v>
      </c>
      <c r="H33" s="110" t="s">
        <v>38</v>
      </c>
      <c r="I33" s="7"/>
      <c r="J33" s="7"/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/>
      <c r="R33" s="7"/>
      <c r="S33" s="7"/>
      <c r="T33" s="7"/>
      <c r="U33" s="7"/>
      <c r="V33" s="7"/>
      <c r="W33" s="7"/>
      <c r="X33" s="114">
        <v>0</v>
      </c>
      <c r="Y33" s="114">
        <v>0</v>
      </c>
      <c r="Z33" s="117">
        <f t="shared" si="40"/>
        <v>0</v>
      </c>
      <c r="AA33" s="5"/>
      <c r="AB33" s="118">
        <v>0</v>
      </c>
      <c r="AC33" s="119">
        <v>0</v>
      </c>
      <c r="AD33" s="5">
        <f t="shared" si="41"/>
        <v>0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4"/>
      <c r="AQ33" s="4"/>
      <c r="AR33" s="4"/>
      <c r="AS33" s="4"/>
      <c r="AT33" s="17">
        <f t="shared" si="42"/>
        <v>0</v>
      </c>
      <c r="AU33" s="122">
        <f t="shared" si="43"/>
        <v>0</v>
      </c>
      <c r="AV33" s="123"/>
      <c r="AW33" s="5">
        <f t="shared" si="44"/>
        <v>0</v>
      </c>
      <c r="AX33" s="5">
        <f t="shared" si="13"/>
        <v>0</v>
      </c>
      <c r="AY33" s="5">
        <f t="shared" si="14"/>
        <v>0</v>
      </c>
      <c r="AZ33" s="5">
        <f t="shared" si="15"/>
        <v>0</v>
      </c>
      <c r="BA33" s="5">
        <f t="shared" si="16"/>
        <v>0</v>
      </c>
      <c r="BB33" s="5">
        <f t="shared" si="17"/>
        <v>0</v>
      </c>
      <c r="BC33" s="5">
        <f t="shared" si="18"/>
        <v>0</v>
      </c>
      <c r="BD33" s="5">
        <f t="shared" si="19"/>
        <v>0</v>
      </c>
      <c r="BE33" s="5">
        <f t="shared" si="20"/>
        <v>0</v>
      </c>
      <c r="BF33" s="5">
        <f t="shared" si="45"/>
        <v>0</v>
      </c>
      <c r="BG33" s="5">
        <f t="shared" si="46"/>
        <v>0</v>
      </c>
      <c r="BH33" s="5">
        <f t="shared" si="47"/>
        <v>0</v>
      </c>
      <c r="BI33" s="5">
        <f t="shared" si="48"/>
        <v>0</v>
      </c>
      <c r="BJ33" s="5">
        <f t="shared" si="49"/>
        <v>0</v>
      </c>
      <c r="BK33" s="5">
        <f t="shared" si="50"/>
        <v>0</v>
      </c>
    </row>
    <row r="34" spans="1:63" s="100" customFormat="1" ht="16" hidden="1" customHeight="1">
      <c r="A34" s="17" t="s">
        <v>28</v>
      </c>
      <c r="B34" s="4" t="s">
        <v>116</v>
      </c>
      <c r="C34" s="4" t="s">
        <v>117</v>
      </c>
      <c r="D34" s="7" t="s">
        <v>109</v>
      </c>
      <c r="E34" s="7" t="s">
        <v>110</v>
      </c>
      <c r="F34" s="7" t="s">
        <v>36</v>
      </c>
      <c r="G34" s="109" t="s">
        <v>37</v>
      </c>
      <c r="H34" s="110" t="s">
        <v>38</v>
      </c>
      <c r="I34" s="7"/>
      <c r="J34" s="7"/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/>
      <c r="R34" s="7"/>
      <c r="S34" s="7"/>
      <c r="T34" s="7"/>
      <c r="U34" s="7"/>
      <c r="V34" s="7"/>
      <c r="W34" s="7"/>
      <c r="X34" s="114">
        <v>0</v>
      </c>
      <c r="Y34" s="114">
        <v>0</v>
      </c>
      <c r="Z34" s="117">
        <f t="shared" si="40"/>
        <v>0</v>
      </c>
      <c r="AA34" s="5"/>
      <c r="AB34" s="118">
        <v>0</v>
      </c>
      <c r="AC34" s="119">
        <v>0</v>
      </c>
      <c r="AD34" s="5">
        <f t="shared" si="41"/>
        <v>0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4"/>
      <c r="AQ34" s="4"/>
      <c r="AR34" s="4"/>
      <c r="AS34" s="4"/>
      <c r="AT34" s="17">
        <f t="shared" si="42"/>
        <v>0</v>
      </c>
      <c r="AU34" s="122">
        <f t="shared" si="43"/>
        <v>0</v>
      </c>
      <c r="AV34" s="123"/>
      <c r="AW34" s="5">
        <f t="shared" si="44"/>
        <v>0</v>
      </c>
      <c r="AX34" s="5">
        <f t="shared" si="13"/>
        <v>0</v>
      </c>
      <c r="AY34" s="5">
        <f t="shared" si="14"/>
        <v>0</v>
      </c>
      <c r="AZ34" s="5">
        <f t="shared" si="15"/>
        <v>0</v>
      </c>
      <c r="BA34" s="5">
        <f t="shared" si="16"/>
        <v>0</v>
      </c>
      <c r="BB34" s="5">
        <f t="shared" si="17"/>
        <v>0</v>
      </c>
      <c r="BC34" s="5">
        <f t="shared" si="18"/>
        <v>0</v>
      </c>
      <c r="BD34" s="5">
        <f t="shared" si="19"/>
        <v>0</v>
      </c>
      <c r="BE34" s="5">
        <f t="shared" si="20"/>
        <v>0</v>
      </c>
      <c r="BF34" s="5">
        <f t="shared" si="45"/>
        <v>0</v>
      </c>
      <c r="BG34" s="5">
        <f t="shared" si="46"/>
        <v>0</v>
      </c>
      <c r="BH34" s="5">
        <f t="shared" si="47"/>
        <v>0</v>
      </c>
      <c r="BI34" s="5">
        <f t="shared" si="48"/>
        <v>0</v>
      </c>
      <c r="BJ34" s="5">
        <f t="shared" si="49"/>
        <v>0</v>
      </c>
      <c r="BK34" s="5">
        <f t="shared" si="50"/>
        <v>0</v>
      </c>
    </row>
    <row r="35" spans="1:63" s="100" customFormat="1" ht="16" hidden="1" customHeight="1">
      <c r="A35" s="17" t="s">
        <v>28</v>
      </c>
      <c r="B35" s="4" t="s">
        <v>118</v>
      </c>
      <c r="C35" s="4" t="s">
        <v>119</v>
      </c>
      <c r="D35" s="7" t="s">
        <v>109</v>
      </c>
      <c r="E35" s="7" t="s">
        <v>86</v>
      </c>
      <c r="F35" s="7" t="s">
        <v>36</v>
      </c>
      <c r="G35" s="109" t="s">
        <v>37</v>
      </c>
      <c r="H35" s="110" t="s">
        <v>38</v>
      </c>
      <c r="I35" s="7"/>
      <c r="J35" s="7"/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/>
      <c r="R35" s="7"/>
      <c r="S35" s="7"/>
      <c r="T35" s="7"/>
      <c r="U35" s="7"/>
      <c r="V35" s="7"/>
      <c r="W35" s="7"/>
      <c r="X35" s="114">
        <v>8</v>
      </c>
      <c r="Y35" s="114">
        <v>0</v>
      </c>
      <c r="Z35" s="117">
        <f t="shared" si="40"/>
        <v>8</v>
      </c>
      <c r="AA35" s="5"/>
      <c r="AB35" s="118">
        <v>0</v>
      </c>
      <c r="AC35" s="119">
        <v>0</v>
      </c>
      <c r="AD35" s="5">
        <f t="shared" si="41"/>
        <v>0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4"/>
      <c r="AQ35" s="4"/>
      <c r="AR35" s="4"/>
      <c r="AS35" s="4"/>
      <c r="AT35" s="17">
        <f t="shared" si="42"/>
        <v>0</v>
      </c>
      <c r="AU35" s="122">
        <f t="shared" si="43"/>
        <v>0</v>
      </c>
      <c r="AV35" s="123"/>
      <c r="AW35" s="5">
        <f t="shared" si="44"/>
        <v>0</v>
      </c>
      <c r="AX35" s="5">
        <f t="shared" si="13"/>
        <v>0</v>
      </c>
      <c r="AY35" s="5">
        <f t="shared" si="14"/>
        <v>0</v>
      </c>
      <c r="AZ35" s="5">
        <f t="shared" si="15"/>
        <v>0</v>
      </c>
      <c r="BA35" s="5">
        <f t="shared" si="16"/>
        <v>0</v>
      </c>
      <c r="BB35" s="5">
        <f t="shared" si="17"/>
        <v>0</v>
      </c>
      <c r="BC35" s="5">
        <f t="shared" si="18"/>
        <v>0</v>
      </c>
      <c r="BD35" s="5">
        <f t="shared" si="19"/>
        <v>0</v>
      </c>
      <c r="BE35" s="5">
        <f t="shared" si="20"/>
        <v>0</v>
      </c>
      <c r="BF35" s="5">
        <f t="shared" si="45"/>
        <v>0</v>
      </c>
      <c r="BG35" s="5">
        <f t="shared" si="46"/>
        <v>0</v>
      </c>
      <c r="BH35" s="5">
        <f t="shared" si="47"/>
        <v>0</v>
      </c>
      <c r="BI35" s="5">
        <f t="shared" si="48"/>
        <v>0</v>
      </c>
      <c r="BJ35" s="5">
        <f t="shared" si="49"/>
        <v>0</v>
      </c>
      <c r="BK35" s="5">
        <f t="shared" si="50"/>
        <v>0</v>
      </c>
    </row>
    <row r="36" spans="1:63" s="100" customFormat="1" ht="16" hidden="1" customHeight="1">
      <c r="A36" s="17" t="s">
        <v>28</v>
      </c>
      <c r="B36" s="4" t="s">
        <v>120</v>
      </c>
      <c r="C36" s="4" t="s">
        <v>121</v>
      </c>
      <c r="D36" s="7" t="s">
        <v>109</v>
      </c>
      <c r="E36" s="7" t="s">
        <v>122</v>
      </c>
      <c r="F36" s="7" t="s">
        <v>36</v>
      </c>
      <c r="G36" s="109" t="s">
        <v>37</v>
      </c>
      <c r="H36" s="110" t="s">
        <v>38</v>
      </c>
      <c r="I36" s="7"/>
      <c r="J36" s="7"/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/>
      <c r="R36" s="7"/>
      <c r="S36" s="7"/>
      <c r="T36" s="7"/>
      <c r="U36" s="7"/>
      <c r="V36" s="7"/>
      <c r="W36" s="7"/>
      <c r="X36" s="114">
        <v>0</v>
      </c>
      <c r="Y36" s="114">
        <v>0</v>
      </c>
      <c r="Z36" s="117">
        <f t="shared" si="40"/>
        <v>0</v>
      </c>
      <c r="AA36" s="5"/>
      <c r="AB36" s="118">
        <v>0</v>
      </c>
      <c r="AC36" s="119">
        <v>0</v>
      </c>
      <c r="AD36" s="5">
        <f t="shared" si="41"/>
        <v>0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4"/>
      <c r="AQ36" s="4"/>
      <c r="AR36" s="4"/>
      <c r="AS36" s="4"/>
      <c r="AT36" s="17">
        <f t="shared" si="42"/>
        <v>0</v>
      </c>
      <c r="AU36" s="122">
        <f t="shared" si="43"/>
        <v>0</v>
      </c>
      <c r="AV36" s="123"/>
      <c r="AW36" s="5">
        <f t="shared" si="44"/>
        <v>0</v>
      </c>
      <c r="AX36" s="5">
        <f t="shared" si="13"/>
        <v>0</v>
      </c>
      <c r="AY36" s="5">
        <f t="shared" si="14"/>
        <v>0</v>
      </c>
      <c r="AZ36" s="5">
        <f t="shared" si="15"/>
        <v>0</v>
      </c>
      <c r="BA36" s="5">
        <f t="shared" si="16"/>
        <v>0</v>
      </c>
      <c r="BB36" s="5">
        <f t="shared" si="17"/>
        <v>0</v>
      </c>
      <c r="BC36" s="5">
        <f t="shared" si="18"/>
        <v>0</v>
      </c>
      <c r="BD36" s="5">
        <f t="shared" si="19"/>
        <v>0</v>
      </c>
      <c r="BE36" s="5">
        <f t="shared" si="20"/>
        <v>0</v>
      </c>
      <c r="BF36" s="5">
        <f t="shared" si="45"/>
        <v>0</v>
      </c>
      <c r="BG36" s="5">
        <f t="shared" si="46"/>
        <v>0</v>
      </c>
      <c r="BH36" s="5">
        <f t="shared" si="47"/>
        <v>0</v>
      </c>
      <c r="BI36" s="5">
        <f t="shared" si="48"/>
        <v>0</v>
      </c>
      <c r="BJ36" s="5">
        <f t="shared" si="49"/>
        <v>0</v>
      </c>
      <c r="BK36" s="5">
        <f t="shared" si="50"/>
        <v>0</v>
      </c>
    </row>
    <row r="37" spans="1:63" s="100" customFormat="1" ht="16" hidden="1" customHeight="1">
      <c r="A37" s="17" t="s">
        <v>28</v>
      </c>
      <c r="B37" s="4" t="s">
        <v>123</v>
      </c>
      <c r="C37" s="4" t="s">
        <v>124</v>
      </c>
      <c r="D37" s="7" t="s">
        <v>109</v>
      </c>
      <c r="E37" s="7" t="s">
        <v>125</v>
      </c>
      <c r="F37" s="7" t="s">
        <v>36</v>
      </c>
      <c r="G37" s="109" t="s">
        <v>58</v>
      </c>
      <c r="H37" s="110" t="s">
        <v>38</v>
      </c>
      <c r="I37" s="7"/>
      <c r="J37" s="7"/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/>
      <c r="R37" s="7"/>
      <c r="S37" s="7"/>
      <c r="T37" s="7"/>
      <c r="U37" s="7"/>
      <c r="V37" s="7"/>
      <c r="W37" s="7"/>
      <c r="X37" s="114">
        <v>0</v>
      </c>
      <c r="Y37" s="114">
        <v>0</v>
      </c>
      <c r="Z37" s="117">
        <f t="shared" si="40"/>
        <v>0</v>
      </c>
      <c r="AA37" s="5"/>
      <c r="AB37" s="118">
        <v>0</v>
      </c>
      <c r="AC37" s="119">
        <v>0</v>
      </c>
      <c r="AD37" s="5">
        <f t="shared" si="41"/>
        <v>0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4"/>
      <c r="AQ37" s="4"/>
      <c r="AR37" s="4"/>
      <c r="AS37" s="4"/>
      <c r="AT37" s="17">
        <f t="shared" si="42"/>
        <v>0</v>
      </c>
      <c r="AU37" s="122">
        <f t="shared" si="43"/>
        <v>0</v>
      </c>
      <c r="AV37" s="123"/>
      <c r="AW37" s="5">
        <f t="shared" si="44"/>
        <v>0</v>
      </c>
      <c r="AX37" s="5">
        <f t="shared" si="13"/>
        <v>0</v>
      </c>
      <c r="AY37" s="5">
        <f t="shared" si="14"/>
        <v>0</v>
      </c>
      <c r="AZ37" s="5">
        <f t="shared" si="15"/>
        <v>0</v>
      </c>
      <c r="BA37" s="5">
        <f t="shared" si="16"/>
        <v>0</v>
      </c>
      <c r="BB37" s="5">
        <f t="shared" si="17"/>
        <v>0</v>
      </c>
      <c r="BC37" s="5">
        <f t="shared" si="18"/>
        <v>0</v>
      </c>
      <c r="BD37" s="5">
        <f t="shared" si="19"/>
        <v>0</v>
      </c>
      <c r="BE37" s="5">
        <f t="shared" si="20"/>
        <v>0</v>
      </c>
      <c r="BF37" s="5">
        <f t="shared" si="45"/>
        <v>0</v>
      </c>
      <c r="BG37" s="5">
        <f t="shared" si="46"/>
        <v>0</v>
      </c>
      <c r="BH37" s="5">
        <f t="shared" si="47"/>
        <v>0</v>
      </c>
      <c r="BI37" s="5">
        <f t="shared" si="48"/>
        <v>0</v>
      </c>
      <c r="BJ37" s="5">
        <f t="shared" si="49"/>
        <v>0</v>
      </c>
      <c r="BK37" s="5">
        <f t="shared" si="50"/>
        <v>0</v>
      </c>
    </row>
    <row r="38" spans="1:63" s="100" customFormat="1" ht="16" hidden="1" customHeight="1">
      <c r="A38" s="17" t="s">
        <v>28</v>
      </c>
      <c r="B38" s="4" t="s">
        <v>126</v>
      </c>
      <c r="C38" s="4" t="s">
        <v>127</v>
      </c>
      <c r="D38" s="7" t="s">
        <v>109</v>
      </c>
      <c r="E38" s="7" t="s">
        <v>128</v>
      </c>
      <c r="F38" s="7" t="s">
        <v>36</v>
      </c>
      <c r="G38" s="109" t="s">
        <v>58</v>
      </c>
      <c r="H38" s="110" t="s">
        <v>45</v>
      </c>
      <c r="I38" s="7"/>
      <c r="J38" s="7"/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/>
      <c r="R38" s="7"/>
      <c r="S38" s="7"/>
      <c r="T38" s="7"/>
      <c r="U38" s="7"/>
      <c r="V38" s="7"/>
      <c r="W38" s="7"/>
      <c r="X38" s="114">
        <v>0</v>
      </c>
      <c r="Y38" s="114">
        <v>0</v>
      </c>
      <c r="Z38" s="117">
        <f t="shared" si="40"/>
        <v>0</v>
      </c>
      <c r="AA38" s="5"/>
      <c r="AB38" s="118">
        <v>0</v>
      </c>
      <c r="AC38" s="119">
        <v>0</v>
      </c>
      <c r="AD38" s="5">
        <f t="shared" si="41"/>
        <v>0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4"/>
      <c r="AQ38" s="4"/>
      <c r="AR38" s="4"/>
      <c r="AS38" s="4"/>
      <c r="AT38" s="17">
        <f t="shared" si="42"/>
        <v>0</v>
      </c>
      <c r="AU38" s="122">
        <f t="shared" si="43"/>
        <v>0</v>
      </c>
      <c r="AV38" s="123"/>
      <c r="AW38" s="5">
        <f t="shared" si="44"/>
        <v>0</v>
      </c>
      <c r="AX38" s="5">
        <f t="shared" si="13"/>
        <v>0</v>
      </c>
      <c r="AY38" s="5">
        <f t="shared" si="14"/>
        <v>0</v>
      </c>
      <c r="AZ38" s="5">
        <f t="shared" si="15"/>
        <v>0</v>
      </c>
      <c r="BA38" s="5">
        <f t="shared" si="16"/>
        <v>0</v>
      </c>
      <c r="BB38" s="5">
        <f t="shared" si="17"/>
        <v>0</v>
      </c>
      <c r="BC38" s="5">
        <f t="shared" si="18"/>
        <v>0</v>
      </c>
      <c r="BD38" s="5">
        <f t="shared" si="19"/>
        <v>0</v>
      </c>
      <c r="BE38" s="5">
        <f t="shared" si="20"/>
        <v>0</v>
      </c>
      <c r="BF38" s="5">
        <f t="shared" si="45"/>
        <v>0</v>
      </c>
      <c r="BG38" s="5">
        <f t="shared" si="46"/>
        <v>0</v>
      </c>
      <c r="BH38" s="5">
        <f t="shared" si="47"/>
        <v>0</v>
      </c>
      <c r="BI38" s="5">
        <f t="shared" si="48"/>
        <v>0</v>
      </c>
      <c r="BJ38" s="5">
        <f t="shared" si="49"/>
        <v>0</v>
      </c>
      <c r="BK38" s="5">
        <f t="shared" si="50"/>
        <v>0</v>
      </c>
    </row>
    <row r="39" spans="1:63" s="100" customFormat="1" ht="16" hidden="1" customHeight="1">
      <c r="A39" s="17" t="s">
        <v>28</v>
      </c>
      <c r="B39" s="4" t="s">
        <v>129</v>
      </c>
      <c r="C39" s="4" t="s">
        <v>130</v>
      </c>
      <c r="D39" s="7" t="s">
        <v>109</v>
      </c>
      <c r="E39" s="7" t="s">
        <v>131</v>
      </c>
      <c r="F39" s="7" t="s">
        <v>36</v>
      </c>
      <c r="G39" s="109" t="s">
        <v>37</v>
      </c>
      <c r="H39" s="110" t="s">
        <v>45</v>
      </c>
      <c r="I39" s="7"/>
      <c r="J39" s="7"/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/>
      <c r="R39" s="7"/>
      <c r="S39" s="7"/>
      <c r="T39" s="7"/>
      <c r="U39" s="7"/>
      <c r="V39" s="7"/>
      <c r="W39" s="7"/>
      <c r="X39" s="114">
        <v>0</v>
      </c>
      <c r="Y39" s="114">
        <v>0</v>
      </c>
      <c r="Z39" s="117">
        <f t="shared" si="40"/>
        <v>0</v>
      </c>
      <c r="AA39" s="5"/>
      <c r="AB39" s="118">
        <v>0</v>
      </c>
      <c r="AC39" s="119">
        <v>0</v>
      </c>
      <c r="AD39" s="5">
        <f t="shared" si="41"/>
        <v>0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4"/>
      <c r="AQ39" s="4"/>
      <c r="AR39" s="4"/>
      <c r="AS39" s="4"/>
      <c r="AT39" s="17">
        <f t="shared" si="42"/>
        <v>0</v>
      </c>
      <c r="AU39" s="122">
        <f t="shared" si="43"/>
        <v>0</v>
      </c>
      <c r="AV39" s="123"/>
      <c r="AW39" s="5">
        <f t="shared" si="44"/>
        <v>0</v>
      </c>
      <c r="AX39" s="5">
        <f t="shared" si="13"/>
        <v>0</v>
      </c>
      <c r="AY39" s="5">
        <f t="shared" si="14"/>
        <v>0</v>
      </c>
      <c r="AZ39" s="5">
        <f t="shared" si="15"/>
        <v>0</v>
      </c>
      <c r="BA39" s="5">
        <f t="shared" si="16"/>
        <v>0</v>
      </c>
      <c r="BB39" s="5">
        <f t="shared" si="17"/>
        <v>0</v>
      </c>
      <c r="BC39" s="5">
        <f t="shared" si="18"/>
        <v>0</v>
      </c>
      <c r="BD39" s="5">
        <f t="shared" si="19"/>
        <v>0</v>
      </c>
      <c r="BE39" s="5">
        <f t="shared" si="20"/>
        <v>0</v>
      </c>
      <c r="BF39" s="5">
        <f t="shared" si="45"/>
        <v>0</v>
      </c>
      <c r="BG39" s="5">
        <f t="shared" si="46"/>
        <v>0</v>
      </c>
      <c r="BH39" s="5">
        <f t="shared" si="47"/>
        <v>0</v>
      </c>
      <c r="BI39" s="5">
        <f t="shared" si="48"/>
        <v>0</v>
      </c>
      <c r="BJ39" s="5">
        <f t="shared" si="49"/>
        <v>0</v>
      </c>
      <c r="BK39" s="5">
        <f t="shared" si="50"/>
        <v>0</v>
      </c>
    </row>
    <row r="40" spans="1:63" s="100" customFormat="1" ht="16" hidden="1" customHeight="1">
      <c r="A40" s="17" t="s">
        <v>28</v>
      </c>
      <c r="B40" s="4" t="s">
        <v>132</v>
      </c>
      <c r="C40" s="4" t="s">
        <v>133</v>
      </c>
      <c r="D40" s="7" t="s">
        <v>109</v>
      </c>
      <c r="E40" s="7" t="s">
        <v>134</v>
      </c>
      <c r="F40" s="7" t="s">
        <v>36</v>
      </c>
      <c r="G40" s="109" t="s">
        <v>37</v>
      </c>
      <c r="H40" s="110" t="s">
        <v>38</v>
      </c>
      <c r="I40" s="7"/>
      <c r="J40" s="7"/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/>
      <c r="R40" s="7"/>
      <c r="S40" s="7"/>
      <c r="T40" s="7"/>
      <c r="U40" s="7"/>
      <c r="V40" s="7"/>
      <c r="W40" s="7"/>
      <c r="X40" s="114">
        <v>0</v>
      </c>
      <c r="Y40" s="114">
        <v>0</v>
      </c>
      <c r="Z40" s="117">
        <f t="shared" si="40"/>
        <v>0</v>
      </c>
      <c r="AA40" s="5"/>
      <c r="AB40" s="118">
        <v>0</v>
      </c>
      <c r="AC40" s="119">
        <v>0</v>
      </c>
      <c r="AD40" s="5">
        <f t="shared" si="41"/>
        <v>0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4"/>
      <c r="AQ40" s="4"/>
      <c r="AR40" s="4"/>
      <c r="AS40" s="4"/>
      <c r="AT40" s="17">
        <f t="shared" si="42"/>
        <v>0</v>
      </c>
      <c r="AU40" s="122">
        <f t="shared" si="43"/>
        <v>0</v>
      </c>
      <c r="AV40" s="123"/>
      <c r="AW40" s="5">
        <f t="shared" si="44"/>
        <v>0</v>
      </c>
      <c r="AX40" s="5">
        <f t="shared" si="13"/>
        <v>0</v>
      </c>
      <c r="AY40" s="5">
        <f t="shared" si="14"/>
        <v>0</v>
      </c>
      <c r="AZ40" s="5">
        <f t="shared" si="15"/>
        <v>0</v>
      </c>
      <c r="BA40" s="5">
        <f t="shared" si="16"/>
        <v>0</v>
      </c>
      <c r="BB40" s="5">
        <f t="shared" si="17"/>
        <v>0</v>
      </c>
      <c r="BC40" s="5">
        <f t="shared" si="18"/>
        <v>0</v>
      </c>
      <c r="BD40" s="5">
        <f t="shared" si="19"/>
        <v>0</v>
      </c>
      <c r="BE40" s="5">
        <f t="shared" si="20"/>
        <v>0</v>
      </c>
      <c r="BF40" s="5">
        <f t="shared" si="45"/>
        <v>0</v>
      </c>
      <c r="BG40" s="5">
        <f t="shared" si="46"/>
        <v>0</v>
      </c>
      <c r="BH40" s="5">
        <f t="shared" si="47"/>
        <v>0</v>
      </c>
      <c r="BI40" s="5">
        <f t="shared" si="48"/>
        <v>0</v>
      </c>
      <c r="BJ40" s="5">
        <f t="shared" si="49"/>
        <v>0</v>
      </c>
      <c r="BK40" s="5">
        <f t="shared" si="50"/>
        <v>0</v>
      </c>
    </row>
    <row r="41" spans="1:63" s="100" customFormat="1" ht="16" hidden="1" customHeight="1">
      <c r="A41" s="17" t="s">
        <v>28</v>
      </c>
      <c r="B41" s="4" t="s">
        <v>135</v>
      </c>
      <c r="C41" s="4" t="s">
        <v>136</v>
      </c>
      <c r="D41" s="7" t="s">
        <v>109</v>
      </c>
      <c r="E41" s="7" t="s">
        <v>137</v>
      </c>
      <c r="F41" s="7" t="s">
        <v>36</v>
      </c>
      <c r="G41" s="109" t="s">
        <v>37</v>
      </c>
      <c r="H41" s="110" t="s">
        <v>38</v>
      </c>
      <c r="I41" s="7"/>
      <c r="J41" s="7"/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/>
      <c r="R41" s="7"/>
      <c r="S41" s="7"/>
      <c r="T41" s="7"/>
      <c r="U41" s="7"/>
      <c r="V41" s="7"/>
      <c r="W41" s="7"/>
      <c r="X41" s="114">
        <v>0</v>
      </c>
      <c r="Y41" s="114">
        <v>0</v>
      </c>
      <c r="Z41" s="117">
        <f t="shared" si="40"/>
        <v>0</v>
      </c>
      <c r="AA41" s="5"/>
      <c r="AB41" s="118">
        <v>0</v>
      </c>
      <c r="AC41" s="119">
        <v>0</v>
      </c>
      <c r="AD41" s="5">
        <f t="shared" si="41"/>
        <v>0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4"/>
      <c r="AQ41" s="4"/>
      <c r="AR41" s="4"/>
      <c r="AS41" s="4"/>
      <c r="AT41" s="17">
        <f t="shared" si="42"/>
        <v>0</v>
      </c>
      <c r="AU41" s="122">
        <f t="shared" si="43"/>
        <v>0</v>
      </c>
      <c r="AV41" s="123"/>
      <c r="AW41" s="5">
        <f t="shared" si="44"/>
        <v>0</v>
      </c>
      <c r="AX41" s="5">
        <f t="shared" si="13"/>
        <v>0</v>
      </c>
      <c r="AY41" s="5">
        <f t="shared" si="14"/>
        <v>0</v>
      </c>
      <c r="AZ41" s="5">
        <f t="shared" si="15"/>
        <v>0</v>
      </c>
      <c r="BA41" s="5">
        <f t="shared" si="16"/>
        <v>0</v>
      </c>
      <c r="BB41" s="5">
        <f t="shared" si="17"/>
        <v>0</v>
      </c>
      <c r="BC41" s="5">
        <f t="shared" si="18"/>
        <v>0</v>
      </c>
      <c r="BD41" s="5">
        <f t="shared" si="19"/>
        <v>0</v>
      </c>
      <c r="BE41" s="5">
        <f t="shared" si="20"/>
        <v>0</v>
      </c>
      <c r="BF41" s="5">
        <f t="shared" si="45"/>
        <v>0</v>
      </c>
      <c r="BG41" s="5">
        <f t="shared" si="46"/>
        <v>0</v>
      </c>
      <c r="BH41" s="5">
        <f t="shared" si="47"/>
        <v>0</v>
      </c>
      <c r="BI41" s="5">
        <f t="shared" si="48"/>
        <v>0</v>
      </c>
      <c r="BJ41" s="5">
        <f t="shared" si="49"/>
        <v>0</v>
      </c>
      <c r="BK41" s="5">
        <f t="shared" si="50"/>
        <v>0</v>
      </c>
    </row>
    <row r="42" spans="1:63" s="100" customFormat="1" ht="16" hidden="1" customHeight="1">
      <c r="A42" s="17" t="s">
        <v>28</v>
      </c>
      <c r="B42" s="4" t="s">
        <v>138</v>
      </c>
      <c r="C42" s="4" t="s">
        <v>139</v>
      </c>
      <c r="D42" s="7" t="s">
        <v>109</v>
      </c>
      <c r="E42" s="7" t="s">
        <v>140</v>
      </c>
      <c r="F42" s="7" t="s">
        <v>36</v>
      </c>
      <c r="G42" s="109" t="s">
        <v>37</v>
      </c>
      <c r="H42" s="110" t="s">
        <v>38</v>
      </c>
      <c r="I42" s="7"/>
      <c r="J42" s="7"/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/>
      <c r="R42" s="7"/>
      <c r="S42" s="7"/>
      <c r="T42" s="7"/>
      <c r="U42" s="7"/>
      <c r="V42" s="7"/>
      <c r="W42" s="7"/>
      <c r="X42" s="114">
        <v>0</v>
      </c>
      <c r="Y42" s="114">
        <v>0</v>
      </c>
      <c r="Z42" s="117">
        <f t="shared" si="40"/>
        <v>0</v>
      </c>
      <c r="AA42" s="5"/>
      <c r="AB42" s="118">
        <v>0</v>
      </c>
      <c r="AC42" s="119">
        <v>0</v>
      </c>
      <c r="AD42" s="5">
        <f t="shared" si="41"/>
        <v>0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4"/>
      <c r="AQ42" s="4"/>
      <c r="AR42" s="4"/>
      <c r="AS42" s="4"/>
      <c r="AT42" s="17">
        <f t="shared" si="42"/>
        <v>0</v>
      </c>
      <c r="AU42" s="122">
        <f t="shared" si="43"/>
        <v>0</v>
      </c>
      <c r="AV42" s="123"/>
      <c r="AW42" s="5">
        <f t="shared" si="44"/>
        <v>0</v>
      </c>
      <c r="AX42" s="5">
        <f t="shared" si="13"/>
        <v>0</v>
      </c>
      <c r="AY42" s="5">
        <f t="shared" si="14"/>
        <v>0</v>
      </c>
      <c r="AZ42" s="5">
        <f t="shared" si="15"/>
        <v>0</v>
      </c>
      <c r="BA42" s="5">
        <f t="shared" si="16"/>
        <v>0</v>
      </c>
      <c r="BB42" s="5">
        <f t="shared" si="17"/>
        <v>0</v>
      </c>
      <c r="BC42" s="5">
        <f t="shared" si="18"/>
        <v>0</v>
      </c>
      <c r="BD42" s="5">
        <f t="shared" si="19"/>
        <v>0</v>
      </c>
      <c r="BE42" s="5">
        <f t="shared" si="20"/>
        <v>0</v>
      </c>
      <c r="BF42" s="5">
        <f t="shared" si="45"/>
        <v>0</v>
      </c>
      <c r="BG42" s="5">
        <f t="shared" si="46"/>
        <v>0</v>
      </c>
      <c r="BH42" s="5">
        <f t="shared" si="47"/>
        <v>0</v>
      </c>
      <c r="BI42" s="5">
        <f t="shared" si="48"/>
        <v>0</v>
      </c>
      <c r="BJ42" s="5">
        <f t="shared" si="49"/>
        <v>0</v>
      </c>
      <c r="BK42" s="5">
        <f t="shared" si="50"/>
        <v>0</v>
      </c>
    </row>
    <row r="43" spans="1:63" s="100" customFormat="1" ht="16" hidden="1" customHeight="1">
      <c r="A43" s="17" t="s">
        <v>28</v>
      </c>
      <c r="B43" s="4" t="s">
        <v>141</v>
      </c>
      <c r="C43" s="4" t="s">
        <v>142</v>
      </c>
      <c r="D43" s="7" t="s">
        <v>109</v>
      </c>
      <c r="E43" s="7" t="s">
        <v>143</v>
      </c>
      <c r="F43" s="7" t="s">
        <v>36</v>
      </c>
      <c r="G43" s="109" t="s">
        <v>37</v>
      </c>
      <c r="H43" s="110" t="s">
        <v>38</v>
      </c>
      <c r="I43" s="7"/>
      <c r="J43" s="7"/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/>
      <c r="R43" s="7"/>
      <c r="S43" s="7"/>
      <c r="T43" s="7"/>
      <c r="U43" s="7"/>
      <c r="V43" s="7"/>
      <c r="W43" s="7"/>
      <c r="X43" s="114">
        <v>0</v>
      </c>
      <c r="Y43" s="114">
        <v>0</v>
      </c>
      <c r="Z43" s="117">
        <f t="shared" si="40"/>
        <v>0</v>
      </c>
      <c r="AA43" s="5"/>
      <c r="AB43" s="118">
        <v>0</v>
      </c>
      <c r="AC43" s="119">
        <v>0</v>
      </c>
      <c r="AD43" s="5">
        <f t="shared" si="41"/>
        <v>0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4"/>
      <c r="AQ43" s="4"/>
      <c r="AR43" s="4"/>
      <c r="AS43" s="4"/>
      <c r="AT43" s="17">
        <f t="shared" si="42"/>
        <v>0</v>
      </c>
      <c r="AU43" s="122">
        <f t="shared" si="43"/>
        <v>0</v>
      </c>
      <c r="AV43" s="123"/>
      <c r="AW43" s="5">
        <f t="shared" si="44"/>
        <v>0</v>
      </c>
      <c r="AX43" s="5">
        <f t="shared" si="13"/>
        <v>0</v>
      </c>
      <c r="AY43" s="5">
        <f t="shared" si="14"/>
        <v>0</v>
      </c>
      <c r="AZ43" s="5">
        <f t="shared" si="15"/>
        <v>0</v>
      </c>
      <c r="BA43" s="5">
        <f t="shared" si="16"/>
        <v>0</v>
      </c>
      <c r="BB43" s="5">
        <f t="shared" si="17"/>
        <v>0</v>
      </c>
      <c r="BC43" s="5">
        <f t="shared" si="18"/>
        <v>0</v>
      </c>
      <c r="BD43" s="5">
        <f t="shared" si="19"/>
        <v>0</v>
      </c>
      <c r="BE43" s="5">
        <f t="shared" si="20"/>
        <v>0</v>
      </c>
      <c r="BF43" s="5">
        <f t="shared" si="45"/>
        <v>0</v>
      </c>
      <c r="BG43" s="5">
        <f t="shared" si="46"/>
        <v>0</v>
      </c>
      <c r="BH43" s="5">
        <f t="shared" si="47"/>
        <v>0</v>
      </c>
      <c r="BI43" s="5">
        <f t="shared" si="48"/>
        <v>0</v>
      </c>
      <c r="BJ43" s="5">
        <f t="shared" si="49"/>
        <v>0</v>
      </c>
      <c r="BK43" s="5">
        <f t="shared" si="50"/>
        <v>0</v>
      </c>
    </row>
    <row r="44" spans="1:63" s="100" customFormat="1" ht="16" hidden="1" customHeight="1">
      <c r="A44" s="17" t="s">
        <v>28</v>
      </c>
      <c r="B44" s="4" t="s">
        <v>144</v>
      </c>
      <c r="C44" s="4" t="s">
        <v>145</v>
      </c>
      <c r="D44" s="7" t="s">
        <v>109</v>
      </c>
      <c r="E44" s="7" t="s">
        <v>86</v>
      </c>
      <c r="F44" s="7" t="s">
        <v>36</v>
      </c>
      <c r="G44" s="109" t="s">
        <v>37</v>
      </c>
      <c r="H44" s="110" t="s">
        <v>38</v>
      </c>
      <c r="I44" s="7"/>
      <c r="J44" s="7"/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/>
      <c r="R44" s="7"/>
      <c r="S44" s="7"/>
      <c r="T44" s="7"/>
      <c r="U44" s="7"/>
      <c r="V44" s="7"/>
      <c r="W44" s="7"/>
      <c r="X44" s="114">
        <v>0</v>
      </c>
      <c r="Y44" s="114">
        <v>0</v>
      </c>
      <c r="Z44" s="117">
        <f t="shared" si="40"/>
        <v>0</v>
      </c>
      <c r="AA44" s="5"/>
      <c r="AB44" s="118">
        <v>0</v>
      </c>
      <c r="AC44" s="119">
        <v>0</v>
      </c>
      <c r="AD44" s="5">
        <f t="shared" si="41"/>
        <v>0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4"/>
      <c r="AQ44" s="4"/>
      <c r="AR44" s="4"/>
      <c r="AS44" s="4"/>
      <c r="AT44" s="17">
        <f t="shared" si="42"/>
        <v>0</v>
      </c>
      <c r="AU44" s="122">
        <f t="shared" si="43"/>
        <v>0</v>
      </c>
      <c r="AV44" s="123"/>
      <c r="AW44" s="5">
        <f t="shared" si="44"/>
        <v>0</v>
      </c>
      <c r="AX44" s="5">
        <f t="shared" si="13"/>
        <v>0</v>
      </c>
      <c r="AY44" s="5">
        <f t="shared" si="14"/>
        <v>0</v>
      </c>
      <c r="AZ44" s="5">
        <f t="shared" si="15"/>
        <v>0</v>
      </c>
      <c r="BA44" s="5">
        <f t="shared" si="16"/>
        <v>0</v>
      </c>
      <c r="BB44" s="5">
        <f t="shared" si="17"/>
        <v>0</v>
      </c>
      <c r="BC44" s="5">
        <f t="shared" si="18"/>
        <v>0</v>
      </c>
      <c r="BD44" s="5">
        <f t="shared" si="19"/>
        <v>0</v>
      </c>
      <c r="BE44" s="5">
        <f t="shared" si="20"/>
        <v>0</v>
      </c>
      <c r="BF44" s="5">
        <f t="shared" si="45"/>
        <v>0</v>
      </c>
      <c r="BG44" s="5">
        <f t="shared" si="46"/>
        <v>0</v>
      </c>
      <c r="BH44" s="5">
        <f t="shared" si="47"/>
        <v>0</v>
      </c>
      <c r="BI44" s="5">
        <f t="shared" si="48"/>
        <v>0</v>
      </c>
      <c r="BJ44" s="5">
        <f t="shared" si="49"/>
        <v>0</v>
      </c>
      <c r="BK44" s="5">
        <f t="shared" si="50"/>
        <v>0</v>
      </c>
    </row>
    <row r="45" spans="1:63" s="100" customFormat="1" ht="16" hidden="1" customHeight="1">
      <c r="A45" s="17" t="s">
        <v>28</v>
      </c>
      <c r="B45" s="4" t="s">
        <v>146</v>
      </c>
      <c r="C45" s="4" t="s">
        <v>147</v>
      </c>
      <c r="D45" s="7" t="s">
        <v>109</v>
      </c>
      <c r="E45" s="7" t="s">
        <v>86</v>
      </c>
      <c r="F45" s="7" t="s">
        <v>36</v>
      </c>
      <c r="G45" s="109" t="s">
        <v>37</v>
      </c>
      <c r="H45" s="110" t="s">
        <v>38</v>
      </c>
      <c r="I45" s="7"/>
      <c r="J45" s="7"/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/>
      <c r="R45" s="7"/>
      <c r="S45" s="7"/>
      <c r="T45" s="7"/>
      <c r="U45" s="7"/>
      <c r="V45" s="7"/>
      <c r="W45" s="7"/>
      <c r="X45" s="114">
        <v>0</v>
      </c>
      <c r="Y45" s="114">
        <v>0</v>
      </c>
      <c r="Z45" s="117">
        <f t="shared" si="40"/>
        <v>0</v>
      </c>
      <c r="AA45" s="5"/>
      <c r="AB45" s="118">
        <v>0</v>
      </c>
      <c r="AC45" s="119">
        <v>0</v>
      </c>
      <c r="AD45" s="5">
        <f t="shared" si="41"/>
        <v>0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4"/>
      <c r="AQ45" s="4"/>
      <c r="AR45" s="4"/>
      <c r="AS45" s="4"/>
      <c r="AT45" s="17">
        <f t="shared" si="42"/>
        <v>0</v>
      </c>
      <c r="AU45" s="122">
        <f t="shared" si="43"/>
        <v>0</v>
      </c>
      <c r="AV45" s="123"/>
      <c r="AW45" s="5">
        <f t="shared" si="44"/>
        <v>0</v>
      </c>
      <c r="AX45" s="5">
        <f t="shared" si="13"/>
        <v>0</v>
      </c>
      <c r="AY45" s="5">
        <f t="shared" si="14"/>
        <v>0</v>
      </c>
      <c r="AZ45" s="5">
        <f t="shared" si="15"/>
        <v>0</v>
      </c>
      <c r="BA45" s="5">
        <f t="shared" si="16"/>
        <v>0</v>
      </c>
      <c r="BB45" s="5">
        <f t="shared" si="17"/>
        <v>0</v>
      </c>
      <c r="BC45" s="5">
        <f t="shared" si="18"/>
        <v>0</v>
      </c>
      <c r="BD45" s="5">
        <f t="shared" si="19"/>
        <v>0</v>
      </c>
      <c r="BE45" s="5">
        <f t="shared" si="20"/>
        <v>0</v>
      </c>
      <c r="BF45" s="5">
        <f t="shared" si="45"/>
        <v>0</v>
      </c>
      <c r="BG45" s="5">
        <f t="shared" si="46"/>
        <v>0</v>
      </c>
      <c r="BH45" s="5">
        <f t="shared" si="47"/>
        <v>0</v>
      </c>
      <c r="BI45" s="5">
        <f t="shared" si="48"/>
        <v>0</v>
      </c>
      <c r="BJ45" s="5">
        <f t="shared" si="49"/>
        <v>0</v>
      </c>
      <c r="BK45" s="5">
        <f t="shared" si="50"/>
        <v>0</v>
      </c>
    </row>
    <row r="46" spans="1:63" s="100" customFormat="1" ht="16" hidden="1" customHeight="1">
      <c r="A46" s="17" t="s">
        <v>28</v>
      </c>
      <c r="B46" s="4" t="s">
        <v>148</v>
      </c>
      <c r="C46" s="4" t="s">
        <v>149</v>
      </c>
      <c r="D46" s="7" t="s">
        <v>109</v>
      </c>
      <c r="E46" s="7" t="s">
        <v>115</v>
      </c>
      <c r="F46" s="7" t="s">
        <v>36</v>
      </c>
      <c r="G46" s="109" t="s">
        <v>37</v>
      </c>
      <c r="H46" s="110" t="s">
        <v>38</v>
      </c>
      <c r="I46" s="7"/>
      <c r="J46" s="7"/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/>
      <c r="R46" s="7"/>
      <c r="S46" s="7"/>
      <c r="T46" s="7"/>
      <c r="U46" s="7"/>
      <c r="V46" s="7"/>
      <c r="W46" s="7"/>
      <c r="X46" s="114">
        <v>0</v>
      </c>
      <c r="Y46" s="114">
        <v>0</v>
      </c>
      <c r="Z46" s="117">
        <f t="shared" si="40"/>
        <v>0</v>
      </c>
      <c r="AA46" s="5"/>
      <c r="AB46" s="118">
        <v>0</v>
      </c>
      <c r="AC46" s="119">
        <v>0</v>
      </c>
      <c r="AD46" s="5">
        <f t="shared" si="41"/>
        <v>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4"/>
      <c r="AQ46" s="4"/>
      <c r="AR46" s="4"/>
      <c r="AS46" s="4"/>
      <c r="AT46" s="17">
        <f t="shared" si="42"/>
        <v>0</v>
      </c>
      <c r="AU46" s="122">
        <f t="shared" si="43"/>
        <v>0</v>
      </c>
      <c r="AV46" s="123"/>
      <c r="AW46" s="5">
        <f t="shared" si="44"/>
        <v>0</v>
      </c>
      <c r="AX46" s="5">
        <f t="shared" si="13"/>
        <v>0</v>
      </c>
      <c r="AY46" s="5">
        <f t="shared" si="14"/>
        <v>0</v>
      </c>
      <c r="AZ46" s="5">
        <f t="shared" si="15"/>
        <v>0</v>
      </c>
      <c r="BA46" s="5">
        <f t="shared" si="16"/>
        <v>0</v>
      </c>
      <c r="BB46" s="5">
        <f t="shared" si="17"/>
        <v>0</v>
      </c>
      <c r="BC46" s="5">
        <f t="shared" si="18"/>
        <v>0</v>
      </c>
      <c r="BD46" s="5">
        <f t="shared" si="19"/>
        <v>0</v>
      </c>
      <c r="BE46" s="5">
        <f t="shared" si="20"/>
        <v>0</v>
      </c>
      <c r="BF46" s="5">
        <f t="shared" si="45"/>
        <v>0</v>
      </c>
      <c r="BG46" s="5">
        <f t="shared" si="46"/>
        <v>0</v>
      </c>
      <c r="BH46" s="5">
        <f t="shared" si="47"/>
        <v>0</v>
      </c>
      <c r="BI46" s="5">
        <f t="shared" si="48"/>
        <v>0</v>
      </c>
      <c r="BJ46" s="5">
        <f t="shared" si="49"/>
        <v>0</v>
      </c>
      <c r="BK46" s="5">
        <f t="shared" si="50"/>
        <v>0</v>
      </c>
    </row>
    <row r="47" spans="1:63" s="100" customFormat="1" ht="16" hidden="1" customHeight="1">
      <c r="A47" s="17" t="s">
        <v>28</v>
      </c>
      <c r="B47" s="7" t="s">
        <v>150</v>
      </c>
      <c r="C47" s="4" t="s">
        <v>151</v>
      </c>
      <c r="D47" s="7" t="s">
        <v>109</v>
      </c>
      <c r="E47" s="7" t="s">
        <v>122</v>
      </c>
      <c r="F47" s="7" t="s">
        <v>36</v>
      </c>
      <c r="G47" s="109" t="s">
        <v>37</v>
      </c>
      <c r="H47" s="110" t="s">
        <v>38</v>
      </c>
      <c r="I47" s="7"/>
      <c r="J47" s="7"/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/>
      <c r="R47" s="7"/>
      <c r="S47" s="7"/>
      <c r="T47" s="7"/>
      <c r="U47" s="7"/>
      <c r="V47" s="7"/>
      <c r="W47" s="7"/>
      <c r="X47" s="114">
        <v>0</v>
      </c>
      <c r="Y47" s="114">
        <v>0</v>
      </c>
      <c r="Z47" s="117">
        <f t="shared" si="40"/>
        <v>0</v>
      </c>
      <c r="AA47" s="5"/>
      <c r="AB47" s="118">
        <v>0</v>
      </c>
      <c r="AC47" s="119">
        <v>0</v>
      </c>
      <c r="AD47" s="5">
        <f t="shared" si="41"/>
        <v>0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4"/>
      <c r="AQ47" s="4"/>
      <c r="AR47" s="4"/>
      <c r="AS47" s="4"/>
      <c r="AT47" s="17">
        <f t="shared" si="42"/>
        <v>0</v>
      </c>
      <c r="AU47" s="122">
        <f t="shared" si="43"/>
        <v>0</v>
      </c>
      <c r="AV47" s="123"/>
      <c r="AW47" s="5">
        <f t="shared" si="44"/>
        <v>0</v>
      </c>
      <c r="AX47" s="5">
        <f t="shared" si="13"/>
        <v>0</v>
      </c>
      <c r="AY47" s="5">
        <f t="shared" si="14"/>
        <v>0</v>
      </c>
      <c r="AZ47" s="5">
        <f t="shared" si="15"/>
        <v>0</v>
      </c>
      <c r="BA47" s="5">
        <f t="shared" si="16"/>
        <v>0</v>
      </c>
      <c r="BB47" s="5">
        <f t="shared" si="17"/>
        <v>0</v>
      </c>
      <c r="BC47" s="5">
        <f t="shared" si="18"/>
        <v>0</v>
      </c>
      <c r="BD47" s="5">
        <f t="shared" si="19"/>
        <v>0</v>
      </c>
      <c r="BE47" s="5">
        <f t="shared" si="20"/>
        <v>0</v>
      </c>
      <c r="BF47" s="5">
        <f t="shared" si="45"/>
        <v>0</v>
      </c>
      <c r="BG47" s="5">
        <f t="shared" si="46"/>
        <v>0</v>
      </c>
      <c r="BH47" s="5">
        <f t="shared" si="47"/>
        <v>0</v>
      </c>
      <c r="BI47" s="5">
        <f t="shared" si="48"/>
        <v>0</v>
      </c>
      <c r="BJ47" s="5">
        <f t="shared" si="49"/>
        <v>0</v>
      </c>
      <c r="BK47" s="5">
        <f t="shared" si="50"/>
        <v>0</v>
      </c>
    </row>
    <row r="48" spans="1:63" s="100" customFormat="1" ht="16" hidden="1" customHeight="1">
      <c r="A48" s="17" t="s">
        <v>28</v>
      </c>
      <c r="B48" s="7" t="s">
        <v>152</v>
      </c>
      <c r="C48" s="4" t="s">
        <v>153</v>
      </c>
      <c r="D48" s="7" t="s">
        <v>154</v>
      </c>
      <c r="E48" s="7" t="s">
        <v>44</v>
      </c>
      <c r="F48" s="7" t="s">
        <v>36</v>
      </c>
      <c r="G48" s="109" t="s">
        <v>37</v>
      </c>
      <c r="H48" s="110" t="s">
        <v>45</v>
      </c>
      <c r="I48" s="7"/>
      <c r="J48" s="7"/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/>
      <c r="R48" s="7"/>
      <c r="S48" s="7"/>
      <c r="T48" s="7"/>
      <c r="U48" s="7"/>
      <c r="V48" s="7"/>
      <c r="W48" s="7"/>
      <c r="X48" s="114">
        <v>0</v>
      </c>
      <c r="Y48" s="114">
        <v>0</v>
      </c>
      <c r="Z48" s="117">
        <f t="shared" si="40"/>
        <v>0</v>
      </c>
      <c r="AA48" s="5"/>
      <c r="AB48" s="118">
        <v>0</v>
      </c>
      <c r="AC48" s="119">
        <v>0</v>
      </c>
      <c r="AD48" s="5">
        <f t="shared" si="41"/>
        <v>0</v>
      </c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4"/>
      <c r="AQ48" s="4"/>
      <c r="AR48" s="4"/>
      <c r="AS48" s="4"/>
      <c r="AT48" s="17">
        <f t="shared" si="42"/>
        <v>0</v>
      </c>
      <c r="AU48" s="122">
        <f t="shared" si="43"/>
        <v>0</v>
      </c>
      <c r="AV48" s="123"/>
      <c r="AW48" s="5">
        <f t="shared" si="44"/>
        <v>0</v>
      </c>
      <c r="AX48" s="5">
        <f t="shared" si="13"/>
        <v>0</v>
      </c>
      <c r="AY48" s="5">
        <f t="shared" si="14"/>
        <v>0</v>
      </c>
      <c r="AZ48" s="5">
        <f t="shared" si="15"/>
        <v>0</v>
      </c>
      <c r="BA48" s="5">
        <f t="shared" si="16"/>
        <v>0</v>
      </c>
      <c r="BB48" s="5">
        <f t="shared" si="17"/>
        <v>0</v>
      </c>
      <c r="BC48" s="5">
        <f t="shared" si="18"/>
        <v>0</v>
      </c>
      <c r="BD48" s="5">
        <f t="shared" si="19"/>
        <v>0</v>
      </c>
      <c r="BE48" s="5">
        <f t="shared" si="20"/>
        <v>0</v>
      </c>
      <c r="BF48" s="5">
        <f t="shared" si="45"/>
        <v>0</v>
      </c>
      <c r="BG48" s="5">
        <f t="shared" si="46"/>
        <v>0</v>
      </c>
      <c r="BH48" s="5">
        <f t="shared" si="47"/>
        <v>0</v>
      </c>
      <c r="BI48" s="5">
        <f t="shared" si="48"/>
        <v>0</v>
      </c>
      <c r="BJ48" s="5">
        <f t="shared" si="49"/>
        <v>0</v>
      </c>
      <c r="BK48" s="5">
        <f t="shared" si="50"/>
        <v>0</v>
      </c>
    </row>
    <row r="49" spans="1:63" s="100" customFormat="1" ht="16" hidden="1" customHeight="1">
      <c r="A49" s="17" t="s">
        <v>28</v>
      </c>
      <c r="B49" s="4" t="s">
        <v>155</v>
      </c>
      <c r="C49" s="4" t="s">
        <v>156</v>
      </c>
      <c r="D49" s="7" t="s">
        <v>109</v>
      </c>
      <c r="E49" s="7" t="s">
        <v>157</v>
      </c>
      <c r="F49" s="7" t="s">
        <v>36</v>
      </c>
      <c r="G49" s="109" t="s">
        <v>37</v>
      </c>
      <c r="H49" s="110" t="s">
        <v>38</v>
      </c>
      <c r="I49" s="7"/>
      <c r="J49" s="7"/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/>
      <c r="R49" s="7"/>
      <c r="S49" s="7"/>
      <c r="T49" s="7"/>
      <c r="U49" s="7"/>
      <c r="V49" s="7"/>
      <c r="W49" s="7"/>
      <c r="X49" s="114">
        <v>0</v>
      </c>
      <c r="Y49" s="114">
        <v>0</v>
      </c>
      <c r="Z49" s="117">
        <f t="shared" si="40"/>
        <v>0</v>
      </c>
      <c r="AA49" s="5"/>
      <c r="AB49" s="118">
        <v>0</v>
      </c>
      <c r="AC49" s="119">
        <v>0</v>
      </c>
      <c r="AD49" s="5">
        <f t="shared" si="41"/>
        <v>0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4"/>
      <c r="AQ49" s="4"/>
      <c r="AR49" s="4"/>
      <c r="AS49" s="4"/>
      <c r="AT49" s="17">
        <f t="shared" si="42"/>
        <v>0</v>
      </c>
      <c r="AU49" s="122">
        <f t="shared" si="43"/>
        <v>0</v>
      </c>
      <c r="AV49" s="123"/>
      <c r="AW49" s="5">
        <f t="shared" si="44"/>
        <v>0</v>
      </c>
      <c r="AX49" s="5">
        <f t="shared" si="13"/>
        <v>0</v>
      </c>
      <c r="AY49" s="5">
        <f t="shared" si="14"/>
        <v>0</v>
      </c>
      <c r="AZ49" s="5">
        <f t="shared" si="15"/>
        <v>0</v>
      </c>
      <c r="BA49" s="5">
        <f t="shared" si="16"/>
        <v>0</v>
      </c>
      <c r="BB49" s="5">
        <f t="shared" si="17"/>
        <v>0</v>
      </c>
      <c r="BC49" s="5">
        <f t="shared" si="18"/>
        <v>0</v>
      </c>
      <c r="BD49" s="5">
        <f t="shared" si="19"/>
        <v>0</v>
      </c>
      <c r="BE49" s="5">
        <f t="shared" si="20"/>
        <v>0</v>
      </c>
      <c r="BF49" s="5">
        <f t="shared" si="45"/>
        <v>0</v>
      </c>
      <c r="BG49" s="5">
        <f t="shared" si="46"/>
        <v>0</v>
      </c>
      <c r="BH49" s="5">
        <f t="shared" si="47"/>
        <v>0</v>
      </c>
      <c r="BI49" s="5">
        <f t="shared" si="48"/>
        <v>0</v>
      </c>
      <c r="BJ49" s="5">
        <f t="shared" si="49"/>
        <v>0</v>
      </c>
      <c r="BK49" s="5">
        <f t="shared" si="50"/>
        <v>0</v>
      </c>
    </row>
    <row r="50" spans="1:63" s="100" customFormat="1" ht="16" hidden="1" customHeight="1">
      <c r="A50" s="17" t="s">
        <v>28</v>
      </c>
      <c r="B50" s="4" t="s">
        <v>158</v>
      </c>
      <c r="C50" s="4" t="s">
        <v>159</v>
      </c>
      <c r="D50" s="7" t="s">
        <v>109</v>
      </c>
      <c r="E50" s="7" t="s">
        <v>160</v>
      </c>
      <c r="F50" s="7" t="s">
        <v>36</v>
      </c>
      <c r="G50" s="109" t="s">
        <v>37</v>
      </c>
      <c r="H50" s="110" t="s">
        <v>38</v>
      </c>
      <c r="I50" s="7"/>
      <c r="J50" s="7"/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/>
      <c r="R50" s="7"/>
      <c r="S50" s="7"/>
      <c r="T50" s="7"/>
      <c r="U50" s="7"/>
      <c r="V50" s="7"/>
      <c r="W50" s="7"/>
      <c r="X50" s="114">
        <v>0</v>
      </c>
      <c r="Y50" s="114">
        <v>0</v>
      </c>
      <c r="Z50" s="117">
        <f t="shared" si="40"/>
        <v>0</v>
      </c>
      <c r="AA50" s="5"/>
      <c r="AB50" s="118">
        <v>0</v>
      </c>
      <c r="AC50" s="119">
        <v>0</v>
      </c>
      <c r="AD50" s="5">
        <f t="shared" si="41"/>
        <v>0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4"/>
      <c r="AQ50" s="4"/>
      <c r="AR50" s="4"/>
      <c r="AS50" s="4"/>
      <c r="AT50" s="17">
        <f t="shared" si="42"/>
        <v>0</v>
      </c>
      <c r="AU50" s="122">
        <f t="shared" si="43"/>
        <v>0</v>
      </c>
      <c r="AV50" s="123"/>
      <c r="AW50" s="5">
        <f t="shared" si="44"/>
        <v>0</v>
      </c>
      <c r="AX50" s="5">
        <f t="shared" si="13"/>
        <v>0</v>
      </c>
      <c r="AY50" s="5">
        <f t="shared" si="14"/>
        <v>0</v>
      </c>
      <c r="AZ50" s="5">
        <f t="shared" si="15"/>
        <v>0</v>
      </c>
      <c r="BA50" s="5">
        <f t="shared" si="16"/>
        <v>0</v>
      </c>
      <c r="BB50" s="5">
        <f t="shared" si="17"/>
        <v>0</v>
      </c>
      <c r="BC50" s="5">
        <f t="shared" si="18"/>
        <v>0</v>
      </c>
      <c r="BD50" s="5">
        <f t="shared" si="19"/>
        <v>0</v>
      </c>
      <c r="BE50" s="5">
        <f t="shared" si="20"/>
        <v>0</v>
      </c>
      <c r="BF50" s="5">
        <f t="shared" si="45"/>
        <v>0</v>
      </c>
      <c r="BG50" s="5">
        <f t="shared" si="46"/>
        <v>0</v>
      </c>
      <c r="BH50" s="5">
        <f t="shared" si="47"/>
        <v>0</v>
      </c>
      <c r="BI50" s="5">
        <f t="shared" si="48"/>
        <v>0</v>
      </c>
      <c r="BJ50" s="5">
        <f t="shared" si="49"/>
        <v>0</v>
      </c>
      <c r="BK50" s="5">
        <f t="shared" si="50"/>
        <v>0</v>
      </c>
    </row>
    <row r="51" spans="1:63" s="100" customFormat="1" ht="16" hidden="1" customHeight="1">
      <c r="A51" s="17" t="s">
        <v>28</v>
      </c>
      <c r="B51" s="4" t="s">
        <v>161</v>
      </c>
      <c r="C51" s="4" t="s">
        <v>162</v>
      </c>
      <c r="D51" s="7" t="s">
        <v>109</v>
      </c>
      <c r="E51" s="7" t="s">
        <v>163</v>
      </c>
      <c r="F51" s="7" t="s">
        <v>36</v>
      </c>
      <c r="G51" s="109" t="s">
        <v>37</v>
      </c>
      <c r="H51" s="110" t="s">
        <v>38</v>
      </c>
      <c r="I51" s="7"/>
      <c r="J51" s="7"/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/>
      <c r="R51" s="7"/>
      <c r="S51" s="7"/>
      <c r="T51" s="7"/>
      <c r="U51" s="7"/>
      <c r="V51" s="7"/>
      <c r="W51" s="7"/>
      <c r="X51" s="114">
        <v>5500</v>
      </c>
      <c r="Y51" s="114">
        <v>0</v>
      </c>
      <c r="Z51" s="117">
        <f t="shared" si="40"/>
        <v>5500</v>
      </c>
      <c r="AA51" s="5"/>
      <c r="AB51" s="118">
        <v>0</v>
      </c>
      <c r="AC51" s="119">
        <v>0</v>
      </c>
      <c r="AD51" s="5">
        <f t="shared" si="41"/>
        <v>0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4"/>
      <c r="AQ51" s="4"/>
      <c r="AR51" s="4"/>
      <c r="AS51" s="4"/>
      <c r="AT51" s="17">
        <f t="shared" si="42"/>
        <v>0</v>
      </c>
      <c r="AU51" s="122">
        <f t="shared" si="43"/>
        <v>0</v>
      </c>
      <c r="AV51" s="123"/>
      <c r="AW51" s="5">
        <f t="shared" si="44"/>
        <v>0</v>
      </c>
      <c r="AX51" s="5">
        <f t="shared" si="13"/>
        <v>0</v>
      </c>
      <c r="AY51" s="5">
        <f t="shared" si="14"/>
        <v>0</v>
      </c>
      <c r="AZ51" s="5">
        <f t="shared" si="15"/>
        <v>0</v>
      </c>
      <c r="BA51" s="5">
        <f t="shared" si="16"/>
        <v>0</v>
      </c>
      <c r="BB51" s="5">
        <f t="shared" si="17"/>
        <v>0</v>
      </c>
      <c r="BC51" s="5">
        <f t="shared" si="18"/>
        <v>0</v>
      </c>
      <c r="BD51" s="5">
        <f t="shared" si="19"/>
        <v>0</v>
      </c>
      <c r="BE51" s="5">
        <f t="shared" si="20"/>
        <v>0</v>
      </c>
      <c r="BF51" s="5">
        <f t="shared" si="45"/>
        <v>0</v>
      </c>
      <c r="BG51" s="5">
        <f t="shared" si="46"/>
        <v>0</v>
      </c>
      <c r="BH51" s="5">
        <f t="shared" si="47"/>
        <v>0</v>
      </c>
      <c r="BI51" s="5">
        <f t="shared" si="48"/>
        <v>0</v>
      </c>
      <c r="BJ51" s="5">
        <f t="shared" si="49"/>
        <v>0</v>
      </c>
      <c r="BK51" s="5">
        <f t="shared" si="50"/>
        <v>0</v>
      </c>
    </row>
    <row r="52" spans="1:63" s="100" customFormat="1" ht="16" customHeight="1">
      <c r="A52" s="17" t="s">
        <v>28</v>
      </c>
      <c r="B52" s="4" t="s">
        <v>164</v>
      </c>
      <c r="C52" s="4" t="s">
        <v>165</v>
      </c>
      <c r="D52" s="7" t="s">
        <v>109</v>
      </c>
      <c r="E52" s="7" t="s">
        <v>140</v>
      </c>
      <c r="F52" s="7" t="s">
        <v>36</v>
      </c>
      <c r="G52" s="109" t="s">
        <v>37</v>
      </c>
      <c r="H52" s="110" t="s">
        <v>38</v>
      </c>
      <c r="I52" s="7"/>
      <c r="J52" s="7"/>
      <c r="K52" s="7">
        <v>37</v>
      </c>
      <c r="L52" s="7">
        <v>2000</v>
      </c>
      <c r="M52" s="7">
        <v>100</v>
      </c>
      <c r="N52" s="7">
        <v>2630</v>
      </c>
      <c r="O52" s="7">
        <v>900</v>
      </c>
      <c r="P52" s="7">
        <v>500</v>
      </c>
      <c r="Q52" s="7"/>
      <c r="R52" s="7"/>
      <c r="S52" s="7"/>
      <c r="T52" s="7"/>
      <c r="U52" s="7"/>
      <c r="V52" s="7"/>
      <c r="W52" s="7"/>
      <c r="X52" s="114">
        <v>37</v>
      </c>
      <c r="Y52" s="114">
        <v>37</v>
      </c>
      <c r="Z52" s="117">
        <f t="shared" si="40"/>
        <v>0</v>
      </c>
      <c r="AA52" s="5"/>
      <c r="AB52" s="118">
        <v>10067</v>
      </c>
      <c r="AC52" s="119">
        <v>0</v>
      </c>
      <c r="AD52" s="5">
        <f t="shared" si="41"/>
        <v>10030</v>
      </c>
      <c r="AE52" s="5"/>
      <c r="AF52" s="5"/>
      <c r="AG52" s="5"/>
      <c r="AH52" s="6">
        <v>2000</v>
      </c>
      <c r="AI52" s="6">
        <v>2000</v>
      </c>
      <c r="AJ52" s="6">
        <v>3500</v>
      </c>
      <c r="AK52" s="5"/>
      <c r="AL52" s="6">
        <v>2530</v>
      </c>
      <c r="AM52" s="5"/>
      <c r="AN52" s="5"/>
      <c r="AO52" s="5"/>
      <c r="AP52" s="4"/>
      <c r="AQ52" s="4"/>
      <c r="AR52" s="4"/>
      <c r="AS52" s="4"/>
      <c r="AT52" s="17">
        <f>SUM(AE52:AS52)</f>
        <v>10030</v>
      </c>
      <c r="AU52" s="122">
        <f t="shared" si="43"/>
        <v>0</v>
      </c>
      <c r="AV52" s="123"/>
      <c r="AW52" s="5">
        <f t="shared" si="44"/>
        <v>37</v>
      </c>
      <c r="AX52" s="5">
        <f t="shared" si="13"/>
        <v>37</v>
      </c>
      <c r="AY52" s="5">
        <f t="shared" si="14"/>
        <v>0</v>
      </c>
      <c r="AZ52" s="5">
        <f t="shared" si="15"/>
        <v>0</v>
      </c>
      <c r="BA52" s="5">
        <f t="shared" si="16"/>
        <v>1900</v>
      </c>
      <c r="BB52" s="5">
        <f t="shared" si="17"/>
        <v>2770</v>
      </c>
      <c r="BC52" s="5">
        <f t="shared" si="18"/>
        <v>1870</v>
      </c>
      <c r="BD52" s="5">
        <f t="shared" si="19"/>
        <v>3900</v>
      </c>
      <c r="BE52" s="5">
        <f t="shared" si="20"/>
        <v>3900</v>
      </c>
      <c r="BF52" s="5">
        <f t="shared" ref="BF52:BK52" si="51">BE52+AN52-R52</f>
        <v>3900</v>
      </c>
      <c r="BG52" s="5">
        <f t="shared" si="51"/>
        <v>3900</v>
      </c>
      <c r="BH52" s="5">
        <f t="shared" si="51"/>
        <v>3900</v>
      </c>
      <c r="BI52" s="5">
        <f t="shared" si="51"/>
        <v>3900</v>
      </c>
      <c r="BJ52" s="5">
        <f t="shared" si="51"/>
        <v>3900</v>
      </c>
      <c r="BK52" s="5">
        <f t="shared" si="51"/>
        <v>3900</v>
      </c>
    </row>
    <row r="53" spans="1:63" s="100" customFormat="1" ht="16" customHeight="1">
      <c r="A53" s="17" t="s">
        <v>28</v>
      </c>
      <c r="B53" s="4" t="s">
        <v>166</v>
      </c>
      <c r="C53" s="4" t="s">
        <v>167</v>
      </c>
      <c r="D53" s="7" t="s">
        <v>109</v>
      </c>
      <c r="E53" s="7" t="s">
        <v>163</v>
      </c>
      <c r="F53" s="7" t="s">
        <v>36</v>
      </c>
      <c r="G53" s="109" t="s">
        <v>37</v>
      </c>
      <c r="H53" s="110" t="s">
        <v>38</v>
      </c>
      <c r="I53" s="7"/>
      <c r="J53" s="7"/>
      <c r="K53" s="7">
        <v>0</v>
      </c>
      <c r="L53" s="7">
        <v>0</v>
      </c>
      <c r="M53" s="7">
        <v>0</v>
      </c>
      <c r="N53" s="7">
        <v>0</v>
      </c>
      <c r="O53" s="7">
        <v>50</v>
      </c>
      <c r="P53" s="7">
        <v>220</v>
      </c>
      <c r="Q53" s="7"/>
      <c r="R53" s="7"/>
      <c r="S53" s="7"/>
      <c r="T53" s="7"/>
      <c r="U53" s="7"/>
      <c r="V53" s="7"/>
      <c r="W53" s="7"/>
      <c r="X53" s="114">
        <v>0</v>
      </c>
      <c r="Y53" s="114">
        <v>0</v>
      </c>
      <c r="Z53" s="117">
        <f t="shared" si="40"/>
        <v>560</v>
      </c>
      <c r="AA53" s="5"/>
      <c r="AB53" s="118">
        <v>440</v>
      </c>
      <c r="AC53" s="119">
        <v>560</v>
      </c>
      <c r="AD53" s="5">
        <f t="shared" si="41"/>
        <v>1000</v>
      </c>
      <c r="AE53" s="5"/>
      <c r="AF53" s="5"/>
      <c r="AG53" s="5"/>
      <c r="AH53" s="5"/>
      <c r="AI53" s="5"/>
      <c r="AJ53" s="5"/>
      <c r="AK53" s="5"/>
      <c r="AL53" s="6">
        <v>1000</v>
      </c>
      <c r="AM53" s="5"/>
      <c r="AN53" s="5"/>
      <c r="AO53" s="5"/>
      <c r="AP53" s="4"/>
      <c r="AQ53" s="4"/>
      <c r="AR53" s="4"/>
      <c r="AS53" s="4"/>
      <c r="AT53" s="17">
        <f t="shared" si="42"/>
        <v>1000</v>
      </c>
      <c r="AU53" s="122">
        <f t="shared" si="43"/>
        <v>0</v>
      </c>
      <c r="AV53" s="123"/>
      <c r="AW53" s="5">
        <f t="shared" si="44"/>
        <v>0</v>
      </c>
      <c r="AX53" s="5">
        <f t="shared" si="13"/>
        <v>0</v>
      </c>
      <c r="AY53" s="5">
        <f t="shared" si="14"/>
        <v>0</v>
      </c>
      <c r="AZ53" s="5">
        <f t="shared" si="15"/>
        <v>0</v>
      </c>
      <c r="BA53" s="5">
        <f t="shared" si="16"/>
        <v>0</v>
      </c>
      <c r="BB53" s="5">
        <f t="shared" si="17"/>
        <v>0</v>
      </c>
      <c r="BC53" s="5">
        <f t="shared" si="18"/>
        <v>-50</v>
      </c>
      <c r="BD53" s="5">
        <f t="shared" si="19"/>
        <v>730</v>
      </c>
      <c r="BE53" s="5">
        <f t="shared" si="20"/>
        <v>730</v>
      </c>
      <c r="BF53" s="5">
        <f>BE53+AN53-R53</f>
        <v>730</v>
      </c>
      <c r="BG53" s="5">
        <f>BF53+AO53-S53</f>
        <v>730</v>
      </c>
      <c r="BH53" s="5">
        <f t="shared" ref="BH53:BK54" si="52">AP53+AJ53-T53</f>
        <v>0</v>
      </c>
      <c r="BI53" s="5">
        <f t="shared" si="52"/>
        <v>0</v>
      </c>
      <c r="BJ53" s="5">
        <f t="shared" si="52"/>
        <v>1000</v>
      </c>
      <c r="BK53" s="5">
        <f t="shared" si="52"/>
        <v>0</v>
      </c>
    </row>
    <row r="54" spans="1:63" s="100" customFormat="1" ht="16" hidden="1" customHeight="1">
      <c r="A54" s="17" t="s">
        <v>28</v>
      </c>
      <c r="B54" s="111" t="s">
        <v>168</v>
      </c>
      <c r="C54" s="111" t="s">
        <v>169</v>
      </c>
      <c r="D54" s="7" t="s">
        <v>109</v>
      </c>
      <c r="E54" s="7" t="s">
        <v>86</v>
      </c>
      <c r="F54" s="7" t="s">
        <v>36</v>
      </c>
      <c r="G54" s="109" t="s">
        <v>37</v>
      </c>
      <c r="H54" s="110" t="s">
        <v>38</v>
      </c>
      <c r="I54" s="7"/>
      <c r="J54" s="7"/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/>
      <c r="R54" s="7"/>
      <c r="S54" s="7"/>
      <c r="T54" s="7"/>
      <c r="U54" s="7"/>
      <c r="V54" s="7"/>
      <c r="W54" s="7"/>
      <c r="X54" s="114">
        <v>0</v>
      </c>
      <c r="Y54" s="114">
        <v>0</v>
      </c>
      <c r="Z54" s="117">
        <f t="shared" si="40"/>
        <v>0</v>
      </c>
      <c r="AA54" s="5"/>
      <c r="AB54" s="118">
        <v>0</v>
      </c>
      <c r="AC54" s="119">
        <v>0</v>
      </c>
      <c r="AD54" s="5">
        <f t="shared" si="41"/>
        <v>0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4"/>
      <c r="AQ54" s="4"/>
      <c r="AR54" s="4"/>
      <c r="AS54" s="4"/>
      <c r="AT54" s="17">
        <f t="shared" si="42"/>
        <v>0</v>
      </c>
      <c r="AU54" s="122">
        <f t="shared" si="43"/>
        <v>0</v>
      </c>
      <c r="AV54" s="123"/>
      <c r="AW54" s="5">
        <f t="shared" si="44"/>
        <v>0</v>
      </c>
      <c r="AX54" s="5">
        <f t="shared" si="13"/>
        <v>0</v>
      </c>
      <c r="AY54" s="5">
        <f t="shared" si="14"/>
        <v>0</v>
      </c>
      <c r="AZ54" s="5">
        <f t="shared" si="15"/>
        <v>0</v>
      </c>
      <c r="BA54" s="5">
        <f t="shared" si="16"/>
        <v>0</v>
      </c>
      <c r="BB54" s="5">
        <f t="shared" si="17"/>
        <v>0</v>
      </c>
      <c r="BC54" s="5">
        <f t="shared" si="18"/>
        <v>0</v>
      </c>
      <c r="BD54" s="5">
        <f t="shared" si="19"/>
        <v>0</v>
      </c>
      <c r="BE54" s="5">
        <f t="shared" si="20"/>
        <v>0</v>
      </c>
      <c r="BF54" s="5">
        <f>BE54+AN54-R54</f>
        <v>0</v>
      </c>
      <c r="BG54" s="5">
        <f>BF54+AO54-S54</f>
        <v>0</v>
      </c>
      <c r="BH54" s="5">
        <f t="shared" si="52"/>
        <v>0</v>
      </c>
      <c r="BI54" s="5">
        <f t="shared" si="52"/>
        <v>0</v>
      </c>
      <c r="BJ54" s="5">
        <f t="shared" si="52"/>
        <v>0</v>
      </c>
      <c r="BK54" s="5">
        <f t="shared" si="52"/>
        <v>0</v>
      </c>
    </row>
    <row r="55" spans="1:63" s="100" customFormat="1" ht="16" customHeight="1">
      <c r="A55" s="17" t="s">
        <v>28</v>
      </c>
      <c r="B55" s="4" t="s">
        <v>170</v>
      </c>
      <c r="C55" s="4" t="s">
        <v>171</v>
      </c>
      <c r="D55" s="7" t="s">
        <v>172</v>
      </c>
      <c r="E55" s="7" t="s">
        <v>173</v>
      </c>
      <c r="F55" s="7" t="s">
        <v>36</v>
      </c>
      <c r="G55" s="109" t="s">
        <v>58</v>
      </c>
      <c r="H55" s="110" t="s">
        <v>38</v>
      </c>
      <c r="I55" s="7"/>
      <c r="J55" s="7"/>
      <c r="K55" s="7">
        <v>0</v>
      </c>
      <c r="L55" s="7">
        <v>0</v>
      </c>
      <c r="M55" s="7">
        <v>0</v>
      </c>
      <c r="N55" s="7">
        <v>50</v>
      </c>
      <c r="O55" s="7">
        <v>100</v>
      </c>
      <c r="P55" s="7">
        <v>155</v>
      </c>
      <c r="Q55" s="7"/>
      <c r="R55" s="7"/>
      <c r="S55" s="7"/>
      <c r="T55" s="7"/>
      <c r="U55" s="7"/>
      <c r="V55" s="7"/>
      <c r="W55" s="7"/>
      <c r="X55" s="114">
        <v>41</v>
      </c>
      <c r="Y55" s="114">
        <v>41</v>
      </c>
      <c r="Z55" s="117">
        <f t="shared" si="40"/>
        <v>500</v>
      </c>
      <c r="AA55" s="5"/>
      <c r="AB55" s="118">
        <v>865</v>
      </c>
      <c r="AC55" s="119">
        <v>500</v>
      </c>
      <c r="AD55" s="5">
        <f t="shared" si="41"/>
        <v>1324</v>
      </c>
      <c r="AE55" s="5"/>
      <c r="AF55" s="5"/>
      <c r="AG55" s="5"/>
      <c r="AH55" s="5"/>
      <c r="AI55" s="5"/>
      <c r="AJ55" s="5"/>
      <c r="AK55" s="5"/>
      <c r="AL55" s="9">
        <v>1324</v>
      </c>
      <c r="AM55" s="5"/>
      <c r="AN55" s="5"/>
      <c r="AO55" s="5"/>
      <c r="AP55" s="4"/>
      <c r="AQ55" s="4"/>
      <c r="AR55" s="4"/>
      <c r="AS55" s="4"/>
      <c r="AT55" s="17">
        <f>SUM(AE55:AS55)</f>
        <v>1324</v>
      </c>
      <c r="AU55" s="122">
        <f t="shared" si="43"/>
        <v>0</v>
      </c>
      <c r="AV55" s="123"/>
      <c r="AW55" s="5">
        <f t="shared" si="44"/>
        <v>41</v>
      </c>
      <c r="AX55" s="5">
        <f t="shared" si="13"/>
        <v>41</v>
      </c>
      <c r="AY55" s="5">
        <f t="shared" si="14"/>
        <v>41</v>
      </c>
      <c r="AZ55" s="5">
        <f t="shared" si="15"/>
        <v>41</v>
      </c>
      <c r="BA55" s="5">
        <f t="shared" si="16"/>
        <v>41</v>
      </c>
      <c r="BB55" s="5">
        <f t="shared" si="17"/>
        <v>-9</v>
      </c>
      <c r="BC55" s="5">
        <f t="shared" si="18"/>
        <v>-109</v>
      </c>
      <c r="BD55" s="5">
        <f t="shared" si="19"/>
        <v>1060</v>
      </c>
      <c r="BE55" s="5">
        <f t="shared" si="20"/>
        <v>1060</v>
      </c>
      <c r="BF55" s="5">
        <f t="shared" ref="BF55:BK55" si="53">BE55+AN55-R55</f>
        <v>1060</v>
      </c>
      <c r="BG55" s="5">
        <f t="shared" si="53"/>
        <v>1060</v>
      </c>
      <c r="BH55" s="5">
        <f t="shared" si="53"/>
        <v>1060</v>
      </c>
      <c r="BI55" s="5">
        <f t="shared" si="53"/>
        <v>1060</v>
      </c>
      <c r="BJ55" s="5">
        <f t="shared" si="53"/>
        <v>1060</v>
      </c>
      <c r="BK55" s="5">
        <f t="shared" si="53"/>
        <v>1060</v>
      </c>
    </row>
    <row r="56" spans="1:63" s="100" customFormat="1" ht="16" customHeight="1">
      <c r="A56" s="7" t="s">
        <v>28</v>
      </c>
      <c r="B56" s="7" t="s">
        <v>174</v>
      </c>
      <c r="C56" s="7" t="s">
        <v>175</v>
      </c>
      <c r="D56" s="7" t="s">
        <v>172</v>
      </c>
      <c r="E56" s="7" t="s">
        <v>176</v>
      </c>
      <c r="F56" s="7" t="s">
        <v>36</v>
      </c>
      <c r="G56" s="109" t="s">
        <v>37</v>
      </c>
      <c r="H56" s="110" t="s">
        <v>38</v>
      </c>
      <c r="I56" s="7"/>
      <c r="J56" s="7"/>
      <c r="K56" s="7">
        <v>0</v>
      </c>
      <c r="L56" s="7">
        <v>0</v>
      </c>
      <c r="M56" s="7">
        <v>0</v>
      </c>
      <c r="N56" s="7">
        <v>100</v>
      </c>
      <c r="O56" s="7">
        <v>6</v>
      </c>
      <c r="P56" s="7">
        <v>502</v>
      </c>
      <c r="Q56" s="7"/>
      <c r="R56" s="7"/>
      <c r="S56" s="7"/>
      <c r="T56" s="7"/>
      <c r="U56" s="7"/>
      <c r="V56" s="7"/>
      <c r="W56" s="7"/>
      <c r="X56" s="114">
        <v>0</v>
      </c>
      <c r="Y56" s="114">
        <v>0</v>
      </c>
      <c r="Z56" s="117">
        <f t="shared" si="40"/>
        <v>1000</v>
      </c>
      <c r="AA56" s="5"/>
      <c r="AB56" s="118">
        <v>669</v>
      </c>
      <c r="AC56" s="119">
        <v>1000</v>
      </c>
      <c r="AD56" s="5">
        <f t="shared" si="41"/>
        <v>1669</v>
      </c>
      <c r="AE56" s="5"/>
      <c r="AF56" s="5"/>
      <c r="AG56" s="5"/>
      <c r="AH56" s="5"/>
      <c r="AI56" s="5"/>
      <c r="AJ56" s="5"/>
      <c r="AK56" s="5"/>
      <c r="AL56" s="9">
        <v>1669</v>
      </c>
      <c r="AM56" s="5"/>
      <c r="AN56" s="5"/>
      <c r="AO56" s="5"/>
      <c r="AP56" s="4"/>
      <c r="AQ56" s="4"/>
      <c r="AR56" s="4"/>
      <c r="AS56" s="4"/>
      <c r="AT56" s="17">
        <f>SUM(AE56:AS56)</f>
        <v>1669</v>
      </c>
      <c r="AU56" s="122">
        <f t="shared" si="43"/>
        <v>0</v>
      </c>
      <c r="AV56" s="123"/>
      <c r="AW56" s="5">
        <f t="shared" si="44"/>
        <v>0</v>
      </c>
      <c r="AX56" s="5">
        <f t="shared" si="13"/>
        <v>0</v>
      </c>
      <c r="AY56" s="5">
        <f t="shared" si="14"/>
        <v>0</v>
      </c>
      <c r="AZ56" s="5">
        <f t="shared" si="15"/>
        <v>0</v>
      </c>
      <c r="BA56" s="5">
        <f t="shared" si="16"/>
        <v>0</v>
      </c>
      <c r="BB56" s="5">
        <f t="shared" si="17"/>
        <v>-100</v>
      </c>
      <c r="BC56" s="5">
        <f t="shared" si="18"/>
        <v>-106</v>
      </c>
      <c r="BD56" s="5">
        <f t="shared" si="19"/>
        <v>1061</v>
      </c>
      <c r="BE56" s="5">
        <f t="shared" si="20"/>
        <v>1061</v>
      </c>
      <c r="BF56" s="5">
        <f t="shared" ref="BF56:BK56" si="54">BE56+AN56-R56</f>
        <v>1061</v>
      </c>
      <c r="BG56" s="5">
        <f t="shared" si="54"/>
        <v>1061</v>
      </c>
      <c r="BH56" s="5">
        <f t="shared" si="54"/>
        <v>1061</v>
      </c>
      <c r="BI56" s="5">
        <f t="shared" si="54"/>
        <v>1061</v>
      </c>
      <c r="BJ56" s="5">
        <f t="shared" si="54"/>
        <v>1061</v>
      </c>
      <c r="BK56" s="5">
        <f t="shared" si="54"/>
        <v>1061</v>
      </c>
    </row>
    <row r="57" spans="1:63" s="100" customFormat="1" ht="16" hidden="1" customHeight="1">
      <c r="A57" s="7" t="s">
        <v>28</v>
      </c>
      <c r="B57" s="7" t="s">
        <v>177</v>
      </c>
      <c r="C57" s="7" t="s">
        <v>178</v>
      </c>
      <c r="D57" s="7" t="s">
        <v>172</v>
      </c>
      <c r="E57" s="7" t="s">
        <v>176</v>
      </c>
      <c r="F57" s="7" t="s">
        <v>36</v>
      </c>
      <c r="G57" s="109" t="s">
        <v>37</v>
      </c>
      <c r="H57" s="110" t="s">
        <v>38</v>
      </c>
      <c r="I57" s="7"/>
      <c r="J57" s="7"/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/>
      <c r="R57" s="7"/>
      <c r="S57" s="7"/>
      <c r="T57" s="7"/>
      <c r="U57" s="7"/>
      <c r="V57" s="7"/>
      <c r="W57" s="7"/>
      <c r="X57" s="114">
        <v>0</v>
      </c>
      <c r="Y57" s="114">
        <v>0</v>
      </c>
      <c r="Z57" s="117">
        <f t="shared" si="40"/>
        <v>0</v>
      </c>
      <c r="AA57" s="5"/>
      <c r="AB57" s="118">
        <v>0</v>
      </c>
      <c r="AC57" s="119">
        <v>0</v>
      </c>
      <c r="AD57" s="5">
        <f t="shared" si="41"/>
        <v>0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4"/>
      <c r="AQ57" s="4"/>
      <c r="AR57" s="4"/>
      <c r="AS57" s="4"/>
      <c r="AT57" s="17">
        <f>SUM(AE57:AR57)</f>
        <v>0</v>
      </c>
      <c r="AU57" s="122">
        <f t="shared" si="43"/>
        <v>0</v>
      </c>
      <c r="AV57" s="123"/>
      <c r="AW57" s="5">
        <f t="shared" si="44"/>
        <v>0</v>
      </c>
      <c r="AX57" s="5">
        <f t="shared" si="13"/>
        <v>0</v>
      </c>
      <c r="AY57" s="5">
        <f t="shared" si="14"/>
        <v>0</v>
      </c>
      <c r="AZ57" s="5">
        <f t="shared" si="15"/>
        <v>0</v>
      </c>
      <c r="BA57" s="5">
        <f t="shared" si="16"/>
        <v>0</v>
      </c>
      <c r="BB57" s="5">
        <f t="shared" si="17"/>
        <v>0</v>
      </c>
      <c r="BC57" s="5">
        <f t="shared" si="18"/>
        <v>0</v>
      </c>
      <c r="BD57" s="5">
        <f t="shared" si="19"/>
        <v>0</v>
      </c>
      <c r="BE57" s="5">
        <f t="shared" si="20"/>
        <v>0</v>
      </c>
      <c r="BF57" s="5">
        <f t="shared" ref="BF57:BG60" si="55">BE57+AN57-R57</f>
        <v>0</v>
      </c>
      <c r="BG57" s="5">
        <f t="shared" si="55"/>
        <v>0</v>
      </c>
      <c r="BH57" s="5">
        <f t="shared" ref="BH57:BK60" si="56">AP57+AJ57-T57</f>
        <v>0</v>
      </c>
      <c r="BI57" s="5">
        <f t="shared" si="56"/>
        <v>0</v>
      </c>
      <c r="BJ57" s="5">
        <f t="shared" si="56"/>
        <v>0</v>
      </c>
      <c r="BK57" s="5">
        <f t="shared" si="56"/>
        <v>0</v>
      </c>
    </row>
    <row r="58" spans="1:63" s="100" customFormat="1" ht="16" hidden="1" customHeight="1">
      <c r="A58" s="7" t="s">
        <v>28</v>
      </c>
      <c r="B58" s="7" t="s">
        <v>179</v>
      </c>
      <c r="C58" s="7" t="s">
        <v>180</v>
      </c>
      <c r="D58" s="7" t="s">
        <v>172</v>
      </c>
      <c r="E58" s="7" t="s">
        <v>173</v>
      </c>
      <c r="F58" s="7" t="s">
        <v>36</v>
      </c>
      <c r="G58" s="109" t="s">
        <v>58</v>
      </c>
      <c r="H58" s="110" t="s">
        <v>38</v>
      </c>
      <c r="I58" s="7"/>
      <c r="J58" s="7"/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/>
      <c r="R58" s="7"/>
      <c r="S58" s="7"/>
      <c r="T58" s="7"/>
      <c r="U58" s="7"/>
      <c r="V58" s="7"/>
      <c r="W58" s="7"/>
      <c r="X58" s="114">
        <v>0</v>
      </c>
      <c r="Y58" s="114">
        <v>0</v>
      </c>
      <c r="Z58" s="117">
        <f t="shared" si="40"/>
        <v>0</v>
      </c>
      <c r="AA58" s="5"/>
      <c r="AB58" s="118">
        <v>0</v>
      </c>
      <c r="AC58" s="119">
        <v>0</v>
      </c>
      <c r="AD58" s="5">
        <f t="shared" si="41"/>
        <v>0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4"/>
      <c r="AQ58" s="4"/>
      <c r="AR58" s="4"/>
      <c r="AS58" s="4"/>
      <c r="AT58" s="17">
        <f>SUM(AE58:AR58)</f>
        <v>0</v>
      </c>
      <c r="AU58" s="122">
        <f t="shared" si="43"/>
        <v>0</v>
      </c>
      <c r="AV58" s="123"/>
      <c r="AW58" s="5">
        <f t="shared" si="44"/>
        <v>0</v>
      </c>
      <c r="AX58" s="5">
        <f t="shared" si="13"/>
        <v>0</v>
      </c>
      <c r="AY58" s="5">
        <f t="shared" si="14"/>
        <v>0</v>
      </c>
      <c r="AZ58" s="5">
        <f t="shared" si="15"/>
        <v>0</v>
      </c>
      <c r="BA58" s="5">
        <f t="shared" si="16"/>
        <v>0</v>
      </c>
      <c r="BB58" s="5">
        <f t="shared" si="17"/>
        <v>0</v>
      </c>
      <c r="BC58" s="5">
        <f t="shared" si="18"/>
        <v>0</v>
      </c>
      <c r="BD58" s="5">
        <f t="shared" si="19"/>
        <v>0</v>
      </c>
      <c r="BE58" s="5">
        <f t="shared" si="20"/>
        <v>0</v>
      </c>
      <c r="BF58" s="5">
        <f t="shared" si="55"/>
        <v>0</v>
      </c>
      <c r="BG58" s="5">
        <f t="shared" si="55"/>
        <v>0</v>
      </c>
      <c r="BH58" s="5">
        <f t="shared" si="56"/>
        <v>0</v>
      </c>
      <c r="BI58" s="5">
        <f t="shared" si="56"/>
        <v>0</v>
      </c>
      <c r="BJ58" s="5">
        <f t="shared" si="56"/>
        <v>0</v>
      </c>
      <c r="BK58" s="5">
        <f t="shared" si="56"/>
        <v>0</v>
      </c>
    </row>
    <row r="59" spans="1:63" s="100" customFormat="1" ht="16" customHeight="1">
      <c r="A59" s="7" t="s">
        <v>28</v>
      </c>
      <c r="B59" s="7" t="s">
        <v>181</v>
      </c>
      <c r="C59" s="7" t="s">
        <v>182</v>
      </c>
      <c r="D59" s="7" t="s">
        <v>172</v>
      </c>
      <c r="E59" s="7" t="s">
        <v>183</v>
      </c>
      <c r="F59" s="7" t="s">
        <v>36</v>
      </c>
      <c r="G59" s="109" t="s">
        <v>37</v>
      </c>
      <c r="H59" s="110" t="s">
        <v>38</v>
      </c>
      <c r="I59" s="7"/>
      <c r="J59" s="7"/>
      <c r="K59" s="7">
        <v>0</v>
      </c>
      <c r="L59" s="7">
        <v>0</v>
      </c>
      <c r="M59" s="7">
        <v>1075</v>
      </c>
      <c r="N59" s="7">
        <v>0</v>
      </c>
      <c r="O59" s="7">
        <v>700</v>
      </c>
      <c r="P59" s="7">
        <v>0</v>
      </c>
      <c r="Q59" s="7"/>
      <c r="R59" s="7"/>
      <c r="S59" s="7"/>
      <c r="T59" s="7"/>
      <c r="U59" s="7"/>
      <c r="V59" s="7"/>
      <c r="W59" s="7"/>
      <c r="X59" s="114">
        <v>176</v>
      </c>
      <c r="Y59" s="114">
        <v>176</v>
      </c>
      <c r="Z59" s="117">
        <f t="shared" si="40"/>
        <v>0</v>
      </c>
      <c r="AA59" s="5"/>
      <c r="AB59" s="118">
        <v>1775</v>
      </c>
      <c r="AC59" s="119">
        <v>0</v>
      </c>
      <c r="AD59" s="5">
        <f t="shared" si="41"/>
        <v>1599</v>
      </c>
      <c r="AE59" s="5"/>
      <c r="AF59" s="5"/>
      <c r="AG59" s="5"/>
      <c r="AH59" s="9">
        <v>1599</v>
      </c>
      <c r="AI59" s="5"/>
      <c r="AJ59" s="5"/>
      <c r="AK59" s="5"/>
      <c r="AL59" s="5"/>
      <c r="AM59" s="5"/>
      <c r="AN59" s="5"/>
      <c r="AO59" s="5"/>
      <c r="AP59" s="4"/>
      <c r="AQ59" s="4"/>
      <c r="AR59" s="4"/>
      <c r="AS59" s="4"/>
      <c r="AT59" s="17">
        <f>SUM(AE59:AR59)</f>
        <v>1599</v>
      </c>
      <c r="AU59" s="122">
        <f t="shared" si="43"/>
        <v>0</v>
      </c>
      <c r="AV59" s="123"/>
      <c r="AW59" s="5">
        <f t="shared" si="44"/>
        <v>176</v>
      </c>
      <c r="AX59" s="5">
        <f t="shared" si="13"/>
        <v>176</v>
      </c>
      <c r="AY59" s="5">
        <f t="shared" si="14"/>
        <v>176</v>
      </c>
      <c r="AZ59" s="5">
        <f t="shared" si="15"/>
        <v>1775</v>
      </c>
      <c r="BA59" s="5">
        <f t="shared" si="16"/>
        <v>700</v>
      </c>
      <c r="BB59" s="5">
        <f t="shared" si="17"/>
        <v>700</v>
      </c>
      <c r="BC59" s="5">
        <f t="shared" si="18"/>
        <v>0</v>
      </c>
      <c r="BD59" s="5">
        <f t="shared" si="19"/>
        <v>0</v>
      </c>
      <c r="BE59" s="5">
        <f t="shared" si="20"/>
        <v>0</v>
      </c>
      <c r="BF59" s="5">
        <f t="shared" si="55"/>
        <v>0</v>
      </c>
      <c r="BG59" s="5">
        <f t="shared" si="55"/>
        <v>0</v>
      </c>
      <c r="BH59" s="5">
        <f t="shared" si="56"/>
        <v>0</v>
      </c>
      <c r="BI59" s="5">
        <f t="shared" si="56"/>
        <v>0</v>
      </c>
      <c r="BJ59" s="5">
        <f t="shared" si="56"/>
        <v>0</v>
      </c>
      <c r="BK59" s="5">
        <f t="shared" si="56"/>
        <v>0</v>
      </c>
    </row>
    <row r="60" spans="1:63" s="100" customFormat="1" ht="16" hidden="1" customHeight="1">
      <c r="A60" s="7" t="s">
        <v>28</v>
      </c>
      <c r="B60" s="7" t="s">
        <v>184</v>
      </c>
      <c r="C60" s="7" t="s">
        <v>185</v>
      </c>
      <c r="D60" s="7" t="s">
        <v>172</v>
      </c>
      <c r="E60" s="7" t="s">
        <v>183</v>
      </c>
      <c r="F60" s="7" t="s">
        <v>36</v>
      </c>
      <c r="G60" s="109"/>
      <c r="H60" s="110"/>
      <c r="I60" s="7"/>
      <c r="J60" s="7"/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/>
      <c r="R60" s="7"/>
      <c r="S60" s="7"/>
      <c r="T60" s="7"/>
      <c r="U60" s="7"/>
      <c r="V60" s="7"/>
      <c r="W60" s="7"/>
      <c r="X60" s="114">
        <v>10980</v>
      </c>
      <c r="Y60" s="114">
        <v>0</v>
      </c>
      <c r="Z60" s="117">
        <f t="shared" si="40"/>
        <v>10980</v>
      </c>
      <c r="AA60" s="5"/>
      <c r="AB60" s="118">
        <v>0</v>
      </c>
      <c r="AC60" s="119">
        <v>0</v>
      </c>
      <c r="AD60" s="5">
        <f t="shared" si="41"/>
        <v>0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4"/>
      <c r="AQ60" s="4"/>
      <c r="AR60" s="4"/>
      <c r="AS60" s="4"/>
      <c r="AT60" s="17">
        <f>SUM(AE60:AR60)</f>
        <v>0</v>
      </c>
      <c r="AU60" s="122">
        <f t="shared" si="43"/>
        <v>0</v>
      </c>
      <c r="AV60" s="123"/>
      <c r="AW60" s="5">
        <f t="shared" si="44"/>
        <v>0</v>
      </c>
      <c r="AX60" s="5">
        <f t="shared" si="13"/>
        <v>0</v>
      </c>
      <c r="AY60" s="5">
        <f t="shared" si="14"/>
        <v>0</v>
      </c>
      <c r="AZ60" s="5">
        <f t="shared" si="15"/>
        <v>0</v>
      </c>
      <c r="BA60" s="5">
        <f t="shared" si="16"/>
        <v>0</v>
      </c>
      <c r="BB60" s="5">
        <f t="shared" si="17"/>
        <v>0</v>
      </c>
      <c r="BC60" s="5">
        <f t="shared" si="18"/>
        <v>0</v>
      </c>
      <c r="BD60" s="5">
        <f t="shared" si="19"/>
        <v>0</v>
      </c>
      <c r="BE60" s="5">
        <f t="shared" si="20"/>
        <v>0</v>
      </c>
      <c r="BF60" s="5">
        <f t="shared" si="55"/>
        <v>0</v>
      </c>
      <c r="BG60" s="5">
        <f t="shared" si="55"/>
        <v>0</v>
      </c>
      <c r="BH60" s="5">
        <f t="shared" si="56"/>
        <v>0</v>
      </c>
      <c r="BI60" s="5">
        <f t="shared" si="56"/>
        <v>0</v>
      </c>
      <c r="BJ60" s="5">
        <f t="shared" si="56"/>
        <v>0</v>
      </c>
      <c r="BK60" s="5">
        <f t="shared" si="56"/>
        <v>0</v>
      </c>
    </row>
    <row r="61" spans="1:63" s="100" customFormat="1" ht="16" hidden="1" customHeight="1">
      <c r="A61" s="7" t="s">
        <v>28</v>
      </c>
      <c r="B61" s="7" t="s">
        <v>186</v>
      </c>
      <c r="C61" s="7" t="s">
        <v>187</v>
      </c>
      <c r="D61" s="7" t="s">
        <v>172</v>
      </c>
      <c r="E61" s="7" t="s">
        <v>188</v>
      </c>
      <c r="F61" s="7" t="s">
        <v>36</v>
      </c>
      <c r="G61" s="109"/>
      <c r="H61" s="110"/>
      <c r="I61" s="7"/>
      <c r="J61" s="7"/>
      <c r="K61" s="7">
        <v>0</v>
      </c>
      <c r="L61" s="7">
        <v>155</v>
      </c>
      <c r="M61" s="7">
        <v>20</v>
      </c>
      <c r="N61" s="7">
        <v>0</v>
      </c>
      <c r="O61" s="7">
        <v>1975</v>
      </c>
      <c r="P61" s="7">
        <v>1810</v>
      </c>
      <c r="Q61" s="7"/>
      <c r="R61" s="7"/>
      <c r="S61" s="7"/>
      <c r="T61" s="7"/>
      <c r="U61" s="7"/>
      <c r="V61" s="7"/>
      <c r="W61" s="7"/>
      <c r="X61" s="114">
        <v>9411</v>
      </c>
      <c r="Y61" s="114">
        <v>4360</v>
      </c>
      <c r="Z61" s="117">
        <f t="shared" si="40"/>
        <v>5051</v>
      </c>
      <c r="AA61" s="5"/>
      <c r="AB61" s="118">
        <v>4360</v>
      </c>
      <c r="AC61" s="119">
        <v>0</v>
      </c>
      <c r="AD61" s="5">
        <f t="shared" si="41"/>
        <v>0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4"/>
      <c r="AQ61" s="4"/>
      <c r="AR61" s="4"/>
      <c r="AS61" s="4"/>
      <c r="AT61" s="17">
        <f>SUM(AE61:AS61)</f>
        <v>0</v>
      </c>
      <c r="AU61" s="122">
        <f t="shared" si="43"/>
        <v>0</v>
      </c>
      <c r="AV61" s="123"/>
      <c r="AW61" s="5">
        <f t="shared" si="44"/>
        <v>4360</v>
      </c>
      <c r="AX61" s="5">
        <f t="shared" si="13"/>
        <v>4360</v>
      </c>
      <c r="AY61" s="5">
        <f t="shared" si="14"/>
        <v>4360</v>
      </c>
      <c r="AZ61" s="5">
        <f t="shared" si="15"/>
        <v>4205</v>
      </c>
      <c r="BA61" s="5">
        <f t="shared" si="16"/>
        <v>4185</v>
      </c>
      <c r="BB61" s="5">
        <f t="shared" si="17"/>
        <v>4185</v>
      </c>
      <c r="BC61" s="5">
        <f t="shared" si="18"/>
        <v>2210</v>
      </c>
      <c r="BD61" s="5">
        <f t="shared" si="19"/>
        <v>400</v>
      </c>
      <c r="BE61" s="5">
        <f t="shared" si="20"/>
        <v>400</v>
      </c>
      <c r="BF61" s="5">
        <f t="shared" ref="BF61:BK61" si="57">BE61+AN61-R61</f>
        <v>400</v>
      </c>
      <c r="BG61" s="5">
        <f t="shared" si="57"/>
        <v>400</v>
      </c>
      <c r="BH61" s="5">
        <f t="shared" si="57"/>
        <v>400</v>
      </c>
      <c r="BI61" s="5">
        <f t="shared" si="57"/>
        <v>400</v>
      </c>
      <c r="BJ61" s="5">
        <f t="shared" si="57"/>
        <v>400</v>
      </c>
      <c r="BK61" s="5">
        <f t="shared" si="57"/>
        <v>400</v>
      </c>
    </row>
    <row r="62" spans="1:63" s="100" customFormat="1" ht="16" customHeight="1">
      <c r="A62" s="7"/>
      <c r="B62" s="7"/>
      <c r="C62" s="8" t="s">
        <v>189</v>
      </c>
      <c r="D62" s="7"/>
      <c r="E62" s="7"/>
      <c r="F62" s="7"/>
      <c r="G62" s="109"/>
      <c r="H62" s="110"/>
      <c r="I62" s="7"/>
      <c r="J62" s="7"/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/>
      <c r="R62" s="7"/>
      <c r="S62" s="7"/>
      <c r="T62" s="7"/>
      <c r="U62" s="7"/>
      <c r="V62" s="7"/>
      <c r="W62" s="7"/>
      <c r="X62" s="114">
        <v>0</v>
      </c>
      <c r="Y62" s="114">
        <v>0</v>
      </c>
      <c r="Z62" s="117">
        <f t="shared" si="40"/>
        <v>0</v>
      </c>
      <c r="AA62" s="120">
        <v>200</v>
      </c>
      <c r="AB62" s="118">
        <v>0</v>
      </c>
      <c r="AC62" s="119">
        <v>0</v>
      </c>
      <c r="AD62" s="120">
        <f t="shared" si="41"/>
        <v>200</v>
      </c>
      <c r="AE62" s="5"/>
      <c r="AF62" s="5"/>
      <c r="AG62" s="9">
        <v>200</v>
      </c>
      <c r="AH62" s="5"/>
      <c r="AI62" s="5"/>
      <c r="AJ62" s="5"/>
      <c r="AK62" s="5"/>
      <c r="AL62" s="5"/>
      <c r="AM62" s="5"/>
      <c r="AN62" s="5"/>
      <c r="AO62" s="5"/>
      <c r="AP62" s="4"/>
      <c r="AQ62" s="4"/>
      <c r="AR62" s="4"/>
      <c r="AS62" s="4"/>
      <c r="AT62" s="17">
        <f>SUM(AE62:AS62)</f>
        <v>200</v>
      </c>
      <c r="AU62" s="122">
        <f t="shared" si="43"/>
        <v>0</v>
      </c>
      <c r="AV62" s="123"/>
      <c r="AW62" s="5">
        <f t="shared" si="44"/>
        <v>0</v>
      </c>
      <c r="AX62" s="5">
        <f t="shared" si="13"/>
        <v>0</v>
      </c>
      <c r="AY62" s="5">
        <f t="shared" si="14"/>
        <v>200</v>
      </c>
      <c r="AZ62" s="5">
        <f t="shared" si="15"/>
        <v>200</v>
      </c>
      <c r="BA62" s="5">
        <f t="shared" si="16"/>
        <v>200</v>
      </c>
      <c r="BB62" s="5">
        <f t="shared" si="17"/>
        <v>200</v>
      </c>
      <c r="BC62" s="5">
        <f t="shared" si="18"/>
        <v>200</v>
      </c>
      <c r="BD62" s="5">
        <f t="shared" si="19"/>
        <v>200</v>
      </c>
      <c r="BE62" s="5"/>
      <c r="BF62" s="5"/>
      <c r="BG62" s="5"/>
      <c r="BH62" s="5"/>
      <c r="BI62" s="5"/>
      <c r="BJ62" s="5"/>
      <c r="BK62" s="5"/>
    </row>
    <row r="63" spans="1:63" s="100" customFormat="1" ht="16" customHeight="1">
      <c r="A63" s="7" t="s">
        <v>28</v>
      </c>
      <c r="B63" s="7" t="s">
        <v>190</v>
      </c>
      <c r="C63" s="7" t="s">
        <v>191</v>
      </c>
      <c r="D63" s="7" t="s">
        <v>172</v>
      </c>
      <c r="E63" s="7" t="s">
        <v>188</v>
      </c>
      <c r="F63" s="7" t="s">
        <v>36</v>
      </c>
      <c r="G63" s="109"/>
      <c r="H63" s="110"/>
      <c r="I63" s="7"/>
      <c r="J63" s="7"/>
      <c r="K63" s="7">
        <v>0</v>
      </c>
      <c r="L63" s="7">
        <v>40</v>
      </c>
      <c r="M63" s="7">
        <v>941</v>
      </c>
      <c r="N63" s="7">
        <v>915</v>
      </c>
      <c r="O63" s="7">
        <v>300</v>
      </c>
      <c r="P63" s="7">
        <v>1520</v>
      </c>
      <c r="Q63" s="7"/>
      <c r="R63" s="7"/>
      <c r="S63" s="7"/>
      <c r="T63" s="7"/>
      <c r="U63" s="7"/>
      <c r="V63" s="7"/>
      <c r="W63" s="7"/>
      <c r="X63" s="114">
        <v>1841</v>
      </c>
      <c r="Y63" s="114">
        <v>1841</v>
      </c>
      <c r="Z63" s="117">
        <f t="shared" si="40"/>
        <v>4689</v>
      </c>
      <c r="AA63" s="5"/>
      <c r="AB63" s="118">
        <v>5206</v>
      </c>
      <c r="AC63" s="119">
        <v>4689</v>
      </c>
      <c r="AD63" s="5">
        <f t="shared" si="41"/>
        <v>8054</v>
      </c>
      <c r="AE63" s="5"/>
      <c r="AF63" s="5"/>
      <c r="AG63" s="9">
        <v>1000</v>
      </c>
      <c r="AH63" s="9">
        <v>1400</v>
      </c>
      <c r="AI63" s="9">
        <v>2500</v>
      </c>
      <c r="AJ63" s="9">
        <v>3154</v>
      </c>
      <c r="AK63" s="5"/>
      <c r="AL63" s="5"/>
      <c r="AM63" s="5"/>
      <c r="AN63" s="5"/>
      <c r="AO63" s="5"/>
      <c r="AP63" s="4"/>
      <c r="AQ63" s="4"/>
      <c r="AR63" s="4"/>
      <c r="AS63" s="4"/>
      <c r="AT63" s="17">
        <f>SUM(AE63:AS63)</f>
        <v>8054</v>
      </c>
      <c r="AU63" s="122">
        <f t="shared" si="43"/>
        <v>0</v>
      </c>
      <c r="AV63" s="123"/>
      <c r="AW63" s="5">
        <f t="shared" si="44"/>
        <v>1841</v>
      </c>
      <c r="AX63" s="5">
        <f t="shared" si="13"/>
        <v>1841</v>
      </c>
      <c r="AY63" s="5">
        <f t="shared" si="14"/>
        <v>2841</v>
      </c>
      <c r="AZ63" s="5">
        <f t="shared" si="15"/>
        <v>4201</v>
      </c>
      <c r="BA63" s="5">
        <f t="shared" si="16"/>
        <v>5760</v>
      </c>
      <c r="BB63" s="5">
        <f t="shared" si="17"/>
        <v>7999</v>
      </c>
      <c r="BC63" s="5">
        <f t="shared" si="18"/>
        <v>7699</v>
      </c>
      <c r="BD63" s="5">
        <f t="shared" si="19"/>
        <v>6179</v>
      </c>
      <c r="BE63" s="5">
        <f t="shared" ref="BE63:BE69" si="58">BD63+AM63-Q63</f>
        <v>6179</v>
      </c>
      <c r="BF63" s="5">
        <f t="shared" ref="BF63:BK63" si="59">BE63+AN63-R63</f>
        <v>6179</v>
      </c>
      <c r="BG63" s="5">
        <f t="shared" si="59"/>
        <v>6179</v>
      </c>
      <c r="BH63" s="5">
        <f t="shared" si="59"/>
        <v>6179</v>
      </c>
      <c r="BI63" s="5">
        <f t="shared" si="59"/>
        <v>6179</v>
      </c>
      <c r="BJ63" s="5">
        <f t="shared" si="59"/>
        <v>6179</v>
      </c>
      <c r="BK63" s="5">
        <f t="shared" si="59"/>
        <v>6179</v>
      </c>
    </row>
    <row r="64" spans="1:63" s="100" customFormat="1" ht="16" customHeight="1">
      <c r="A64" s="7" t="s">
        <v>28</v>
      </c>
      <c r="B64" s="7" t="s">
        <v>192</v>
      </c>
      <c r="C64" s="7" t="s">
        <v>193</v>
      </c>
      <c r="D64" s="7" t="s">
        <v>194</v>
      </c>
      <c r="E64" s="7" t="s">
        <v>195</v>
      </c>
      <c r="F64" s="7" t="s">
        <v>36</v>
      </c>
      <c r="G64" s="109" t="s">
        <v>37</v>
      </c>
      <c r="H64" s="110" t="s">
        <v>38</v>
      </c>
      <c r="I64" s="7"/>
      <c r="J64" s="7"/>
      <c r="K64" s="7">
        <v>0</v>
      </c>
      <c r="L64" s="7">
        <v>0</v>
      </c>
      <c r="M64" s="7">
        <v>0</v>
      </c>
      <c r="N64" s="7">
        <v>230</v>
      </c>
      <c r="O64" s="7">
        <v>200</v>
      </c>
      <c r="P64" s="7">
        <v>211</v>
      </c>
      <c r="Q64" s="7"/>
      <c r="R64" s="7"/>
      <c r="S64" s="7"/>
      <c r="T64" s="7"/>
      <c r="U64" s="7"/>
      <c r="V64" s="7"/>
      <c r="W64" s="7"/>
      <c r="X64" s="114">
        <v>500</v>
      </c>
      <c r="Y64" s="114">
        <v>500</v>
      </c>
      <c r="Z64" s="117">
        <f t="shared" si="40"/>
        <v>2309</v>
      </c>
      <c r="AA64" s="5"/>
      <c r="AB64" s="118">
        <v>2691</v>
      </c>
      <c r="AC64" s="119">
        <v>2309</v>
      </c>
      <c r="AD64" s="5">
        <f t="shared" si="41"/>
        <v>4500</v>
      </c>
      <c r="AE64" s="5"/>
      <c r="AF64" s="5"/>
      <c r="AG64" s="9">
        <v>3000</v>
      </c>
      <c r="AH64" s="9">
        <v>1500</v>
      </c>
      <c r="AI64" s="5"/>
      <c r="AJ64" s="5"/>
      <c r="AK64" s="5"/>
      <c r="AL64" s="5"/>
      <c r="AM64" s="5"/>
      <c r="AN64" s="5"/>
      <c r="AO64" s="5"/>
      <c r="AP64" s="4"/>
      <c r="AQ64" s="4"/>
      <c r="AR64" s="4"/>
      <c r="AS64" s="4"/>
      <c r="AT64" s="17">
        <f>SUM(AE64:AS64)</f>
        <v>4500</v>
      </c>
      <c r="AU64" s="122">
        <f t="shared" si="43"/>
        <v>0</v>
      </c>
      <c r="AV64" s="123"/>
      <c r="AW64" s="5">
        <f t="shared" si="44"/>
        <v>500</v>
      </c>
      <c r="AX64" s="5">
        <f t="shared" si="13"/>
        <v>500</v>
      </c>
      <c r="AY64" s="5">
        <f t="shared" si="14"/>
        <v>3500</v>
      </c>
      <c r="AZ64" s="5">
        <f t="shared" si="15"/>
        <v>5000</v>
      </c>
      <c r="BA64" s="5">
        <f t="shared" si="16"/>
        <v>5000</v>
      </c>
      <c r="BB64" s="5">
        <f t="shared" si="17"/>
        <v>4770</v>
      </c>
      <c r="BC64" s="5">
        <f t="shared" si="18"/>
        <v>4570</v>
      </c>
      <c r="BD64" s="5">
        <f t="shared" si="19"/>
        <v>4359</v>
      </c>
      <c r="BE64" s="5">
        <f t="shared" si="58"/>
        <v>4359</v>
      </c>
      <c r="BF64" s="5">
        <f t="shared" ref="BF64:BK64" si="60">BE64+AN64-R64</f>
        <v>4359</v>
      </c>
      <c r="BG64" s="5">
        <f t="shared" si="60"/>
        <v>4359</v>
      </c>
      <c r="BH64" s="5">
        <f t="shared" si="60"/>
        <v>4359</v>
      </c>
      <c r="BI64" s="5">
        <f t="shared" si="60"/>
        <v>4359</v>
      </c>
      <c r="BJ64" s="5">
        <f t="shared" si="60"/>
        <v>4359</v>
      </c>
      <c r="BK64" s="5">
        <f t="shared" si="60"/>
        <v>4359</v>
      </c>
    </row>
    <row r="65" spans="1:63" s="100" customFormat="1" ht="16" hidden="1" customHeight="1">
      <c r="A65" s="7" t="s">
        <v>28</v>
      </c>
      <c r="B65" s="7" t="s">
        <v>196</v>
      </c>
      <c r="C65" s="7" t="s">
        <v>197</v>
      </c>
      <c r="D65" s="7" t="s">
        <v>194</v>
      </c>
      <c r="E65" s="7" t="s">
        <v>198</v>
      </c>
      <c r="F65" s="7" t="s">
        <v>36</v>
      </c>
      <c r="G65" s="109" t="s">
        <v>37</v>
      </c>
      <c r="H65" s="110" t="s">
        <v>38</v>
      </c>
      <c r="I65" s="7"/>
      <c r="J65" s="7"/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34</v>
      </c>
      <c r="Q65" s="7"/>
      <c r="R65" s="7"/>
      <c r="S65" s="7"/>
      <c r="T65" s="7"/>
      <c r="U65" s="7"/>
      <c r="V65" s="7"/>
      <c r="W65" s="7"/>
      <c r="X65" s="114">
        <v>36</v>
      </c>
      <c r="Y65" s="114">
        <v>34</v>
      </c>
      <c r="Z65" s="117">
        <f t="shared" si="40"/>
        <v>2</v>
      </c>
      <c r="AA65" s="5"/>
      <c r="AB65" s="118">
        <v>34</v>
      </c>
      <c r="AC65" s="119">
        <v>0</v>
      </c>
      <c r="AD65" s="5">
        <f t="shared" si="41"/>
        <v>0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4"/>
      <c r="AQ65" s="4"/>
      <c r="AR65" s="4"/>
      <c r="AS65" s="4"/>
      <c r="AT65" s="17">
        <f>SUM(AE65:AS65)</f>
        <v>0</v>
      </c>
      <c r="AU65" s="122">
        <f t="shared" si="43"/>
        <v>0</v>
      </c>
      <c r="AV65" s="123"/>
      <c r="AW65" s="5">
        <f t="shared" si="44"/>
        <v>34</v>
      </c>
      <c r="AX65" s="5">
        <f t="shared" si="13"/>
        <v>34</v>
      </c>
      <c r="AY65" s="5">
        <f t="shared" si="14"/>
        <v>34</v>
      </c>
      <c r="AZ65" s="5">
        <f t="shared" si="15"/>
        <v>34</v>
      </c>
      <c r="BA65" s="5">
        <f t="shared" si="16"/>
        <v>34</v>
      </c>
      <c r="BB65" s="5">
        <f t="shared" si="17"/>
        <v>34</v>
      </c>
      <c r="BC65" s="5">
        <f t="shared" si="18"/>
        <v>34</v>
      </c>
      <c r="BD65" s="5">
        <f t="shared" si="19"/>
        <v>0</v>
      </c>
      <c r="BE65" s="5">
        <f t="shared" si="58"/>
        <v>0</v>
      </c>
      <c r="BF65" s="5">
        <f t="shared" ref="BF65:BK65" si="61">BE65+AN65-R65</f>
        <v>0</v>
      </c>
      <c r="BG65" s="5">
        <f t="shared" si="61"/>
        <v>0</v>
      </c>
      <c r="BH65" s="5">
        <f t="shared" si="61"/>
        <v>0</v>
      </c>
      <c r="BI65" s="5">
        <f t="shared" si="61"/>
        <v>0</v>
      </c>
      <c r="BJ65" s="5">
        <f t="shared" si="61"/>
        <v>0</v>
      </c>
      <c r="BK65" s="5">
        <f t="shared" si="61"/>
        <v>0</v>
      </c>
    </row>
    <row r="66" spans="1:63" s="100" customFormat="1" ht="16" hidden="1" customHeight="1">
      <c r="A66" s="7" t="s">
        <v>28</v>
      </c>
      <c r="B66" s="7" t="s">
        <v>199</v>
      </c>
      <c r="C66" s="7" t="s">
        <v>200</v>
      </c>
      <c r="D66" s="7" t="s">
        <v>194</v>
      </c>
      <c r="E66" s="7" t="s">
        <v>195</v>
      </c>
      <c r="F66" s="7" t="s">
        <v>36</v>
      </c>
      <c r="G66" s="109" t="s">
        <v>37</v>
      </c>
      <c r="H66" s="110" t="s">
        <v>38</v>
      </c>
      <c r="I66" s="7"/>
      <c r="J66" s="7"/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/>
      <c r="R66" s="7"/>
      <c r="S66" s="7"/>
      <c r="T66" s="7"/>
      <c r="U66" s="7"/>
      <c r="V66" s="7"/>
      <c r="W66" s="7"/>
      <c r="X66" s="114">
        <v>0</v>
      </c>
      <c r="Y66" s="114">
        <v>0</v>
      </c>
      <c r="Z66" s="117">
        <f t="shared" si="40"/>
        <v>0</v>
      </c>
      <c r="AA66" s="5"/>
      <c r="AB66" s="118">
        <v>0</v>
      </c>
      <c r="AC66" s="119">
        <v>0</v>
      </c>
      <c r="AD66" s="5">
        <f t="shared" si="41"/>
        <v>0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4"/>
      <c r="AQ66" s="4"/>
      <c r="AR66" s="4"/>
      <c r="AS66" s="4"/>
      <c r="AT66" s="17">
        <f>SUM(AE66:AR66)</f>
        <v>0</v>
      </c>
      <c r="AU66" s="122">
        <f t="shared" si="43"/>
        <v>0</v>
      </c>
      <c r="AV66" s="123"/>
      <c r="AW66" s="5">
        <f t="shared" si="44"/>
        <v>0</v>
      </c>
      <c r="AX66" s="5">
        <f t="shared" si="13"/>
        <v>0</v>
      </c>
      <c r="AY66" s="5">
        <f t="shared" si="14"/>
        <v>0</v>
      </c>
      <c r="AZ66" s="5">
        <f t="shared" si="15"/>
        <v>0</v>
      </c>
      <c r="BA66" s="5">
        <f t="shared" si="16"/>
        <v>0</v>
      </c>
      <c r="BB66" s="5">
        <f t="shared" si="17"/>
        <v>0</v>
      </c>
      <c r="BC66" s="5">
        <f t="shared" si="18"/>
        <v>0</v>
      </c>
      <c r="BD66" s="5">
        <f t="shared" si="19"/>
        <v>0</v>
      </c>
      <c r="BE66" s="5">
        <f t="shared" si="58"/>
        <v>0</v>
      </c>
      <c r="BF66" s="5">
        <f>BE66+AN66-R66</f>
        <v>0</v>
      </c>
      <c r="BG66" s="5">
        <f>BF66+AO66-S66</f>
        <v>0</v>
      </c>
      <c r="BH66" s="5">
        <f>AP66+AJ66-T66</f>
        <v>0</v>
      </c>
      <c r="BI66" s="5">
        <f>AQ66+AK66-U66</f>
        <v>0</v>
      </c>
      <c r="BJ66" s="5">
        <f>AR66+AL66-V66</f>
        <v>0</v>
      </c>
      <c r="BK66" s="5">
        <f>AS66+AM66-W66</f>
        <v>0</v>
      </c>
    </row>
    <row r="67" spans="1:63" s="100" customFormat="1" ht="16" hidden="1" customHeight="1">
      <c r="A67" s="7" t="s">
        <v>28</v>
      </c>
      <c r="B67" s="7" t="s">
        <v>201</v>
      </c>
      <c r="C67" s="7" t="s">
        <v>202</v>
      </c>
      <c r="D67" s="7" t="s">
        <v>194</v>
      </c>
      <c r="E67" s="7" t="s">
        <v>203</v>
      </c>
      <c r="F67" s="7" t="s">
        <v>36</v>
      </c>
      <c r="G67" s="109" t="s">
        <v>37</v>
      </c>
      <c r="H67" s="110" t="s">
        <v>45</v>
      </c>
      <c r="I67" s="7"/>
      <c r="J67" s="7"/>
      <c r="K67" s="7">
        <v>19</v>
      </c>
      <c r="L67" s="7">
        <v>0</v>
      </c>
      <c r="M67" s="7">
        <v>0</v>
      </c>
      <c r="N67" s="7">
        <v>0</v>
      </c>
      <c r="O67" s="7">
        <v>58</v>
      </c>
      <c r="P67" s="7">
        <v>79</v>
      </c>
      <c r="Q67" s="7"/>
      <c r="R67" s="7"/>
      <c r="S67" s="7"/>
      <c r="T67" s="7"/>
      <c r="U67" s="7"/>
      <c r="V67" s="7"/>
      <c r="W67" s="7"/>
      <c r="X67" s="114">
        <v>4453</v>
      </c>
      <c r="Y67" s="114">
        <v>664</v>
      </c>
      <c r="Z67" s="117">
        <f t="shared" si="40"/>
        <v>3789</v>
      </c>
      <c r="AA67" s="5"/>
      <c r="AB67" s="118">
        <v>664</v>
      </c>
      <c r="AC67" s="119">
        <v>0</v>
      </c>
      <c r="AD67" s="5">
        <f t="shared" si="41"/>
        <v>0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4"/>
      <c r="AQ67" s="4"/>
      <c r="AR67" s="4"/>
      <c r="AS67" s="4"/>
      <c r="AT67" s="17">
        <f>SUM(AE67:AS67)</f>
        <v>0</v>
      </c>
      <c r="AU67" s="122">
        <f t="shared" si="43"/>
        <v>0</v>
      </c>
      <c r="AV67" s="123"/>
      <c r="AW67" s="5">
        <f t="shared" si="44"/>
        <v>664</v>
      </c>
      <c r="AX67" s="5">
        <f t="shared" si="13"/>
        <v>664</v>
      </c>
      <c r="AY67" s="5">
        <f t="shared" si="14"/>
        <v>645</v>
      </c>
      <c r="AZ67" s="5">
        <f t="shared" si="15"/>
        <v>645</v>
      </c>
      <c r="BA67" s="5">
        <f t="shared" si="16"/>
        <v>645</v>
      </c>
      <c r="BB67" s="5">
        <f t="shared" si="17"/>
        <v>645</v>
      </c>
      <c r="BC67" s="5">
        <f t="shared" si="18"/>
        <v>587</v>
      </c>
      <c r="BD67" s="5">
        <f t="shared" si="19"/>
        <v>508</v>
      </c>
      <c r="BE67" s="5">
        <f t="shared" si="58"/>
        <v>508</v>
      </c>
      <c r="BF67" s="5">
        <f t="shared" ref="BF67:BK67" si="62">BE67+AN67-R67</f>
        <v>508</v>
      </c>
      <c r="BG67" s="5">
        <f t="shared" si="62"/>
        <v>508</v>
      </c>
      <c r="BH67" s="5">
        <f t="shared" si="62"/>
        <v>508</v>
      </c>
      <c r="BI67" s="5">
        <f t="shared" si="62"/>
        <v>508</v>
      </c>
      <c r="BJ67" s="5">
        <f t="shared" si="62"/>
        <v>508</v>
      </c>
      <c r="BK67" s="5">
        <f t="shared" si="62"/>
        <v>508</v>
      </c>
    </row>
    <row r="68" spans="1:63" s="100" customFormat="1" ht="16" customHeight="1">
      <c r="A68" s="7" t="s">
        <v>28</v>
      </c>
      <c r="B68" s="7" t="s">
        <v>204</v>
      </c>
      <c r="C68" s="7" t="s">
        <v>205</v>
      </c>
      <c r="D68" s="7" t="s">
        <v>194</v>
      </c>
      <c r="E68" s="7" t="s">
        <v>206</v>
      </c>
      <c r="F68" s="7" t="s">
        <v>207</v>
      </c>
      <c r="G68" s="109" t="s">
        <v>37</v>
      </c>
      <c r="H68" s="110" t="s">
        <v>45</v>
      </c>
      <c r="I68" s="7"/>
      <c r="J68" s="7"/>
      <c r="K68" s="7">
        <v>0</v>
      </c>
      <c r="L68" s="7">
        <v>0</v>
      </c>
      <c r="M68" s="7">
        <v>0</v>
      </c>
      <c r="N68" s="7">
        <v>20</v>
      </c>
      <c r="O68" s="7">
        <v>590</v>
      </c>
      <c r="P68" s="7">
        <v>565</v>
      </c>
      <c r="Q68" s="7"/>
      <c r="R68" s="7"/>
      <c r="S68" s="7"/>
      <c r="T68" s="7"/>
      <c r="U68" s="7"/>
      <c r="V68" s="7"/>
      <c r="W68" s="7"/>
      <c r="X68" s="114">
        <v>808</v>
      </c>
      <c r="Y68" s="114">
        <v>808</v>
      </c>
      <c r="Z68" s="117">
        <f t="shared" si="40"/>
        <v>1000</v>
      </c>
      <c r="AA68" s="5"/>
      <c r="AB68" s="118">
        <v>2175</v>
      </c>
      <c r="AC68" s="119">
        <v>1000</v>
      </c>
      <c r="AD68" s="5">
        <f t="shared" si="41"/>
        <v>2367</v>
      </c>
      <c r="AE68" s="5"/>
      <c r="AF68" s="5"/>
      <c r="AG68" s="5"/>
      <c r="AH68" s="5"/>
      <c r="AI68" s="9">
        <v>2367</v>
      </c>
      <c r="AJ68" s="5"/>
      <c r="AK68" s="5"/>
      <c r="AL68" s="5"/>
      <c r="AM68" s="5"/>
      <c r="AN68" s="5"/>
      <c r="AO68" s="5"/>
      <c r="AP68" s="4"/>
      <c r="AQ68" s="4"/>
      <c r="AR68" s="4"/>
      <c r="AS68" s="4"/>
      <c r="AT68" s="17">
        <f>SUM(AE68:AS68)</f>
        <v>2367</v>
      </c>
      <c r="AU68" s="122">
        <f t="shared" si="43"/>
        <v>0</v>
      </c>
      <c r="AV68" s="123"/>
      <c r="AW68" s="5">
        <f t="shared" si="44"/>
        <v>808</v>
      </c>
      <c r="AX68" s="5">
        <f t="shared" si="13"/>
        <v>808</v>
      </c>
      <c r="AY68" s="5">
        <f t="shared" si="14"/>
        <v>808</v>
      </c>
      <c r="AZ68" s="5">
        <f t="shared" si="15"/>
        <v>808</v>
      </c>
      <c r="BA68" s="5">
        <f t="shared" si="16"/>
        <v>3175</v>
      </c>
      <c r="BB68" s="5">
        <f t="shared" si="17"/>
        <v>3155</v>
      </c>
      <c r="BC68" s="5">
        <f t="shared" si="18"/>
        <v>2565</v>
      </c>
      <c r="BD68" s="5">
        <f t="shared" si="19"/>
        <v>2000</v>
      </c>
      <c r="BE68" s="5">
        <f t="shared" si="58"/>
        <v>2000</v>
      </c>
      <c r="BF68" s="5">
        <f t="shared" ref="BF68:BK68" si="63">BE68+AN68-R68</f>
        <v>2000</v>
      </c>
      <c r="BG68" s="5">
        <f t="shared" si="63"/>
        <v>2000</v>
      </c>
      <c r="BH68" s="5">
        <f t="shared" si="63"/>
        <v>2000</v>
      </c>
      <c r="BI68" s="5">
        <f t="shared" si="63"/>
        <v>2000</v>
      </c>
      <c r="BJ68" s="5">
        <f t="shared" si="63"/>
        <v>2000</v>
      </c>
      <c r="BK68" s="5">
        <f t="shared" si="63"/>
        <v>2000</v>
      </c>
    </row>
    <row r="69" spans="1:63" s="100" customFormat="1" ht="16" hidden="1" customHeight="1">
      <c r="A69" s="10" t="s">
        <v>28</v>
      </c>
      <c r="B69" s="10" t="s">
        <v>208</v>
      </c>
      <c r="C69" s="10" t="s">
        <v>209</v>
      </c>
      <c r="D69" s="7" t="s">
        <v>210</v>
      </c>
      <c r="E69" s="7"/>
      <c r="F69" s="7"/>
      <c r="G69" s="109"/>
      <c r="H69" s="110"/>
      <c r="I69" s="7"/>
      <c r="J69" s="7"/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/>
      <c r="R69" s="7"/>
      <c r="S69" s="7"/>
      <c r="T69" s="7"/>
      <c r="U69" s="7"/>
      <c r="V69" s="7"/>
      <c r="W69" s="7"/>
      <c r="X69" s="114">
        <v>20</v>
      </c>
      <c r="Y69" s="114">
        <v>0</v>
      </c>
      <c r="Z69" s="117">
        <f t="shared" si="40"/>
        <v>20</v>
      </c>
      <c r="AA69" s="5"/>
      <c r="AB69" s="118">
        <v>0</v>
      </c>
      <c r="AC69" s="119">
        <v>0</v>
      </c>
      <c r="AD69" s="5">
        <f t="shared" si="41"/>
        <v>0</v>
      </c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4"/>
      <c r="AQ69" s="4"/>
      <c r="AR69" s="4"/>
      <c r="AS69" s="4"/>
      <c r="AT69" s="17">
        <f>SUM(AE69:AS69)</f>
        <v>0</v>
      </c>
      <c r="AU69" s="122">
        <f t="shared" si="43"/>
        <v>0</v>
      </c>
      <c r="AV69" s="123"/>
      <c r="AW69" s="5">
        <f t="shared" si="44"/>
        <v>0</v>
      </c>
      <c r="AX69" s="5">
        <f t="shared" si="13"/>
        <v>0</v>
      </c>
      <c r="AY69" s="5">
        <f t="shared" si="14"/>
        <v>0</v>
      </c>
      <c r="AZ69" s="5">
        <f t="shared" si="15"/>
        <v>0</v>
      </c>
      <c r="BA69" s="5">
        <f t="shared" si="16"/>
        <v>0</v>
      </c>
      <c r="BB69" s="5">
        <f t="shared" si="17"/>
        <v>0</v>
      </c>
      <c r="BC69" s="5">
        <f t="shared" si="18"/>
        <v>0</v>
      </c>
      <c r="BD69" s="5">
        <f t="shared" si="19"/>
        <v>0</v>
      </c>
      <c r="BE69" s="5">
        <f t="shared" si="58"/>
        <v>0</v>
      </c>
      <c r="BF69" s="5">
        <f t="shared" ref="BF69:BK69" si="64">BE69+AN69-R69</f>
        <v>0</v>
      </c>
      <c r="BG69" s="5">
        <f t="shared" si="64"/>
        <v>0</v>
      </c>
      <c r="BH69" s="5">
        <f t="shared" si="64"/>
        <v>0</v>
      </c>
      <c r="BI69" s="5">
        <f t="shared" si="64"/>
        <v>0</v>
      </c>
      <c r="BJ69" s="5">
        <f t="shared" si="64"/>
        <v>0</v>
      </c>
      <c r="BK69" s="5">
        <f t="shared" si="64"/>
        <v>0</v>
      </c>
    </row>
    <row r="70" spans="1:63" s="100" customFormat="1" ht="16" customHeight="1">
      <c r="A70" s="7" t="s">
        <v>28</v>
      </c>
      <c r="B70" s="7" t="s">
        <v>211</v>
      </c>
      <c r="C70" s="7" t="s">
        <v>212</v>
      </c>
      <c r="D70" s="7" t="s">
        <v>213</v>
      </c>
      <c r="E70" s="7" t="s">
        <v>214</v>
      </c>
      <c r="F70" s="7" t="s">
        <v>36</v>
      </c>
      <c r="G70" s="109" t="s">
        <v>37</v>
      </c>
      <c r="H70" s="110" t="s">
        <v>38</v>
      </c>
      <c r="I70" s="7"/>
      <c r="J70" s="7"/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/>
      <c r="R70" s="7"/>
      <c r="S70" s="7"/>
      <c r="T70" s="7"/>
      <c r="U70" s="7"/>
      <c r="V70" s="7"/>
      <c r="W70" s="7"/>
      <c r="X70" s="114">
        <v>2648</v>
      </c>
      <c r="Y70" s="114">
        <v>2648</v>
      </c>
      <c r="Z70" s="117">
        <f t="shared" si="40"/>
        <v>2462</v>
      </c>
      <c r="AA70" s="5"/>
      <c r="AB70" s="118">
        <v>3186</v>
      </c>
      <c r="AC70" s="119">
        <v>2462</v>
      </c>
      <c r="AD70" s="5">
        <f t="shared" si="41"/>
        <v>3000</v>
      </c>
      <c r="AE70" s="5"/>
      <c r="AF70" s="5"/>
      <c r="AG70" s="5"/>
      <c r="AH70" s="5"/>
      <c r="AI70" s="5"/>
      <c r="AJ70" s="9">
        <v>1600</v>
      </c>
      <c r="AK70" s="5"/>
      <c r="AL70" s="9">
        <v>1400</v>
      </c>
      <c r="AM70" s="5"/>
      <c r="AN70" s="5"/>
      <c r="AO70" s="5"/>
      <c r="AP70" s="4"/>
      <c r="AQ70" s="4"/>
      <c r="AR70" s="4"/>
      <c r="AS70" s="4"/>
      <c r="AT70" s="17">
        <f>SUM(AE70:AR70)</f>
        <v>3000</v>
      </c>
      <c r="AU70" s="122">
        <f t="shared" si="43"/>
        <v>0</v>
      </c>
      <c r="AV70" s="123"/>
      <c r="AW70" s="5">
        <f t="shared" si="44"/>
        <v>2648</v>
      </c>
      <c r="AX70" s="5">
        <f t="shared" ref="AX70:AX133" si="65">AW70+AF70-J70</f>
        <v>2648</v>
      </c>
      <c r="AY70" s="5">
        <f t="shared" ref="AY70:AY133" si="66">AX70+AG70-K70</f>
        <v>2648</v>
      </c>
      <c r="AZ70" s="5">
        <f t="shared" ref="AZ70:AZ133" si="67">AY70+AH70-L70</f>
        <v>2648</v>
      </c>
      <c r="BA70" s="5">
        <f t="shared" ref="BA70:BA133" si="68">AZ70+AI70-M70</f>
        <v>2648</v>
      </c>
      <c r="BB70" s="5">
        <f t="shared" ref="BB70:BB133" si="69">BA70+AJ70-N70</f>
        <v>4248</v>
      </c>
      <c r="BC70" s="5">
        <f t="shared" ref="BC70:BC133" si="70">BB70+AK70-O70</f>
        <v>4248</v>
      </c>
      <c r="BD70" s="5">
        <f t="shared" ref="BD70:BD133" si="71">BC70+AL70-P70</f>
        <v>5648</v>
      </c>
      <c r="BE70" s="5">
        <f t="shared" ref="BE70:BE133" si="72">BD70+AM70-Q70</f>
        <v>5648</v>
      </c>
      <c r="BF70" s="5">
        <f t="shared" ref="BF70:BF112" si="73">BE70+AN70-R70</f>
        <v>5648</v>
      </c>
      <c r="BG70" s="5">
        <f t="shared" ref="BG70:BG112" si="74">BF70+AO70-S70</f>
        <v>5648</v>
      </c>
      <c r="BH70" s="5">
        <f>AP70+AJ70-T70</f>
        <v>1600</v>
      </c>
      <c r="BI70" s="5">
        <f>AQ70+AK70-U70</f>
        <v>0</v>
      </c>
      <c r="BJ70" s="5">
        <f>AR70+AL70-V70</f>
        <v>1400</v>
      </c>
      <c r="BK70" s="5">
        <f>AS70+AM70-W70</f>
        <v>0</v>
      </c>
    </row>
    <row r="71" spans="1:63" s="100" customFormat="1" ht="16" customHeight="1">
      <c r="A71" s="10" t="s">
        <v>28</v>
      </c>
      <c r="B71" s="10" t="s">
        <v>215</v>
      </c>
      <c r="C71" s="10" t="s">
        <v>216</v>
      </c>
      <c r="D71" s="7" t="s">
        <v>210</v>
      </c>
      <c r="E71" s="7"/>
      <c r="F71" s="7"/>
      <c r="G71" s="109"/>
      <c r="H71" s="110"/>
      <c r="I71" s="7"/>
      <c r="J71" s="7"/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/>
      <c r="R71" s="7"/>
      <c r="S71" s="7"/>
      <c r="T71" s="7"/>
      <c r="U71" s="7"/>
      <c r="V71" s="7"/>
      <c r="W71" s="7"/>
      <c r="X71" s="114">
        <v>20</v>
      </c>
      <c r="Y71" s="114">
        <v>0</v>
      </c>
      <c r="Z71" s="117">
        <f t="shared" si="40"/>
        <v>40</v>
      </c>
      <c r="AA71" s="5"/>
      <c r="AB71" s="118">
        <v>0</v>
      </c>
      <c r="AC71" s="119">
        <v>20</v>
      </c>
      <c r="AD71" s="5">
        <f t="shared" si="41"/>
        <v>20</v>
      </c>
      <c r="AE71" s="5"/>
      <c r="AF71" s="9">
        <v>20</v>
      </c>
      <c r="AG71" s="5"/>
      <c r="AH71" s="5"/>
      <c r="AI71" s="5"/>
      <c r="AJ71" s="5"/>
      <c r="AK71" s="5"/>
      <c r="AL71" s="5"/>
      <c r="AM71" s="5"/>
      <c r="AN71" s="5"/>
      <c r="AO71" s="5"/>
      <c r="AP71" s="4"/>
      <c r="AQ71" s="4"/>
      <c r="AR71" s="4"/>
      <c r="AS71" s="4"/>
      <c r="AT71" s="17">
        <f>SUM(AE71:AS71)</f>
        <v>20</v>
      </c>
      <c r="AU71" s="122">
        <f t="shared" si="43"/>
        <v>0</v>
      </c>
      <c r="AV71" s="123"/>
      <c r="AW71" s="5">
        <f t="shared" si="44"/>
        <v>0</v>
      </c>
      <c r="AX71" s="5">
        <f t="shared" si="65"/>
        <v>20</v>
      </c>
      <c r="AY71" s="5">
        <f t="shared" si="66"/>
        <v>20</v>
      </c>
      <c r="AZ71" s="5">
        <f t="shared" si="67"/>
        <v>20</v>
      </c>
      <c r="BA71" s="5">
        <f t="shared" si="68"/>
        <v>20</v>
      </c>
      <c r="BB71" s="5">
        <f t="shared" si="69"/>
        <v>20</v>
      </c>
      <c r="BC71" s="5">
        <f t="shared" si="70"/>
        <v>20</v>
      </c>
      <c r="BD71" s="5">
        <f t="shared" si="71"/>
        <v>20</v>
      </c>
      <c r="BE71" s="5">
        <f t="shared" si="72"/>
        <v>20</v>
      </c>
      <c r="BF71" s="5">
        <f t="shared" ref="BF71:BK71" si="75">BE71+AN71-R71</f>
        <v>20</v>
      </c>
      <c r="BG71" s="5">
        <f t="shared" si="75"/>
        <v>20</v>
      </c>
      <c r="BH71" s="5">
        <f t="shared" si="75"/>
        <v>20</v>
      </c>
      <c r="BI71" s="5">
        <f t="shared" si="75"/>
        <v>20</v>
      </c>
      <c r="BJ71" s="5">
        <f t="shared" si="75"/>
        <v>20</v>
      </c>
      <c r="BK71" s="5">
        <f t="shared" si="75"/>
        <v>20</v>
      </c>
    </row>
    <row r="72" spans="1:63" s="100" customFormat="1" ht="16" hidden="1" customHeight="1">
      <c r="A72" s="7" t="s">
        <v>28</v>
      </c>
      <c r="B72" s="7" t="s">
        <v>217</v>
      </c>
      <c r="C72" s="7" t="s">
        <v>218</v>
      </c>
      <c r="D72" s="7" t="s">
        <v>219</v>
      </c>
      <c r="E72" s="7" t="s">
        <v>220</v>
      </c>
      <c r="F72" s="7" t="s">
        <v>36</v>
      </c>
      <c r="G72" s="109" t="s">
        <v>58</v>
      </c>
      <c r="H72" s="110" t="s">
        <v>45</v>
      </c>
      <c r="I72" s="7"/>
      <c r="J72" s="7"/>
      <c r="K72" s="7">
        <v>0</v>
      </c>
      <c r="L72" s="7">
        <v>0</v>
      </c>
      <c r="M72" s="7">
        <v>0</v>
      </c>
      <c r="N72" s="7">
        <v>0</v>
      </c>
      <c r="O72" s="7">
        <v>10</v>
      </c>
      <c r="P72" s="7">
        <v>15</v>
      </c>
      <c r="Q72" s="7"/>
      <c r="R72" s="7"/>
      <c r="S72" s="7"/>
      <c r="T72" s="7"/>
      <c r="U72" s="7"/>
      <c r="V72" s="7"/>
      <c r="W72" s="7"/>
      <c r="X72" s="114">
        <v>396</v>
      </c>
      <c r="Y72" s="114">
        <v>25</v>
      </c>
      <c r="Z72" s="117">
        <f t="shared" si="40"/>
        <v>371</v>
      </c>
      <c r="AA72" s="5"/>
      <c r="AB72" s="118">
        <v>25</v>
      </c>
      <c r="AC72" s="119">
        <v>0</v>
      </c>
      <c r="AD72" s="5">
        <f t="shared" si="41"/>
        <v>0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4"/>
      <c r="AQ72" s="4"/>
      <c r="AR72" s="4"/>
      <c r="AS72" s="4"/>
      <c r="AT72" s="17">
        <f>SUM(AE72:AR72)</f>
        <v>0</v>
      </c>
      <c r="AU72" s="122">
        <f t="shared" si="43"/>
        <v>0</v>
      </c>
      <c r="AV72" s="123"/>
      <c r="AW72" s="5">
        <f t="shared" si="44"/>
        <v>25</v>
      </c>
      <c r="AX72" s="5">
        <f t="shared" si="65"/>
        <v>25</v>
      </c>
      <c r="AY72" s="5">
        <f t="shared" si="66"/>
        <v>25</v>
      </c>
      <c r="AZ72" s="5">
        <f t="shared" si="67"/>
        <v>25</v>
      </c>
      <c r="BA72" s="5">
        <f t="shared" si="68"/>
        <v>25</v>
      </c>
      <c r="BB72" s="5">
        <f t="shared" si="69"/>
        <v>25</v>
      </c>
      <c r="BC72" s="5">
        <f t="shared" si="70"/>
        <v>15</v>
      </c>
      <c r="BD72" s="5">
        <f t="shared" si="71"/>
        <v>0</v>
      </c>
      <c r="BE72" s="5">
        <f t="shared" si="72"/>
        <v>0</v>
      </c>
      <c r="BF72" s="5">
        <f t="shared" si="73"/>
        <v>0</v>
      </c>
      <c r="BG72" s="5">
        <f t="shared" si="74"/>
        <v>0</v>
      </c>
      <c r="BH72" s="5">
        <f>AP72+AJ72-T72</f>
        <v>0</v>
      </c>
      <c r="BI72" s="5">
        <f>AQ72+AK72-U72</f>
        <v>0</v>
      </c>
      <c r="BJ72" s="5">
        <f>AR72+AL72-V72</f>
        <v>0</v>
      </c>
      <c r="BK72" s="5">
        <f>AS72+AM72-W72</f>
        <v>0</v>
      </c>
    </row>
    <row r="73" spans="1:63" s="100" customFormat="1" ht="16" hidden="1" customHeight="1">
      <c r="A73" s="7" t="s">
        <v>28</v>
      </c>
      <c r="B73" s="7" t="s">
        <v>221</v>
      </c>
      <c r="C73" s="7" t="s">
        <v>222</v>
      </c>
      <c r="D73" s="7" t="s">
        <v>219</v>
      </c>
      <c r="E73" s="7" t="s">
        <v>220</v>
      </c>
      <c r="F73" s="7" t="s">
        <v>36</v>
      </c>
      <c r="G73" s="109" t="s">
        <v>58</v>
      </c>
      <c r="H73" s="110" t="s">
        <v>45</v>
      </c>
      <c r="I73" s="7"/>
      <c r="J73" s="7"/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/>
      <c r="R73" s="7"/>
      <c r="S73" s="7"/>
      <c r="T73" s="7"/>
      <c r="U73" s="7"/>
      <c r="V73" s="7"/>
      <c r="W73" s="7"/>
      <c r="X73" s="114">
        <v>2475</v>
      </c>
      <c r="Y73" s="114">
        <v>0</v>
      </c>
      <c r="Z73" s="117">
        <f t="shared" si="40"/>
        <v>2475</v>
      </c>
      <c r="AA73" s="5"/>
      <c r="AB73" s="118">
        <v>0</v>
      </c>
      <c r="AC73" s="119">
        <v>0</v>
      </c>
      <c r="AD73" s="5">
        <f t="shared" si="41"/>
        <v>0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4"/>
      <c r="AQ73" s="4"/>
      <c r="AR73" s="4"/>
      <c r="AS73" s="4"/>
      <c r="AT73" s="17">
        <f>SUM(AE73:AS73)</f>
        <v>0</v>
      </c>
      <c r="AU73" s="122">
        <f t="shared" si="43"/>
        <v>0</v>
      </c>
      <c r="AV73" s="123"/>
      <c r="AW73" s="5">
        <f t="shared" si="44"/>
        <v>0</v>
      </c>
      <c r="AX73" s="5">
        <f t="shared" si="65"/>
        <v>0</v>
      </c>
      <c r="AY73" s="5">
        <f t="shared" si="66"/>
        <v>0</v>
      </c>
      <c r="AZ73" s="5">
        <f t="shared" si="67"/>
        <v>0</v>
      </c>
      <c r="BA73" s="5">
        <f t="shared" si="68"/>
        <v>0</v>
      </c>
      <c r="BB73" s="5">
        <f t="shared" si="69"/>
        <v>0</v>
      </c>
      <c r="BC73" s="5">
        <f t="shared" si="70"/>
        <v>0</v>
      </c>
      <c r="BD73" s="5">
        <f t="shared" si="71"/>
        <v>0</v>
      </c>
      <c r="BE73" s="5">
        <f t="shared" si="72"/>
        <v>0</v>
      </c>
      <c r="BF73" s="5">
        <f t="shared" ref="BF73:BK73" si="76">BE73+AN73-R73</f>
        <v>0</v>
      </c>
      <c r="BG73" s="5">
        <f t="shared" si="76"/>
        <v>0</v>
      </c>
      <c r="BH73" s="5">
        <f t="shared" si="76"/>
        <v>0</v>
      </c>
      <c r="BI73" s="5">
        <f t="shared" si="76"/>
        <v>0</v>
      </c>
      <c r="BJ73" s="5">
        <f t="shared" si="76"/>
        <v>0</v>
      </c>
      <c r="BK73" s="5">
        <f t="shared" si="76"/>
        <v>0</v>
      </c>
    </row>
    <row r="74" spans="1:63" s="100" customFormat="1" ht="16" hidden="1" customHeight="1">
      <c r="A74" s="7" t="s">
        <v>28</v>
      </c>
      <c r="B74" s="7" t="s">
        <v>223</v>
      </c>
      <c r="C74" s="7" t="s">
        <v>224</v>
      </c>
      <c r="D74" s="7" t="s">
        <v>225</v>
      </c>
      <c r="E74" s="7" t="s">
        <v>226</v>
      </c>
      <c r="F74" s="7" t="s">
        <v>36</v>
      </c>
      <c r="G74" s="109" t="s">
        <v>58</v>
      </c>
      <c r="H74" s="110" t="s">
        <v>45</v>
      </c>
      <c r="I74" s="7"/>
      <c r="J74" s="7"/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/>
      <c r="R74" s="7"/>
      <c r="S74" s="7"/>
      <c r="T74" s="7"/>
      <c r="U74" s="7"/>
      <c r="V74" s="7"/>
      <c r="W74" s="7"/>
      <c r="X74" s="114">
        <v>0</v>
      </c>
      <c r="Y74" s="114">
        <v>0</v>
      </c>
      <c r="Z74" s="117">
        <f t="shared" ref="Z74:Z137" si="77">X74-Y74+AC74</f>
        <v>0</v>
      </c>
      <c r="AA74" s="5"/>
      <c r="AB74" s="118">
        <v>0</v>
      </c>
      <c r="AC74" s="119">
        <v>0</v>
      </c>
      <c r="AD74" s="5">
        <f t="shared" ref="AD74:AD137" si="78">AB74-Y74+AA74+AC74</f>
        <v>0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4"/>
      <c r="AQ74" s="4"/>
      <c r="AR74" s="4"/>
      <c r="AS74" s="4"/>
      <c r="AT74" s="17">
        <f t="shared" ref="AT74:AT112" si="79">SUM(AE74:AR74)</f>
        <v>0</v>
      </c>
      <c r="AU74" s="122">
        <f t="shared" ref="AU74:AU137" si="80">AD74-AT74</f>
        <v>0</v>
      </c>
      <c r="AV74" s="123"/>
      <c r="AW74" s="5">
        <f t="shared" ref="AW74:AW137" si="81">AE74+Y74-I74</f>
        <v>0</v>
      </c>
      <c r="AX74" s="5">
        <f t="shared" si="65"/>
        <v>0</v>
      </c>
      <c r="AY74" s="5">
        <f t="shared" si="66"/>
        <v>0</v>
      </c>
      <c r="AZ74" s="5">
        <f t="shared" si="67"/>
        <v>0</v>
      </c>
      <c r="BA74" s="5">
        <f t="shared" si="68"/>
        <v>0</v>
      </c>
      <c r="BB74" s="5">
        <f t="shared" si="69"/>
        <v>0</v>
      </c>
      <c r="BC74" s="5">
        <f t="shared" si="70"/>
        <v>0</v>
      </c>
      <c r="BD74" s="5">
        <f t="shared" si="71"/>
        <v>0</v>
      </c>
      <c r="BE74" s="5">
        <f t="shared" si="72"/>
        <v>0</v>
      </c>
      <c r="BF74" s="5">
        <f t="shared" si="73"/>
        <v>0</v>
      </c>
      <c r="BG74" s="5">
        <f t="shared" si="74"/>
        <v>0</v>
      </c>
      <c r="BH74" s="5">
        <f t="shared" ref="BH74:BH79" si="82">AP74+AJ74-T74</f>
        <v>0</v>
      </c>
      <c r="BI74" s="5">
        <f t="shared" ref="BI74:BI79" si="83">AQ74+AK74-U74</f>
        <v>0</v>
      </c>
      <c r="BJ74" s="5">
        <f t="shared" ref="BJ74:BJ79" si="84">AR74+AL74-V74</f>
        <v>0</v>
      </c>
      <c r="BK74" s="5">
        <f t="shared" ref="BK74:BK79" si="85">AS74+AM74-W74</f>
        <v>0</v>
      </c>
    </row>
    <row r="75" spans="1:63" s="100" customFormat="1" ht="16" hidden="1" customHeight="1">
      <c r="A75" s="7" t="s">
        <v>28</v>
      </c>
      <c r="B75" s="7" t="s">
        <v>227</v>
      </c>
      <c r="C75" s="7" t="s">
        <v>228</v>
      </c>
      <c r="D75" s="7" t="s">
        <v>225</v>
      </c>
      <c r="E75" s="7" t="s">
        <v>226</v>
      </c>
      <c r="F75" s="7" t="s">
        <v>36</v>
      </c>
      <c r="G75" s="109" t="s">
        <v>58</v>
      </c>
      <c r="H75" s="110" t="s">
        <v>45</v>
      </c>
      <c r="I75" s="7"/>
      <c r="J75" s="7"/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/>
      <c r="R75" s="7"/>
      <c r="S75" s="7"/>
      <c r="T75" s="7"/>
      <c r="U75" s="7"/>
      <c r="V75" s="7"/>
      <c r="W75" s="7"/>
      <c r="X75" s="114">
        <v>0</v>
      </c>
      <c r="Y75" s="114">
        <v>0</v>
      </c>
      <c r="Z75" s="117">
        <f t="shared" si="77"/>
        <v>0</v>
      </c>
      <c r="AA75" s="5"/>
      <c r="AB75" s="118">
        <v>0</v>
      </c>
      <c r="AC75" s="119">
        <v>0</v>
      </c>
      <c r="AD75" s="5">
        <f t="shared" si="78"/>
        <v>0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4"/>
      <c r="AQ75" s="4"/>
      <c r="AR75" s="4"/>
      <c r="AS75" s="4"/>
      <c r="AT75" s="17">
        <f t="shared" si="79"/>
        <v>0</v>
      </c>
      <c r="AU75" s="122">
        <f t="shared" si="80"/>
        <v>0</v>
      </c>
      <c r="AV75" s="123"/>
      <c r="AW75" s="5">
        <f t="shared" si="81"/>
        <v>0</v>
      </c>
      <c r="AX75" s="5">
        <f t="shared" si="65"/>
        <v>0</v>
      </c>
      <c r="AY75" s="5">
        <f t="shared" si="66"/>
        <v>0</v>
      </c>
      <c r="AZ75" s="5">
        <f t="shared" si="67"/>
        <v>0</v>
      </c>
      <c r="BA75" s="5">
        <f t="shared" si="68"/>
        <v>0</v>
      </c>
      <c r="BB75" s="5">
        <f t="shared" si="69"/>
        <v>0</v>
      </c>
      <c r="BC75" s="5">
        <f t="shared" si="70"/>
        <v>0</v>
      </c>
      <c r="BD75" s="5">
        <f t="shared" si="71"/>
        <v>0</v>
      </c>
      <c r="BE75" s="5">
        <f t="shared" si="72"/>
        <v>0</v>
      </c>
      <c r="BF75" s="5">
        <f t="shared" si="73"/>
        <v>0</v>
      </c>
      <c r="BG75" s="5">
        <f t="shared" si="74"/>
        <v>0</v>
      </c>
      <c r="BH75" s="5">
        <f t="shared" si="82"/>
        <v>0</v>
      </c>
      <c r="BI75" s="5">
        <f t="shared" si="83"/>
        <v>0</v>
      </c>
      <c r="BJ75" s="5">
        <f t="shared" si="84"/>
        <v>0</v>
      </c>
      <c r="BK75" s="5">
        <f t="shared" si="85"/>
        <v>0</v>
      </c>
    </row>
    <row r="76" spans="1:63" s="100" customFormat="1" ht="16" hidden="1" customHeight="1">
      <c r="A76" s="17" t="s">
        <v>28</v>
      </c>
      <c r="B76" s="4" t="s">
        <v>229</v>
      </c>
      <c r="C76" s="4" t="s">
        <v>230</v>
      </c>
      <c r="D76" s="7" t="s">
        <v>225</v>
      </c>
      <c r="E76" s="7" t="s">
        <v>226</v>
      </c>
      <c r="F76" s="109" t="s">
        <v>36</v>
      </c>
      <c r="G76" s="109" t="s">
        <v>58</v>
      </c>
      <c r="H76" s="110" t="s">
        <v>45</v>
      </c>
      <c r="I76" s="7"/>
      <c r="J76" s="7"/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/>
      <c r="R76" s="7"/>
      <c r="S76" s="7"/>
      <c r="T76" s="7"/>
      <c r="U76" s="7"/>
      <c r="V76" s="7"/>
      <c r="W76" s="7"/>
      <c r="X76" s="114">
        <v>0</v>
      </c>
      <c r="Y76" s="114">
        <v>0</v>
      </c>
      <c r="Z76" s="117">
        <f t="shared" si="77"/>
        <v>0</v>
      </c>
      <c r="AA76" s="5"/>
      <c r="AB76" s="118">
        <v>0</v>
      </c>
      <c r="AC76" s="119">
        <v>0</v>
      </c>
      <c r="AD76" s="5">
        <f t="shared" si="78"/>
        <v>0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4"/>
      <c r="AQ76" s="4"/>
      <c r="AR76" s="4"/>
      <c r="AS76" s="4"/>
      <c r="AT76" s="17">
        <f t="shared" si="79"/>
        <v>0</v>
      </c>
      <c r="AU76" s="122">
        <f t="shared" si="80"/>
        <v>0</v>
      </c>
      <c r="AV76" s="123"/>
      <c r="AW76" s="5">
        <f t="shared" si="81"/>
        <v>0</v>
      </c>
      <c r="AX76" s="5">
        <f t="shared" si="65"/>
        <v>0</v>
      </c>
      <c r="AY76" s="5">
        <f t="shared" si="66"/>
        <v>0</v>
      </c>
      <c r="AZ76" s="5">
        <f t="shared" si="67"/>
        <v>0</v>
      </c>
      <c r="BA76" s="5">
        <f t="shared" si="68"/>
        <v>0</v>
      </c>
      <c r="BB76" s="5">
        <f t="shared" si="69"/>
        <v>0</v>
      </c>
      <c r="BC76" s="5">
        <f t="shared" si="70"/>
        <v>0</v>
      </c>
      <c r="BD76" s="5">
        <f t="shared" si="71"/>
        <v>0</v>
      </c>
      <c r="BE76" s="5">
        <f t="shared" si="72"/>
        <v>0</v>
      </c>
      <c r="BF76" s="5">
        <f t="shared" si="73"/>
        <v>0</v>
      </c>
      <c r="BG76" s="5">
        <f t="shared" si="74"/>
        <v>0</v>
      </c>
      <c r="BH76" s="5">
        <f t="shared" si="82"/>
        <v>0</v>
      </c>
      <c r="BI76" s="5">
        <f t="shared" si="83"/>
        <v>0</v>
      </c>
      <c r="BJ76" s="5">
        <f t="shared" si="84"/>
        <v>0</v>
      </c>
      <c r="BK76" s="5">
        <f t="shared" si="85"/>
        <v>0</v>
      </c>
    </row>
    <row r="77" spans="1:63" s="100" customFormat="1" ht="16" hidden="1" customHeight="1">
      <c r="A77" s="17" t="s">
        <v>28</v>
      </c>
      <c r="B77" s="4" t="s">
        <v>231</v>
      </c>
      <c r="C77" s="4" t="s">
        <v>232</v>
      </c>
      <c r="D77" s="7" t="s">
        <v>225</v>
      </c>
      <c r="E77" s="7" t="s">
        <v>233</v>
      </c>
      <c r="F77" s="109" t="s">
        <v>36</v>
      </c>
      <c r="G77" s="109" t="s">
        <v>37</v>
      </c>
      <c r="H77" s="110" t="s">
        <v>45</v>
      </c>
      <c r="I77" s="7"/>
      <c r="J77" s="7"/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/>
      <c r="R77" s="7"/>
      <c r="S77" s="7"/>
      <c r="T77" s="7"/>
      <c r="U77" s="7"/>
      <c r="V77" s="7"/>
      <c r="W77" s="7"/>
      <c r="X77" s="114">
        <v>0</v>
      </c>
      <c r="Y77" s="114">
        <v>0</v>
      </c>
      <c r="Z77" s="117">
        <f t="shared" si="77"/>
        <v>0</v>
      </c>
      <c r="AA77" s="5"/>
      <c r="AB77" s="118">
        <v>0</v>
      </c>
      <c r="AC77" s="119">
        <v>0</v>
      </c>
      <c r="AD77" s="5">
        <f t="shared" si="78"/>
        <v>0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4"/>
      <c r="AQ77" s="4"/>
      <c r="AR77" s="4"/>
      <c r="AS77" s="4"/>
      <c r="AT77" s="17">
        <f t="shared" si="79"/>
        <v>0</v>
      </c>
      <c r="AU77" s="122">
        <f t="shared" si="80"/>
        <v>0</v>
      </c>
      <c r="AV77" s="123"/>
      <c r="AW77" s="5">
        <f t="shared" si="81"/>
        <v>0</v>
      </c>
      <c r="AX77" s="5">
        <f t="shared" si="65"/>
        <v>0</v>
      </c>
      <c r="AY77" s="5">
        <f t="shared" si="66"/>
        <v>0</v>
      </c>
      <c r="AZ77" s="5">
        <f t="shared" si="67"/>
        <v>0</v>
      </c>
      <c r="BA77" s="5">
        <f t="shared" si="68"/>
        <v>0</v>
      </c>
      <c r="BB77" s="5">
        <f t="shared" si="69"/>
        <v>0</v>
      </c>
      <c r="BC77" s="5">
        <f t="shared" si="70"/>
        <v>0</v>
      </c>
      <c r="BD77" s="5">
        <f t="shared" si="71"/>
        <v>0</v>
      </c>
      <c r="BE77" s="5">
        <f t="shared" si="72"/>
        <v>0</v>
      </c>
      <c r="BF77" s="5">
        <f t="shared" si="73"/>
        <v>0</v>
      </c>
      <c r="BG77" s="5">
        <f t="shared" si="74"/>
        <v>0</v>
      </c>
      <c r="BH77" s="5">
        <f t="shared" si="82"/>
        <v>0</v>
      </c>
      <c r="BI77" s="5">
        <f t="shared" si="83"/>
        <v>0</v>
      </c>
      <c r="BJ77" s="5">
        <f t="shared" si="84"/>
        <v>0</v>
      </c>
      <c r="BK77" s="5">
        <f t="shared" si="85"/>
        <v>0</v>
      </c>
    </row>
    <row r="78" spans="1:63" s="100" customFormat="1" ht="16" hidden="1" customHeight="1">
      <c r="A78" s="17" t="s">
        <v>28</v>
      </c>
      <c r="B78" s="125" t="s">
        <v>234</v>
      </c>
      <c r="C78" s="4" t="s">
        <v>235</v>
      </c>
      <c r="D78" s="7" t="s">
        <v>225</v>
      </c>
      <c r="E78" s="7" t="s">
        <v>236</v>
      </c>
      <c r="F78" s="109" t="s">
        <v>36</v>
      </c>
      <c r="G78" s="109" t="s">
        <v>58</v>
      </c>
      <c r="H78" s="110" t="s">
        <v>45</v>
      </c>
      <c r="I78" s="7"/>
      <c r="J78" s="7"/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/>
      <c r="R78" s="7"/>
      <c r="S78" s="7"/>
      <c r="T78" s="7"/>
      <c r="U78" s="7"/>
      <c r="V78" s="7"/>
      <c r="W78" s="7"/>
      <c r="X78" s="114">
        <v>0</v>
      </c>
      <c r="Y78" s="114">
        <v>0</v>
      </c>
      <c r="Z78" s="117">
        <f t="shared" si="77"/>
        <v>0</v>
      </c>
      <c r="AA78" s="5"/>
      <c r="AB78" s="118">
        <v>0</v>
      </c>
      <c r="AC78" s="119">
        <v>0</v>
      </c>
      <c r="AD78" s="5">
        <f t="shared" si="78"/>
        <v>0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4"/>
      <c r="AQ78" s="4"/>
      <c r="AR78" s="4"/>
      <c r="AS78" s="4"/>
      <c r="AT78" s="17">
        <f t="shared" si="79"/>
        <v>0</v>
      </c>
      <c r="AU78" s="122">
        <f t="shared" si="80"/>
        <v>0</v>
      </c>
      <c r="AV78" s="123"/>
      <c r="AW78" s="5">
        <f t="shared" si="81"/>
        <v>0</v>
      </c>
      <c r="AX78" s="5">
        <f t="shared" si="65"/>
        <v>0</v>
      </c>
      <c r="AY78" s="5">
        <f t="shared" si="66"/>
        <v>0</v>
      </c>
      <c r="AZ78" s="5">
        <f t="shared" si="67"/>
        <v>0</v>
      </c>
      <c r="BA78" s="5">
        <f t="shared" si="68"/>
        <v>0</v>
      </c>
      <c r="BB78" s="5">
        <f t="shared" si="69"/>
        <v>0</v>
      </c>
      <c r="BC78" s="5">
        <f t="shared" si="70"/>
        <v>0</v>
      </c>
      <c r="BD78" s="5">
        <f t="shared" si="71"/>
        <v>0</v>
      </c>
      <c r="BE78" s="5">
        <f t="shared" si="72"/>
        <v>0</v>
      </c>
      <c r="BF78" s="5">
        <f t="shared" si="73"/>
        <v>0</v>
      </c>
      <c r="BG78" s="5">
        <f t="shared" si="74"/>
        <v>0</v>
      </c>
      <c r="BH78" s="5">
        <f t="shared" si="82"/>
        <v>0</v>
      </c>
      <c r="BI78" s="5">
        <f t="shared" si="83"/>
        <v>0</v>
      </c>
      <c r="BJ78" s="5">
        <f t="shared" si="84"/>
        <v>0</v>
      </c>
      <c r="BK78" s="5">
        <f t="shared" si="85"/>
        <v>0</v>
      </c>
    </row>
    <row r="79" spans="1:63" s="100" customFormat="1" ht="16" hidden="1" customHeight="1">
      <c r="A79" s="17" t="s">
        <v>28</v>
      </c>
      <c r="B79" s="4" t="s">
        <v>237</v>
      </c>
      <c r="C79" s="4" t="s">
        <v>238</v>
      </c>
      <c r="D79" s="7" t="s">
        <v>225</v>
      </c>
      <c r="E79" s="7" t="s">
        <v>239</v>
      </c>
      <c r="F79" s="109" t="s">
        <v>36</v>
      </c>
      <c r="G79" s="109" t="s">
        <v>37</v>
      </c>
      <c r="H79" s="110" t="s">
        <v>45</v>
      </c>
      <c r="I79" s="7"/>
      <c r="J79" s="7"/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/>
      <c r="R79" s="7"/>
      <c r="S79" s="7"/>
      <c r="T79" s="7"/>
      <c r="U79" s="7"/>
      <c r="V79" s="7"/>
      <c r="W79" s="7"/>
      <c r="X79" s="114">
        <v>0</v>
      </c>
      <c r="Y79" s="114">
        <v>0</v>
      </c>
      <c r="Z79" s="117">
        <f t="shared" si="77"/>
        <v>0</v>
      </c>
      <c r="AA79" s="5"/>
      <c r="AB79" s="118">
        <v>0</v>
      </c>
      <c r="AC79" s="119">
        <v>0</v>
      </c>
      <c r="AD79" s="5">
        <f t="shared" si="78"/>
        <v>0</v>
      </c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4"/>
      <c r="AQ79" s="4"/>
      <c r="AR79" s="4"/>
      <c r="AS79" s="4"/>
      <c r="AT79" s="17">
        <f t="shared" si="79"/>
        <v>0</v>
      </c>
      <c r="AU79" s="122">
        <f t="shared" si="80"/>
        <v>0</v>
      </c>
      <c r="AV79" s="123"/>
      <c r="AW79" s="5">
        <f t="shared" si="81"/>
        <v>0</v>
      </c>
      <c r="AX79" s="5">
        <f t="shared" si="65"/>
        <v>0</v>
      </c>
      <c r="AY79" s="5">
        <f t="shared" si="66"/>
        <v>0</v>
      </c>
      <c r="AZ79" s="5">
        <f t="shared" si="67"/>
        <v>0</v>
      </c>
      <c r="BA79" s="5">
        <f t="shared" si="68"/>
        <v>0</v>
      </c>
      <c r="BB79" s="5">
        <f t="shared" si="69"/>
        <v>0</v>
      </c>
      <c r="BC79" s="5">
        <f t="shared" si="70"/>
        <v>0</v>
      </c>
      <c r="BD79" s="5">
        <f t="shared" si="71"/>
        <v>0</v>
      </c>
      <c r="BE79" s="5">
        <f t="shared" si="72"/>
        <v>0</v>
      </c>
      <c r="BF79" s="5">
        <f t="shared" si="73"/>
        <v>0</v>
      </c>
      <c r="BG79" s="5">
        <f t="shared" si="74"/>
        <v>0</v>
      </c>
      <c r="BH79" s="5">
        <f t="shared" si="82"/>
        <v>0</v>
      </c>
      <c r="BI79" s="5">
        <f t="shared" si="83"/>
        <v>0</v>
      </c>
      <c r="BJ79" s="5">
        <f t="shared" si="84"/>
        <v>0</v>
      </c>
      <c r="BK79" s="5">
        <f t="shared" si="85"/>
        <v>0</v>
      </c>
    </row>
    <row r="80" spans="1:63" s="100" customFormat="1" ht="21" customHeight="1">
      <c r="A80" s="17" t="s">
        <v>28</v>
      </c>
      <c r="B80" s="4" t="s">
        <v>240</v>
      </c>
      <c r="C80" s="4" t="s">
        <v>241</v>
      </c>
      <c r="D80" s="7" t="s">
        <v>225</v>
      </c>
      <c r="E80" s="7" t="s">
        <v>236</v>
      </c>
      <c r="F80" s="109" t="s">
        <v>36</v>
      </c>
      <c r="G80" s="109" t="s">
        <v>58</v>
      </c>
      <c r="H80" s="110" t="s">
        <v>45</v>
      </c>
      <c r="I80" s="7"/>
      <c r="J80" s="7"/>
      <c r="K80" s="7">
        <v>47</v>
      </c>
      <c r="L80" s="7">
        <v>0</v>
      </c>
      <c r="M80" s="7">
        <v>0</v>
      </c>
      <c r="N80" s="7">
        <v>3</v>
      </c>
      <c r="O80" s="7">
        <v>99</v>
      </c>
      <c r="P80" s="7">
        <v>0</v>
      </c>
      <c r="Q80" s="7"/>
      <c r="R80" s="7"/>
      <c r="S80" s="7"/>
      <c r="T80" s="7"/>
      <c r="U80" s="7"/>
      <c r="V80" s="7"/>
      <c r="W80" s="7"/>
      <c r="X80" s="114">
        <v>147</v>
      </c>
      <c r="Y80" s="114">
        <v>147</v>
      </c>
      <c r="Z80" s="117">
        <f t="shared" si="77"/>
        <v>198</v>
      </c>
      <c r="AA80" s="5"/>
      <c r="AB80" s="118">
        <v>149</v>
      </c>
      <c r="AC80" s="119">
        <v>198</v>
      </c>
      <c r="AD80" s="5">
        <f t="shared" si="78"/>
        <v>200</v>
      </c>
      <c r="AE80" s="5"/>
      <c r="AF80" s="5"/>
      <c r="AG80" s="5"/>
      <c r="AH80" s="6">
        <v>200</v>
      </c>
      <c r="AI80" s="5"/>
      <c r="AJ80" s="5"/>
      <c r="AK80" s="5"/>
      <c r="AL80" s="5"/>
      <c r="AM80" s="5"/>
      <c r="AN80" s="5"/>
      <c r="AO80" s="5"/>
      <c r="AP80" s="4"/>
      <c r="AQ80" s="4"/>
      <c r="AR80" s="4"/>
      <c r="AS80" s="4"/>
      <c r="AT80" s="17">
        <f>SUM(AE80:AS80)</f>
        <v>200</v>
      </c>
      <c r="AU80" s="122">
        <f t="shared" si="80"/>
        <v>0</v>
      </c>
      <c r="AV80" s="123"/>
      <c r="AW80" s="5">
        <f t="shared" si="81"/>
        <v>147</v>
      </c>
      <c r="AX80" s="5">
        <f t="shared" si="65"/>
        <v>147</v>
      </c>
      <c r="AY80" s="5">
        <f t="shared" si="66"/>
        <v>100</v>
      </c>
      <c r="AZ80" s="5">
        <f t="shared" si="67"/>
        <v>300</v>
      </c>
      <c r="BA80" s="5">
        <f t="shared" si="68"/>
        <v>300</v>
      </c>
      <c r="BB80" s="5">
        <f t="shared" si="69"/>
        <v>297</v>
      </c>
      <c r="BC80" s="5">
        <f t="shared" si="70"/>
        <v>198</v>
      </c>
      <c r="BD80" s="5">
        <f t="shared" si="71"/>
        <v>198</v>
      </c>
      <c r="BE80" s="5">
        <f t="shared" si="72"/>
        <v>198</v>
      </c>
      <c r="BF80" s="5">
        <f t="shared" ref="BF80:BK80" si="86">BE80+AN80-R80</f>
        <v>198</v>
      </c>
      <c r="BG80" s="5">
        <f t="shared" si="86"/>
        <v>198</v>
      </c>
      <c r="BH80" s="5">
        <f t="shared" si="86"/>
        <v>198</v>
      </c>
      <c r="BI80" s="5">
        <f t="shared" si="86"/>
        <v>198</v>
      </c>
      <c r="BJ80" s="5">
        <f t="shared" si="86"/>
        <v>198</v>
      </c>
      <c r="BK80" s="5">
        <f t="shared" si="86"/>
        <v>198</v>
      </c>
    </row>
    <row r="81" spans="1:63" s="100" customFormat="1" ht="16" hidden="1" customHeight="1">
      <c r="A81" s="17" t="s">
        <v>28</v>
      </c>
      <c r="B81" s="111" t="s">
        <v>242</v>
      </c>
      <c r="C81" s="4" t="s">
        <v>243</v>
      </c>
      <c r="D81" s="7" t="s">
        <v>225</v>
      </c>
      <c r="E81" s="7" t="s">
        <v>226</v>
      </c>
      <c r="F81" s="109" t="s">
        <v>36</v>
      </c>
      <c r="G81" s="109" t="s">
        <v>58</v>
      </c>
      <c r="H81" s="110" t="s">
        <v>45</v>
      </c>
      <c r="I81" s="7"/>
      <c r="J81" s="7"/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/>
      <c r="R81" s="7"/>
      <c r="S81" s="7"/>
      <c r="T81" s="7"/>
      <c r="U81" s="7"/>
      <c r="V81" s="7"/>
      <c r="W81" s="7"/>
      <c r="X81" s="114">
        <v>0</v>
      </c>
      <c r="Y81" s="114">
        <v>0</v>
      </c>
      <c r="Z81" s="117">
        <f t="shared" si="77"/>
        <v>0</v>
      </c>
      <c r="AA81" s="5"/>
      <c r="AB81" s="118">
        <v>0</v>
      </c>
      <c r="AC81" s="119">
        <v>0</v>
      </c>
      <c r="AD81" s="5">
        <f t="shared" si="78"/>
        <v>0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4"/>
      <c r="AQ81" s="4"/>
      <c r="AR81" s="4"/>
      <c r="AS81" s="4"/>
      <c r="AT81" s="17">
        <f t="shared" si="79"/>
        <v>0</v>
      </c>
      <c r="AU81" s="122">
        <f t="shared" si="80"/>
        <v>0</v>
      </c>
      <c r="AV81" s="123"/>
      <c r="AW81" s="5">
        <f t="shared" si="81"/>
        <v>0</v>
      </c>
      <c r="AX81" s="5">
        <f t="shared" si="65"/>
        <v>0</v>
      </c>
      <c r="AY81" s="5">
        <f t="shared" si="66"/>
        <v>0</v>
      </c>
      <c r="AZ81" s="5">
        <f t="shared" si="67"/>
        <v>0</v>
      </c>
      <c r="BA81" s="5">
        <f t="shared" si="68"/>
        <v>0</v>
      </c>
      <c r="BB81" s="5">
        <f t="shared" si="69"/>
        <v>0</v>
      </c>
      <c r="BC81" s="5">
        <f t="shared" si="70"/>
        <v>0</v>
      </c>
      <c r="BD81" s="5">
        <f t="shared" si="71"/>
        <v>0</v>
      </c>
      <c r="BE81" s="5">
        <f t="shared" si="72"/>
        <v>0</v>
      </c>
      <c r="BF81" s="5">
        <f t="shared" si="73"/>
        <v>0</v>
      </c>
      <c r="BG81" s="5">
        <f t="shared" si="74"/>
        <v>0</v>
      </c>
      <c r="BH81" s="5">
        <f t="shared" ref="BH81:BK83" si="87">AP81+AJ81-T81</f>
        <v>0</v>
      </c>
      <c r="BI81" s="5">
        <f t="shared" si="87"/>
        <v>0</v>
      </c>
      <c r="BJ81" s="5">
        <f t="shared" si="87"/>
        <v>0</v>
      </c>
      <c r="BK81" s="5">
        <f t="shared" si="87"/>
        <v>0</v>
      </c>
    </row>
    <row r="82" spans="1:63" s="100" customFormat="1" ht="16" hidden="1" customHeight="1">
      <c r="A82" s="17" t="s">
        <v>28</v>
      </c>
      <c r="B82" s="111" t="s">
        <v>244</v>
      </c>
      <c r="C82" s="4" t="s">
        <v>245</v>
      </c>
      <c r="D82" s="7" t="s">
        <v>225</v>
      </c>
      <c r="E82" s="7" t="s">
        <v>226</v>
      </c>
      <c r="F82" s="109" t="s">
        <v>36</v>
      </c>
      <c r="G82" s="109" t="s">
        <v>58</v>
      </c>
      <c r="H82" s="110" t="s">
        <v>45</v>
      </c>
      <c r="I82" s="7"/>
      <c r="J82" s="7"/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/>
      <c r="R82" s="7"/>
      <c r="S82" s="7"/>
      <c r="T82" s="7"/>
      <c r="U82" s="7"/>
      <c r="V82" s="7"/>
      <c r="W82" s="7"/>
      <c r="X82" s="114">
        <v>0</v>
      </c>
      <c r="Y82" s="114">
        <v>0</v>
      </c>
      <c r="Z82" s="117">
        <f t="shared" si="77"/>
        <v>0</v>
      </c>
      <c r="AA82" s="5"/>
      <c r="AB82" s="118">
        <v>0</v>
      </c>
      <c r="AC82" s="119">
        <v>0</v>
      </c>
      <c r="AD82" s="5">
        <f t="shared" si="78"/>
        <v>0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4"/>
      <c r="AQ82" s="4"/>
      <c r="AR82" s="4"/>
      <c r="AS82" s="4"/>
      <c r="AT82" s="17">
        <f t="shared" si="79"/>
        <v>0</v>
      </c>
      <c r="AU82" s="122">
        <f t="shared" si="80"/>
        <v>0</v>
      </c>
      <c r="AV82" s="123"/>
      <c r="AW82" s="5">
        <f t="shared" si="81"/>
        <v>0</v>
      </c>
      <c r="AX82" s="5">
        <f t="shared" si="65"/>
        <v>0</v>
      </c>
      <c r="AY82" s="5">
        <f t="shared" si="66"/>
        <v>0</v>
      </c>
      <c r="AZ82" s="5">
        <f t="shared" si="67"/>
        <v>0</v>
      </c>
      <c r="BA82" s="5">
        <f t="shared" si="68"/>
        <v>0</v>
      </c>
      <c r="BB82" s="5">
        <f t="shared" si="69"/>
        <v>0</v>
      </c>
      <c r="BC82" s="5">
        <f t="shared" si="70"/>
        <v>0</v>
      </c>
      <c r="BD82" s="5">
        <f t="shared" si="71"/>
        <v>0</v>
      </c>
      <c r="BE82" s="5">
        <f t="shared" si="72"/>
        <v>0</v>
      </c>
      <c r="BF82" s="5">
        <f t="shared" si="73"/>
        <v>0</v>
      </c>
      <c r="BG82" s="5">
        <f t="shared" si="74"/>
        <v>0</v>
      </c>
      <c r="BH82" s="5">
        <f t="shared" si="87"/>
        <v>0</v>
      </c>
      <c r="BI82" s="5">
        <f t="shared" si="87"/>
        <v>0</v>
      </c>
      <c r="BJ82" s="5">
        <f t="shared" si="87"/>
        <v>0</v>
      </c>
      <c r="BK82" s="5">
        <f t="shared" si="87"/>
        <v>0</v>
      </c>
    </row>
    <row r="83" spans="1:63" s="100" customFormat="1" ht="16" hidden="1" customHeight="1">
      <c r="A83" s="17" t="s">
        <v>28</v>
      </c>
      <c r="B83" s="111" t="s">
        <v>246</v>
      </c>
      <c r="C83" s="4" t="s">
        <v>247</v>
      </c>
      <c r="D83" s="7" t="s">
        <v>219</v>
      </c>
      <c r="E83" s="7" t="s">
        <v>248</v>
      </c>
      <c r="F83" s="109" t="s">
        <v>36</v>
      </c>
      <c r="G83" s="109" t="s">
        <v>58</v>
      </c>
      <c r="H83" s="110" t="s">
        <v>45</v>
      </c>
      <c r="I83" s="7"/>
      <c r="J83" s="7"/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/>
      <c r="R83" s="7"/>
      <c r="S83" s="7"/>
      <c r="T83" s="7"/>
      <c r="U83" s="7"/>
      <c r="V83" s="7"/>
      <c r="W83" s="7"/>
      <c r="X83" s="114">
        <v>0</v>
      </c>
      <c r="Y83" s="114">
        <v>0</v>
      </c>
      <c r="Z83" s="117">
        <f t="shared" si="77"/>
        <v>0</v>
      </c>
      <c r="AA83" s="5"/>
      <c r="AB83" s="118">
        <v>0</v>
      </c>
      <c r="AC83" s="119">
        <v>0</v>
      </c>
      <c r="AD83" s="5">
        <f t="shared" si="78"/>
        <v>0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4"/>
      <c r="AQ83" s="4"/>
      <c r="AR83" s="4"/>
      <c r="AS83" s="4"/>
      <c r="AT83" s="17">
        <f t="shared" si="79"/>
        <v>0</v>
      </c>
      <c r="AU83" s="122">
        <f t="shared" si="80"/>
        <v>0</v>
      </c>
      <c r="AV83" s="123"/>
      <c r="AW83" s="5">
        <f t="shared" si="81"/>
        <v>0</v>
      </c>
      <c r="AX83" s="5">
        <f t="shared" si="65"/>
        <v>0</v>
      </c>
      <c r="AY83" s="5">
        <f t="shared" si="66"/>
        <v>0</v>
      </c>
      <c r="AZ83" s="5">
        <f t="shared" si="67"/>
        <v>0</v>
      </c>
      <c r="BA83" s="5">
        <f t="shared" si="68"/>
        <v>0</v>
      </c>
      <c r="BB83" s="5">
        <f t="shared" si="69"/>
        <v>0</v>
      </c>
      <c r="BC83" s="5">
        <f t="shared" si="70"/>
        <v>0</v>
      </c>
      <c r="BD83" s="5">
        <f t="shared" si="71"/>
        <v>0</v>
      </c>
      <c r="BE83" s="5">
        <f t="shared" si="72"/>
        <v>0</v>
      </c>
      <c r="BF83" s="5">
        <f t="shared" si="73"/>
        <v>0</v>
      </c>
      <c r="BG83" s="5">
        <f t="shared" si="74"/>
        <v>0</v>
      </c>
      <c r="BH83" s="5">
        <f t="shared" si="87"/>
        <v>0</v>
      </c>
      <c r="BI83" s="5">
        <f t="shared" si="87"/>
        <v>0</v>
      </c>
      <c r="BJ83" s="5">
        <f t="shared" si="87"/>
        <v>0</v>
      </c>
      <c r="BK83" s="5">
        <f t="shared" si="87"/>
        <v>0</v>
      </c>
    </row>
    <row r="84" spans="1:63" s="100" customFormat="1" ht="16" hidden="1" customHeight="1">
      <c r="A84" s="17" t="s">
        <v>28</v>
      </c>
      <c r="B84" s="111" t="s">
        <v>249</v>
      </c>
      <c r="C84" s="4" t="s">
        <v>250</v>
      </c>
      <c r="D84" s="7" t="s">
        <v>251</v>
      </c>
      <c r="E84" s="7" t="s">
        <v>252</v>
      </c>
      <c r="F84" s="109" t="s">
        <v>36</v>
      </c>
      <c r="G84" s="109" t="s">
        <v>58</v>
      </c>
      <c r="H84" s="110" t="s">
        <v>38</v>
      </c>
      <c r="I84" s="7"/>
      <c r="J84" s="7"/>
      <c r="K84" s="7">
        <v>5</v>
      </c>
      <c r="L84" s="7">
        <v>0</v>
      </c>
      <c r="M84" s="7">
        <v>0</v>
      </c>
      <c r="N84" s="7">
        <v>0</v>
      </c>
      <c r="O84" s="7">
        <v>51</v>
      </c>
      <c r="P84" s="7">
        <v>32</v>
      </c>
      <c r="Q84" s="7"/>
      <c r="R84" s="7"/>
      <c r="S84" s="7"/>
      <c r="T84" s="7"/>
      <c r="U84" s="7"/>
      <c r="V84" s="7"/>
      <c r="W84" s="7"/>
      <c r="X84" s="114">
        <v>1516</v>
      </c>
      <c r="Y84" s="114">
        <v>153</v>
      </c>
      <c r="Z84" s="117">
        <f t="shared" si="77"/>
        <v>1363</v>
      </c>
      <c r="AA84" s="5"/>
      <c r="AB84" s="118">
        <v>153</v>
      </c>
      <c r="AC84" s="119">
        <v>0</v>
      </c>
      <c r="AD84" s="5">
        <f t="shared" si="78"/>
        <v>0</v>
      </c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4"/>
      <c r="AQ84" s="4"/>
      <c r="AR84" s="4"/>
      <c r="AS84" s="4"/>
      <c r="AT84" s="17">
        <f>SUM(AE84:AS84)</f>
        <v>0</v>
      </c>
      <c r="AU84" s="122">
        <f t="shared" si="80"/>
        <v>0</v>
      </c>
      <c r="AV84" s="123"/>
      <c r="AW84" s="5">
        <f t="shared" si="81"/>
        <v>153</v>
      </c>
      <c r="AX84" s="5">
        <f t="shared" si="65"/>
        <v>153</v>
      </c>
      <c r="AY84" s="5">
        <f t="shared" si="66"/>
        <v>148</v>
      </c>
      <c r="AZ84" s="5">
        <f t="shared" si="67"/>
        <v>148</v>
      </c>
      <c r="BA84" s="5">
        <f t="shared" si="68"/>
        <v>148</v>
      </c>
      <c r="BB84" s="5">
        <f t="shared" si="69"/>
        <v>148</v>
      </c>
      <c r="BC84" s="5">
        <f t="shared" si="70"/>
        <v>97</v>
      </c>
      <c r="BD84" s="5">
        <f t="shared" si="71"/>
        <v>65</v>
      </c>
      <c r="BE84" s="5">
        <f t="shared" si="72"/>
        <v>65</v>
      </c>
      <c r="BF84" s="5">
        <f t="shared" ref="BF84:BK84" si="88">BE84+AN84-R84</f>
        <v>65</v>
      </c>
      <c r="BG84" s="5">
        <f t="shared" si="88"/>
        <v>65</v>
      </c>
      <c r="BH84" s="5">
        <f t="shared" si="88"/>
        <v>65</v>
      </c>
      <c r="BI84" s="5">
        <f t="shared" si="88"/>
        <v>65</v>
      </c>
      <c r="BJ84" s="5">
        <f t="shared" si="88"/>
        <v>65</v>
      </c>
      <c r="BK84" s="5">
        <f t="shared" si="88"/>
        <v>65</v>
      </c>
    </row>
    <row r="85" spans="1:63" s="100" customFormat="1" ht="16" hidden="1" customHeight="1">
      <c r="A85" s="17" t="s">
        <v>28</v>
      </c>
      <c r="B85" s="4" t="s">
        <v>253</v>
      </c>
      <c r="C85" s="4" t="s">
        <v>254</v>
      </c>
      <c r="D85" s="4" t="s">
        <v>251</v>
      </c>
      <c r="E85" s="7" t="s">
        <v>252</v>
      </c>
      <c r="F85" s="109" t="s">
        <v>36</v>
      </c>
      <c r="G85" s="109" t="s">
        <v>58</v>
      </c>
      <c r="H85" s="110" t="s">
        <v>38</v>
      </c>
      <c r="I85" s="7"/>
      <c r="J85" s="7"/>
      <c r="K85" s="7">
        <v>0</v>
      </c>
      <c r="L85" s="7">
        <v>0</v>
      </c>
      <c r="M85" s="7">
        <v>18</v>
      </c>
      <c r="N85" s="7">
        <v>0</v>
      </c>
      <c r="O85" s="7">
        <v>0</v>
      </c>
      <c r="P85" s="7">
        <v>316</v>
      </c>
      <c r="Q85" s="7"/>
      <c r="R85" s="7"/>
      <c r="S85" s="7"/>
      <c r="T85" s="7"/>
      <c r="U85" s="7"/>
      <c r="V85" s="7"/>
      <c r="W85" s="7"/>
      <c r="X85" s="114">
        <v>2964</v>
      </c>
      <c r="Y85" s="114">
        <v>334</v>
      </c>
      <c r="Z85" s="117">
        <f t="shared" si="77"/>
        <v>2630</v>
      </c>
      <c r="AA85" s="5"/>
      <c r="AB85" s="118">
        <v>334</v>
      </c>
      <c r="AC85" s="119">
        <v>0</v>
      </c>
      <c r="AD85" s="5">
        <f t="shared" si="78"/>
        <v>0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4"/>
      <c r="AQ85" s="4"/>
      <c r="AR85" s="4"/>
      <c r="AS85" s="4"/>
      <c r="AT85" s="17">
        <f>SUM(AE85:AS85)</f>
        <v>0</v>
      </c>
      <c r="AU85" s="122">
        <f t="shared" si="80"/>
        <v>0</v>
      </c>
      <c r="AV85" s="123"/>
      <c r="AW85" s="5">
        <f t="shared" si="81"/>
        <v>334</v>
      </c>
      <c r="AX85" s="5">
        <f t="shared" si="65"/>
        <v>334</v>
      </c>
      <c r="AY85" s="5">
        <f t="shared" si="66"/>
        <v>334</v>
      </c>
      <c r="AZ85" s="5">
        <f t="shared" si="67"/>
        <v>334</v>
      </c>
      <c r="BA85" s="5">
        <f t="shared" si="68"/>
        <v>316</v>
      </c>
      <c r="BB85" s="5">
        <f t="shared" si="69"/>
        <v>316</v>
      </c>
      <c r="BC85" s="5">
        <f t="shared" si="70"/>
        <v>316</v>
      </c>
      <c r="BD85" s="5">
        <f t="shared" si="71"/>
        <v>0</v>
      </c>
      <c r="BE85" s="5">
        <f t="shared" si="72"/>
        <v>0</v>
      </c>
      <c r="BF85" s="5">
        <f t="shared" ref="BF85:BK85" si="89">BE85+AN85-R85</f>
        <v>0</v>
      </c>
      <c r="BG85" s="5">
        <f t="shared" si="89"/>
        <v>0</v>
      </c>
      <c r="BH85" s="5">
        <f t="shared" si="89"/>
        <v>0</v>
      </c>
      <c r="BI85" s="5">
        <f t="shared" si="89"/>
        <v>0</v>
      </c>
      <c r="BJ85" s="5">
        <f t="shared" si="89"/>
        <v>0</v>
      </c>
      <c r="BK85" s="5">
        <f t="shared" si="89"/>
        <v>0</v>
      </c>
    </row>
    <row r="86" spans="1:63" s="100" customFormat="1" ht="16" hidden="1" customHeight="1">
      <c r="A86" s="17" t="s">
        <v>28</v>
      </c>
      <c r="B86" s="111" t="s">
        <v>255</v>
      </c>
      <c r="C86" s="4" t="s">
        <v>256</v>
      </c>
      <c r="D86" s="7" t="s">
        <v>251</v>
      </c>
      <c r="E86" s="7" t="s">
        <v>252</v>
      </c>
      <c r="F86" s="109" t="s">
        <v>36</v>
      </c>
      <c r="G86" s="109" t="s">
        <v>58</v>
      </c>
      <c r="H86" s="110" t="s">
        <v>38</v>
      </c>
      <c r="I86" s="7"/>
      <c r="J86" s="7"/>
      <c r="K86" s="7">
        <v>0</v>
      </c>
      <c r="L86" s="7">
        <v>0</v>
      </c>
      <c r="M86" s="7">
        <v>12</v>
      </c>
      <c r="N86" s="7">
        <v>60</v>
      </c>
      <c r="O86" s="7">
        <v>115</v>
      </c>
      <c r="P86" s="7">
        <v>0</v>
      </c>
      <c r="Q86" s="7"/>
      <c r="R86" s="7"/>
      <c r="S86" s="7"/>
      <c r="T86" s="7"/>
      <c r="U86" s="7"/>
      <c r="V86" s="7"/>
      <c r="W86" s="7"/>
      <c r="X86" s="114">
        <v>1413</v>
      </c>
      <c r="Y86" s="114">
        <v>187</v>
      </c>
      <c r="Z86" s="117">
        <f t="shared" si="77"/>
        <v>1226</v>
      </c>
      <c r="AA86" s="5"/>
      <c r="AB86" s="118">
        <v>187</v>
      </c>
      <c r="AC86" s="119">
        <v>0</v>
      </c>
      <c r="AD86" s="5">
        <f t="shared" si="78"/>
        <v>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4"/>
      <c r="AQ86" s="4"/>
      <c r="AR86" s="4"/>
      <c r="AS86" s="4"/>
      <c r="AT86" s="17">
        <f>SUM(AE86:AS86)</f>
        <v>0</v>
      </c>
      <c r="AU86" s="122">
        <f t="shared" si="80"/>
        <v>0</v>
      </c>
      <c r="AV86" s="123"/>
      <c r="AW86" s="5">
        <f t="shared" si="81"/>
        <v>187</v>
      </c>
      <c r="AX86" s="5">
        <f t="shared" si="65"/>
        <v>187</v>
      </c>
      <c r="AY86" s="5">
        <f t="shared" si="66"/>
        <v>187</v>
      </c>
      <c r="AZ86" s="5">
        <f t="shared" si="67"/>
        <v>187</v>
      </c>
      <c r="BA86" s="5">
        <f t="shared" si="68"/>
        <v>175</v>
      </c>
      <c r="BB86" s="5">
        <f t="shared" si="69"/>
        <v>115</v>
      </c>
      <c r="BC86" s="5">
        <f t="shared" si="70"/>
        <v>0</v>
      </c>
      <c r="BD86" s="5">
        <f t="shared" si="71"/>
        <v>0</v>
      </c>
      <c r="BE86" s="5">
        <f t="shared" si="72"/>
        <v>0</v>
      </c>
      <c r="BF86" s="5">
        <f t="shared" ref="BF86:BK86" si="90">BE86+AN86-R86</f>
        <v>0</v>
      </c>
      <c r="BG86" s="5">
        <f t="shared" si="90"/>
        <v>0</v>
      </c>
      <c r="BH86" s="5">
        <f t="shared" si="90"/>
        <v>0</v>
      </c>
      <c r="BI86" s="5">
        <f t="shared" si="90"/>
        <v>0</v>
      </c>
      <c r="BJ86" s="5">
        <f t="shared" si="90"/>
        <v>0</v>
      </c>
      <c r="BK86" s="5">
        <f t="shared" si="90"/>
        <v>0</v>
      </c>
    </row>
    <row r="87" spans="1:63" s="100" customFormat="1" ht="16" hidden="1" customHeight="1">
      <c r="A87" s="126" t="s">
        <v>29</v>
      </c>
      <c r="B87" s="11" t="s">
        <v>257</v>
      </c>
      <c r="C87" s="11" t="s">
        <v>258</v>
      </c>
      <c r="D87" s="13" t="s">
        <v>259</v>
      </c>
      <c r="E87" s="13" t="s">
        <v>260</v>
      </c>
      <c r="F87" s="13" t="s">
        <v>261</v>
      </c>
      <c r="G87" s="13" t="s">
        <v>58</v>
      </c>
      <c r="H87" s="13" t="s">
        <v>45</v>
      </c>
      <c r="I87" s="7"/>
      <c r="J87" s="7"/>
      <c r="K87" s="7">
        <v>20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/>
      <c r="R87" s="7"/>
      <c r="S87" s="7"/>
      <c r="T87" s="7"/>
      <c r="U87" s="7"/>
      <c r="V87" s="7"/>
      <c r="W87" s="7"/>
      <c r="X87" s="12">
        <v>889</v>
      </c>
      <c r="Y87" s="12">
        <v>20</v>
      </c>
      <c r="Z87" s="12">
        <f t="shared" si="77"/>
        <v>869</v>
      </c>
      <c r="AA87" s="12"/>
      <c r="AB87" s="12">
        <v>20</v>
      </c>
      <c r="AC87" s="12">
        <v>0</v>
      </c>
      <c r="AD87" s="130">
        <f t="shared" si="78"/>
        <v>0</v>
      </c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8">
        <f t="shared" si="79"/>
        <v>0</v>
      </c>
      <c r="AU87" s="131">
        <f t="shared" si="80"/>
        <v>0</v>
      </c>
      <c r="AV87" s="123"/>
      <c r="AW87" s="11">
        <f t="shared" si="81"/>
        <v>20</v>
      </c>
      <c r="AX87" s="129">
        <f t="shared" si="65"/>
        <v>20</v>
      </c>
      <c r="AY87" s="129">
        <f t="shared" si="66"/>
        <v>0</v>
      </c>
      <c r="AZ87" s="129">
        <f t="shared" si="67"/>
        <v>0</v>
      </c>
      <c r="BA87" s="129">
        <f t="shared" si="68"/>
        <v>0</v>
      </c>
      <c r="BB87" s="129">
        <f t="shared" si="69"/>
        <v>0</v>
      </c>
      <c r="BC87" s="129">
        <f t="shared" si="70"/>
        <v>0</v>
      </c>
      <c r="BD87" s="129">
        <f t="shared" si="71"/>
        <v>0</v>
      </c>
      <c r="BE87" s="129">
        <f t="shared" si="72"/>
        <v>0</v>
      </c>
      <c r="BF87" s="129">
        <f t="shared" si="73"/>
        <v>0</v>
      </c>
      <c r="BG87" s="129">
        <f t="shared" si="74"/>
        <v>0</v>
      </c>
      <c r="BH87" s="129">
        <f t="shared" ref="BH87:BH99" si="91">AP87+AJ87-T87</f>
        <v>0</v>
      </c>
      <c r="BI87" s="129">
        <f t="shared" ref="BI87:BI99" si="92">AQ87+AK87-U87</f>
        <v>0</v>
      </c>
      <c r="BJ87" s="129">
        <f t="shared" ref="BJ87:BJ99" si="93">AR87+AL87-V87</f>
        <v>0</v>
      </c>
      <c r="BK87" s="129">
        <f t="shared" ref="BK87:BK99" si="94">AS87+AM87-W87</f>
        <v>0</v>
      </c>
    </row>
    <row r="88" spans="1:63" s="100" customFormat="1" ht="16" hidden="1" customHeight="1">
      <c r="A88" s="126" t="s">
        <v>29</v>
      </c>
      <c r="B88" s="11" t="s">
        <v>262</v>
      </c>
      <c r="C88" s="11" t="s">
        <v>263</v>
      </c>
      <c r="D88" s="13" t="s">
        <v>264</v>
      </c>
      <c r="E88" s="13" t="s">
        <v>265</v>
      </c>
      <c r="F88" s="13" t="s">
        <v>266</v>
      </c>
      <c r="G88" s="13" t="s">
        <v>58</v>
      </c>
      <c r="H88" s="13" t="s">
        <v>45</v>
      </c>
      <c r="I88" s="7"/>
      <c r="J88" s="7"/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/>
      <c r="R88" s="7"/>
      <c r="S88" s="7"/>
      <c r="T88" s="7"/>
      <c r="U88" s="7"/>
      <c r="V88" s="7"/>
      <c r="W88" s="7"/>
      <c r="X88" s="12">
        <v>0</v>
      </c>
      <c r="Y88" s="12">
        <v>0</v>
      </c>
      <c r="Z88" s="12">
        <f t="shared" si="77"/>
        <v>0</v>
      </c>
      <c r="AA88" s="12"/>
      <c r="AB88" s="12">
        <v>0</v>
      </c>
      <c r="AC88" s="12">
        <v>0</v>
      </c>
      <c r="AD88" s="130">
        <f t="shared" si="78"/>
        <v>0</v>
      </c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8">
        <f t="shared" si="79"/>
        <v>0</v>
      </c>
      <c r="AU88" s="131">
        <f t="shared" si="80"/>
        <v>0</v>
      </c>
      <c r="AV88" s="123"/>
      <c r="AW88" s="11">
        <f t="shared" si="81"/>
        <v>0</v>
      </c>
      <c r="AX88" s="129">
        <f t="shared" si="65"/>
        <v>0</v>
      </c>
      <c r="AY88" s="129">
        <f t="shared" si="66"/>
        <v>0</v>
      </c>
      <c r="AZ88" s="129">
        <f t="shared" si="67"/>
        <v>0</v>
      </c>
      <c r="BA88" s="129">
        <f t="shared" si="68"/>
        <v>0</v>
      </c>
      <c r="BB88" s="129">
        <f t="shared" si="69"/>
        <v>0</v>
      </c>
      <c r="BC88" s="129">
        <f t="shared" si="70"/>
        <v>0</v>
      </c>
      <c r="BD88" s="129">
        <f t="shared" si="71"/>
        <v>0</v>
      </c>
      <c r="BE88" s="129">
        <f t="shared" si="72"/>
        <v>0</v>
      </c>
      <c r="BF88" s="129">
        <f t="shared" si="73"/>
        <v>0</v>
      </c>
      <c r="BG88" s="129">
        <f t="shared" si="74"/>
        <v>0</v>
      </c>
      <c r="BH88" s="129">
        <f t="shared" si="91"/>
        <v>0</v>
      </c>
      <c r="BI88" s="129">
        <f t="shared" si="92"/>
        <v>0</v>
      </c>
      <c r="BJ88" s="129">
        <f t="shared" si="93"/>
        <v>0</v>
      </c>
      <c r="BK88" s="129">
        <f t="shared" si="94"/>
        <v>0</v>
      </c>
    </row>
    <row r="89" spans="1:63" s="100" customFormat="1" ht="16" hidden="1" customHeight="1">
      <c r="A89" s="127" t="s">
        <v>29</v>
      </c>
      <c r="B89" s="11" t="s">
        <v>267</v>
      </c>
      <c r="C89" s="11" t="s">
        <v>268</v>
      </c>
      <c r="D89" s="13" t="s">
        <v>264</v>
      </c>
      <c r="E89" s="13" t="s">
        <v>269</v>
      </c>
      <c r="F89" s="13" t="s">
        <v>207</v>
      </c>
      <c r="G89" s="13" t="s">
        <v>37</v>
      </c>
      <c r="H89" s="13" t="s">
        <v>38</v>
      </c>
      <c r="I89" s="7"/>
      <c r="J89" s="7"/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/>
      <c r="R89" s="7"/>
      <c r="S89" s="7"/>
      <c r="T89" s="7"/>
      <c r="U89" s="7"/>
      <c r="V89" s="7"/>
      <c r="W89" s="7"/>
      <c r="X89" s="12">
        <v>0</v>
      </c>
      <c r="Y89" s="12">
        <v>0</v>
      </c>
      <c r="Z89" s="12">
        <f t="shared" si="77"/>
        <v>0</v>
      </c>
      <c r="AA89" s="12"/>
      <c r="AB89" s="12">
        <v>0</v>
      </c>
      <c r="AC89" s="12">
        <v>0</v>
      </c>
      <c r="AD89" s="130">
        <f t="shared" si="78"/>
        <v>0</v>
      </c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8">
        <f t="shared" si="79"/>
        <v>0</v>
      </c>
      <c r="AU89" s="131">
        <f t="shared" si="80"/>
        <v>0</v>
      </c>
      <c r="AV89" s="123"/>
      <c r="AW89" s="11">
        <f t="shared" si="81"/>
        <v>0</v>
      </c>
      <c r="AX89" s="129">
        <f t="shared" si="65"/>
        <v>0</v>
      </c>
      <c r="AY89" s="129">
        <f t="shared" si="66"/>
        <v>0</v>
      </c>
      <c r="AZ89" s="129">
        <f t="shared" si="67"/>
        <v>0</v>
      </c>
      <c r="BA89" s="129">
        <f t="shared" si="68"/>
        <v>0</v>
      </c>
      <c r="BB89" s="129">
        <f t="shared" si="69"/>
        <v>0</v>
      </c>
      <c r="BC89" s="129">
        <f t="shared" si="70"/>
        <v>0</v>
      </c>
      <c r="BD89" s="129">
        <f t="shared" si="71"/>
        <v>0</v>
      </c>
      <c r="BE89" s="129">
        <f t="shared" si="72"/>
        <v>0</v>
      </c>
      <c r="BF89" s="129">
        <f t="shared" si="73"/>
        <v>0</v>
      </c>
      <c r="BG89" s="129">
        <f t="shared" si="74"/>
        <v>0</v>
      </c>
      <c r="BH89" s="129">
        <f t="shared" si="91"/>
        <v>0</v>
      </c>
      <c r="BI89" s="129">
        <f t="shared" si="92"/>
        <v>0</v>
      </c>
      <c r="BJ89" s="129">
        <f t="shared" si="93"/>
        <v>0</v>
      </c>
      <c r="BK89" s="129">
        <f t="shared" si="94"/>
        <v>0</v>
      </c>
    </row>
    <row r="90" spans="1:63" s="100" customFormat="1" ht="16" hidden="1" customHeight="1">
      <c r="A90" s="126" t="s">
        <v>29</v>
      </c>
      <c r="B90" s="11" t="s">
        <v>270</v>
      </c>
      <c r="C90" s="11" t="s">
        <v>271</v>
      </c>
      <c r="D90" s="13" t="s">
        <v>264</v>
      </c>
      <c r="E90" s="13" t="s">
        <v>272</v>
      </c>
      <c r="F90" s="13" t="s">
        <v>273</v>
      </c>
      <c r="G90" s="13" t="s">
        <v>58</v>
      </c>
      <c r="H90" s="13" t="s">
        <v>38</v>
      </c>
      <c r="I90" s="7"/>
      <c r="J90" s="7"/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/>
      <c r="R90" s="7"/>
      <c r="S90" s="7"/>
      <c r="T90" s="7"/>
      <c r="U90" s="7"/>
      <c r="V90" s="7"/>
      <c r="W90" s="7"/>
      <c r="X90" s="12">
        <v>0</v>
      </c>
      <c r="Y90" s="12">
        <v>0</v>
      </c>
      <c r="Z90" s="12">
        <f t="shared" si="77"/>
        <v>0</v>
      </c>
      <c r="AA90" s="12"/>
      <c r="AB90" s="12">
        <v>0</v>
      </c>
      <c r="AC90" s="12">
        <v>0</v>
      </c>
      <c r="AD90" s="130">
        <f t="shared" si="78"/>
        <v>0</v>
      </c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8">
        <f t="shared" si="79"/>
        <v>0</v>
      </c>
      <c r="AU90" s="131">
        <f t="shared" si="80"/>
        <v>0</v>
      </c>
      <c r="AV90" s="123"/>
      <c r="AW90" s="11">
        <f t="shared" si="81"/>
        <v>0</v>
      </c>
      <c r="AX90" s="129">
        <f t="shared" si="65"/>
        <v>0</v>
      </c>
      <c r="AY90" s="129">
        <f t="shared" si="66"/>
        <v>0</v>
      </c>
      <c r="AZ90" s="129">
        <f t="shared" si="67"/>
        <v>0</v>
      </c>
      <c r="BA90" s="129">
        <f t="shared" si="68"/>
        <v>0</v>
      </c>
      <c r="BB90" s="129">
        <f t="shared" si="69"/>
        <v>0</v>
      </c>
      <c r="BC90" s="129">
        <f t="shared" si="70"/>
        <v>0</v>
      </c>
      <c r="BD90" s="129">
        <f t="shared" si="71"/>
        <v>0</v>
      </c>
      <c r="BE90" s="129">
        <f t="shared" si="72"/>
        <v>0</v>
      </c>
      <c r="BF90" s="129">
        <f t="shared" si="73"/>
        <v>0</v>
      </c>
      <c r="BG90" s="129">
        <f t="shared" si="74"/>
        <v>0</v>
      </c>
      <c r="BH90" s="129">
        <f t="shared" si="91"/>
        <v>0</v>
      </c>
      <c r="BI90" s="129">
        <f t="shared" si="92"/>
        <v>0</v>
      </c>
      <c r="BJ90" s="129">
        <f t="shared" si="93"/>
        <v>0</v>
      </c>
      <c r="BK90" s="129">
        <f t="shared" si="94"/>
        <v>0</v>
      </c>
    </row>
    <row r="91" spans="1:63" ht="16" hidden="1" customHeight="1">
      <c r="A91" s="126" t="s">
        <v>29</v>
      </c>
      <c r="B91" s="13" t="s">
        <v>274</v>
      </c>
      <c r="C91" s="11" t="s">
        <v>275</v>
      </c>
      <c r="D91" s="13" t="s">
        <v>264</v>
      </c>
      <c r="E91" s="13" t="s">
        <v>276</v>
      </c>
      <c r="F91" s="13" t="s">
        <v>273</v>
      </c>
      <c r="G91" s="13" t="s">
        <v>58</v>
      </c>
      <c r="H91" s="13" t="s">
        <v>38</v>
      </c>
      <c r="I91" s="7"/>
      <c r="J91" s="7"/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/>
      <c r="R91" s="7"/>
      <c r="S91" s="7"/>
      <c r="T91" s="7"/>
      <c r="U91" s="7"/>
      <c r="V91" s="7"/>
      <c r="W91" s="7"/>
      <c r="X91" s="12">
        <v>0</v>
      </c>
      <c r="Y91" s="12">
        <v>0</v>
      </c>
      <c r="Z91" s="12">
        <f t="shared" si="77"/>
        <v>0</v>
      </c>
      <c r="AA91" s="12"/>
      <c r="AB91" s="12">
        <v>0</v>
      </c>
      <c r="AC91" s="12">
        <v>0</v>
      </c>
      <c r="AD91" s="130">
        <f t="shared" si="78"/>
        <v>0</v>
      </c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8">
        <f t="shared" si="79"/>
        <v>0</v>
      </c>
      <c r="AU91" s="131">
        <f t="shared" si="80"/>
        <v>0</v>
      </c>
      <c r="AV91" s="123"/>
      <c r="AW91" s="11">
        <f t="shared" si="81"/>
        <v>0</v>
      </c>
      <c r="AX91" s="129">
        <f t="shared" si="65"/>
        <v>0</v>
      </c>
      <c r="AY91" s="129">
        <f t="shared" si="66"/>
        <v>0</v>
      </c>
      <c r="AZ91" s="129">
        <f t="shared" si="67"/>
        <v>0</v>
      </c>
      <c r="BA91" s="129">
        <f t="shared" si="68"/>
        <v>0</v>
      </c>
      <c r="BB91" s="129">
        <f t="shared" si="69"/>
        <v>0</v>
      </c>
      <c r="BC91" s="129">
        <f t="shared" si="70"/>
        <v>0</v>
      </c>
      <c r="BD91" s="129">
        <f t="shared" si="71"/>
        <v>0</v>
      </c>
      <c r="BE91" s="129">
        <f t="shared" si="72"/>
        <v>0</v>
      </c>
      <c r="BF91" s="129">
        <f t="shared" si="73"/>
        <v>0</v>
      </c>
      <c r="BG91" s="129">
        <f t="shared" si="74"/>
        <v>0</v>
      </c>
      <c r="BH91" s="129">
        <f t="shared" si="91"/>
        <v>0</v>
      </c>
      <c r="BI91" s="129">
        <f t="shared" si="92"/>
        <v>0</v>
      </c>
      <c r="BJ91" s="129">
        <f t="shared" si="93"/>
        <v>0</v>
      </c>
      <c r="BK91" s="129">
        <f t="shared" si="94"/>
        <v>0</v>
      </c>
    </row>
    <row r="92" spans="1:63" s="100" customFormat="1" ht="16" hidden="1" customHeight="1">
      <c r="A92" s="126" t="s">
        <v>29</v>
      </c>
      <c r="B92" s="13" t="s">
        <v>277</v>
      </c>
      <c r="C92" s="11" t="s">
        <v>278</v>
      </c>
      <c r="D92" s="13" t="s">
        <v>264</v>
      </c>
      <c r="E92" s="13" t="s">
        <v>276</v>
      </c>
      <c r="F92" s="13" t="s">
        <v>273</v>
      </c>
      <c r="G92" s="13" t="s">
        <v>58</v>
      </c>
      <c r="H92" s="13" t="s">
        <v>38</v>
      </c>
      <c r="I92" s="7"/>
      <c r="J92" s="7"/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/>
      <c r="R92" s="7"/>
      <c r="S92" s="7"/>
      <c r="T92" s="7"/>
      <c r="U92" s="7"/>
      <c r="V92" s="7"/>
      <c r="W92" s="7"/>
      <c r="X92" s="12">
        <v>0</v>
      </c>
      <c r="Y92" s="12">
        <v>0</v>
      </c>
      <c r="Z92" s="12">
        <f t="shared" si="77"/>
        <v>0</v>
      </c>
      <c r="AA92" s="12"/>
      <c r="AB92" s="12">
        <v>0</v>
      </c>
      <c r="AC92" s="12">
        <v>0</v>
      </c>
      <c r="AD92" s="130">
        <f t="shared" si="78"/>
        <v>0</v>
      </c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8">
        <f t="shared" si="79"/>
        <v>0</v>
      </c>
      <c r="AU92" s="131">
        <f t="shared" si="80"/>
        <v>0</v>
      </c>
      <c r="AV92" s="123"/>
      <c r="AW92" s="11">
        <f t="shared" si="81"/>
        <v>0</v>
      </c>
      <c r="AX92" s="129">
        <f t="shared" si="65"/>
        <v>0</v>
      </c>
      <c r="AY92" s="129">
        <f t="shared" si="66"/>
        <v>0</v>
      </c>
      <c r="AZ92" s="129">
        <f t="shared" si="67"/>
        <v>0</v>
      </c>
      <c r="BA92" s="129">
        <f t="shared" si="68"/>
        <v>0</v>
      </c>
      <c r="BB92" s="129">
        <f t="shared" si="69"/>
        <v>0</v>
      </c>
      <c r="BC92" s="129">
        <f t="shared" si="70"/>
        <v>0</v>
      </c>
      <c r="BD92" s="129">
        <f t="shared" si="71"/>
        <v>0</v>
      </c>
      <c r="BE92" s="129">
        <f t="shared" si="72"/>
        <v>0</v>
      </c>
      <c r="BF92" s="129">
        <f t="shared" si="73"/>
        <v>0</v>
      </c>
      <c r="BG92" s="129">
        <f t="shared" si="74"/>
        <v>0</v>
      </c>
      <c r="BH92" s="129">
        <f t="shared" si="91"/>
        <v>0</v>
      </c>
      <c r="BI92" s="129">
        <f t="shared" si="92"/>
        <v>0</v>
      </c>
      <c r="BJ92" s="129">
        <f t="shared" si="93"/>
        <v>0</v>
      </c>
      <c r="BK92" s="129">
        <f t="shared" si="94"/>
        <v>0</v>
      </c>
    </row>
    <row r="93" spans="1:63" s="100" customFormat="1" ht="16" hidden="1" customHeight="1">
      <c r="A93" s="126" t="s">
        <v>29</v>
      </c>
      <c r="B93" s="128" t="s">
        <v>279</v>
      </c>
      <c r="C93" s="11" t="s">
        <v>280</v>
      </c>
      <c r="D93" s="13" t="s">
        <v>264</v>
      </c>
      <c r="E93" s="13" t="s">
        <v>276</v>
      </c>
      <c r="F93" s="13" t="s">
        <v>273</v>
      </c>
      <c r="G93" s="13" t="s">
        <v>58</v>
      </c>
      <c r="H93" s="13" t="s">
        <v>38</v>
      </c>
      <c r="I93" s="7"/>
      <c r="J93" s="7"/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/>
      <c r="R93" s="7"/>
      <c r="S93" s="7"/>
      <c r="T93" s="7"/>
      <c r="U93" s="7"/>
      <c r="V93" s="7"/>
      <c r="W93" s="7"/>
      <c r="X93" s="12">
        <v>0</v>
      </c>
      <c r="Y93" s="12">
        <v>0</v>
      </c>
      <c r="Z93" s="12">
        <f t="shared" si="77"/>
        <v>0</v>
      </c>
      <c r="AA93" s="12"/>
      <c r="AB93" s="12">
        <v>0</v>
      </c>
      <c r="AC93" s="12">
        <v>0</v>
      </c>
      <c r="AD93" s="130">
        <f t="shared" si="78"/>
        <v>0</v>
      </c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8">
        <f t="shared" si="79"/>
        <v>0</v>
      </c>
      <c r="AU93" s="131">
        <f t="shared" si="80"/>
        <v>0</v>
      </c>
      <c r="AV93" s="123"/>
      <c r="AW93" s="11">
        <f t="shared" si="81"/>
        <v>0</v>
      </c>
      <c r="AX93" s="129">
        <f t="shared" si="65"/>
        <v>0</v>
      </c>
      <c r="AY93" s="129">
        <f t="shared" si="66"/>
        <v>0</v>
      </c>
      <c r="AZ93" s="129">
        <f t="shared" si="67"/>
        <v>0</v>
      </c>
      <c r="BA93" s="129">
        <f t="shared" si="68"/>
        <v>0</v>
      </c>
      <c r="BB93" s="129">
        <f t="shared" si="69"/>
        <v>0</v>
      </c>
      <c r="BC93" s="129">
        <f t="shared" si="70"/>
        <v>0</v>
      </c>
      <c r="BD93" s="129">
        <f t="shared" si="71"/>
        <v>0</v>
      </c>
      <c r="BE93" s="129">
        <f t="shared" si="72"/>
        <v>0</v>
      </c>
      <c r="BF93" s="129">
        <f t="shared" si="73"/>
        <v>0</v>
      </c>
      <c r="BG93" s="129">
        <f t="shared" si="74"/>
        <v>0</v>
      </c>
      <c r="BH93" s="129">
        <f t="shared" si="91"/>
        <v>0</v>
      </c>
      <c r="BI93" s="129">
        <f t="shared" si="92"/>
        <v>0</v>
      </c>
      <c r="BJ93" s="129">
        <f t="shared" si="93"/>
        <v>0</v>
      </c>
      <c r="BK93" s="129">
        <f t="shared" si="94"/>
        <v>0</v>
      </c>
    </row>
    <row r="94" spans="1:63" s="100" customFormat="1" ht="16" hidden="1" customHeight="1">
      <c r="A94" s="126" t="s">
        <v>29</v>
      </c>
      <c r="B94" s="11" t="s">
        <v>281</v>
      </c>
      <c r="C94" s="11" t="s">
        <v>282</v>
      </c>
      <c r="D94" s="13" t="s">
        <v>264</v>
      </c>
      <c r="E94" s="13" t="s">
        <v>276</v>
      </c>
      <c r="F94" s="13" t="s">
        <v>273</v>
      </c>
      <c r="G94" s="13" t="s">
        <v>58</v>
      </c>
      <c r="H94" s="13" t="s">
        <v>38</v>
      </c>
      <c r="I94" s="7"/>
      <c r="J94" s="7"/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/>
      <c r="R94" s="7"/>
      <c r="S94" s="7"/>
      <c r="T94" s="7"/>
      <c r="U94" s="7"/>
      <c r="V94" s="7"/>
      <c r="W94" s="7"/>
      <c r="X94" s="12">
        <v>0</v>
      </c>
      <c r="Y94" s="12">
        <v>0</v>
      </c>
      <c r="Z94" s="12">
        <f t="shared" si="77"/>
        <v>0</v>
      </c>
      <c r="AA94" s="12"/>
      <c r="AB94" s="12">
        <v>0</v>
      </c>
      <c r="AC94" s="12">
        <v>0</v>
      </c>
      <c r="AD94" s="130">
        <f t="shared" si="78"/>
        <v>0</v>
      </c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8">
        <f t="shared" si="79"/>
        <v>0</v>
      </c>
      <c r="AU94" s="131">
        <f t="shared" si="80"/>
        <v>0</v>
      </c>
      <c r="AV94" s="123"/>
      <c r="AW94" s="11">
        <f t="shared" si="81"/>
        <v>0</v>
      </c>
      <c r="AX94" s="129">
        <f t="shared" si="65"/>
        <v>0</v>
      </c>
      <c r="AY94" s="129">
        <f t="shared" si="66"/>
        <v>0</v>
      </c>
      <c r="AZ94" s="129">
        <f t="shared" si="67"/>
        <v>0</v>
      </c>
      <c r="BA94" s="129">
        <f t="shared" si="68"/>
        <v>0</v>
      </c>
      <c r="BB94" s="129">
        <f t="shared" si="69"/>
        <v>0</v>
      </c>
      <c r="BC94" s="129">
        <f t="shared" si="70"/>
        <v>0</v>
      </c>
      <c r="BD94" s="129">
        <f t="shared" si="71"/>
        <v>0</v>
      </c>
      <c r="BE94" s="129">
        <f t="shared" si="72"/>
        <v>0</v>
      </c>
      <c r="BF94" s="129">
        <f t="shared" si="73"/>
        <v>0</v>
      </c>
      <c r="BG94" s="129">
        <f t="shared" si="74"/>
        <v>0</v>
      </c>
      <c r="BH94" s="129">
        <f t="shared" si="91"/>
        <v>0</v>
      </c>
      <c r="BI94" s="129">
        <f t="shared" si="92"/>
        <v>0</v>
      </c>
      <c r="BJ94" s="129">
        <f t="shared" si="93"/>
        <v>0</v>
      </c>
      <c r="BK94" s="129">
        <f t="shared" si="94"/>
        <v>0</v>
      </c>
    </row>
    <row r="95" spans="1:63" s="100" customFormat="1" ht="16" hidden="1" customHeight="1">
      <c r="A95" s="126" t="s">
        <v>29</v>
      </c>
      <c r="B95" s="11" t="s">
        <v>283</v>
      </c>
      <c r="C95" s="11" t="s">
        <v>284</v>
      </c>
      <c r="D95" s="13" t="s">
        <v>264</v>
      </c>
      <c r="E95" s="13" t="s">
        <v>285</v>
      </c>
      <c r="F95" s="13" t="s">
        <v>273</v>
      </c>
      <c r="G95" s="13" t="s">
        <v>58</v>
      </c>
      <c r="H95" s="13" t="s">
        <v>38</v>
      </c>
      <c r="I95" s="7"/>
      <c r="J95" s="7"/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/>
      <c r="R95" s="7"/>
      <c r="S95" s="7"/>
      <c r="T95" s="7"/>
      <c r="U95" s="7"/>
      <c r="V95" s="7"/>
      <c r="W95" s="7"/>
      <c r="X95" s="12">
        <v>0</v>
      </c>
      <c r="Y95" s="12">
        <v>0</v>
      </c>
      <c r="Z95" s="12">
        <f t="shared" si="77"/>
        <v>0</v>
      </c>
      <c r="AA95" s="12"/>
      <c r="AB95" s="12">
        <v>0</v>
      </c>
      <c r="AC95" s="12">
        <v>0</v>
      </c>
      <c r="AD95" s="130">
        <f t="shared" si="78"/>
        <v>0</v>
      </c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8">
        <f t="shared" si="79"/>
        <v>0</v>
      </c>
      <c r="AU95" s="131">
        <f t="shared" si="80"/>
        <v>0</v>
      </c>
      <c r="AV95" s="123"/>
      <c r="AW95" s="11">
        <f t="shared" si="81"/>
        <v>0</v>
      </c>
      <c r="AX95" s="129">
        <f t="shared" si="65"/>
        <v>0</v>
      </c>
      <c r="AY95" s="129">
        <f t="shared" si="66"/>
        <v>0</v>
      </c>
      <c r="AZ95" s="129">
        <f t="shared" si="67"/>
        <v>0</v>
      </c>
      <c r="BA95" s="129">
        <f t="shared" si="68"/>
        <v>0</v>
      </c>
      <c r="BB95" s="129">
        <f t="shared" si="69"/>
        <v>0</v>
      </c>
      <c r="BC95" s="129">
        <f t="shared" si="70"/>
        <v>0</v>
      </c>
      <c r="BD95" s="129">
        <f t="shared" si="71"/>
        <v>0</v>
      </c>
      <c r="BE95" s="129">
        <f t="shared" si="72"/>
        <v>0</v>
      </c>
      <c r="BF95" s="129">
        <f t="shared" si="73"/>
        <v>0</v>
      </c>
      <c r="BG95" s="129">
        <f t="shared" si="74"/>
        <v>0</v>
      </c>
      <c r="BH95" s="129">
        <f t="shared" si="91"/>
        <v>0</v>
      </c>
      <c r="BI95" s="129">
        <f t="shared" si="92"/>
        <v>0</v>
      </c>
      <c r="BJ95" s="129">
        <f t="shared" si="93"/>
        <v>0</v>
      </c>
      <c r="BK95" s="129">
        <f t="shared" si="94"/>
        <v>0</v>
      </c>
    </row>
    <row r="96" spans="1:63" s="100" customFormat="1" ht="16" hidden="1" customHeight="1">
      <c r="A96" s="126" t="s">
        <v>29</v>
      </c>
      <c r="B96" s="11" t="s">
        <v>286</v>
      </c>
      <c r="C96" s="11" t="s">
        <v>287</v>
      </c>
      <c r="D96" s="13" t="s">
        <v>264</v>
      </c>
      <c r="E96" s="13" t="s">
        <v>288</v>
      </c>
      <c r="F96" s="13" t="s">
        <v>207</v>
      </c>
      <c r="G96" s="13" t="s">
        <v>37</v>
      </c>
      <c r="H96" s="13" t="s">
        <v>38</v>
      </c>
      <c r="I96" s="7"/>
      <c r="J96" s="7"/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/>
      <c r="R96" s="7"/>
      <c r="S96" s="7"/>
      <c r="T96" s="7"/>
      <c r="U96" s="7"/>
      <c r="V96" s="7"/>
      <c r="W96" s="7"/>
      <c r="X96" s="12">
        <v>0</v>
      </c>
      <c r="Y96" s="12">
        <v>0</v>
      </c>
      <c r="Z96" s="12">
        <f t="shared" si="77"/>
        <v>0</v>
      </c>
      <c r="AA96" s="12"/>
      <c r="AB96" s="12">
        <v>0</v>
      </c>
      <c r="AC96" s="12">
        <v>0</v>
      </c>
      <c r="AD96" s="130">
        <f t="shared" si="78"/>
        <v>0</v>
      </c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8">
        <f t="shared" si="79"/>
        <v>0</v>
      </c>
      <c r="AU96" s="131">
        <f t="shared" si="80"/>
        <v>0</v>
      </c>
      <c r="AV96" s="123"/>
      <c r="AW96" s="11">
        <f t="shared" si="81"/>
        <v>0</v>
      </c>
      <c r="AX96" s="129">
        <f t="shared" si="65"/>
        <v>0</v>
      </c>
      <c r="AY96" s="129">
        <f t="shared" si="66"/>
        <v>0</v>
      </c>
      <c r="AZ96" s="129">
        <f t="shared" si="67"/>
        <v>0</v>
      </c>
      <c r="BA96" s="129">
        <f t="shared" si="68"/>
        <v>0</v>
      </c>
      <c r="BB96" s="129">
        <f t="shared" si="69"/>
        <v>0</v>
      </c>
      <c r="BC96" s="129">
        <f t="shared" si="70"/>
        <v>0</v>
      </c>
      <c r="BD96" s="129">
        <f t="shared" si="71"/>
        <v>0</v>
      </c>
      <c r="BE96" s="129">
        <f t="shared" si="72"/>
        <v>0</v>
      </c>
      <c r="BF96" s="129">
        <f t="shared" si="73"/>
        <v>0</v>
      </c>
      <c r="BG96" s="129">
        <f t="shared" si="74"/>
        <v>0</v>
      </c>
      <c r="BH96" s="129">
        <f t="shared" si="91"/>
        <v>0</v>
      </c>
      <c r="BI96" s="129">
        <f t="shared" si="92"/>
        <v>0</v>
      </c>
      <c r="BJ96" s="129">
        <f t="shared" si="93"/>
        <v>0</v>
      </c>
      <c r="BK96" s="129">
        <f t="shared" si="94"/>
        <v>0</v>
      </c>
    </row>
    <row r="97" spans="1:63" s="100" customFormat="1" ht="16" hidden="1" customHeight="1">
      <c r="A97" s="126" t="s">
        <v>29</v>
      </c>
      <c r="B97" s="11" t="s">
        <v>289</v>
      </c>
      <c r="C97" s="11" t="s">
        <v>290</v>
      </c>
      <c r="D97" s="13" t="s">
        <v>264</v>
      </c>
      <c r="E97" s="13" t="s">
        <v>285</v>
      </c>
      <c r="F97" s="13" t="s">
        <v>273</v>
      </c>
      <c r="G97" s="13" t="s">
        <v>58</v>
      </c>
      <c r="H97" s="13" t="s">
        <v>38</v>
      </c>
      <c r="I97" s="7"/>
      <c r="J97" s="7"/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/>
      <c r="R97" s="7"/>
      <c r="S97" s="7"/>
      <c r="T97" s="7"/>
      <c r="U97" s="7"/>
      <c r="V97" s="7"/>
      <c r="W97" s="7"/>
      <c r="X97" s="12">
        <v>0</v>
      </c>
      <c r="Y97" s="12">
        <v>0</v>
      </c>
      <c r="Z97" s="12">
        <f t="shared" si="77"/>
        <v>0</v>
      </c>
      <c r="AA97" s="12"/>
      <c r="AB97" s="12">
        <v>0</v>
      </c>
      <c r="AC97" s="12">
        <v>0</v>
      </c>
      <c r="AD97" s="130">
        <f t="shared" si="78"/>
        <v>0</v>
      </c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8">
        <f t="shared" si="79"/>
        <v>0</v>
      </c>
      <c r="AU97" s="131">
        <f t="shared" si="80"/>
        <v>0</v>
      </c>
      <c r="AV97" s="123"/>
      <c r="AW97" s="11">
        <f t="shared" si="81"/>
        <v>0</v>
      </c>
      <c r="AX97" s="129">
        <f t="shared" si="65"/>
        <v>0</v>
      </c>
      <c r="AY97" s="129">
        <f t="shared" si="66"/>
        <v>0</v>
      </c>
      <c r="AZ97" s="129">
        <f t="shared" si="67"/>
        <v>0</v>
      </c>
      <c r="BA97" s="129">
        <f t="shared" si="68"/>
        <v>0</v>
      </c>
      <c r="BB97" s="129">
        <f t="shared" si="69"/>
        <v>0</v>
      </c>
      <c r="BC97" s="129">
        <f t="shared" si="70"/>
        <v>0</v>
      </c>
      <c r="BD97" s="129">
        <f t="shared" si="71"/>
        <v>0</v>
      </c>
      <c r="BE97" s="129">
        <f t="shared" si="72"/>
        <v>0</v>
      </c>
      <c r="BF97" s="129">
        <f t="shared" si="73"/>
        <v>0</v>
      </c>
      <c r="BG97" s="129">
        <f t="shared" si="74"/>
        <v>0</v>
      </c>
      <c r="BH97" s="129">
        <f t="shared" si="91"/>
        <v>0</v>
      </c>
      <c r="BI97" s="129">
        <f t="shared" si="92"/>
        <v>0</v>
      </c>
      <c r="BJ97" s="129">
        <f t="shared" si="93"/>
        <v>0</v>
      </c>
      <c r="BK97" s="129">
        <f t="shared" si="94"/>
        <v>0</v>
      </c>
    </row>
    <row r="98" spans="1:63" s="100" customFormat="1" ht="16" hidden="1" customHeight="1">
      <c r="A98" s="126" t="s">
        <v>29</v>
      </c>
      <c r="B98" s="11" t="s">
        <v>291</v>
      </c>
      <c r="C98" s="11" t="s">
        <v>292</v>
      </c>
      <c r="D98" s="13" t="s">
        <v>264</v>
      </c>
      <c r="E98" s="13" t="s">
        <v>293</v>
      </c>
      <c r="F98" s="13" t="s">
        <v>273</v>
      </c>
      <c r="G98" s="13" t="s">
        <v>58</v>
      </c>
      <c r="H98" s="13" t="s">
        <v>38</v>
      </c>
      <c r="I98" s="7"/>
      <c r="J98" s="7"/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/>
      <c r="R98" s="7"/>
      <c r="S98" s="7"/>
      <c r="T98" s="7"/>
      <c r="U98" s="7"/>
      <c r="V98" s="7"/>
      <c r="W98" s="7"/>
      <c r="X98" s="12">
        <v>0</v>
      </c>
      <c r="Y98" s="12">
        <v>0</v>
      </c>
      <c r="Z98" s="12">
        <f t="shared" si="77"/>
        <v>0</v>
      </c>
      <c r="AA98" s="12"/>
      <c r="AB98" s="12">
        <v>0</v>
      </c>
      <c r="AC98" s="12">
        <v>0</v>
      </c>
      <c r="AD98" s="130">
        <f t="shared" si="78"/>
        <v>0</v>
      </c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8">
        <f t="shared" si="79"/>
        <v>0</v>
      </c>
      <c r="AU98" s="131">
        <f t="shared" si="80"/>
        <v>0</v>
      </c>
      <c r="AV98" s="123"/>
      <c r="AW98" s="11">
        <f t="shared" si="81"/>
        <v>0</v>
      </c>
      <c r="AX98" s="129">
        <f t="shared" si="65"/>
        <v>0</v>
      </c>
      <c r="AY98" s="129">
        <f t="shared" si="66"/>
        <v>0</v>
      </c>
      <c r="AZ98" s="129">
        <f t="shared" si="67"/>
        <v>0</v>
      </c>
      <c r="BA98" s="129">
        <f t="shared" si="68"/>
        <v>0</v>
      </c>
      <c r="BB98" s="129">
        <f t="shared" si="69"/>
        <v>0</v>
      </c>
      <c r="BC98" s="129">
        <f t="shared" si="70"/>
        <v>0</v>
      </c>
      <c r="BD98" s="129">
        <f t="shared" si="71"/>
        <v>0</v>
      </c>
      <c r="BE98" s="129">
        <f t="shared" si="72"/>
        <v>0</v>
      </c>
      <c r="BF98" s="129">
        <f t="shared" si="73"/>
        <v>0</v>
      </c>
      <c r="BG98" s="129">
        <f t="shared" si="74"/>
        <v>0</v>
      </c>
      <c r="BH98" s="129">
        <f t="shared" si="91"/>
        <v>0</v>
      </c>
      <c r="BI98" s="129">
        <f t="shared" si="92"/>
        <v>0</v>
      </c>
      <c r="BJ98" s="129">
        <f t="shared" si="93"/>
        <v>0</v>
      </c>
      <c r="BK98" s="129">
        <f t="shared" si="94"/>
        <v>0</v>
      </c>
    </row>
    <row r="99" spans="1:63" s="100" customFormat="1" ht="16" hidden="1" customHeight="1">
      <c r="A99" s="126" t="s">
        <v>29</v>
      </c>
      <c r="B99" s="11" t="s">
        <v>294</v>
      </c>
      <c r="C99" s="11" t="s">
        <v>295</v>
      </c>
      <c r="D99" s="13" t="s">
        <v>264</v>
      </c>
      <c r="E99" s="13" t="s">
        <v>296</v>
      </c>
      <c r="F99" s="13" t="s">
        <v>207</v>
      </c>
      <c r="G99" s="13" t="s">
        <v>37</v>
      </c>
      <c r="H99" s="13" t="s">
        <v>38</v>
      </c>
      <c r="I99" s="7"/>
      <c r="J99" s="7"/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/>
      <c r="R99" s="7"/>
      <c r="S99" s="7"/>
      <c r="T99" s="7"/>
      <c r="U99" s="7"/>
      <c r="V99" s="7"/>
      <c r="W99" s="7"/>
      <c r="X99" s="12">
        <v>0</v>
      </c>
      <c r="Y99" s="12">
        <v>0</v>
      </c>
      <c r="Z99" s="12">
        <f t="shared" si="77"/>
        <v>0</v>
      </c>
      <c r="AA99" s="12"/>
      <c r="AB99" s="12">
        <v>0</v>
      </c>
      <c r="AC99" s="12">
        <v>0</v>
      </c>
      <c r="AD99" s="130">
        <f t="shared" si="78"/>
        <v>0</v>
      </c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8">
        <f t="shared" si="79"/>
        <v>0</v>
      </c>
      <c r="AU99" s="131">
        <f t="shared" si="80"/>
        <v>0</v>
      </c>
      <c r="AV99" s="123"/>
      <c r="AW99" s="11">
        <f t="shared" si="81"/>
        <v>0</v>
      </c>
      <c r="AX99" s="129">
        <f t="shared" si="65"/>
        <v>0</v>
      </c>
      <c r="AY99" s="129">
        <f t="shared" si="66"/>
        <v>0</v>
      </c>
      <c r="AZ99" s="129">
        <f t="shared" si="67"/>
        <v>0</v>
      </c>
      <c r="BA99" s="129">
        <f t="shared" si="68"/>
        <v>0</v>
      </c>
      <c r="BB99" s="129">
        <f t="shared" si="69"/>
        <v>0</v>
      </c>
      <c r="BC99" s="129">
        <f t="shared" si="70"/>
        <v>0</v>
      </c>
      <c r="BD99" s="129">
        <f t="shared" si="71"/>
        <v>0</v>
      </c>
      <c r="BE99" s="129">
        <f t="shared" si="72"/>
        <v>0</v>
      </c>
      <c r="BF99" s="129">
        <f t="shared" si="73"/>
        <v>0</v>
      </c>
      <c r="BG99" s="129">
        <f t="shared" si="74"/>
        <v>0</v>
      </c>
      <c r="BH99" s="129">
        <f t="shared" si="91"/>
        <v>0</v>
      </c>
      <c r="BI99" s="129">
        <f t="shared" si="92"/>
        <v>0</v>
      </c>
      <c r="BJ99" s="129">
        <f t="shared" si="93"/>
        <v>0</v>
      </c>
      <c r="BK99" s="129">
        <f t="shared" si="94"/>
        <v>0</v>
      </c>
    </row>
    <row r="100" spans="1:63" s="100" customFormat="1" ht="16" customHeight="1">
      <c r="A100" s="126" t="s">
        <v>29</v>
      </c>
      <c r="B100" s="11" t="s">
        <v>297</v>
      </c>
      <c r="C100" s="11" t="s">
        <v>298</v>
      </c>
      <c r="D100" s="13" t="s">
        <v>264</v>
      </c>
      <c r="E100" s="13" t="s">
        <v>276</v>
      </c>
      <c r="F100" s="13" t="s">
        <v>273</v>
      </c>
      <c r="G100" s="13" t="s">
        <v>58</v>
      </c>
      <c r="H100" s="13" t="s">
        <v>38</v>
      </c>
      <c r="I100" s="7"/>
      <c r="J100" s="7"/>
      <c r="K100" s="7">
        <v>0</v>
      </c>
      <c r="L100" s="7">
        <v>0</v>
      </c>
      <c r="M100" s="7">
        <v>100</v>
      </c>
      <c r="N100" s="7">
        <v>400</v>
      </c>
      <c r="O100" s="7">
        <v>200</v>
      </c>
      <c r="P100" s="7">
        <v>0</v>
      </c>
      <c r="Q100" s="7"/>
      <c r="R100" s="7"/>
      <c r="S100" s="7"/>
      <c r="T100" s="7"/>
      <c r="U100" s="7"/>
      <c r="V100" s="7"/>
      <c r="W100" s="7"/>
      <c r="X100" s="12">
        <v>740</v>
      </c>
      <c r="Y100" s="12">
        <v>740</v>
      </c>
      <c r="Z100" s="12">
        <f t="shared" si="77"/>
        <v>1660</v>
      </c>
      <c r="AA100" s="12"/>
      <c r="AB100" s="12">
        <v>1100</v>
      </c>
      <c r="AC100" s="12">
        <v>1660</v>
      </c>
      <c r="AD100" s="130">
        <f t="shared" si="78"/>
        <v>2020</v>
      </c>
      <c r="AE100" s="12"/>
      <c r="AF100" s="12">
        <v>800</v>
      </c>
      <c r="AG100" s="12">
        <v>1220</v>
      </c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8">
        <f>SUM(AE100:AS100)</f>
        <v>2020</v>
      </c>
      <c r="AU100" s="131">
        <f t="shared" si="80"/>
        <v>0</v>
      </c>
      <c r="AV100" s="123"/>
      <c r="AW100" s="11">
        <f t="shared" si="81"/>
        <v>740</v>
      </c>
      <c r="AX100" s="129">
        <f t="shared" si="65"/>
        <v>1540</v>
      </c>
      <c r="AY100" s="129">
        <f t="shared" si="66"/>
        <v>2760</v>
      </c>
      <c r="AZ100" s="129">
        <f t="shared" si="67"/>
        <v>2760</v>
      </c>
      <c r="BA100" s="129">
        <f t="shared" si="68"/>
        <v>2660</v>
      </c>
      <c r="BB100" s="129">
        <f t="shared" si="69"/>
        <v>2260</v>
      </c>
      <c r="BC100" s="129">
        <f t="shared" si="70"/>
        <v>2060</v>
      </c>
      <c r="BD100" s="129">
        <f t="shared" si="71"/>
        <v>2060</v>
      </c>
      <c r="BE100" s="129">
        <f t="shared" si="72"/>
        <v>2060</v>
      </c>
      <c r="BF100" s="129">
        <f t="shared" ref="BF100:BK100" si="95">BE100+AN100-R100</f>
        <v>2060</v>
      </c>
      <c r="BG100" s="129">
        <f t="shared" si="95"/>
        <v>2060</v>
      </c>
      <c r="BH100" s="129">
        <f t="shared" si="95"/>
        <v>2060</v>
      </c>
      <c r="BI100" s="129">
        <f t="shared" si="95"/>
        <v>2060</v>
      </c>
      <c r="BJ100" s="129">
        <f t="shared" si="95"/>
        <v>2060</v>
      </c>
      <c r="BK100" s="129">
        <f t="shared" si="95"/>
        <v>2060</v>
      </c>
    </row>
    <row r="101" spans="1:63" s="100" customFormat="1" ht="16" hidden="1" customHeight="1">
      <c r="A101" s="126" t="s">
        <v>29</v>
      </c>
      <c r="B101" s="11" t="s">
        <v>299</v>
      </c>
      <c r="C101" s="11" t="s">
        <v>300</v>
      </c>
      <c r="D101" s="13" t="s">
        <v>264</v>
      </c>
      <c r="E101" s="13" t="s">
        <v>269</v>
      </c>
      <c r="F101" s="13" t="s">
        <v>207</v>
      </c>
      <c r="G101" s="13" t="s">
        <v>37</v>
      </c>
      <c r="H101" s="13" t="s">
        <v>38</v>
      </c>
      <c r="I101" s="7"/>
      <c r="J101" s="7"/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/>
      <c r="R101" s="7"/>
      <c r="S101" s="7"/>
      <c r="T101" s="7"/>
      <c r="U101" s="7"/>
      <c r="V101" s="7"/>
      <c r="W101" s="7"/>
      <c r="X101" s="12">
        <v>0</v>
      </c>
      <c r="Y101" s="12">
        <v>0</v>
      </c>
      <c r="Z101" s="12">
        <f t="shared" si="77"/>
        <v>0</v>
      </c>
      <c r="AA101" s="12"/>
      <c r="AB101" s="12">
        <v>0</v>
      </c>
      <c r="AC101" s="12">
        <v>0</v>
      </c>
      <c r="AD101" s="130">
        <f t="shared" si="78"/>
        <v>0</v>
      </c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8">
        <f t="shared" si="79"/>
        <v>0</v>
      </c>
      <c r="AU101" s="131">
        <f t="shared" si="80"/>
        <v>0</v>
      </c>
      <c r="AV101" s="123"/>
      <c r="AW101" s="11">
        <f t="shared" si="81"/>
        <v>0</v>
      </c>
      <c r="AX101" s="129">
        <f t="shared" si="65"/>
        <v>0</v>
      </c>
      <c r="AY101" s="129">
        <f t="shared" si="66"/>
        <v>0</v>
      </c>
      <c r="AZ101" s="129">
        <f t="shared" si="67"/>
        <v>0</v>
      </c>
      <c r="BA101" s="129">
        <f t="shared" si="68"/>
        <v>0</v>
      </c>
      <c r="BB101" s="129">
        <f t="shared" si="69"/>
        <v>0</v>
      </c>
      <c r="BC101" s="129">
        <f t="shared" si="70"/>
        <v>0</v>
      </c>
      <c r="BD101" s="129">
        <f t="shared" si="71"/>
        <v>0</v>
      </c>
      <c r="BE101" s="129">
        <f t="shared" si="72"/>
        <v>0</v>
      </c>
      <c r="BF101" s="129">
        <f t="shared" si="73"/>
        <v>0</v>
      </c>
      <c r="BG101" s="129">
        <f t="shared" si="74"/>
        <v>0</v>
      </c>
      <c r="BH101" s="129">
        <f t="shared" ref="BH101:BK105" si="96">AP101+AJ101-T101</f>
        <v>0</v>
      </c>
      <c r="BI101" s="129">
        <f t="shared" si="96"/>
        <v>0</v>
      </c>
      <c r="BJ101" s="129">
        <f t="shared" si="96"/>
        <v>0</v>
      </c>
      <c r="BK101" s="129">
        <f t="shared" si="96"/>
        <v>0</v>
      </c>
    </row>
    <row r="102" spans="1:63" s="100" customFormat="1" ht="16" hidden="1" customHeight="1">
      <c r="A102" s="126" t="s">
        <v>29</v>
      </c>
      <c r="B102" s="11" t="s">
        <v>301</v>
      </c>
      <c r="C102" s="11" t="s">
        <v>302</v>
      </c>
      <c r="D102" s="13" t="s">
        <v>264</v>
      </c>
      <c r="E102" s="13" t="s">
        <v>269</v>
      </c>
      <c r="F102" s="13" t="s">
        <v>207</v>
      </c>
      <c r="G102" s="13" t="s">
        <v>37</v>
      </c>
      <c r="H102" s="13" t="s">
        <v>38</v>
      </c>
      <c r="I102" s="7"/>
      <c r="J102" s="7"/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/>
      <c r="R102" s="7"/>
      <c r="S102" s="7"/>
      <c r="T102" s="7"/>
      <c r="U102" s="7"/>
      <c r="V102" s="7"/>
      <c r="W102" s="7"/>
      <c r="X102" s="12">
        <v>0</v>
      </c>
      <c r="Y102" s="12">
        <v>0</v>
      </c>
      <c r="Z102" s="12">
        <f t="shared" si="77"/>
        <v>0</v>
      </c>
      <c r="AA102" s="12"/>
      <c r="AB102" s="12">
        <v>0</v>
      </c>
      <c r="AC102" s="12">
        <v>0</v>
      </c>
      <c r="AD102" s="130">
        <f t="shared" si="78"/>
        <v>0</v>
      </c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8">
        <f t="shared" si="79"/>
        <v>0</v>
      </c>
      <c r="AU102" s="131">
        <f t="shared" si="80"/>
        <v>0</v>
      </c>
      <c r="AV102" s="123"/>
      <c r="AW102" s="11">
        <f t="shared" si="81"/>
        <v>0</v>
      </c>
      <c r="AX102" s="129">
        <f t="shared" si="65"/>
        <v>0</v>
      </c>
      <c r="AY102" s="129">
        <f t="shared" si="66"/>
        <v>0</v>
      </c>
      <c r="AZ102" s="129">
        <f t="shared" si="67"/>
        <v>0</v>
      </c>
      <c r="BA102" s="129">
        <f t="shared" si="68"/>
        <v>0</v>
      </c>
      <c r="BB102" s="129">
        <f t="shared" si="69"/>
        <v>0</v>
      </c>
      <c r="BC102" s="129">
        <f t="shared" si="70"/>
        <v>0</v>
      </c>
      <c r="BD102" s="129">
        <f t="shared" si="71"/>
        <v>0</v>
      </c>
      <c r="BE102" s="129">
        <f t="shared" si="72"/>
        <v>0</v>
      </c>
      <c r="BF102" s="129">
        <f t="shared" si="73"/>
        <v>0</v>
      </c>
      <c r="BG102" s="129">
        <f t="shared" si="74"/>
        <v>0</v>
      </c>
      <c r="BH102" s="129">
        <f t="shared" si="96"/>
        <v>0</v>
      </c>
      <c r="BI102" s="129">
        <f t="shared" si="96"/>
        <v>0</v>
      </c>
      <c r="BJ102" s="129">
        <f t="shared" si="96"/>
        <v>0</v>
      </c>
      <c r="BK102" s="129">
        <f t="shared" si="96"/>
        <v>0</v>
      </c>
    </row>
    <row r="103" spans="1:63" s="100" customFormat="1" ht="16" hidden="1" customHeight="1">
      <c r="A103" s="126" t="s">
        <v>29</v>
      </c>
      <c r="B103" s="11" t="s">
        <v>303</v>
      </c>
      <c r="C103" s="11" t="s">
        <v>304</v>
      </c>
      <c r="D103" s="13" t="s">
        <v>264</v>
      </c>
      <c r="E103" s="13" t="s">
        <v>305</v>
      </c>
      <c r="F103" s="13" t="s">
        <v>207</v>
      </c>
      <c r="G103" s="13" t="s">
        <v>37</v>
      </c>
      <c r="H103" s="13" t="s">
        <v>38</v>
      </c>
      <c r="I103" s="7"/>
      <c r="J103" s="7"/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/>
      <c r="R103" s="7"/>
      <c r="S103" s="7"/>
      <c r="T103" s="7"/>
      <c r="U103" s="7"/>
      <c r="V103" s="7"/>
      <c r="W103" s="7"/>
      <c r="X103" s="12">
        <v>0</v>
      </c>
      <c r="Y103" s="12">
        <v>0</v>
      </c>
      <c r="Z103" s="12">
        <f t="shared" si="77"/>
        <v>0</v>
      </c>
      <c r="AA103" s="12"/>
      <c r="AB103" s="12">
        <v>0</v>
      </c>
      <c r="AC103" s="12">
        <v>0</v>
      </c>
      <c r="AD103" s="130">
        <f t="shared" si="78"/>
        <v>0</v>
      </c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8">
        <f t="shared" si="79"/>
        <v>0</v>
      </c>
      <c r="AU103" s="131">
        <f t="shared" si="80"/>
        <v>0</v>
      </c>
      <c r="AV103" s="123"/>
      <c r="AW103" s="11">
        <f t="shared" si="81"/>
        <v>0</v>
      </c>
      <c r="AX103" s="129">
        <f t="shared" si="65"/>
        <v>0</v>
      </c>
      <c r="AY103" s="129">
        <f t="shared" si="66"/>
        <v>0</v>
      </c>
      <c r="AZ103" s="129">
        <f t="shared" si="67"/>
        <v>0</v>
      </c>
      <c r="BA103" s="129">
        <f t="shared" si="68"/>
        <v>0</v>
      </c>
      <c r="BB103" s="129">
        <f t="shared" si="69"/>
        <v>0</v>
      </c>
      <c r="BC103" s="129">
        <f t="shared" si="70"/>
        <v>0</v>
      </c>
      <c r="BD103" s="129">
        <f t="shared" si="71"/>
        <v>0</v>
      </c>
      <c r="BE103" s="129">
        <f t="shared" si="72"/>
        <v>0</v>
      </c>
      <c r="BF103" s="129">
        <f t="shared" si="73"/>
        <v>0</v>
      </c>
      <c r="BG103" s="129">
        <f t="shared" si="74"/>
        <v>0</v>
      </c>
      <c r="BH103" s="129">
        <f t="shared" si="96"/>
        <v>0</v>
      </c>
      <c r="BI103" s="129">
        <f t="shared" si="96"/>
        <v>0</v>
      </c>
      <c r="BJ103" s="129">
        <f t="shared" si="96"/>
        <v>0</v>
      </c>
      <c r="BK103" s="129">
        <f t="shared" si="96"/>
        <v>0</v>
      </c>
    </row>
    <row r="104" spans="1:63" s="100" customFormat="1" ht="16" hidden="1" customHeight="1">
      <c r="A104" s="126" t="s">
        <v>29</v>
      </c>
      <c r="B104" s="11" t="s">
        <v>306</v>
      </c>
      <c r="C104" s="11" t="s">
        <v>307</v>
      </c>
      <c r="D104" s="13" t="s">
        <v>264</v>
      </c>
      <c r="E104" s="13" t="s">
        <v>308</v>
      </c>
      <c r="F104" s="13" t="s">
        <v>273</v>
      </c>
      <c r="G104" s="13" t="s">
        <v>58</v>
      </c>
      <c r="H104" s="13" t="s">
        <v>38</v>
      </c>
      <c r="I104" s="7"/>
      <c r="J104" s="7"/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/>
      <c r="R104" s="7"/>
      <c r="S104" s="7"/>
      <c r="T104" s="7"/>
      <c r="U104" s="7"/>
      <c r="V104" s="7"/>
      <c r="W104" s="7"/>
      <c r="X104" s="12">
        <v>0</v>
      </c>
      <c r="Y104" s="12">
        <v>0</v>
      </c>
      <c r="Z104" s="12">
        <f t="shared" si="77"/>
        <v>0</v>
      </c>
      <c r="AA104" s="12"/>
      <c r="AB104" s="12">
        <v>0</v>
      </c>
      <c r="AC104" s="12">
        <v>0</v>
      </c>
      <c r="AD104" s="130">
        <f t="shared" si="78"/>
        <v>0</v>
      </c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8">
        <f t="shared" si="79"/>
        <v>0</v>
      </c>
      <c r="AU104" s="131">
        <f t="shared" si="80"/>
        <v>0</v>
      </c>
      <c r="AV104" s="123"/>
      <c r="AW104" s="11">
        <f t="shared" si="81"/>
        <v>0</v>
      </c>
      <c r="AX104" s="129">
        <f t="shared" si="65"/>
        <v>0</v>
      </c>
      <c r="AY104" s="129">
        <f t="shared" si="66"/>
        <v>0</v>
      </c>
      <c r="AZ104" s="129">
        <f t="shared" si="67"/>
        <v>0</v>
      </c>
      <c r="BA104" s="129">
        <f t="shared" si="68"/>
        <v>0</v>
      </c>
      <c r="BB104" s="129">
        <f t="shared" si="69"/>
        <v>0</v>
      </c>
      <c r="BC104" s="129">
        <f t="shared" si="70"/>
        <v>0</v>
      </c>
      <c r="BD104" s="129">
        <f t="shared" si="71"/>
        <v>0</v>
      </c>
      <c r="BE104" s="129">
        <f t="shared" si="72"/>
        <v>0</v>
      </c>
      <c r="BF104" s="129">
        <f t="shared" si="73"/>
        <v>0</v>
      </c>
      <c r="BG104" s="129">
        <f t="shared" si="74"/>
        <v>0</v>
      </c>
      <c r="BH104" s="129">
        <f t="shared" si="96"/>
        <v>0</v>
      </c>
      <c r="BI104" s="129">
        <f t="shared" si="96"/>
        <v>0</v>
      </c>
      <c r="BJ104" s="129">
        <f t="shared" si="96"/>
        <v>0</v>
      </c>
      <c r="BK104" s="129">
        <f t="shared" si="96"/>
        <v>0</v>
      </c>
    </row>
    <row r="105" spans="1:63" s="100" customFormat="1" ht="16" hidden="1" customHeight="1">
      <c r="A105" s="126" t="s">
        <v>29</v>
      </c>
      <c r="B105" s="11" t="s">
        <v>309</v>
      </c>
      <c r="C105" s="11" t="s">
        <v>310</v>
      </c>
      <c r="D105" s="13" t="s">
        <v>264</v>
      </c>
      <c r="E105" s="13" t="s">
        <v>276</v>
      </c>
      <c r="F105" s="13" t="s">
        <v>273</v>
      </c>
      <c r="G105" s="13" t="s">
        <v>58</v>
      </c>
      <c r="H105" s="13" t="s">
        <v>38</v>
      </c>
      <c r="I105" s="7"/>
      <c r="J105" s="7"/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/>
      <c r="R105" s="7"/>
      <c r="S105" s="7"/>
      <c r="T105" s="7"/>
      <c r="U105" s="7"/>
      <c r="V105" s="7"/>
      <c r="W105" s="7"/>
      <c r="X105" s="12">
        <v>0</v>
      </c>
      <c r="Y105" s="12">
        <v>0</v>
      </c>
      <c r="Z105" s="12">
        <f t="shared" si="77"/>
        <v>0</v>
      </c>
      <c r="AA105" s="12"/>
      <c r="AB105" s="12">
        <v>0</v>
      </c>
      <c r="AC105" s="12">
        <v>0</v>
      </c>
      <c r="AD105" s="130">
        <f t="shared" si="78"/>
        <v>0</v>
      </c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8">
        <f t="shared" si="79"/>
        <v>0</v>
      </c>
      <c r="AU105" s="131">
        <f t="shared" si="80"/>
        <v>0</v>
      </c>
      <c r="AV105" s="123"/>
      <c r="AW105" s="11">
        <f t="shared" si="81"/>
        <v>0</v>
      </c>
      <c r="AX105" s="129">
        <f t="shared" si="65"/>
        <v>0</v>
      </c>
      <c r="AY105" s="129">
        <f t="shared" si="66"/>
        <v>0</v>
      </c>
      <c r="AZ105" s="129">
        <f t="shared" si="67"/>
        <v>0</v>
      </c>
      <c r="BA105" s="129">
        <f t="shared" si="68"/>
        <v>0</v>
      </c>
      <c r="BB105" s="129">
        <f t="shared" si="69"/>
        <v>0</v>
      </c>
      <c r="BC105" s="129">
        <f t="shared" si="70"/>
        <v>0</v>
      </c>
      <c r="BD105" s="129">
        <f t="shared" si="71"/>
        <v>0</v>
      </c>
      <c r="BE105" s="129">
        <f t="shared" si="72"/>
        <v>0</v>
      </c>
      <c r="BF105" s="129">
        <f t="shared" si="73"/>
        <v>0</v>
      </c>
      <c r="BG105" s="129">
        <f t="shared" si="74"/>
        <v>0</v>
      </c>
      <c r="BH105" s="129">
        <f t="shared" si="96"/>
        <v>0</v>
      </c>
      <c r="BI105" s="129">
        <f t="shared" si="96"/>
        <v>0</v>
      </c>
      <c r="BJ105" s="129">
        <f t="shared" si="96"/>
        <v>0</v>
      </c>
      <c r="BK105" s="129">
        <f t="shared" si="96"/>
        <v>0</v>
      </c>
    </row>
    <row r="106" spans="1:63" s="100" customFormat="1" ht="16" customHeight="1">
      <c r="A106" s="126" t="s">
        <v>29</v>
      </c>
      <c r="B106" s="11" t="s">
        <v>311</v>
      </c>
      <c r="C106" s="11" t="s">
        <v>312</v>
      </c>
      <c r="D106" s="13" t="s">
        <v>264</v>
      </c>
      <c r="E106" s="13" t="s">
        <v>313</v>
      </c>
      <c r="F106" s="13" t="s">
        <v>207</v>
      </c>
      <c r="G106" s="13" t="s">
        <v>37</v>
      </c>
      <c r="H106" s="13" t="s">
        <v>38</v>
      </c>
      <c r="I106" s="7"/>
      <c r="J106" s="7"/>
      <c r="K106" s="7">
        <v>0</v>
      </c>
      <c r="L106" s="7">
        <v>0</v>
      </c>
      <c r="M106" s="7">
        <v>0</v>
      </c>
      <c r="N106" s="7">
        <v>921</v>
      </c>
      <c r="O106" s="7">
        <v>10</v>
      </c>
      <c r="P106" s="7">
        <v>113</v>
      </c>
      <c r="Q106" s="7"/>
      <c r="R106" s="7"/>
      <c r="S106" s="7"/>
      <c r="T106" s="7"/>
      <c r="U106" s="7"/>
      <c r="V106" s="7"/>
      <c r="W106" s="7"/>
      <c r="X106" s="12">
        <v>943</v>
      </c>
      <c r="Y106" s="12">
        <v>943</v>
      </c>
      <c r="Z106" s="12">
        <f t="shared" si="77"/>
        <v>686</v>
      </c>
      <c r="AA106" s="12"/>
      <c r="AB106" s="12">
        <v>1302</v>
      </c>
      <c r="AC106" s="12">
        <v>686</v>
      </c>
      <c r="AD106" s="130">
        <f t="shared" si="78"/>
        <v>1045</v>
      </c>
      <c r="AE106" s="12"/>
      <c r="AF106" s="12"/>
      <c r="AG106" s="12">
        <v>1045</v>
      </c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8">
        <f>SUM(AE106:AS106)</f>
        <v>1045</v>
      </c>
      <c r="AU106" s="131">
        <f t="shared" si="80"/>
        <v>0</v>
      </c>
      <c r="AV106" s="123"/>
      <c r="AW106" s="11">
        <f t="shared" si="81"/>
        <v>943</v>
      </c>
      <c r="AX106" s="129">
        <f t="shared" si="65"/>
        <v>943</v>
      </c>
      <c r="AY106" s="129">
        <f t="shared" si="66"/>
        <v>1988</v>
      </c>
      <c r="AZ106" s="129">
        <f t="shared" si="67"/>
        <v>1988</v>
      </c>
      <c r="BA106" s="129">
        <f t="shared" si="68"/>
        <v>1988</v>
      </c>
      <c r="BB106" s="129">
        <f t="shared" si="69"/>
        <v>1067</v>
      </c>
      <c r="BC106" s="129">
        <f t="shared" si="70"/>
        <v>1057</v>
      </c>
      <c r="BD106" s="129">
        <f t="shared" si="71"/>
        <v>944</v>
      </c>
      <c r="BE106" s="129">
        <f t="shared" si="72"/>
        <v>944</v>
      </c>
      <c r="BF106" s="129">
        <f t="shared" ref="BF106:BK106" si="97">BE106+AN106-R106</f>
        <v>944</v>
      </c>
      <c r="BG106" s="129">
        <f t="shared" si="97"/>
        <v>944</v>
      </c>
      <c r="BH106" s="129">
        <f t="shared" si="97"/>
        <v>944</v>
      </c>
      <c r="BI106" s="129">
        <f t="shared" si="97"/>
        <v>944</v>
      </c>
      <c r="BJ106" s="129">
        <f t="shared" si="97"/>
        <v>944</v>
      </c>
      <c r="BK106" s="129">
        <f t="shared" si="97"/>
        <v>944</v>
      </c>
    </row>
    <row r="107" spans="1:63" s="100" customFormat="1" ht="16" customHeight="1">
      <c r="A107" s="126" t="s">
        <v>29</v>
      </c>
      <c r="B107" s="13" t="s">
        <v>314</v>
      </c>
      <c r="C107" s="11" t="s">
        <v>315</v>
      </c>
      <c r="D107" s="13" t="s">
        <v>264</v>
      </c>
      <c r="E107" s="13" t="s">
        <v>316</v>
      </c>
      <c r="F107" s="13" t="s">
        <v>273</v>
      </c>
      <c r="G107" s="13" t="s">
        <v>58</v>
      </c>
      <c r="H107" s="13" t="s">
        <v>38</v>
      </c>
      <c r="I107" s="7"/>
      <c r="J107" s="7"/>
      <c r="K107" s="7">
        <v>0</v>
      </c>
      <c r="L107" s="7">
        <v>5</v>
      </c>
      <c r="M107" s="7">
        <v>23</v>
      </c>
      <c r="N107" s="7">
        <v>61</v>
      </c>
      <c r="O107" s="7">
        <v>188</v>
      </c>
      <c r="P107" s="7">
        <v>977</v>
      </c>
      <c r="Q107" s="7"/>
      <c r="R107" s="7"/>
      <c r="S107" s="7"/>
      <c r="T107" s="7"/>
      <c r="U107" s="7"/>
      <c r="V107" s="7"/>
      <c r="W107" s="7"/>
      <c r="X107" s="12">
        <v>0</v>
      </c>
      <c r="Y107" s="12">
        <v>0</v>
      </c>
      <c r="Z107" s="12">
        <f t="shared" si="77"/>
        <v>2652</v>
      </c>
      <c r="AA107" s="12"/>
      <c r="AB107" s="12">
        <v>2900</v>
      </c>
      <c r="AC107" s="12">
        <v>2652</v>
      </c>
      <c r="AD107" s="130">
        <f t="shared" si="78"/>
        <v>5552</v>
      </c>
      <c r="AE107" s="12"/>
      <c r="AF107" s="12"/>
      <c r="AG107" s="12"/>
      <c r="AH107" s="12"/>
      <c r="AI107" s="12">
        <v>1000</v>
      </c>
      <c r="AJ107" s="12">
        <v>3600</v>
      </c>
      <c r="AK107" s="12"/>
      <c r="AL107" s="12">
        <v>952</v>
      </c>
      <c r="AM107" s="12"/>
      <c r="AN107" s="12"/>
      <c r="AO107" s="12"/>
      <c r="AP107" s="12"/>
      <c r="AQ107" s="12"/>
      <c r="AR107" s="12"/>
      <c r="AS107" s="12"/>
      <c r="AT107" s="18">
        <f t="shared" si="79"/>
        <v>5552</v>
      </c>
      <c r="AU107" s="131">
        <f t="shared" si="80"/>
        <v>0</v>
      </c>
      <c r="AV107" s="123"/>
      <c r="AW107" s="11">
        <f t="shared" si="81"/>
        <v>0</v>
      </c>
      <c r="AX107" s="129">
        <f t="shared" si="65"/>
        <v>0</v>
      </c>
      <c r="AY107" s="129">
        <f t="shared" si="66"/>
        <v>0</v>
      </c>
      <c r="AZ107" s="129">
        <f t="shared" si="67"/>
        <v>-5</v>
      </c>
      <c r="BA107" s="129">
        <f t="shared" si="68"/>
        <v>972</v>
      </c>
      <c r="BB107" s="129">
        <f t="shared" si="69"/>
        <v>4511</v>
      </c>
      <c r="BC107" s="129">
        <f t="shared" si="70"/>
        <v>4323</v>
      </c>
      <c r="BD107" s="129">
        <f t="shared" si="71"/>
        <v>4298</v>
      </c>
      <c r="BE107" s="129">
        <f t="shared" si="72"/>
        <v>4298</v>
      </c>
      <c r="BF107" s="129">
        <f t="shared" si="73"/>
        <v>4298</v>
      </c>
      <c r="BG107" s="129">
        <f t="shared" si="74"/>
        <v>4298</v>
      </c>
      <c r="BH107" s="129">
        <f>AP107+AJ107-T107</f>
        <v>3600</v>
      </c>
      <c r="BI107" s="129">
        <f>AQ107+AK107-U107</f>
        <v>0</v>
      </c>
      <c r="BJ107" s="129">
        <f>AR107+AL107-V107</f>
        <v>952</v>
      </c>
      <c r="BK107" s="129">
        <f>AS107+AM107-W107</f>
        <v>0</v>
      </c>
    </row>
    <row r="108" spans="1:63" s="100" customFormat="1" ht="16" hidden="1" customHeight="1">
      <c r="A108" s="126" t="s">
        <v>29</v>
      </c>
      <c r="B108" s="13" t="s">
        <v>317</v>
      </c>
      <c r="C108" s="129" t="s">
        <v>318</v>
      </c>
      <c r="D108" s="12" t="s">
        <v>264</v>
      </c>
      <c r="E108" s="13" t="s">
        <v>319</v>
      </c>
      <c r="F108" s="12" t="s">
        <v>320</v>
      </c>
      <c r="G108" s="13" t="s">
        <v>58</v>
      </c>
      <c r="H108" s="13" t="s">
        <v>38</v>
      </c>
      <c r="I108" s="7"/>
      <c r="J108" s="7"/>
      <c r="K108" s="7">
        <v>0</v>
      </c>
      <c r="L108" s="7">
        <v>0</v>
      </c>
      <c r="M108" s="7">
        <v>1</v>
      </c>
      <c r="N108" s="7">
        <v>0</v>
      </c>
      <c r="O108" s="7">
        <v>31</v>
      </c>
      <c r="P108" s="7">
        <v>3</v>
      </c>
      <c r="Q108" s="7"/>
      <c r="R108" s="7"/>
      <c r="S108" s="7"/>
      <c r="T108" s="7"/>
      <c r="U108" s="7"/>
      <c r="V108" s="7"/>
      <c r="W108" s="7"/>
      <c r="X108" s="12">
        <v>670</v>
      </c>
      <c r="Y108" s="12">
        <v>35</v>
      </c>
      <c r="Z108" s="12">
        <f t="shared" si="77"/>
        <v>635</v>
      </c>
      <c r="AA108" s="12"/>
      <c r="AB108" s="12">
        <v>35</v>
      </c>
      <c r="AC108" s="12">
        <v>0</v>
      </c>
      <c r="AD108" s="130">
        <f t="shared" si="78"/>
        <v>0</v>
      </c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8">
        <f>SUM(AE108:AS108)</f>
        <v>0</v>
      </c>
      <c r="AU108" s="131">
        <f t="shared" si="80"/>
        <v>0</v>
      </c>
      <c r="AV108" s="123"/>
      <c r="AW108" s="11">
        <f t="shared" si="81"/>
        <v>35</v>
      </c>
      <c r="AX108" s="129">
        <f t="shared" si="65"/>
        <v>35</v>
      </c>
      <c r="AY108" s="129">
        <f t="shared" si="66"/>
        <v>35</v>
      </c>
      <c r="AZ108" s="129">
        <f t="shared" si="67"/>
        <v>35</v>
      </c>
      <c r="BA108" s="129">
        <f t="shared" si="68"/>
        <v>34</v>
      </c>
      <c r="BB108" s="129">
        <f t="shared" si="69"/>
        <v>34</v>
      </c>
      <c r="BC108" s="129">
        <f t="shared" si="70"/>
        <v>3</v>
      </c>
      <c r="BD108" s="129">
        <f t="shared" si="71"/>
        <v>0</v>
      </c>
      <c r="BE108" s="129">
        <f t="shared" si="72"/>
        <v>0</v>
      </c>
      <c r="BF108" s="129">
        <f t="shared" ref="BF108:BK108" si="98">BE108+AN108-R108</f>
        <v>0</v>
      </c>
      <c r="BG108" s="129">
        <f t="shared" si="98"/>
        <v>0</v>
      </c>
      <c r="BH108" s="129">
        <f t="shared" si="98"/>
        <v>0</v>
      </c>
      <c r="BI108" s="129">
        <f t="shared" si="98"/>
        <v>0</v>
      </c>
      <c r="BJ108" s="129">
        <f t="shared" si="98"/>
        <v>0</v>
      </c>
      <c r="BK108" s="129">
        <f t="shared" si="98"/>
        <v>0</v>
      </c>
    </row>
    <row r="109" spans="1:63" s="100" customFormat="1" ht="16" hidden="1" customHeight="1">
      <c r="A109" s="126" t="s">
        <v>29</v>
      </c>
      <c r="B109" s="11" t="s">
        <v>321</v>
      </c>
      <c r="C109" s="11" t="s">
        <v>322</v>
      </c>
      <c r="D109" s="13" t="s">
        <v>264</v>
      </c>
      <c r="E109" s="13" t="s">
        <v>323</v>
      </c>
      <c r="F109" s="13" t="s">
        <v>320</v>
      </c>
      <c r="G109" s="13" t="s">
        <v>58</v>
      </c>
      <c r="H109" s="13" t="s">
        <v>45</v>
      </c>
      <c r="I109" s="7"/>
      <c r="J109" s="7"/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/>
      <c r="R109" s="7"/>
      <c r="S109" s="7"/>
      <c r="T109" s="7"/>
      <c r="U109" s="7"/>
      <c r="V109" s="7"/>
      <c r="W109" s="7"/>
      <c r="X109" s="12">
        <v>0</v>
      </c>
      <c r="Y109" s="12">
        <v>0</v>
      </c>
      <c r="Z109" s="12">
        <f t="shared" si="77"/>
        <v>0</v>
      </c>
      <c r="AA109" s="12"/>
      <c r="AB109" s="12">
        <v>0</v>
      </c>
      <c r="AC109" s="12">
        <v>0</v>
      </c>
      <c r="AD109" s="130">
        <f t="shared" si="78"/>
        <v>0</v>
      </c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8">
        <f t="shared" si="79"/>
        <v>0</v>
      </c>
      <c r="AU109" s="131">
        <f t="shared" si="80"/>
        <v>0</v>
      </c>
      <c r="AV109" s="123"/>
      <c r="AW109" s="11">
        <f t="shared" si="81"/>
        <v>0</v>
      </c>
      <c r="AX109" s="129">
        <f t="shared" si="65"/>
        <v>0</v>
      </c>
      <c r="AY109" s="129">
        <f t="shared" si="66"/>
        <v>0</v>
      </c>
      <c r="AZ109" s="129">
        <f t="shared" si="67"/>
        <v>0</v>
      </c>
      <c r="BA109" s="129">
        <f t="shared" si="68"/>
        <v>0</v>
      </c>
      <c r="BB109" s="129">
        <f t="shared" si="69"/>
        <v>0</v>
      </c>
      <c r="BC109" s="129">
        <f t="shared" si="70"/>
        <v>0</v>
      </c>
      <c r="BD109" s="129">
        <f t="shared" si="71"/>
        <v>0</v>
      </c>
      <c r="BE109" s="129">
        <f t="shared" si="72"/>
        <v>0</v>
      </c>
      <c r="BF109" s="129">
        <f t="shared" si="73"/>
        <v>0</v>
      </c>
      <c r="BG109" s="129">
        <f t="shared" si="74"/>
        <v>0</v>
      </c>
      <c r="BH109" s="129">
        <f t="shared" ref="BH109:BK112" si="99">AP109+AJ109-T109</f>
        <v>0</v>
      </c>
      <c r="BI109" s="129">
        <f t="shared" si="99"/>
        <v>0</v>
      </c>
      <c r="BJ109" s="129">
        <f t="shared" si="99"/>
        <v>0</v>
      </c>
      <c r="BK109" s="129">
        <f t="shared" si="99"/>
        <v>0</v>
      </c>
    </row>
    <row r="110" spans="1:63" s="100" customFormat="1" ht="16" hidden="1" customHeight="1">
      <c r="A110" s="126" t="s">
        <v>29</v>
      </c>
      <c r="B110" s="11" t="s">
        <v>324</v>
      </c>
      <c r="C110" s="11" t="s">
        <v>325</v>
      </c>
      <c r="D110" s="13" t="s">
        <v>264</v>
      </c>
      <c r="E110" s="13" t="s">
        <v>276</v>
      </c>
      <c r="F110" s="13" t="s">
        <v>273</v>
      </c>
      <c r="G110" s="13" t="s">
        <v>58</v>
      </c>
      <c r="H110" s="13" t="s">
        <v>38</v>
      </c>
      <c r="I110" s="7"/>
      <c r="J110" s="7"/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/>
      <c r="R110" s="7"/>
      <c r="S110" s="7"/>
      <c r="T110" s="7"/>
      <c r="U110" s="7"/>
      <c r="V110" s="7"/>
      <c r="W110" s="7"/>
      <c r="X110" s="12">
        <v>0</v>
      </c>
      <c r="Y110" s="12">
        <v>0</v>
      </c>
      <c r="Z110" s="12">
        <f t="shared" si="77"/>
        <v>0</v>
      </c>
      <c r="AA110" s="12"/>
      <c r="AB110" s="12">
        <v>0</v>
      </c>
      <c r="AC110" s="12">
        <v>0</v>
      </c>
      <c r="AD110" s="130">
        <f t="shared" si="78"/>
        <v>0</v>
      </c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8">
        <f t="shared" si="79"/>
        <v>0</v>
      </c>
      <c r="AU110" s="131">
        <f t="shared" si="80"/>
        <v>0</v>
      </c>
      <c r="AV110" s="123"/>
      <c r="AW110" s="11">
        <f t="shared" si="81"/>
        <v>0</v>
      </c>
      <c r="AX110" s="129">
        <f t="shared" si="65"/>
        <v>0</v>
      </c>
      <c r="AY110" s="129">
        <f t="shared" si="66"/>
        <v>0</v>
      </c>
      <c r="AZ110" s="129">
        <f t="shared" si="67"/>
        <v>0</v>
      </c>
      <c r="BA110" s="129">
        <f t="shared" si="68"/>
        <v>0</v>
      </c>
      <c r="BB110" s="129">
        <f t="shared" si="69"/>
        <v>0</v>
      </c>
      <c r="BC110" s="129">
        <f t="shared" si="70"/>
        <v>0</v>
      </c>
      <c r="BD110" s="129">
        <f t="shared" si="71"/>
        <v>0</v>
      </c>
      <c r="BE110" s="129">
        <f t="shared" si="72"/>
        <v>0</v>
      </c>
      <c r="BF110" s="129">
        <f t="shared" si="73"/>
        <v>0</v>
      </c>
      <c r="BG110" s="129">
        <f t="shared" si="74"/>
        <v>0</v>
      </c>
      <c r="BH110" s="129">
        <f t="shared" si="99"/>
        <v>0</v>
      </c>
      <c r="BI110" s="129">
        <f t="shared" si="99"/>
        <v>0</v>
      </c>
      <c r="BJ110" s="129">
        <f t="shared" si="99"/>
        <v>0</v>
      </c>
      <c r="BK110" s="129">
        <f t="shared" si="99"/>
        <v>0</v>
      </c>
    </row>
    <row r="111" spans="1:63" s="100" customFormat="1" ht="16" hidden="1" customHeight="1">
      <c r="A111" s="126" t="s">
        <v>29</v>
      </c>
      <c r="B111" s="11" t="s">
        <v>326</v>
      </c>
      <c r="C111" s="11" t="s">
        <v>327</v>
      </c>
      <c r="D111" s="13" t="s">
        <v>264</v>
      </c>
      <c r="E111" s="13" t="s">
        <v>269</v>
      </c>
      <c r="F111" s="13" t="s">
        <v>207</v>
      </c>
      <c r="G111" s="13" t="s">
        <v>37</v>
      </c>
      <c r="H111" s="13" t="s">
        <v>38</v>
      </c>
      <c r="I111" s="7"/>
      <c r="J111" s="7"/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/>
      <c r="R111" s="7"/>
      <c r="S111" s="7"/>
      <c r="T111" s="7"/>
      <c r="U111" s="7"/>
      <c r="V111" s="7"/>
      <c r="W111" s="7"/>
      <c r="X111" s="12">
        <v>0</v>
      </c>
      <c r="Y111" s="12">
        <v>0</v>
      </c>
      <c r="Z111" s="12">
        <f t="shared" si="77"/>
        <v>0</v>
      </c>
      <c r="AA111" s="12"/>
      <c r="AB111" s="12">
        <v>0</v>
      </c>
      <c r="AC111" s="12">
        <v>0</v>
      </c>
      <c r="AD111" s="130">
        <f t="shared" si="78"/>
        <v>0</v>
      </c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8">
        <f t="shared" si="79"/>
        <v>0</v>
      </c>
      <c r="AU111" s="131">
        <f t="shared" si="80"/>
        <v>0</v>
      </c>
      <c r="AV111" s="123"/>
      <c r="AW111" s="11">
        <f t="shared" si="81"/>
        <v>0</v>
      </c>
      <c r="AX111" s="129">
        <f t="shared" si="65"/>
        <v>0</v>
      </c>
      <c r="AY111" s="129">
        <f t="shared" si="66"/>
        <v>0</v>
      </c>
      <c r="AZ111" s="129">
        <f t="shared" si="67"/>
        <v>0</v>
      </c>
      <c r="BA111" s="129">
        <f t="shared" si="68"/>
        <v>0</v>
      </c>
      <c r="BB111" s="129">
        <f t="shared" si="69"/>
        <v>0</v>
      </c>
      <c r="BC111" s="129">
        <f t="shared" si="70"/>
        <v>0</v>
      </c>
      <c r="BD111" s="129">
        <f t="shared" si="71"/>
        <v>0</v>
      </c>
      <c r="BE111" s="129">
        <f t="shared" si="72"/>
        <v>0</v>
      </c>
      <c r="BF111" s="129">
        <f t="shared" si="73"/>
        <v>0</v>
      </c>
      <c r="BG111" s="129">
        <f t="shared" si="74"/>
        <v>0</v>
      </c>
      <c r="BH111" s="129">
        <f t="shared" si="99"/>
        <v>0</v>
      </c>
      <c r="BI111" s="129">
        <f t="shared" si="99"/>
        <v>0</v>
      </c>
      <c r="BJ111" s="129">
        <f t="shared" si="99"/>
        <v>0</v>
      </c>
      <c r="BK111" s="129">
        <f t="shared" si="99"/>
        <v>0</v>
      </c>
    </row>
    <row r="112" spans="1:63" s="100" customFormat="1" ht="16" hidden="1" customHeight="1">
      <c r="A112" s="13" t="s">
        <v>29</v>
      </c>
      <c r="B112" s="13" t="s">
        <v>328</v>
      </c>
      <c r="C112" s="13" t="s">
        <v>329</v>
      </c>
      <c r="D112" s="13" t="s">
        <v>330</v>
      </c>
      <c r="E112" s="13" t="s">
        <v>269</v>
      </c>
      <c r="F112" s="13" t="s">
        <v>207</v>
      </c>
      <c r="G112" s="13" t="s">
        <v>58</v>
      </c>
      <c r="H112" s="13" t="s">
        <v>38</v>
      </c>
      <c r="I112" s="7"/>
      <c r="J112" s="7"/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/>
      <c r="R112" s="7"/>
      <c r="S112" s="7"/>
      <c r="T112" s="7"/>
      <c r="U112" s="7"/>
      <c r="V112" s="7"/>
      <c r="W112" s="7"/>
      <c r="X112" s="12">
        <v>20</v>
      </c>
      <c r="Y112" s="12">
        <v>0</v>
      </c>
      <c r="Z112" s="12">
        <f t="shared" si="77"/>
        <v>20</v>
      </c>
      <c r="AA112" s="12"/>
      <c r="AB112" s="12">
        <v>0</v>
      </c>
      <c r="AC112" s="12">
        <v>0</v>
      </c>
      <c r="AD112" s="130">
        <f t="shared" si="78"/>
        <v>0</v>
      </c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8">
        <f t="shared" si="79"/>
        <v>0</v>
      </c>
      <c r="AU112" s="131">
        <f t="shared" si="80"/>
        <v>0</v>
      </c>
      <c r="AV112" s="123"/>
      <c r="AW112" s="11">
        <f t="shared" si="81"/>
        <v>0</v>
      </c>
      <c r="AX112" s="129">
        <f t="shared" si="65"/>
        <v>0</v>
      </c>
      <c r="AY112" s="129">
        <f t="shared" si="66"/>
        <v>0</v>
      </c>
      <c r="AZ112" s="129">
        <f t="shared" si="67"/>
        <v>0</v>
      </c>
      <c r="BA112" s="129">
        <f t="shared" si="68"/>
        <v>0</v>
      </c>
      <c r="BB112" s="129">
        <f t="shared" si="69"/>
        <v>0</v>
      </c>
      <c r="BC112" s="129">
        <f t="shared" si="70"/>
        <v>0</v>
      </c>
      <c r="BD112" s="129">
        <f t="shared" si="71"/>
        <v>0</v>
      </c>
      <c r="BE112" s="129">
        <f t="shared" si="72"/>
        <v>0</v>
      </c>
      <c r="BF112" s="129">
        <f t="shared" si="73"/>
        <v>0</v>
      </c>
      <c r="BG112" s="129">
        <f t="shared" si="74"/>
        <v>0</v>
      </c>
      <c r="BH112" s="129">
        <f t="shared" si="99"/>
        <v>0</v>
      </c>
      <c r="BI112" s="129">
        <f t="shared" si="99"/>
        <v>0</v>
      </c>
      <c r="BJ112" s="129">
        <f t="shared" si="99"/>
        <v>0</v>
      </c>
      <c r="BK112" s="129">
        <f t="shared" si="99"/>
        <v>0</v>
      </c>
    </row>
    <row r="113" spans="1:63" s="100" customFormat="1" ht="16" hidden="1" customHeight="1">
      <c r="A113" s="13" t="s">
        <v>29</v>
      </c>
      <c r="B113" s="13" t="s">
        <v>331</v>
      </c>
      <c r="C113" s="13" t="s">
        <v>332</v>
      </c>
      <c r="D113" s="13" t="s">
        <v>330</v>
      </c>
      <c r="E113" s="13" t="s">
        <v>276</v>
      </c>
      <c r="F113" s="13" t="s">
        <v>273</v>
      </c>
      <c r="G113" s="13" t="s">
        <v>58</v>
      </c>
      <c r="H113" s="13" t="s">
        <v>38</v>
      </c>
      <c r="I113" s="7"/>
      <c r="J113" s="7"/>
      <c r="K113" s="7">
        <v>0</v>
      </c>
      <c r="L113" s="7">
        <v>0</v>
      </c>
      <c r="M113" s="7">
        <v>0</v>
      </c>
      <c r="N113" s="7">
        <v>0</v>
      </c>
      <c r="O113" s="7">
        <v>70</v>
      </c>
      <c r="P113" s="7">
        <v>40</v>
      </c>
      <c r="Q113" s="7"/>
      <c r="R113" s="7"/>
      <c r="S113" s="7"/>
      <c r="T113" s="7"/>
      <c r="U113" s="7"/>
      <c r="V113" s="7"/>
      <c r="W113" s="7"/>
      <c r="X113" s="12">
        <v>1000</v>
      </c>
      <c r="Y113" s="12">
        <v>150</v>
      </c>
      <c r="Z113" s="12">
        <f t="shared" si="77"/>
        <v>850</v>
      </c>
      <c r="AA113" s="12"/>
      <c r="AB113" s="12">
        <v>150</v>
      </c>
      <c r="AC113" s="12">
        <v>0</v>
      </c>
      <c r="AD113" s="130">
        <f t="shared" si="78"/>
        <v>0</v>
      </c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8">
        <f t="shared" ref="AT113:AT119" si="100">SUM(AE113:AS113)</f>
        <v>0</v>
      </c>
      <c r="AU113" s="131">
        <f t="shared" si="80"/>
        <v>0</v>
      </c>
      <c r="AV113" s="123"/>
      <c r="AW113" s="11">
        <f t="shared" si="81"/>
        <v>150</v>
      </c>
      <c r="AX113" s="129">
        <f t="shared" si="65"/>
        <v>150</v>
      </c>
      <c r="AY113" s="129">
        <f t="shared" si="66"/>
        <v>150</v>
      </c>
      <c r="AZ113" s="129">
        <f t="shared" si="67"/>
        <v>150</v>
      </c>
      <c r="BA113" s="129">
        <f t="shared" si="68"/>
        <v>150</v>
      </c>
      <c r="BB113" s="129">
        <f t="shared" si="69"/>
        <v>150</v>
      </c>
      <c r="BC113" s="129">
        <f t="shared" si="70"/>
        <v>80</v>
      </c>
      <c r="BD113" s="129">
        <f t="shared" si="71"/>
        <v>40</v>
      </c>
      <c r="BE113" s="129">
        <f t="shared" si="72"/>
        <v>40</v>
      </c>
      <c r="BF113" s="129">
        <f t="shared" ref="BF113:BK113" si="101">BE113+AN113-R113</f>
        <v>40</v>
      </c>
      <c r="BG113" s="129">
        <f t="shared" si="101"/>
        <v>40</v>
      </c>
      <c r="BH113" s="129">
        <f t="shared" si="101"/>
        <v>40</v>
      </c>
      <c r="BI113" s="129">
        <f t="shared" si="101"/>
        <v>40</v>
      </c>
      <c r="BJ113" s="129">
        <f t="shared" si="101"/>
        <v>40</v>
      </c>
      <c r="BK113" s="129">
        <f t="shared" si="101"/>
        <v>40</v>
      </c>
    </row>
    <row r="114" spans="1:63" s="100" customFormat="1" ht="16" customHeight="1">
      <c r="A114" s="13" t="s">
        <v>29</v>
      </c>
      <c r="B114" s="13" t="s">
        <v>333</v>
      </c>
      <c r="C114" s="13" t="s">
        <v>334</v>
      </c>
      <c r="D114" s="13" t="s">
        <v>335</v>
      </c>
      <c r="E114" s="13" t="s">
        <v>336</v>
      </c>
      <c r="F114" s="13" t="s">
        <v>273</v>
      </c>
      <c r="G114" s="13" t="s">
        <v>58</v>
      </c>
      <c r="H114" s="13" t="s">
        <v>38</v>
      </c>
      <c r="I114" s="7"/>
      <c r="J114" s="7"/>
      <c r="K114" s="7">
        <v>32</v>
      </c>
      <c r="L114" s="7">
        <v>25</v>
      </c>
      <c r="M114" s="7">
        <v>120</v>
      </c>
      <c r="N114" s="7">
        <v>46</v>
      </c>
      <c r="O114" s="7">
        <v>727</v>
      </c>
      <c r="P114" s="7">
        <v>395</v>
      </c>
      <c r="Q114" s="7"/>
      <c r="R114" s="7"/>
      <c r="S114" s="7"/>
      <c r="T114" s="7"/>
      <c r="U114" s="7"/>
      <c r="V114" s="7"/>
      <c r="W114" s="7"/>
      <c r="X114" s="12">
        <v>1487</v>
      </c>
      <c r="Y114" s="12">
        <v>1487</v>
      </c>
      <c r="Z114" s="12">
        <f t="shared" si="77"/>
        <v>3037</v>
      </c>
      <c r="AA114" s="12"/>
      <c r="AB114" s="12">
        <v>1670</v>
      </c>
      <c r="AC114" s="12">
        <v>3037</v>
      </c>
      <c r="AD114" s="130">
        <f t="shared" si="78"/>
        <v>3220</v>
      </c>
      <c r="AE114" s="12"/>
      <c r="AF114" s="12"/>
      <c r="AG114" s="12"/>
      <c r="AH114" s="12">
        <v>2600</v>
      </c>
      <c r="AI114" s="12">
        <v>620</v>
      </c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8">
        <f t="shared" si="100"/>
        <v>3220</v>
      </c>
      <c r="AU114" s="131">
        <f t="shared" si="80"/>
        <v>0</v>
      </c>
      <c r="AV114" s="123"/>
      <c r="AW114" s="11">
        <f t="shared" si="81"/>
        <v>1487</v>
      </c>
      <c r="AX114" s="129">
        <f t="shared" si="65"/>
        <v>1487</v>
      </c>
      <c r="AY114" s="129">
        <f t="shared" si="66"/>
        <v>1455</v>
      </c>
      <c r="AZ114" s="129">
        <f t="shared" si="67"/>
        <v>4030</v>
      </c>
      <c r="BA114" s="129">
        <f t="shared" si="68"/>
        <v>4530</v>
      </c>
      <c r="BB114" s="129">
        <f t="shared" si="69"/>
        <v>4484</v>
      </c>
      <c r="BC114" s="129">
        <f t="shared" si="70"/>
        <v>3757</v>
      </c>
      <c r="BD114" s="129">
        <f t="shared" si="71"/>
        <v>3362</v>
      </c>
      <c r="BE114" s="129">
        <f t="shared" si="72"/>
        <v>3362</v>
      </c>
      <c r="BF114" s="129">
        <f t="shared" ref="BF114:BK114" si="102">BE114+AN114-R114</f>
        <v>3362</v>
      </c>
      <c r="BG114" s="129">
        <f t="shared" si="102"/>
        <v>3362</v>
      </c>
      <c r="BH114" s="129">
        <f t="shared" si="102"/>
        <v>3362</v>
      </c>
      <c r="BI114" s="129">
        <f t="shared" si="102"/>
        <v>3362</v>
      </c>
      <c r="BJ114" s="129">
        <f t="shared" si="102"/>
        <v>3362</v>
      </c>
      <c r="BK114" s="129">
        <f t="shared" si="102"/>
        <v>3362</v>
      </c>
    </row>
    <row r="115" spans="1:63" s="100" customFormat="1" ht="16" hidden="1" customHeight="1">
      <c r="A115" s="12" t="s">
        <v>29</v>
      </c>
      <c r="B115" s="12" t="s">
        <v>337</v>
      </c>
      <c r="C115" s="12" t="s">
        <v>338</v>
      </c>
      <c r="D115" s="13" t="s">
        <v>335</v>
      </c>
      <c r="E115" s="13" t="s">
        <v>339</v>
      </c>
      <c r="F115" s="13" t="s">
        <v>207</v>
      </c>
      <c r="G115" s="13" t="s">
        <v>58</v>
      </c>
      <c r="H115" s="13" t="s">
        <v>38</v>
      </c>
      <c r="I115" s="7"/>
      <c r="J115" s="7"/>
      <c r="K115" s="7">
        <v>0</v>
      </c>
      <c r="L115" s="7">
        <v>5</v>
      </c>
      <c r="M115" s="7">
        <v>20</v>
      </c>
      <c r="N115" s="7">
        <v>0</v>
      </c>
      <c r="O115" s="7">
        <v>100</v>
      </c>
      <c r="P115" s="7">
        <v>204</v>
      </c>
      <c r="Q115" s="7"/>
      <c r="R115" s="7"/>
      <c r="S115" s="7"/>
      <c r="T115" s="7"/>
      <c r="U115" s="7"/>
      <c r="V115" s="7"/>
      <c r="W115" s="7"/>
      <c r="X115" s="12">
        <v>1938</v>
      </c>
      <c r="Y115" s="12">
        <v>396</v>
      </c>
      <c r="Z115" s="12">
        <f t="shared" si="77"/>
        <v>1542</v>
      </c>
      <c r="AA115" s="12"/>
      <c r="AB115" s="12">
        <v>396</v>
      </c>
      <c r="AC115" s="12">
        <v>0</v>
      </c>
      <c r="AD115" s="130">
        <f t="shared" si="78"/>
        <v>0</v>
      </c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8">
        <f t="shared" si="100"/>
        <v>0</v>
      </c>
      <c r="AU115" s="131">
        <f t="shared" si="80"/>
        <v>0</v>
      </c>
      <c r="AV115" s="123"/>
      <c r="AW115" s="11">
        <f t="shared" si="81"/>
        <v>396</v>
      </c>
      <c r="AX115" s="129">
        <f t="shared" si="65"/>
        <v>396</v>
      </c>
      <c r="AY115" s="129">
        <f t="shared" si="66"/>
        <v>396</v>
      </c>
      <c r="AZ115" s="129">
        <f t="shared" si="67"/>
        <v>391</v>
      </c>
      <c r="BA115" s="129">
        <f t="shared" si="68"/>
        <v>371</v>
      </c>
      <c r="BB115" s="129">
        <f t="shared" si="69"/>
        <v>371</v>
      </c>
      <c r="BC115" s="129">
        <f t="shared" si="70"/>
        <v>271</v>
      </c>
      <c r="BD115" s="129">
        <f t="shared" si="71"/>
        <v>67</v>
      </c>
      <c r="BE115" s="129">
        <f t="shared" si="72"/>
        <v>67</v>
      </c>
      <c r="BF115" s="129">
        <f t="shared" ref="BF115:BK115" si="103">BE115+AN115-R115</f>
        <v>67</v>
      </c>
      <c r="BG115" s="129">
        <f t="shared" si="103"/>
        <v>67</v>
      </c>
      <c r="BH115" s="129">
        <f t="shared" si="103"/>
        <v>67</v>
      </c>
      <c r="BI115" s="129">
        <f t="shared" si="103"/>
        <v>67</v>
      </c>
      <c r="BJ115" s="129">
        <f t="shared" si="103"/>
        <v>67</v>
      </c>
      <c r="BK115" s="129">
        <f t="shared" si="103"/>
        <v>67</v>
      </c>
    </row>
    <row r="116" spans="1:63" s="100" customFormat="1" ht="16" hidden="1" customHeight="1">
      <c r="A116" s="12" t="s">
        <v>29</v>
      </c>
      <c r="B116" s="12" t="s">
        <v>340</v>
      </c>
      <c r="C116" s="12" t="s">
        <v>341</v>
      </c>
      <c r="D116" s="13"/>
      <c r="E116" s="13" t="s">
        <v>336</v>
      </c>
      <c r="F116" s="13" t="s">
        <v>273</v>
      </c>
      <c r="G116" s="13"/>
      <c r="H116" s="13"/>
      <c r="I116" s="7"/>
      <c r="J116" s="7"/>
      <c r="K116" s="7">
        <v>0</v>
      </c>
      <c r="L116" s="7">
        <v>0</v>
      </c>
      <c r="M116" s="7">
        <v>0</v>
      </c>
      <c r="N116" s="7">
        <v>0</v>
      </c>
      <c r="O116" s="7">
        <v>150</v>
      </c>
      <c r="P116" s="7">
        <v>100</v>
      </c>
      <c r="Q116" s="7"/>
      <c r="R116" s="7"/>
      <c r="S116" s="7"/>
      <c r="T116" s="7"/>
      <c r="U116" s="7"/>
      <c r="V116" s="7"/>
      <c r="W116" s="7"/>
      <c r="X116" s="12">
        <v>1100</v>
      </c>
      <c r="Y116" s="12">
        <v>500</v>
      </c>
      <c r="Z116" s="12">
        <f t="shared" si="77"/>
        <v>600</v>
      </c>
      <c r="AA116" s="12"/>
      <c r="AB116" s="12">
        <v>500</v>
      </c>
      <c r="AC116" s="12">
        <v>0</v>
      </c>
      <c r="AD116" s="130">
        <f t="shared" si="78"/>
        <v>0</v>
      </c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8">
        <f t="shared" si="100"/>
        <v>0</v>
      </c>
      <c r="AU116" s="131">
        <f t="shared" si="80"/>
        <v>0</v>
      </c>
      <c r="AV116" s="123"/>
      <c r="AW116" s="11">
        <f t="shared" si="81"/>
        <v>500</v>
      </c>
      <c r="AX116" s="129">
        <f t="shared" si="65"/>
        <v>500</v>
      </c>
      <c r="AY116" s="129">
        <f t="shared" si="66"/>
        <v>500</v>
      </c>
      <c r="AZ116" s="129">
        <f t="shared" si="67"/>
        <v>500</v>
      </c>
      <c r="BA116" s="129">
        <f t="shared" si="68"/>
        <v>500</v>
      </c>
      <c r="BB116" s="129">
        <f t="shared" si="69"/>
        <v>500</v>
      </c>
      <c r="BC116" s="129">
        <f t="shared" si="70"/>
        <v>350</v>
      </c>
      <c r="BD116" s="129">
        <f t="shared" si="71"/>
        <v>250</v>
      </c>
      <c r="BE116" s="129">
        <f t="shared" si="72"/>
        <v>250</v>
      </c>
      <c r="BF116" s="129">
        <f t="shared" ref="BF116:BK116" si="104">BE116+AN116-R116</f>
        <v>250</v>
      </c>
      <c r="BG116" s="129">
        <f t="shared" si="104"/>
        <v>250</v>
      </c>
      <c r="BH116" s="129">
        <f t="shared" si="104"/>
        <v>250</v>
      </c>
      <c r="BI116" s="129">
        <f t="shared" si="104"/>
        <v>250</v>
      </c>
      <c r="BJ116" s="129">
        <f t="shared" si="104"/>
        <v>250</v>
      </c>
      <c r="BK116" s="129">
        <f t="shared" si="104"/>
        <v>250</v>
      </c>
    </row>
    <row r="117" spans="1:63" s="100" customFormat="1" ht="16" hidden="1" customHeight="1">
      <c r="A117" s="12" t="s">
        <v>29</v>
      </c>
      <c r="B117" s="12" t="s">
        <v>342</v>
      </c>
      <c r="C117" s="12" t="s">
        <v>343</v>
      </c>
      <c r="D117" s="13"/>
      <c r="E117" s="13" t="s">
        <v>344</v>
      </c>
      <c r="F117" s="13" t="s">
        <v>273</v>
      </c>
      <c r="G117" s="13"/>
      <c r="H117" s="13"/>
      <c r="I117" s="7"/>
      <c r="J117" s="7"/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/>
      <c r="R117" s="7"/>
      <c r="S117" s="7"/>
      <c r="T117" s="7"/>
      <c r="U117" s="7"/>
      <c r="V117" s="7"/>
      <c r="W117" s="7"/>
      <c r="X117" s="12">
        <v>0</v>
      </c>
      <c r="Y117" s="12">
        <v>0</v>
      </c>
      <c r="Z117" s="12">
        <f t="shared" si="77"/>
        <v>0</v>
      </c>
      <c r="AA117" s="12"/>
      <c r="AB117" s="12">
        <v>0</v>
      </c>
      <c r="AC117" s="12">
        <v>0</v>
      </c>
      <c r="AD117" s="130">
        <f t="shared" si="78"/>
        <v>0</v>
      </c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8">
        <f t="shared" si="100"/>
        <v>0</v>
      </c>
      <c r="AU117" s="131">
        <f t="shared" si="80"/>
        <v>0</v>
      </c>
      <c r="AV117" s="123"/>
      <c r="AW117" s="11">
        <f t="shared" si="81"/>
        <v>0</v>
      </c>
      <c r="AX117" s="129">
        <f t="shared" si="65"/>
        <v>0</v>
      </c>
      <c r="AY117" s="129">
        <f t="shared" si="66"/>
        <v>0</v>
      </c>
      <c r="AZ117" s="129">
        <f t="shared" si="67"/>
        <v>0</v>
      </c>
      <c r="BA117" s="129">
        <f t="shared" si="68"/>
        <v>0</v>
      </c>
      <c r="BB117" s="129">
        <f t="shared" si="69"/>
        <v>0</v>
      </c>
      <c r="BC117" s="129">
        <f t="shared" si="70"/>
        <v>0</v>
      </c>
      <c r="BD117" s="129">
        <f t="shared" si="71"/>
        <v>0</v>
      </c>
      <c r="BE117" s="129">
        <f t="shared" si="72"/>
        <v>0</v>
      </c>
      <c r="BF117" s="129">
        <f t="shared" ref="BF117:BK117" si="105">BE117+AN117-R117</f>
        <v>0</v>
      </c>
      <c r="BG117" s="129">
        <f t="shared" si="105"/>
        <v>0</v>
      </c>
      <c r="BH117" s="129">
        <f t="shared" si="105"/>
        <v>0</v>
      </c>
      <c r="BI117" s="129">
        <f t="shared" si="105"/>
        <v>0</v>
      </c>
      <c r="BJ117" s="129">
        <f t="shared" si="105"/>
        <v>0</v>
      </c>
      <c r="BK117" s="129">
        <f t="shared" si="105"/>
        <v>0</v>
      </c>
    </row>
    <row r="118" spans="1:63" s="100" customFormat="1" ht="16" hidden="1" customHeight="1">
      <c r="A118" s="12" t="s">
        <v>29</v>
      </c>
      <c r="B118" s="12" t="s">
        <v>345</v>
      </c>
      <c r="C118" s="12" t="s">
        <v>346</v>
      </c>
      <c r="D118" s="13"/>
      <c r="E118" s="13" t="s">
        <v>344</v>
      </c>
      <c r="F118" s="13" t="s">
        <v>273</v>
      </c>
      <c r="G118" s="13"/>
      <c r="H118" s="13"/>
      <c r="I118" s="7"/>
      <c r="J118" s="7"/>
      <c r="K118" s="7">
        <v>0</v>
      </c>
      <c r="L118" s="7">
        <v>0</v>
      </c>
      <c r="M118" s="7">
        <v>0</v>
      </c>
      <c r="N118" s="7">
        <v>0</v>
      </c>
      <c r="O118" s="7">
        <v>213</v>
      </c>
      <c r="P118" s="7">
        <v>117</v>
      </c>
      <c r="Q118" s="7"/>
      <c r="R118" s="7"/>
      <c r="S118" s="7"/>
      <c r="T118" s="7"/>
      <c r="U118" s="7"/>
      <c r="V118" s="7"/>
      <c r="W118" s="7"/>
      <c r="X118" s="12">
        <v>500</v>
      </c>
      <c r="Y118" s="12">
        <v>500</v>
      </c>
      <c r="Z118" s="12">
        <f t="shared" si="77"/>
        <v>0</v>
      </c>
      <c r="AA118" s="12"/>
      <c r="AB118" s="12">
        <v>500</v>
      </c>
      <c r="AC118" s="12">
        <v>0</v>
      </c>
      <c r="AD118" s="12">
        <f t="shared" si="78"/>
        <v>0</v>
      </c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8">
        <f t="shared" si="100"/>
        <v>0</v>
      </c>
      <c r="AU118" s="131">
        <f t="shared" si="80"/>
        <v>0</v>
      </c>
      <c r="AV118" s="123"/>
      <c r="AW118" s="11">
        <f t="shared" si="81"/>
        <v>500</v>
      </c>
      <c r="AX118" s="129">
        <f t="shared" si="65"/>
        <v>500</v>
      </c>
      <c r="AY118" s="129">
        <f t="shared" si="66"/>
        <v>500</v>
      </c>
      <c r="AZ118" s="129">
        <f t="shared" si="67"/>
        <v>500</v>
      </c>
      <c r="BA118" s="129">
        <f t="shared" si="68"/>
        <v>500</v>
      </c>
      <c r="BB118" s="129">
        <f t="shared" si="69"/>
        <v>500</v>
      </c>
      <c r="BC118" s="129">
        <f t="shared" si="70"/>
        <v>287</v>
      </c>
      <c r="BD118" s="129">
        <f t="shared" si="71"/>
        <v>170</v>
      </c>
      <c r="BE118" s="129">
        <f t="shared" si="72"/>
        <v>170</v>
      </c>
      <c r="BF118" s="129">
        <f t="shared" ref="BF118:BK118" si="106">BE118+AN118-R118</f>
        <v>170</v>
      </c>
      <c r="BG118" s="129">
        <f t="shared" si="106"/>
        <v>170</v>
      </c>
      <c r="BH118" s="129">
        <f t="shared" si="106"/>
        <v>170</v>
      </c>
      <c r="BI118" s="129">
        <f t="shared" si="106"/>
        <v>170</v>
      </c>
      <c r="BJ118" s="129">
        <f t="shared" si="106"/>
        <v>170</v>
      </c>
      <c r="BK118" s="129">
        <f t="shared" si="106"/>
        <v>170</v>
      </c>
    </row>
    <row r="119" spans="1:63" s="100" customFormat="1" ht="16" hidden="1" customHeight="1">
      <c r="A119" s="13" t="s">
        <v>29</v>
      </c>
      <c r="B119" s="13" t="s">
        <v>347</v>
      </c>
      <c r="C119" s="13" t="s">
        <v>348</v>
      </c>
      <c r="D119" s="13" t="s">
        <v>330</v>
      </c>
      <c r="E119" s="13" t="s">
        <v>276</v>
      </c>
      <c r="F119" s="13" t="s">
        <v>273</v>
      </c>
      <c r="G119" s="13" t="s">
        <v>58</v>
      </c>
      <c r="H119" s="13" t="s">
        <v>38</v>
      </c>
      <c r="I119" s="7"/>
      <c r="J119" s="7"/>
      <c r="K119" s="7">
        <v>0</v>
      </c>
      <c r="L119" s="7">
        <v>0</v>
      </c>
      <c r="M119" s="7">
        <v>0</v>
      </c>
      <c r="N119" s="7">
        <v>0</v>
      </c>
      <c r="O119" s="7">
        <v>40</v>
      </c>
      <c r="P119" s="7">
        <v>40</v>
      </c>
      <c r="Q119" s="7"/>
      <c r="R119" s="7"/>
      <c r="S119" s="7"/>
      <c r="T119" s="7"/>
      <c r="U119" s="7"/>
      <c r="V119" s="7"/>
      <c r="W119" s="7"/>
      <c r="X119" s="12">
        <v>500</v>
      </c>
      <c r="Y119" s="12">
        <v>130</v>
      </c>
      <c r="Z119" s="12">
        <f t="shared" si="77"/>
        <v>370</v>
      </c>
      <c r="AA119" s="12"/>
      <c r="AB119" s="12">
        <v>130</v>
      </c>
      <c r="AC119" s="12">
        <v>0</v>
      </c>
      <c r="AD119" s="130">
        <f t="shared" si="78"/>
        <v>0</v>
      </c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8">
        <f t="shared" si="100"/>
        <v>0</v>
      </c>
      <c r="AU119" s="131">
        <f t="shared" si="80"/>
        <v>0</v>
      </c>
      <c r="AV119" s="123"/>
      <c r="AW119" s="11">
        <f t="shared" si="81"/>
        <v>130</v>
      </c>
      <c r="AX119" s="129">
        <f t="shared" si="65"/>
        <v>130</v>
      </c>
      <c r="AY119" s="129">
        <f t="shared" si="66"/>
        <v>130</v>
      </c>
      <c r="AZ119" s="129">
        <f t="shared" si="67"/>
        <v>130</v>
      </c>
      <c r="BA119" s="129">
        <f t="shared" si="68"/>
        <v>130</v>
      </c>
      <c r="BB119" s="129">
        <f t="shared" si="69"/>
        <v>130</v>
      </c>
      <c r="BC119" s="129">
        <f t="shared" si="70"/>
        <v>90</v>
      </c>
      <c r="BD119" s="129">
        <f t="shared" si="71"/>
        <v>50</v>
      </c>
      <c r="BE119" s="129">
        <f t="shared" si="72"/>
        <v>50</v>
      </c>
      <c r="BF119" s="129">
        <f t="shared" ref="BF119:BK119" si="107">BE119+AN119-R119</f>
        <v>50</v>
      </c>
      <c r="BG119" s="129">
        <f t="shared" si="107"/>
        <v>50</v>
      </c>
      <c r="BH119" s="129">
        <f t="shared" si="107"/>
        <v>50</v>
      </c>
      <c r="BI119" s="129">
        <f t="shared" si="107"/>
        <v>50</v>
      </c>
      <c r="BJ119" s="129">
        <f t="shared" si="107"/>
        <v>50</v>
      </c>
      <c r="BK119" s="129">
        <f t="shared" si="107"/>
        <v>50</v>
      </c>
    </row>
    <row r="120" spans="1:63" s="100" customFormat="1" ht="16" hidden="1" customHeight="1">
      <c r="A120" s="126" t="s">
        <v>29</v>
      </c>
      <c r="B120" s="11" t="s">
        <v>349</v>
      </c>
      <c r="C120" s="11" t="s">
        <v>350</v>
      </c>
      <c r="D120" s="13" t="s">
        <v>351</v>
      </c>
      <c r="E120" s="13" t="s">
        <v>272</v>
      </c>
      <c r="F120" s="13" t="s">
        <v>273</v>
      </c>
      <c r="G120" s="13" t="s">
        <v>58</v>
      </c>
      <c r="H120" s="13" t="s">
        <v>38</v>
      </c>
      <c r="I120" s="7"/>
      <c r="J120" s="7"/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/>
      <c r="R120" s="7"/>
      <c r="S120" s="7"/>
      <c r="T120" s="7"/>
      <c r="U120" s="7"/>
      <c r="V120" s="7"/>
      <c r="W120" s="7"/>
      <c r="X120" s="12">
        <v>0</v>
      </c>
      <c r="Y120" s="12">
        <v>0</v>
      </c>
      <c r="Z120" s="12">
        <f t="shared" si="77"/>
        <v>0</v>
      </c>
      <c r="AA120" s="12"/>
      <c r="AB120" s="12">
        <v>0</v>
      </c>
      <c r="AC120" s="12">
        <v>0</v>
      </c>
      <c r="AD120" s="130">
        <f t="shared" si="78"/>
        <v>0</v>
      </c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8">
        <f>SUM(AE120:AR120)</f>
        <v>0</v>
      </c>
      <c r="AU120" s="131">
        <f t="shared" si="80"/>
        <v>0</v>
      </c>
      <c r="AV120" s="123"/>
      <c r="AW120" s="11">
        <f t="shared" si="81"/>
        <v>0</v>
      </c>
      <c r="AX120" s="129">
        <f t="shared" si="65"/>
        <v>0</v>
      </c>
      <c r="AY120" s="129">
        <f t="shared" si="66"/>
        <v>0</v>
      </c>
      <c r="AZ120" s="129">
        <f t="shared" si="67"/>
        <v>0</v>
      </c>
      <c r="BA120" s="129">
        <f t="shared" si="68"/>
        <v>0</v>
      </c>
      <c r="BB120" s="129">
        <f t="shared" si="69"/>
        <v>0</v>
      </c>
      <c r="BC120" s="129">
        <f t="shared" si="70"/>
        <v>0</v>
      </c>
      <c r="BD120" s="129">
        <f t="shared" si="71"/>
        <v>0</v>
      </c>
      <c r="BE120" s="129">
        <f t="shared" si="72"/>
        <v>0</v>
      </c>
      <c r="BF120" s="129">
        <f>BE120+AN120-R120</f>
        <v>0</v>
      </c>
      <c r="BG120" s="129">
        <f>BF120+AO120-S120</f>
        <v>0</v>
      </c>
      <c r="BH120" s="129">
        <f>AP120+AJ120-T120</f>
        <v>0</v>
      </c>
      <c r="BI120" s="129">
        <f>AQ120+AK120-U120</f>
        <v>0</v>
      </c>
      <c r="BJ120" s="129">
        <f>AR120+AL120-V120</f>
        <v>0</v>
      </c>
      <c r="BK120" s="129">
        <f>AS120+AM120-W120</f>
        <v>0</v>
      </c>
    </row>
    <row r="121" spans="1:63" s="100" customFormat="1" ht="16" hidden="1" customHeight="1">
      <c r="A121" s="126" t="s">
        <v>29</v>
      </c>
      <c r="B121" s="11" t="s">
        <v>352</v>
      </c>
      <c r="C121" s="11" t="s">
        <v>353</v>
      </c>
      <c r="D121" s="13" t="s">
        <v>351</v>
      </c>
      <c r="E121" s="13" t="s">
        <v>354</v>
      </c>
      <c r="F121" s="13" t="s">
        <v>273</v>
      </c>
      <c r="G121" s="13" t="s">
        <v>58</v>
      </c>
      <c r="H121" s="13" t="s">
        <v>38</v>
      </c>
      <c r="I121" s="7"/>
      <c r="J121" s="7"/>
      <c r="K121" s="7">
        <v>0</v>
      </c>
      <c r="L121" s="7">
        <v>0</v>
      </c>
      <c r="M121" s="7">
        <v>0</v>
      </c>
      <c r="N121" s="7">
        <v>0</v>
      </c>
      <c r="O121" s="7">
        <v>16</v>
      </c>
      <c r="P121" s="7">
        <v>0</v>
      </c>
      <c r="Q121" s="7"/>
      <c r="R121" s="7"/>
      <c r="S121" s="7"/>
      <c r="T121" s="7"/>
      <c r="U121" s="7"/>
      <c r="V121" s="7"/>
      <c r="W121" s="7"/>
      <c r="X121" s="12">
        <v>1000</v>
      </c>
      <c r="Y121" s="12">
        <v>16</v>
      </c>
      <c r="Z121" s="12">
        <f t="shared" si="77"/>
        <v>984</v>
      </c>
      <c r="AA121" s="12"/>
      <c r="AB121" s="12">
        <v>16</v>
      </c>
      <c r="AC121" s="12">
        <v>0</v>
      </c>
      <c r="AD121" s="130">
        <f t="shared" si="78"/>
        <v>0</v>
      </c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8">
        <f>SUM(AE121:AS121)</f>
        <v>0</v>
      </c>
      <c r="AU121" s="131">
        <f t="shared" si="80"/>
        <v>0</v>
      </c>
      <c r="AV121" s="123"/>
      <c r="AW121" s="11">
        <f t="shared" si="81"/>
        <v>16</v>
      </c>
      <c r="AX121" s="129">
        <f t="shared" si="65"/>
        <v>16</v>
      </c>
      <c r="AY121" s="129">
        <f t="shared" si="66"/>
        <v>16</v>
      </c>
      <c r="AZ121" s="129">
        <f t="shared" si="67"/>
        <v>16</v>
      </c>
      <c r="BA121" s="129">
        <f t="shared" si="68"/>
        <v>16</v>
      </c>
      <c r="BB121" s="129">
        <f t="shared" si="69"/>
        <v>16</v>
      </c>
      <c r="BC121" s="129">
        <f t="shared" si="70"/>
        <v>0</v>
      </c>
      <c r="BD121" s="129">
        <f t="shared" si="71"/>
        <v>0</v>
      </c>
      <c r="BE121" s="129">
        <f t="shared" si="72"/>
        <v>0</v>
      </c>
      <c r="BF121" s="129">
        <f t="shared" ref="BF121:BK121" si="108">BE121+AN121-R121</f>
        <v>0</v>
      </c>
      <c r="BG121" s="129">
        <f t="shared" si="108"/>
        <v>0</v>
      </c>
      <c r="BH121" s="129">
        <f t="shared" si="108"/>
        <v>0</v>
      </c>
      <c r="BI121" s="129">
        <f t="shared" si="108"/>
        <v>0</v>
      </c>
      <c r="BJ121" s="129">
        <f t="shared" si="108"/>
        <v>0</v>
      </c>
      <c r="BK121" s="129">
        <f t="shared" si="108"/>
        <v>0</v>
      </c>
    </row>
    <row r="122" spans="1:63" s="100" customFormat="1" ht="16" hidden="1" customHeight="1">
      <c r="A122" s="126" t="s">
        <v>29</v>
      </c>
      <c r="B122" s="11" t="s">
        <v>355</v>
      </c>
      <c r="C122" s="11" t="s">
        <v>356</v>
      </c>
      <c r="D122" s="13" t="s">
        <v>351</v>
      </c>
      <c r="E122" s="13" t="s">
        <v>354</v>
      </c>
      <c r="F122" s="13" t="s">
        <v>273</v>
      </c>
      <c r="G122" s="13" t="s">
        <v>58</v>
      </c>
      <c r="H122" s="13" t="s">
        <v>38</v>
      </c>
      <c r="I122" s="7"/>
      <c r="J122" s="7"/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/>
      <c r="R122" s="7"/>
      <c r="S122" s="7"/>
      <c r="T122" s="7"/>
      <c r="U122" s="7"/>
      <c r="V122" s="7"/>
      <c r="W122" s="7"/>
      <c r="X122" s="12">
        <v>1330</v>
      </c>
      <c r="Y122" s="12">
        <v>0</v>
      </c>
      <c r="Z122" s="12">
        <f t="shared" si="77"/>
        <v>1330</v>
      </c>
      <c r="AA122" s="12"/>
      <c r="AB122" s="12">
        <v>0</v>
      </c>
      <c r="AC122" s="12">
        <v>0</v>
      </c>
      <c r="AD122" s="130">
        <f t="shared" si="78"/>
        <v>0</v>
      </c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8">
        <f>SUM(AE122:AS122)</f>
        <v>0</v>
      </c>
      <c r="AU122" s="131">
        <f t="shared" si="80"/>
        <v>0</v>
      </c>
      <c r="AV122" s="123"/>
      <c r="AW122" s="11">
        <f t="shared" si="81"/>
        <v>0</v>
      </c>
      <c r="AX122" s="129">
        <f t="shared" si="65"/>
        <v>0</v>
      </c>
      <c r="AY122" s="129">
        <f t="shared" si="66"/>
        <v>0</v>
      </c>
      <c r="AZ122" s="129">
        <f t="shared" si="67"/>
        <v>0</v>
      </c>
      <c r="BA122" s="129">
        <f t="shared" si="68"/>
        <v>0</v>
      </c>
      <c r="BB122" s="129">
        <f t="shared" si="69"/>
        <v>0</v>
      </c>
      <c r="BC122" s="129">
        <f t="shared" si="70"/>
        <v>0</v>
      </c>
      <c r="BD122" s="129">
        <f t="shared" si="71"/>
        <v>0</v>
      </c>
      <c r="BE122" s="129">
        <f t="shared" si="72"/>
        <v>0</v>
      </c>
      <c r="BF122" s="129">
        <f t="shared" ref="BF122:BK122" si="109">BE122+AN122-R122</f>
        <v>0</v>
      </c>
      <c r="BG122" s="129">
        <f t="shared" si="109"/>
        <v>0</v>
      </c>
      <c r="BH122" s="129">
        <f t="shared" si="109"/>
        <v>0</v>
      </c>
      <c r="BI122" s="129">
        <f t="shared" si="109"/>
        <v>0</v>
      </c>
      <c r="BJ122" s="129">
        <f t="shared" si="109"/>
        <v>0</v>
      </c>
      <c r="BK122" s="129">
        <f t="shared" si="109"/>
        <v>0</v>
      </c>
    </row>
    <row r="123" spans="1:63" s="100" customFormat="1" ht="16" hidden="1" customHeight="1">
      <c r="A123" s="126" t="s">
        <v>29</v>
      </c>
      <c r="B123" s="11" t="s">
        <v>357</v>
      </c>
      <c r="C123" s="11" t="s">
        <v>358</v>
      </c>
      <c r="D123" s="13" t="s">
        <v>351</v>
      </c>
      <c r="E123" s="13" t="s">
        <v>272</v>
      </c>
      <c r="F123" s="13" t="s">
        <v>273</v>
      </c>
      <c r="G123" s="13" t="s">
        <v>58</v>
      </c>
      <c r="H123" s="13" t="s">
        <v>38</v>
      </c>
      <c r="I123" s="7"/>
      <c r="J123" s="7"/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/>
      <c r="R123" s="7"/>
      <c r="S123" s="7"/>
      <c r="T123" s="7"/>
      <c r="U123" s="7"/>
      <c r="V123" s="7"/>
      <c r="W123" s="7"/>
      <c r="X123" s="12">
        <v>0</v>
      </c>
      <c r="Y123" s="12">
        <v>0</v>
      </c>
      <c r="Z123" s="12">
        <f t="shared" si="77"/>
        <v>0</v>
      </c>
      <c r="AA123" s="12"/>
      <c r="AB123" s="12">
        <v>0</v>
      </c>
      <c r="AC123" s="12">
        <v>0</v>
      </c>
      <c r="AD123" s="130">
        <f t="shared" si="78"/>
        <v>0</v>
      </c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8">
        <f>SUM(AE123:AR123)</f>
        <v>0</v>
      </c>
      <c r="AU123" s="131">
        <f t="shared" si="80"/>
        <v>0</v>
      </c>
      <c r="AV123" s="123"/>
      <c r="AW123" s="11">
        <f t="shared" si="81"/>
        <v>0</v>
      </c>
      <c r="AX123" s="129">
        <f t="shared" si="65"/>
        <v>0</v>
      </c>
      <c r="AY123" s="129">
        <f t="shared" si="66"/>
        <v>0</v>
      </c>
      <c r="AZ123" s="129">
        <f t="shared" si="67"/>
        <v>0</v>
      </c>
      <c r="BA123" s="129">
        <f t="shared" si="68"/>
        <v>0</v>
      </c>
      <c r="BB123" s="129">
        <f t="shared" si="69"/>
        <v>0</v>
      </c>
      <c r="BC123" s="129">
        <f t="shared" si="70"/>
        <v>0</v>
      </c>
      <c r="BD123" s="129">
        <f t="shared" si="71"/>
        <v>0</v>
      </c>
      <c r="BE123" s="129">
        <f t="shared" si="72"/>
        <v>0</v>
      </c>
      <c r="BF123" s="129">
        <f t="shared" ref="BF123:BG126" si="110">BE123+AN123-R123</f>
        <v>0</v>
      </c>
      <c r="BG123" s="129">
        <f t="shared" si="110"/>
        <v>0</v>
      </c>
      <c r="BH123" s="129">
        <f t="shared" ref="BH123:BK126" si="111">AP123+AJ123-T123</f>
        <v>0</v>
      </c>
      <c r="BI123" s="129">
        <f t="shared" si="111"/>
        <v>0</v>
      </c>
      <c r="BJ123" s="129">
        <f t="shared" si="111"/>
        <v>0</v>
      </c>
      <c r="BK123" s="129">
        <f t="shared" si="111"/>
        <v>0</v>
      </c>
    </row>
    <row r="124" spans="1:63" s="100" customFormat="1" ht="16" hidden="1" customHeight="1">
      <c r="A124" s="126" t="s">
        <v>29</v>
      </c>
      <c r="B124" s="11" t="s">
        <v>359</v>
      </c>
      <c r="C124" s="11" t="s">
        <v>360</v>
      </c>
      <c r="D124" s="13" t="s">
        <v>351</v>
      </c>
      <c r="E124" s="13" t="s">
        <v>361</v>
      </c>
      <c r="F124" s="13" t="s">
        <v>207</v>
      </c>
      <c r="G124" s="13" t="s">
        <v>37</v>
      </c>
      <c r="H124" s="13" t="s">
        <v>38</v>
      </c>
      <c r="I124" s="7"/>
      <c r="J124" s="7"/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/>
      <c r="R124" s="7"/>
      <c r="S124" s="7"/>
      <c r="T124" s="7"/>
      <c r="U124" s="7"/>
      <c r="V124" s="7"/>
      <c r="W124" s="7"/>
      <c r="X124" s="12">
        <v>0</v>
      </c>
      <c r="Y124" s="12">
        <v>0</v>
      </c>
      <c r="Z124" s="12">
        <f t="shared" si="77"/>
        <v>0</v>
      </c>
      <c r="AA124" s="12"/>
      <c r="AB124" s="12">
        <v>0</v>
      </c>
      <c r="AC124" s="12">
        <v>0</v>
      </c>
      <c r="AD124" s="130">
        <f t="shared" si="78"/>
        <v>0</v>
      </c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8">
        <f>SUM(AE124:AR124)</f>
        <v>0</v>
      </c>
      <c r="AU124" s="131">
        <f t="shared" si="80"/>
        <v>0</v>
      </c>
      <c r="AV124" s="123"/>
      <c r="AW124" s="11">
        <f t="shared" si="81"/>
        <v>0</v>
      </c>
      <c r="AX124" s="129">
        <f t="shared" si="65"/>
        <v>0</v>
      </c>
      <c r="AY124" s="129">
        <f t="shared" si="66"/>
        <v>0</v>
      </c>
      <c r="AZ124" s="129">
        <f t="shared" si="67"/>
        <v>0</v>
      </c>
      <c r="BA124" s="129">
        <f t="shared" si="68"/>
        <v>0</v>
      </c>
      <c r="BB124" s="129">
        <f t="shared" si="69"/>
        <v>0</v>
      </c>
      <c r="BC124" s="129">
        <f t="shared" si="70"/>
        <v>0</v>
      </c>
      <c r="BD124" s="129">
        <f t="shared" si="71"/>
        <v>0</v>
      </c>
      <c r="BE124" s="129">
        <f t="shared" si="72"/>
        <v>0</v>
      </c>
      <c r="BF124" s="129">
        <f t="shared" si="110"/>
        <v>0</v>
      </c>
      <c r="BG124" s="129">
        <f t="shared" si="110"/>
        <v>0</v>
      </c>
      <c r="BH124" s="129">
        <f t="shared" si="111"/>
        <v>0</v>
      </c>
      <c r="BI124" s="129">
        <f t="shared" si="111"/>
        <v>0</v>
      </c>
      <c r="BJ124" s="129">
        <f t="shared" si="111"/>
        <v>0</v>
      </c>
      <c r="BK124" s="129">
        <f t="shared" si="111"/>
        <v>0</v>
      </c>
    </row>
    <row r="125" spans="1:63" s="100" customFormat="1" ht="16" hidden="1" customHeight="1">
      <c r="A125" s="126" t="s">
        <v>29</v>
      </c>
      <c r="B125" s="11" t="s">
        <v>362</v>
      </c>
      <c r="C125" s="11" t="s">
        <v>363</v>
      </c>
      <c r="D125" s="13" t="s">
        <v>351</v>
      </c>
      <c r="E125" s="13" t="s">
        <v>354</v>
      </c>
      <c r="F125" s="13" t="s">
        <v>273</v>
      </c>
      <c r="G125" s="13" t="s">
        <v>58</v>
      </c>
      <c r="H125" s="13" t="s">
        <v>38</v>
      </c>
      <c r="I125" s="7"/>
      <c r="J125" s="7"/>
      <c r="K125" s="7">
        <v>36</v>
      </c>
      <c r="L125" s="7">
        <v>1</v>
      </c>
      <c r="M125" s="7">
        <v>0</v>
      </c>
      <c r="N125" s="7">
        <v>0</v>
      </c>
      <c r="O125" s="7">
        <v>0</v>
      </c>
      <c r="P125" s="7">
        <v>25</v>
      </c>
      <c r="Q125" s="7"/>
      <c r="R125" s="7"/>
      <c r="S125" s="7"/>
      <c r="T125" s="7"/>
      <c r="U125" s="7"/>
      <c r="V125" s="7"/>
      <c r="W125" s="7"/>
      <c r="X125" s="12">
        <v>214</v>
      </c>
      <c r="Y125" s="12">
        <v>67</v>
      </c>
      <c r="Z125" s="12">
        <f t="shared" si="77"/>
        <v>147</v>
      </c>
      <c r="AA125" s="12"/>
      <c r="AB125" s="12">
        <v>67</v>
      </c>
      <c r="AC125" s="12">
        <v>0</v>
      </c>
      <c r="AD125" s="130">
        <f t="shared" si="78"/>
        <v>0</v>
      </c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8">
        <f>SUM(AE125:AR125)</f>
        <v>0</v>
      </c>
      <c r="AU125" s="131">
        <f t="shared" si="80"/>
        <v>0</v>
      </c>
      <c r="AV125" s="123"/>
      <c r="AW125" s="11">
        <f t="shared" si="81"/>
        <v>67</v>
      </c>
      <c r="AX125" s="129">
        <f t="shared" si="65"/>
        <v>67</v>
      </c>
      <c r="AY125" s="129">
        <f t="shared" si="66"/>
        <v>31</v>
      </c>
      <c r="AZ125" s="129">
        <f t="shared" si="67"/>
        <v>30</v>
      </c>
      <c r="BA125" s="129">
        <f t="shared" si="68"/>
        <v>30</v>
      </c>
      <c r="BB125" s="129">
        <f t="shared" si="69"/>
        <v>30</v>
      </c>
      <c r="BC125" s="129">
        <f t="shared" si="70"/>
        <v>30</v>
      </c>
      <c r="BD125" s="129">
        <f t="shared" si="71"/>
        <v>5</v>
      </c>
      <c r="BE125" s="129">
        <f t="shared" si="72"/>
        <v>5</v>
      </c>
      <c r="BF125" s="129">
        <f t="shared" si="110"/>
        <v>5</v>
      </c>
      <c r="BG125" s="129">
        <f t="shared" si="110"/>
        <v>5</v>
      </c>
      <c r="BH125" s="129">
        <f t="shared" si="111"/>
        <v>0</v>
      </c>
      <c r="BI125" s="129">
        <f t="shared" si="111"/>
        <v>0</v>
      </c>
      <c r="BJ125" s="129">
        <f t="shared" si="111"/>
        <v>0</v>
      </c>
      <c r="BK125" s="129">
        <f t="shared" si="111"/>
        <v>0</v>
      </c>
    </row>
    <row r="126" spans="1:63" s="100" customFormat="1" ht="16" hidden="1" customHeight="1">
      <c r="A126" s="126" t="s">
        <v>29</v>
      </c>
      <c r="B126" s="11" t="s">
        <v>364</v>
      </c>
      <c r="C126" s="11" t="s">
        <v>365</v>
      </c>
      <c r="D126" s="13" t="s">
        <v>351</v>
      </c>
      <c r="E126" s="13" t="s">
        <v>272</v>
      </c>
      <c r="F126" s="13" t="s">
        <v>273</v>
      </c>
      <c r="G126" s="13" t="s">
        <v>58</v>
      </c>
      <c r="H126" s="13" t="s">
        <v>38</v>
      </c>
      <c r="I126" s="7"/>
      <c r="J126" s="7"/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/>
      <c r="R126" s="7"/>
      <c r="S126" s="7"/>
      <c r="T126" s="7"/>
      <c r="U126" s="7"/>
      <c r="V126" s="7"/>
      <c r="W126" s="7"/>
      <c r="X126" s="12">
        <v>0</v>
      </c>
      <c r="Y126" s="12">
        <v>0</v>
      </c>
      <c r="Z126" s="12">
        <f t="shared" si="77"/>
        <v>0</v>
      </c>
      <c r="AA126" s="12"/>
      <c r="AB126" s="12">
        <v>0</v>
      </c>
      <c r="AC126" s="12">
        <v>0</v>
      </c>
      <c r="AD126" s="130">
        <f t="shared" si="78"/>
        <v>0</v>
      </c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8">
        <f>SUM(AE126:AR126)</f>
        <v>0</v>
      </c>
      <c r="AU126" s="131">
        <f t="shared" si="80"/>
        <v>0</v>
      </c>
      <c r="AV126" s="123"/>
      <c r="AW126" s="11">
        <f t="shared" si="81"/>
        <v>0</v>
      </c>
      <c r="AX126" s="129">
        <f t="shared" si="65"/>
        <v>0</v>
      </c>
      <c r="AY126" s="129">
        <f t="shared" si="66"/>
        <v>0</v>
      </c>
      <c r="AZ126" s="129">
        <f t="shared" si="67"/>
        <v>0</v>
      </c>
      <c r="BA126" s="129">
        <f t="shared" si="68"/>
        <v>0</v>
      </c>
      <c r="BB126" s="129">
        <f t="shared" si="69"/>
        <v>0</v>
      </c>
      <c r="BC126" s="129">
        <f t="shared" si="70"/>
        <v>0</v>
      </c>
      <c r="BD126" s="129">
        <f t="shared" si="71"/>
        <v>0</v>
      </c>
      <c r="BE126" s="129">
        <f t="shared" si="72"/>
        <v>0</v>
      </c>
      <c r="BF126" s="129">
        <f t="shared" si="110"/>
        <v>0</v>
      </c>
      <c r="BG126" s="129">
        <f t="shared" si="110"/>
        <v>0</v>
      </c>
      <c r="BH126" s="129">
        <f t="shared" si="111"/>
        <v>0</v>
      </c>
      <c r="BI126" s="129">
        <f t="shared" si="111"/>
        <v>0</v>
      </c>
      <c r="BJ126" s="129">
        <f t="shared" si="111"/>
        <v>0</v>
      </c>
      <c r="BK126" s="129">
        <f t="shared" si="111"/>
        <v>0</v>
      </c>
    </row>
    <row r="127" spans="1:63" s="100" customFormat="1" ht="16" customHeight="1">
      <c r="A127" s="126" t="s">
        <v>29</v>
      </c>
      <c r="B127" s="11" t="s">
        <v>366</v>
      </c>
      <c r="C127" s="11" t="s">
        <v>367</v>
      </c>
      <c r="D127" s="13" t="s">
        <v>351</v>
      </c>
      <c r="E127" s="13" t="s">
        <v>272</v>
      </c>
      <c r="F127" s="13" t="s">
        <v>273</v>
      </c>
      <c r="G127" s="13" t="s">
        <v>58</v>
      </c>
      <c r="H127" s="13" t="s">
        <v>38</v>
      </c>
      <c r="I127" s="7"/>
      <c r="J127" s="7"/>
      <c r="K127" s="7">
        <v>0</v>
      </c>
      <c r="L127" s="7">
        <v>0</v>
      </c>
      <c r="M127" s="7">
        <v>5</v>
      </c>
      <c r="N127" s="7">
        <v>29</v>
      </c>
      <c r="O127" s="7">
        <v>91</v>
      </c>
      <c r="P127" s="7">
        <v>202</v>
      </c>
      <c r="Q127" s="7"/>
      <c r="R127" s="7"/>
      <c r="S127" s="7"/>
      <c r="T127" s="7"/>
      <c r="U127" s="7"/>
      <c r="V127" s="7"/>
      <c r="W127" s="7"/>
      <c r="X127" s="12">
        <v>129</v>
      </c>
      <c r="Y127" s="12">
        <v>129</v>
      </c>
      <c r="Z127" s="12">
        <f t="shared" si="77"/>
        <v>500</v>
      </c>
      <c r="AA127" s="12"/>
      <c r="AB127" s="12">
        <v>1047</v>
      </c>
      <c r="AC127" s="12">
        <v>500</v>
      </c>
      <c r="AD127" s="130">
        <f t="shared" si="78"/>
        <v>1418</v>
      </c>
      <c r="AE127" s="12"/>
      <c r="AF127" s="12"/>
      <c r="AG127" s="12">
        <v>1418</v>
      </c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8">
        <f>SUM(AE127:AS127)</f>
        <v>1418</v>
      </c>
      <c r="AU127" s="131">
        <f t="shared" si="80"/>
        <v>0</v>
      </c>
      <c r="AV127" s="123"/>
      <c r="AW127" s="11">
        <f t="shared" si="81"/>
        <v>129</v>
      </c>
      <c r="AX127" s="129">
        <f t="shared" si="65"/>
        <v>129</v>
      </c>
      <c r="AY127" s="129">
        <f t="shared" si="66"/>
        <v>1547</v>
      </c>
      <c r="AZ127" s="129">
        <f t="shared" si="67"/>
        <v>1547</v>
      </c>
      <c r="BA127" s="129">
        <f t="shared" si="68"/>
        <v>1542</v>
      </c>
      <c r="BB127" s="129">
        <f t="shared" si="69"/>
        <v>1513</v>
      </c>
      <c r="BC127" s="129">
        <f t="shared" si="70"/>
        <v>1422</v>
      </c>
      <c r="BD127" s="129">
        <f t="shared" si="71"/>
        <v>1220</v>
      </c>
      <c r="BE127" s="129">
        <f t="shared" si="72"/>
        <v>1220</v>
      </c>
      <c r="BF127" s="129">
        <f t="shared" ref="BF127:BK127" si="112">BE127+AN127-R127</f>
        <v>1220</v>
      </c>
      <c r="BG127" s="129">
        <f t="shared" si="112"/>
        <v>1220</v>
      </c>
      <c r="BH127" s="129">
        <f t="shared" si="112"/>
        <v>1220</v>
      </c>
      <c r="BI127" s="129">
        <f t="shared" si="112"/>
        <v>1220</v>
      </c>
      <c r="BJ127" s="129">
        <f t="shared" si="112"/>
        <v>1220</v>
      </c>
      <c r="BK127" s="129">
        <f t="shared" si="112"/>
        <v>1220</v>
      </c>
    </row>
    <row r="128" spans="1:63" s="100" customFormat="1" ht="16" hidden="1" customHeight="1">
      <c r="A128" s="127" t="s">
        <v>29</v>
      </c>
      <c r="B128" s="11" t="s">
        <v>368</v>
      </c>
      <c r="C128" s="11" t="s">
        <v>369</v>
      </c>
      <c r="D128" s="13" t="s">
        <v>351</v>
      </c>
      <c r="E128" s="13" t="s">
        <v>370</v>
      </c>
      <c r="F128" s="13" t="s">
        <v>207</v>
      </c>
      <c r="G128" s="13" t="s">
        <v>37</v>
      </c>
      <c r="H128" s="13" t="s">
        <v>38</v>
      </c>
      <c r="I128" s="7"/>
      <c r="J128" s="7"/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/>
      <c r="R128" s="7"/>
      <c r="S128" s="7"/>
      <c r="T128" s="7"/>
      <c r="U128" s="7"/>
      <c r="V128" s="7"/>
      <c r="W128" s="7"/>
      <c r="X128" s="12">
        <v>0</v>
      </c>
      <c r="Y128" s="12">
        <v>0</v>
      </c>
      <c r="Z128" s="12">
        <f t="shared" si="77"/>
        <v>0</v>
      </c>
      <c r="AA128" s="12"/>
      <c r="AB128" s="12">
        <v>0</v>
      </c>
      <c r="AC128" s="12">
        <v>0</v>
      </c>
      <c r="AD128" s="130">
        <f t="shared" si="78"/>
        <v>0</v>
      </c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8">
        <f>SUM(AE128:AR128)</f>
        <v>0</v>
      </c>
      <c r="AU128" s="131">
        <f t="shared" si="80"/>
        <v>0</v>
      </c>
      <c r="AV128" s="123"/>
      <c r="AW128" s="11">
        <f t="shared" si="81"/>
        <v>0</v>
      </c>
      <c r="AX128" s="129">
        <f t="shared" si="65"/>
        <v>0</v>
      </c>
      <c r="AY128" s="129">
        <f t="shared" si="66"/>
        <v>0</v>
      </c>
      <c r="AZ128" s="129">
        <f t="shared" si="67"/>
        <v>0</v>
      </c>
      <c r="BA128" s="129">
        <f t="shared" si="68"/>
        <v>0</v>
      </c>
      <c r="BB128" s="129">
        <f t="shared" si="69"/>
        <v>0</v>
      </c>
      <c r="BC128" s="129">
        <f t="shared" si="70"/>
        <v>0</v>
      </c>
      <c r="BD128" s="129">
        <f t="shared" si="71"/>
        <v>0</v>
      </c>
      <c r="BE128" s="129">
        <f t="shared" si="72"/>
        <v>0</v>
      </c>
      <c r="BF128" s="129">
        <f>BE128+AN128-R128</f>
        <v>0</v>
      </c>
      <c r="BG128" s="129">
        <f>BF128+AO128-S128</f>
        <v>0</v>
      </c>
      <c r="BH128" s="129">
        <f>AP128+AJ128-T128</f>
        <v>0</v>
      </c>
      <c r="BI128" s="129">
        <f>AQ128+AK128-U128</f>
        <v>0</v>
      </c>
      <c r="BJ128" s="129">
        <f>AR128+AL128-V128</f>
        <v>0</v>
      </c>
      <c r="BK128" s="129">
        <f>AS128+AM128-W128</f>
        <v>0</v>
      </c>
    </row>
    <row r="129" spans="1:63" s="100" customFormat="1" ht="16" hidden="1" customHeight="1">
      <c r="A129" s="127" t="s">
        <v>29</v>
      </c>
      <c r="B129" s="11" t="s">
        <v>371</v>
      </c>
      <c r="C129" s="11" t="s">
        <v>372</v>
      </c>
      <c r="D129" s="13" t="s">
        <v>351</v>
      </c>
      <c r="E129" s="13" t="s">
        <v>272</v>
      </c>
      <c r="F129" s="13" t="s">
        <v>273</v>
      </c>
      <c r="G129" s="13" t="s">
        <v>58</v>
      </c>
      <c r="H129" s="13" t="s">
        <v>38</v>
      </c>
      <c r="I129" s="7"/>
      <c r="J129" s="7"/>
      <c r="K129" s="7">
        <v>0</v>
      </c>
      <c r="L129" s="7">
        <v>0</v>
      </c>
      <c r="M129" s="7">
        <v>0</v>
      </c>
      <c r="N129" s="7">
        <v>0</v>
      </c>
      <c r="O129" s="7">
        <v>317</v>
      </c>
      <c r="P129" s="7">
        <v>123</v>
      </c>
      <c r="Q129" s="7"/>
      <c r="R129" s="7"/>
      <c r="S129" s="7"/>
      <c r="T129" s="7"/>
      <c r="U129" s="7"/>
      <c r="V129" s="7"/>
      <c r="W129" s="7"/>
      <c r="X129" s="12">
        <v>1565</v>
      </c>
      <c r="Y129" s="12">
        <v>500</v>
      </c>
      <c r="Z129" s="12">
        <f t="shared" si="77"/>
        <v>1065</v>
      </c>
      <c r="AA129" s="12"/>
      <c r="AB129" s="12">
        <v>500</v>
      </c>
      <c r="AC129" s="12">
        <v>0</v>
      </c>
      <c r="AD129" s="130">
        <f t="shared" si="78"/>
        <v>0</v>
      </c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8">
        <f>SUM(AE129:AS129)</f>
        <v>0</v>
      </c>
      <c r="AU129" s="131">
        <f t="shared" si="80"/>
        <v>0</v>
      </c>
      <c r="AV129" s="123"/>
      <c r="AW129" s="11">
        <f t="shared" si="81"/>
        <v>500</v>
      </c>
      <c r="AX129" s="129">
        <f t="shared" si="65"/>
        <v>500</v>
      </c>
      <c r="AY129" s="129">
        <f t="shared" si="66"/>
        <v>500</v>
      </c>
      <c r="AZ129" s="129">
        <f t="shared" si="67"/>
        <v>500</v>
      </c>
      <c r="BA129" s="129">
        <f t="shared" si="68"/>
        <v>500</v>
      </c>
      <c r="BB129" s="129">
        <f t="shared" si="69"/>
        <v>500</v>
      </c>
      <c r="BC129" s="129">
        <f t="shared" si="70"/>
        <v>183</v>
      </c>
      <c r="BD129" s="129">
        <f t="shared" si="71"/>
        <v>60</v>
      </c>
      <c r="BE129" s="129">
        <f t="shared" si="72"/>
        <v>60</v>
      </c>
      <c r="BF129" s="129">
        <f t="shared" ref="BF129:BK129" si="113">BE129+AN129-R129</f>
        <v>60</v>
      </c>
      <c r="BG129" s="129">
        <f t="shared" si="113"/>
        <v>60</v>
      </c>
      <c r="BH129" s="129">
        <f t="shared" si="113"/>
        <v>60</v>
      </c>
      <c r="BI129" s="129">
        <f t="shared" si="113"/>
        <v>60</v>
      </c>
      <c r="BJ129" s="129">
        <f t="shared" si="113"/>
        <v>60</v>
      </c>
      <c r="BK129" s="129">
        <f t="shared" si="113"/>
        <v>60</v>
      </c>
    </row>
    <row r="130" spans="1:63" s="100" customFormat="1" ht="16" hidden="1" customHeight="1">
      <c r="A130" s="127" t="s">
        <v>29</v>
      </c>
      <c r="B130" s="11" t="s">
        <v>373</v>
      </c>
      <c r="C130" s="11" t="s">
        <v>374</v>
      </c>
      <c r="D130" s="13" t="s">
        <v>351</v>
      </c>
      <c r="E130" s="13" t="s">
        <v>272</v>
      </c>
      <c r="F130" s="13" t="s">
        <v>273</v>
      </c>
      <c r="G130" s="13" t="s">
        <v>58</v>
      </c>
      <c r="H130" s="13" t="s">
        <v>38</v>
      </c>
      <c r="I130" s="7"/>
      <c r="J130" s="7"/>
      <c r="K130" s="7">
        <v>0</v>
      </c>
      <c r="L130" s="7">
        <v>0</v>
      </c>
      <c r="M130" s="7">
        <v>100</v>
      </c>
      <c r="N130" s="7">
        <v>0</v>
      </c>
      <c r="O130" s="7">
        <v>0</v>
      </c>
      <c r="P130" s="7">
        <v>0</v>
      </c>
      <c r="Q130" s="7"/>
      <c r="R130" s="7"/>
      <c r="S130" s="7"/>
      <c r="T130" s="7"/>
      <c r="U130" s="7"/>
      <c r="V130" s="7"/>
      <c r="W130" s="7"/>
      <c r="X130" s="12">
        <v>3099</v>
      </c>
      <c r="Y130" s="12">
        <v>100</v>
      </c>
      <c r="Z130" s="12">
        <f t="shared" si="77"/>
        <v>2999</v>
      </c>
      <c r="AA130" s="12"/>
      <c r="AB130" s="12">
        <v>100</v>
      </c>
      <c r="AC130" s="12">
        <v>0</v>
      </c>
      <c r="AD130" s="130">
        <f t="shared" si="78"/>
        <v>0</v>
      </c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8">
        <f>SUM(AE130:AR130)</f>
        <v>0</v>
      </c>
      <c r="AU130" s="131">
        <f t="shared" si="80"/>
        <v>0</v>
      </c>
      <c r="AV130" s="123"/>
      <c r="AW130" s="11">
        <f t="shared" si="81"/>
        <v>100</v>
      </c>
      <c r="AX130" s="129">
        <f t="shared" si="65"/>
        <v>100</v>
      </c>
      <c r="AY130" s="129">
        <f t="shared" si="66"/>
        <v>100</v>
      </c>
      <c r="AZ130" s="129">
        <f t="shared" si="67"/>
        <v>100</v>
      </c>
      <c r="BA130" s="129">
        <f t="shared" si="68"/>
        <v>0</v>
      </c>
      <c r="BB130" s="129">
        <f t="shared" si="69"/>
        <v>0</v>
      </c>
      <c r="BC130" s="129">
        <f t="shared" si="70"/>
        <v>0</v>
      </c>
      <c r="BD130" s="129">
        <f t="shared" si="71"/>
        <v>0</v>
      </c>
      <c r="BE130" s="129">
        <f t="shared" si="72"/>
        <v>0</v>
      </c>
      <c r="BF130" s="129">
        <f t="shared" ref="BF130:BG132" si="114">BE130+AN130-R130</f>
        <v>0</v>
      </c>
      <c r="BG130" s="129">
        <f t="shared" si="114"/>
        <v>0</v>
      </c>
      <c r="BH130" s="129">
        <f t="shared" ref="BH130:BK132" si="115">AP130+AJ130-T130</f>
        <v>0</v>
      </c>
      <c r="BI130" s="129">
        <f t="shared" si="115"/>
        <v>0</v>
      </c>
      <c r="BJ130" s="129">
        <f t="shared" si="115"/>
        <v>0</v>
      </c>
      <c r="BK130" s="129">
        <f t="shared" si="115"/>
        <v>0</v>
      </c>
    </row>
    <row r="131" spans="1:63" s="100" customFormat="1" ht="16" hidden="1" customHeight="1">
      <c r="A131" s="127" t="s">
        <v>29</v>
      </c>
      <c r="B131" s="11" t="s">
        <v>375</v>
      </c>
      <c r="C131" s="11" t="s">
        <v>376</v>
      </c>
      <c r="D131" s="13" t="s">
        <v>351</v>
      </c>
      <c r="E131" s="13" t="s">
        <v>377</v>
      </c>
      <c r="F131" s="13" t="s">
        <v>273</v>
      </c>
      <c r="G131" s="13" t="s">
        <v>58</v>
      </c>
      <c r="H131" s="13" t="s">
        <v>38</v>
      </c>
      <c r="I131" s="7"/>
      <c r="J131" s="7"/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/>
      <c r="R131" s="7"/>
      <c r="S131" s="7"/>
      <c r="T131" s="7"/>
      <c r="U131" s="7"/>
      <c r="V131" s="7"/>
      <c r="W131" s="7"/>
      <c r="X131" s="12">
        <v>0</v>
      </c>
      <c r="Y131" s="12">
        <v>0</v>
      </c>
      <c r="Z131" s="12">
        <f t="shared" si="77"/>
        <v>0</v>
      </c>
      <c r="AA131" s="12"/>
      <c r="AB131" s="12">
        <v>0</v>
      </c>
      <c r="AC131" s="12">
        <v>0</v>
      </c>
      <c r="AD131" s="130">
        <f t="shared" si="78"/>
        <v>0</v>
      </c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8">
        <f>SUM(AE131:AR131)</f>
        <v>0</v>
      </c>
      <c r="AU131" s="131">
        <f t="shared" si="80"/>
        <v>0</v>
      </c>
      <c r="AV131" s="123"/>
      <c r="AW131" s="11">
        <f t="shared" si="81"/>
        <v>0</v>
      </c>
      <c r="AX131" s="129">
        <f t="shared" si="65"/>
        <v>0</v>
      </c>
      <c r="AY131" s="129">
        <f t="shared" si="66"/>
        <v>0</v>
      </c>
      <c r="AZ131" s="129">
        <f t="shared" si="67"/>
        <v>0</v>
      </c>
      <c r="BA131" s="129">
        <f t="shared" si="68"/>
        <v>0</v>
      </c>
      <c r="BB131" s="129">
        <f t="shared" si="69"/>
        <v>0</v>
      </c>
      <c r="BC131" s="129">
        <f t="shared" si="70"/>
        <v>0</v>
      </c>
      <c r="BD131" s="129">
        <f t="shared" si="71"/>
        <v>0</v>
      </c>
      <c r="BE131" s="129">
        <f t="shared" si="72"/>
        <v>0</v>
      </c>
      <c r="BF131" s="129">
        <f t="shared" si="114"/>
        <v>0</v>
      </c>
      <c r="BG131" s="129">
        <f t="shared" si="114"/>
        <v>0</v>
      </c>
      <c r="BH131" s="129">
        <f t="shared" si="115"/>
        <v>0</v>
      </c>
      <c r="BI131" s="129">
        <f t="shared" si="115"/>
        <v>0</v>
      </c>
      <c r="BJ131" s="129">
        <f t="shared" si="115"/>
        <v>0</v>
      </c>
      <c r="BK131" s="129">
        <f t="shared" si="115"/>
        <v>0</v>
      </c>
    </row>
    <row r="132" spans="1:63" s="100" customFormat="1" ht="16" hidden="1" customHeight="1">
      <c r="A132" s="127" t="s">
        <v>29</v>
      </c>
      <c r="B132" s="11" t="s">
        <v>378</v>
      </c>
      <c r="C132" s="11" t="s">
        <v>379</v>
      </c>
      <c r="D132" s="13" t="s">
        <v>351</v>
      </c>
      <c r="E132" s="13" t="s">
        <v>377</v>
      </c>
      <c r="F132" s="13" t="s">
        <v>273</v>
      </c>
      <c r="G132" s="13" t="s">
        <v>58</v>
      </c>
      <c r="H132" s="13" t="s">
        <v>38</v>
      </c>
      <c r="I132" s="7"/>
      <c r="J132" s="7"/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/>
      <c r="R132" s="7"/>
      <c r="S132" s="7"/>
      <c r="T132" s="7"/>
      <c r="U132" s="7"/>
      <c r="V132" s="7"/>
      <c r="W132" s="7"/>
      <c r="X132" s="12">
        <v>0</v>
      </c>
      <c r="Y132" s="12">
        <v>0</v>
      </c>
      <c r="Z132" s="12">
        <f t="shared" si="77"/>
        <v>0</v>
      </c>
      <c r="AA132" s="12"/>
      <c r="AB132" s="12">
        <v>0</v>
      </c>
      <c r="AC132" s="12">
        <v>0</v>
      </c>
      <c r="AD132" s="130">
        <f t="shared" si="78"/>
        <v>0</v>
      </c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8">
        <f>SUM(AE132:AR132)</f>
        <v>0</v>
      </c>
      <c r="AU132" s="131">
        <f t="shared" si="80"/>
        <v>0</v>
      </c>
      <c r="AV132" s="123"/>
      <c r="AW132" s="11">
        <f t="shared" si="81"/>
        <v>0</v>
      </c>
      <c r="AX132" s="129">
        <f t="shared" si="65"/>
        <v>0</v>
      </c>
      <c r="AY132" s="129">
        <f t="shared" si="66"/>
        <v>0</v>
      </c>
      <c r="AZ132" s="129">
        <f t="shared" si="67"/>
        <v>0</v>
      </c>
      <c r="BA132" s="129">
        <f t="shared" si="68"/>
        <v>0</v>
      </c>
      <c r="BB132" s="129">
        <f t="shared" si="69"/>
        <v>0</v>
      </c>
      <c r="BC132" s="129">
        <f t="shared" si="70"/>
        <v>0</v>
      </c>
      <c r="BD132" s="129">
        <f t="shared" si="71"/>
        <v>0</v>
      </c>
      <c r="BE132" s="129">
        <f t="shared" si="72"/>
        <v>0</v>
      </c>
      <c r="BF132" s="129">
        <f t="shared" si="114"/>
        <v>0</v>
      </c>
      <c r="BG132" s="129">
        <f t="shared" si="114"/>
        <v>0</v>
      </c>
      <c r="BH132" s="129">
        <f t="shared" si="115"/>
        <v>0</v>
      </c>
      <c r="BI132" s="129">
        <f t="shared" si="115"/>
        <v>0</v>
      </c>
      <c r="BJ132" s="129">
        <f t="shared" si="115"/>
        <v>0</v>
      </c>
      <c r="BK132" s="129">
        <f t="shared" si="115"/>
        <v>0</v>
      </c>
    </row>
    <row r="133" spans="1:63" s="100" customFormat="1" ht="16" customHeight="1">
      <c r="A133" s="127" t="s">
        <v>29</v>
      </c>
      <c r="B133" s="11" t="s">
        <v>380</v>
      </c>
      <c r="C133" s="11" t="s">
        <v>381</v>
      </c>
      <c r="D133" s="13" t="s">
        <v>351</v>
      </c>
      <c r="E133" s="13" t="s">
        <v>272</v>
      </c>
      <c r="F133" s="13" t="s">
        <v>273</v>
      </c>
      <c r="G133" s="13" t="s">
        <v>58</v>
      </c>
      <c r="H133" s="13" t="s">
        <v>38</v>
      </c>
      <c r="I133" s="7"/>
      <c r="J133" s="7"/>
      <c r="K133" s="7">
        <v>0</v>
      </c>
      <c r="L133" s="7">
        <v>0</v>
      </c>
      <c r="M133" s="7">
        <v>0</v>
      </c>
      <c r="N133" s="7">
        <v>0</v>
      </c>
      <c r="O133" s="7">
        <v>273</v>
      </c>
      <c r="P133" s="7">
        <v>253</v>
      </c>
      <c r="Q133" s="7"/>
      <c r="R133" s="7"/>
      <c r="S133" s="7"/>
      <c r="T133" s="7"/>
      <c r="U133" s="7"/>
      <c r="V133" s="7"/>
      <c r="W133" s="7"/>
      <c r="X133" s="12">
        <v>185</v>
      </c>
      <c r="Y133" s="12">
        <v>185</v>
      </c>
      <c r="Z133" s="12">
        <f t="shared" si="77"/>
        <v>659</v>
      </c>
      <c r="AA133" s="12"/>
      <c r="AB133" s="12">
        <v>526</v>
      </c>
      <c r="AC133" s="12">
        <v>659</v>
      </c>
      <c r="AD133" s="130">
        <f t="shared" si="78"/>
        <v>1000</v>
      </c>
      <c r="AE133" s="12"/>
      <c r="AF133" s="12"/>
      <c r="AG133" s="12"/>
      <c r="AH133" s="12">
        <v>1000</v>
      </c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8">
        <f>SUM(AE133:AS133)</f>
        <v>1000</v>
      </c>
      <c r="AU133" s="131">
        <f t="shared" si="80"/>
        <v>0</v>
      </c>
      <c r="AV133" s="123"/>
      <c r="AW133" s="11">
        <f t="shared" si="81"/>
        <v>185</v>
      </c>
      <c r="AX133" s="129">
        <f t="shared" si="65"/>
        <v>185</v>
      </c>
      <c r="AY133" s="129">
        <f t="shared" si="66"/>
        <v>185</v>
      </c>
      <c r="AZ133" s="129">
        <f t="shared" si="67"/>
        <v>1185</v>
      </c>
      <c r="BA133" s="129">
        <f t="shared" si="68"/>
        <v>1185</v>
      </c>
      <c r="BB133" s="129">
        <f t="shared" si="69"/>
        <v>1185</v>
      </c>
      <c r="BC133" s="129">
        <f t="shared" si="70"/>
        <v>912</v>
      </c>
      <c r="BD133" s="129">
        <f t="shared" si="71"/>
        <v>659</v>
      </c>
      <c r="BE133" s="129">
        <f t="shared" si="72"/>
        <v>659</v>
      </c>
      <c r="BF133" s="129">
        <f t="shared" ref="BF133:BK133" si="116">BE133+AN133-R133</f>
        <v>659</v>
      </c>
      <c r="BG133" s="129">
        <f t="shared" si="116"/>
        <v>659</v>
      </c>
      <c r="BH133" s="129">
        <f t="shared" si="116"/>
        <v>659</v>
      </c>
      <c r="BI133" s="129">
        <f t="shared" si="116"/>
        <v>659</v>
      </c>
      <c r="BJ133" s="129">
        <f t="shared" si="116"/>
        <v>659</v>
      </c>
      <c r="BK133" s="129">
        <f t="shared" si="116"/>
        <v>659</v>
      </c>
    </row>
    <row r="134" spans="1:63" s="100" customFormat="1" ht="16" hidden="1" customHeight="1">
      <c r="A134" s="13" t="s">
        <v>29</v>
      </c>
      <c r="B134" s="13" t="s">
        <v>382</v>
      </c>
      <c r="C134" s="13" t="s">
        <v>383</v>
      </c>
      <c r="D134" s="13" t="s">
        <v>384</v>
      </c>
      <c r="E134" s="13" t="s">
        <v>385</v>
      </c>
      <c r="F134" s="13" t="s">
        <v>266</v>
      </c>
      <c r="G134" s="13" t="s">
        <v>58</v>
      </c>
      <c r="H134" s="13" t="s">
        <v>38</v>
      </c>
      <c r="I134" s="7"/>
      <c r="J134" s="7"/>
      <c r="K134" s="7">
        <v>0</v>
      </c>
      <c r="L134" s="7">
        <v>0</v>
      </c>
      <c r="M134" s="7">
        <v>0</v>
      </c>
      <c r="N134" s="7">
        <v>50</v>
      </c>
      <c r="O134" s="7">
        <v>0</v>
      </c>
      <c r="P134" s="7">
        <v>0</v>
      </c>
      <c r="Q134" s="7"/>
      <c r="R134" s="7"/>
      <c r="S134" s="7"/>
      <c r="T134" s="7"/>
      <c r="U134" s="7"/>
      <c r="V134" s="7"/>
      <c r="W134" s="7"/>
      <c r="X134" s="12">
        <v>243</v>
      </c>
      <c r="Y134" s="12">
        <v>50</v>
      </c>
      <c r="Z134" s="12">
        <f t="shared" si="77"/>
        <v>193</v>
      </c>
      <c r="AA134" s="12"/>
      <c r="AB134" s="12">
        <v>50</v>
      </c>
      <c r="AC134" s="12">
        <v>0</v>
      </c>
      <c r="AD134" s="130">
        <f t="shared" si="78"/>
        <v>0</v>
      </c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8">
        <f>SUM(AE134:AS134)</f>
        <v>0</v>
      </c>
      <c r="AU134" s="131">
        <f t="shared" si="80"/>
        <v>0</v>
      </c>
      <c r="AV134" s="123"/>
      <c r="AW134" s="11">
        <f t="shared" si="81"/>
        <v>50</v>
      </c>
      <c r="AX134" s="129">
        <f t="shared" ref="AX134:BE134" si="117">AW134+AF134-J134</f>
        <v>50</v>
      </c>
      <c r="AY134" s="129">
        <f t="shared" si="117"/>
        <v>50</v>
      </c>
      <c r="AZ134" s="129">
        <f t="shared" si="117"/>
        <v>50</v>
      </c>
      <c r="BA134" s="129">
        <f t="shared" si="117"/>
        <v>50</v>
      </c>
      <c r="BB134" s="129">
        <f t="shared" si="117"/>
        <v>0</v>
      </c>
      <c r="BC134" s="129">
        <f t="shared" si="117"/>
        <v>0</v>
      </c>
      <c r="BD134" s="129">
        <f t="shared" si="117"/>
        <v>0</v>
      </c>
      <c r="BE134" s="129">
        <f t="shared" si="117"/>
        <v>0</v>
      </c>
      <c r="BF134" s="129">
        <f t="shared" ref="BF134:BK134" si="118">BE134+AN134-R134</f>
        <v>0</v>
      </c>
      <c r="BG134" s="129">
        <f t="shared" si="118"/>
        <v>0</v>
      </c>
      <c r="BH134" s="129">
        <f t="shared" si="118"/>
        <v>0</v>
      </c>
      <c r="BI134" s="129">
        <f t="shared" si="118"/>
        <v>0</v>
      </c>
      <c r="BJ134" s="129">
        <f t="shared" si="118"/>
        <v>0</v>
      </c>
      <c r="BK134" s="129">
        <f t="shared" si="118"/>
        <v>0</v>
      </c>
    </row>
    <row r="135" spans="1:63" s="100" customFormat="1" ht="16" hidden="1" customHeight="1">
      <c r="A135" s="13" t="s">
        <v>29</v>
      </c>
      <c r="B135" s="13" t="s">
        <v>386</v>
      </c>
      <c r="C135" s="13" t="s">
        <v>387</v>
      </c>
      <c r="D135" s="13" t="s">
        <v>384</v>
      </c>
      <c r="E135" s="13" t="s">
        <v>388</v>
      </c>
      <c r="F135" s="13" t="s">
        <v>266</v>
      </c>
      <c r="G135" s="13" t="s">
        <v>37</v>
      </c>
      <c r="H135" s="13" t="s">
        <v>38</v>
      </c>
      <c r="I135" s="7"/>
      <c r="J135" s="7"/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/>
      <c r="R135" s="7"/>
      <c r="S135" s="7"/>
      <c r="T135" s="7"/>
      <c r="U135" s="7"/>
      <c r="V135" s="7"/>
      <c r="W135" s="7"/>
      <c r="X135" s="12">
        <v>0</v>
      </c>
      <c r="Y135" s="12">
        <v>0</v>
      </c>
      <c r="Z135" s="12">
        <f t="shared" si="77"/>
        <v>0</v>
      </c>
      <c r="AA135" s="12"/>
      <c r="AB135" s="12">
        <v>0</v>
      </c>
      <c r="AC135" s="12">
        <v>0</v>
      </c>
      <c r="AD135" s="130">
        <f t="shared" si="78"/>
        <v>0</v>
      </c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8">
        <f>SUM(AE135:AR135)</f>
        <v>0</v>
      </c>
      <c r="AU135" s="131">
        <f t="shared" si="80"/>
        <v>0</v>
      </c>
      <c r="AV135" s="123"/>
      <c r="AW135" s="11">
        <f t="shared" si="81"/>
        <v>0</v>
      </c>
      <c r="AX135" s="129">
        <f t="shared" ref="AX135:BG135" si="119">AW135+AF135-J135</f>
        <v>0</v>
      </c>
      <c r="AY135" s="129">
        <f t="shared" si="119"/>
        <v>0</v>
      </c>
      <c r="AZ135" s="129">
        <f t="shared" si="119"/>
        <v>0</v>
      </c>
      <c r="BA135" s="129">
        <f t="shared" si="119"/>
        <v>0</v>
      </c>
      <c r="BB135" s="129">
        <f t="shared" si="119"/>
        <v>0</v>
      </c>
      <c r="BC135" s="129">
        <f t="shared" si="119"/>
        <v>0</v>
      </c>
      <c r="BD135" s="129">
        <f t="shared" si="119"/>
        <v>0</v>
      </c>
      <c r="BE135" s="129">
        <f t="shared" si="119"/>
        <v>0</v>
      </c>
      <c r="BF135" s="129">
        <f t="shared" si="119"/>
        <v>0</v>
      </c>
      <c r="BG135" s="129">
        <f t="shared" si="119"/>
        <v>0</v>
      </c>
      <c r="BH135" s="129">
        <f>AP135+AJ135-T135</f>
        <v>0</v>
      </c>
      <c r="BI135" s="129">
        <f>AQ135+AK135-U135</f>
        <v>0</v>
      </c>
      <c r="BJ135" s="129">
        <f>AR135+AL135-V135</f>
        <v>0</v>
      </c>
      <c r="BK135" s="129">
        <f>AS135+AM135-W135</f>
        <v>0</v>
      </c>
    </row>
    <row r="136" spans="1:63" s="100" customFormat="1" ht="16" hidden="1" customHeight="1">
      <c r="A136" s="13" t="s">
        <v>29</v>
      </c>
      <c r="B136" s="13" t="s">
        <v>389</v>
      </c>
      <c r="C136" s="13" t="s">
        <v>390</v>
      </c>
      <c r="D136" s="13" t="s">
        <v>384</v>
      </c>
      <c r="E136" s="13" t="s">
        <v>385</v>
      </c>
      <c r="F136" s="13" t="s">
        <v>266</v>
      </c>
      <c r="G136" s="13" t="s">
        <v>58</v>
      </c>
      <c r="H136" s="13" t="s">
        <v>38</v>
      </c>
      <c r="I136" s="7"/>
      <c r="J136" s="7"/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2</v>
      </c>
      <c r="Q136" s="7"/>
      <c r="R136" s="7"/>
      <c r="S136" s="7"/>
      <c r="T136" s="7"/>
      <c r="U136" s="7"/>
      <c r="V136" s="7"/>
      <c r="W136" s="7"/>
      <c r="X136" s="12">
        <v>271</v>
      </c>
      <c r="Y136" s="12">
        <v>2</v>
      </c>
      <c r="Z136" s="12">
        <f t="shared" si="77"/>
        <v>269</v>
      </c>
      <c r="AA136" s="12"/>
      <c r="AB136" s="12">
        <v>2</v>
      </c>
      <c r="AC136" s="12">
        <v>0</v>
      </c>
      <c r="AD136" s="130">
        <f t="shared" si="78"/>
        <v>0</v>
      </c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8">
        <f t="shared" ref="AT136:AT149" si="120">SUM(AE136:AS136)</f>
        <v>0</v>
      </c>
      <c r="AU136" s="131">
        <f t="shared" si="80"/>
        <v>0</v>
      </c>
      <c r="AV136" s="123"/>
      <c r="AW136" s="11">
        <f t="shared" si="81"/>
        <v>2</v>
      </c>
      <c r="AX136" s="129">
        <f t="shared" ref="AX136:BE136" si="121">AW136+AF136-J136</f>
        <v>2</v>
      </c>
      <c r="AY136" s="129">
        <f t="shared" si="121"/>
        <v>2</v>
      </c>
      <c r="AZ136" s="129">
        <f t="shared" si="121"/>
        <v>2</v>
      </c>
      <c r="BA136" s="129">
        <f t="shared" si="121"/>
        <v>2</v>
      </c>
      <c r="BB136" s="129">
        <f t="shared" si="121"/>
        <v>2</v>
      </c>
      <c r="BC136" s="129">
        <f t="shared" si="121"/>
        <v>2</v>
      </c>
      <c r="BD136" s="129">
        <f t="shared" si="121"/>
        <v>0</v>
      </c>
      <c r="BE136" s="129">
        <f t="shared" si="121"/>
        <v>0</v>
      </c>
      <c r="BF136" s="129">
        <f t="shared" ref="BF136:BK136" si="122">BE136+AN136-R136</f>
        <v>0</v>
      </c>
      <c r="BG136" s="129">
        <f t="shared" si="122"/>
        <v>0</v>
      </c>
      <c r="BH136" s="129">
        <f t="shared" si="122"/>
        <v>0</v>
      </c>
      <c r="BI136" s="129">
        <f t="shared" si="122"/>
        <v>0</v>
      </c>
      <c r="BJ136" s="129">
        <f t="shared" si="122"/>
        <v>0</v>
      </c>
      <c r="BK136" s="129">
        <f t="shared" si="122"/>
        <v>0</v>
      </c>
    </row>
    <row r="137" spans="1:63" s="100" customFormat="1" ht="16" hidden="1" customHeight="1">
      <c r="A137" s="13" t="s">
        <v>29</v>
      </c>
      <c r="B137" s="13" t="s">
        <v>391</v>
      </c>
      <c r="C137" s="13" t="s">
        <v>392</v>
      </c>
      <c r="D137" s="13" t="s">
        <v>393</v>
      </c>
      <c r="E137" s="13" t="s">
        <v>394</v>
      </c>
      <c r="F137" s="13" t="s">
        <v>207</v>
      </c>
      <c r="G137" s="13" t="s">
        <v>37</v>
      </c>
      <c r="H137" s="13" t="s">
        <v>38</v>
      </c>
      <c r="I137" s="7"/>
      <c r="J137" s="7"/>
      <c r="K137" s="7">
        <v>0</v>
      </c>
      <c r="L137" s="7">
        <v>0</v>
      </c>
      <c r="M137" s="7">
        <v>0</v>
      </c>
      <c r="N137" s="7">
        <v>0</v>
      </c>
      <c r="O137" s="7">
        <v>20</v>
      </c>
      <c r="P137" s="7">
        <v>0</v>
      </c>
      <c r="Q137" s="7"/>
      <c r="R137" s="7"/>
      <c r="S137" s="7"/>
      <c r="T137" s="7"/>
      <c r="U137" s="7"/>
      <c r="V137" s="7"/>
      <c r="W137" s="7"/>
      <c r="X137" s="12">
        <v>270</v>
      </c>
      <c r="Y137" s="12">
        <v>20</v>
      </c>
      <c r="Z137" s="12">
        <f t="shared" si="77"/>
        <v>250</v>
      </c>
      <c r="AA137" s="12"/>
      <c r="AB137" s="12">
        <v>20</v>
      </c>
      <c r="AC137" s="12">
        <v>0</v>
      </c>
      <c r="AD137" s="130">
        <f t="shared" si="78"/>
        <v>0</v>
      </c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8">
        <f t="shared" si="120"/>
        <v>0</v>
      </c>
      <c r="AU137" s="131">
        <f t="shared" si="80"/>
        <v>0</v>
      </c>
      <c r="AV137" s="123"/>
      <c r="AW137" s="11">
        <f t="shared" si="81"/>
        <v>20</v>
      </c>
      <c r="AX137" s="129">
        <f t="shared" ref="AX137:BE137" si="123">AW137+AF137-J137</f>
        <v>20</v>
      </c>
      <c r="AY137" s="129">
        <f t="shared" si="123"/>
        <v>20</v>
      </c>
      <c r="AZ137" s="129">
        <f t="shared" si="123"/>
        <v>20</v>
      </c>
      <c r="BA137" s="129">
        <f t="shared" si="123"/>
        <v>20</v>
      </c>
      <c r="BB137" s="129">
        <f t="shared" si="123"/>
        <v>20</v>
      </c>
      <c r="BC137" s="129">
        <f t="shared" si="123"/>
        <v>0</v>
      </c>
      <c r="BD137" s="129">
        <f t="shared" si="123"/>
        <v>0</v>
      </c>
      <c r="BE137" s="129">
        <f t="shared" si="123"/>
        <v>0</v>
      </c>
      <c r="BF137" s="129">
        <f t="shared" ref="BF137:BK137" si="124">BE137+AN137-R137</f>
        <v>0</v>
      </c>
      <c r="BG137" s="129">
        <f t="shared" si="124"/>
        <v>0</v>
      </c>
      <c r="BH137" s="129">
        <f t="shared" si="124"/>
        <v>0</v>
      </c>
      <c r="BI137" s="129">
        <f t="shared" si="124"/>
        <v>0</v>
      </c>
      <c r="BJ137" s="129">
        <f t="shared" si="124"/>
        <v>0</v>
      </c>
      <c r="BK137" s="129">
        <f t="shared" si="124"/>
        <v>0</v>
      </c>
    </row>
    <row r="138" spans="1:63" s="100" customFormat="1" ht="16" customHeight="1">
      <c r="A138" s="13" t="s">
        <v>29</v>
      </c>
      <c r="B138" s="13" t="s">
        <v>395</v>
      </c>
      <c r="C138" s="13" t="s">
        <v>396</v>
      </c>
      <c r="D138" s="13" t="s">
        <v>393</v>
      </c>
      <c r="E138" s="13" t="s">
        <v>397</v>
      </c>
      <c r="F138" s="13" t="s">
        <v>273</v>
      </c>
      <c r="G138" s="13" t="s">
        <v>58</v>
      </c>
      <c r="H138" s="13" t="s">
        <v>38</v>
      </c>
      <c r="I138" s="7"/>
      <c r="J138" s="7"/>
      <c r="K138" s="7">
        <v>0</v>
      </c>
      <c r="L138" s="7">
        <v>50</v>
      </c>
      <c r="M138" s="7">
        <v>0</v>
      </c>
      <c r="N138" s="7">
        <v>220</v>
      </c>
      <c r="O138" s="7">
        <v>700</v>
      </c>
      <c r="P138" s="7">
        <v>520</v>
      </c>
      <c r="Q138" s="7"/>
      <c r="R138" s="7"/>
      <c r="S138" s="7"/>
      <c r="T138" s="7"/>
      <c r="U138" s="7"/>
      <c r="V138" s="7"/>
      <c r="W138" s="7"/>
      <c r="X138" s="12">
        <v>829</v>
      </c>
      <c r="Y138" s="12">
        <v>829</v>
      </c>
      <c r="Z138" s="12">
        <f t="shared" ref="Z138:Z146" si="125">X138-Y138+AC138</f>
        <v>3355</v>
      </c>
      <c r="AA138" s="12"/>
      <c r="AB138" s="12">
        <v>2250</v>
      </c>
      <c r="AC138" s="12">
        <v>3355</v>
      </c>
      <c r="AD138" s="130">
        <f t="shared" ref="AD138:AD146" si="126">AB138-Y138+AA138+AC138</f>
        <v>4776</v>
      </c>
      <c r="AE138" s="12"/>
      <c r="AF138" s="12"/>
      <c r="AG138" s="12"/>
      <c r="AH138" s="12"/>
      <c r="AI138" s="10">
        <v>600</v>
      </c>
      <c r="AJ138" s="10">
        <v>1800</v>
      </c>
      <c r="AK138" s="12"/>
      <c r="AL138" s="10">
        <v>2376</v>
      </c>
      <c r="AM138" s="12"/>
      <c r="AN138" s="12"/>
      <c r="AO138" s="12"/>
      <c r="AP138" s="12"/>
      <c r="AQ138" s="12"/>
      <c r="AR138" s="12"/>
      <c r="AS138" s="12"/>
      <c r="AT138" s="18">
        <f t="shared" si="120"/>
        <v>4776</v>
      </c>
      <c r="AU138" s="131">
        <f t="shared" ref="AU138:AU146" si="127">AD138-AT138</f>
        <v>0</v>
      </c>
      <c r="AV138" s="123"/>
      <c r="AW138" s="11">
        <f t="shared" ref="AW138:AW146" si="128">AE138+Y138-I138</f>
        <v>829</v>
      </c>
      <c r="AX138" s="129">
        <f t="shared" ref="AX138:BE138" si="129">AW138+AF138-J138</f>
        <v>829</v>
      </c>
      <c r="AY138" s="129">
        <f t="shared" si="129"/>
        <v>829</v>
      </c>
      <c r="AZ138" s="129">
        <f t="shared" si="129"/>
        <v>779</v>
      </c>
      <c r="BA138" s="129">
        <f t="shared" si="129"/>
        <v>1379</v>
      </c>
      <c r="BB138" s="129">
        <f t="shared" si="129"/>
        <v>2959</v>
      </c>
      <c r="BC138" s="129">
        <f t="shared" si="129"/>
        <v>2259</v>
      </c>
      <c r="BD138" s="129">
        <f t="shared" si="129"/>
        <v>4115</v>
      </c>
      <c r="BE138" s="129">
        <f t="shared" si="129"/>
        <v>4115</v>
      </c>
      <c r="BF138" s="129">
        <f t="shared" ref="BF138:BK138" si="130">BE138+AN138-R138</f>
        <v>4115</v>
      </c>
      <c r="BG138" s="129">
        <f t="shared" si="130"/>
        <v>4115</v>
      </c>
      <c r="BH138" s="129">
        <f t="shared" si="130"/>
        <v>4115</v>
      </c>
      <c r="BI138" s="129">
        <f t="shared" si="130"/>
        <v>4115</v>
      </c>
      <c r="BJ138" s="129">
        <f t="shared" si="130"/>
        <v>4115</v>
      </c>
      <c r="BK138" s="129">
        <f t="shared" si="130"/>
        <v>4115</v>
      </c>
    </row>
    <row r="139" spans="1:63" s="100" customFormat="1" ht="16" hidden="1" customHeight="1">
      <c r="A139" s="13" t="s">
        <v>29</v>
      </c>
      <c r="B139" s="13" t="s">
        <v>398</v>
      </c>
      <c r="C139" s="13" t="s">
        <v>399</v>
      </c>
      <c r="D139" s="13" t="s">
        <v>393</v>
      </c>
      <c r="E139" s="13" t="s">
        <v>397</v>
      </c>
      <c r="F139" s="13" t="s">
        <v>273</v>
      </c>
      <c r="G139" s="13" t="s">
        <v>58</v>
      </c>
      <c r="H139" s="13" t="s">
        <v>38</v>
      </c>
      <c r="I139" s="7"/>
      <c r="J139" s="7"/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/>
      <c r="R139" s="7"/>
      <c r="S139" s="7"/>
      <c r="T139" s="7"/>
      <c r="U139" s="7"/>
      <c r="V139" s="7"/>
      <c r="W139" s="7"/>
      <c r="X139" s="12">
        <v>645</v>
      </c>
      <c r="Y139" s="12">
        <v>0</v>
      </c>
      <c r="Z139" s="12">
        <f t="shared" si="125"/>
        <v>645</v>
      </c>
      <c r="AA139" s="12"/>
      <c r="AB139" s="12">
        <v>0</v>
      </c>
      <c r="AC139" s="12">
        <v>0</v>
      </c>
      <c r="AD139" s="130">
        <f t="shared" si="126"/>
        <v>0</v>
      </c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8">
        <f t="shared" si="120"/>
        <v>0</v>
      </c>
      <c r="AU139" s="131">
        <f t="shared" si="127"/>
        <v>0</v>
      </c>
      <c r="AV139" s="123"/>
      <c r="AW139" s="11">
        <f t="shared" si="128"/>
        <v>0</v>
      </c>
      <c r="AX139" s="129">
        <f t="shared" ref="AX139:BE139" si="131">AW139+AF139-J139</f>
        <v>0</v>
      </c>
      <c r="AY139" s="129">
        <f t="shared" si="131"/>
        <v>0</v>
      </c>
      <c r="AZ139" s="129">
        <f t="shared" si="131"/>
        <v>0</v>
      </c>
      <c r="BA139" s="129">
        <f t="shared" si="131"/>
        <v>0</v>
      </c>
      <c r="BB139" s="129">
        <f t="shared" si="131"/>
        <v>0</v>
      </c>
      <c r="BC139" s="129">
        <f t="shared" si="131"/>
        <v>0</v>
      </c>
      <c r="BD139" s="129">
        <f t="shared" si="131"/>
        <v>0</v>
      </c>
      <c r="BE139" s="129">
        <f t="shared" si="131"/>
        <v>0</v>
      </c>
      <c r="BF139" s="129">
        <f t="shared" ref="BF139:BK139" si="132">BE139+AN139-R139</f>
        <v>0</v>
      </c>
      <c r="BG139" s="129">
        <f t="shared" si="132"/>
        <v>0</v>
      </c>
      <c r="BH139" s="129">
        <f t="shared" si="132"/>
        <v>0</v>
      </c>
      <c r="BI139" s="129">
        <f t="shared" si="132"/>
        <v>0</v>
      </c>
      <c r="BJ139" s="129">
        <f t="shared" si="132"/>
        <v>0</v>
      </c>
      <c r="BK139" s="129">
        <f t="shared" si="132"/>
        <v>0</v>
      </c>
    </row>
    <row r="140" spans="1:63" s="100" customFormat="1" ht="16" hidden="1" customHeight="1">
      <c r="A140" s="13" t="s">
        <v>29</v>
      </c>
      <c r="B140" s="13" t="s">
        <v>400</v>
      </c>
      <c r="C140" s="13" t="s">
        <v>401</v>
      </c>
      <c r="D140" s="13" t="s">
        <v>393</v>
      </c>
      <c r="E140" s="13" t="s">
        <v>402</v>
      </c>
      <c r="F140" s="13" t="s">
        <v>207</v>
      </c>
      <c r="G140" s="13"/>
      <c r="H140" s="13"/>
      <c r="I140" s="7"/>
      <c r="J140" s="7"/>
      <c r="K140" s="7">
        <v>0</v>
      </c>
      <c r="L140" s="7">
        <v>0</v>
      </c>
      <c r="M140" s="7">
        <v>0</v>
      </c>
      <c r="N140" s="7">
        <v>0</v>
      </c>
      <c r="O140" s="7">
        <v>45</v>
      </c>
      <c r="P140" s="7">
        <v>55</v>
      </c>
      <c r="Q140" s="7"/>
      <c r="R140" s="7"/>
      <c r="S140" s="7"/>
      <c r="T140" s="7"/>
      <c r="U140" s="7"/>
      <c r="V140" s="7"/>
      <c r="W140" s="7"/>
      <c r="X140" s="12">
        <v>222</v>
      </c>
      <c r="Y140" s="12">
        <v>130</v>
      </c>
      <c r="Z140" s="12">
        <f t="shared" si="125"/>
        <v>92</v>
      </c>
      <c r="AA140" s="12"/>
      <c r="AB140" s="12">
        <v>130</v>
      </c>
      <c r="AC140" s="12">
        <v>0</v>
      </c>
      <c r="AD140" s="130">
        <f t="shared" si="126"/>
        <v>0</v>
      </c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8">
        <f t="shared" si="120"/>
        <v>0</v>
      </c>
      <c r="AU140" s="131">
        <f t="shared" si="127"/>
        <v>0</v>
      </c>
      <c r="AV140" s="123"/>
      <c r="AW140" s="11">
        <f t="shared" si="128"/>
        <v>130</v>
      </c>
      <c r="AX140" s="129">
        <f t="shared" ref="AX140:BE140" si="133">AW140+AF140-J140</f>
        <v>130</v>
      </c>
      <c r="AY140" s="129">
        <f t="shared" si="133"/>
        <v>130</v>
      </c>
      <c r="AZ140" s="129">
        <f t="shared" si="133"/>
        <v>130</v>
      </c>
      <c r="BA140" s="129">
        <f t="shared" si="133"/>
        <v>130</v>
      </c>
      <c r="BB140" s="129">
        <f t="shared" si="133"/>
        <v>130</v>
      </c>
      <c r="BC140" s="129">
        <f t="shared" si="133"/>
        <v>85</v>
      </c>
      <c r="BD140" s="129">
        <f t="shared" si="133"/>
        <v>30</v>
      </c>
      <c r="BE140" s="129">
        <f t="shared" si="133"/>
        <v>30</v>
      </c>
      <c r="BF140" s="129">
        <f t="shared" ref="BF140:BK140" si="134">BE140+AN140-R140</f>
        <v>30</v>
      </c>
      <c r="BG140" s="129">
        <f t="shared" si="134"/>
        <v>30</v>
      </c>
      <c r="BH140" s="129">
        <f t="shared" si="134"/>
        <v>30</v>
      </c>
      <c r="BI140" s="129">
        <f t="shared" si="134"/>
        <v>30</v>
      </c>
      <c r="BJ140" s="129">
        <f t="shared" si="134"/>
        <v>30</v>
      </c>
      <c r="BK140" s="129">
        <f t="shared" si="134"/>
        <v>30</v>
      </c>
    </row>
    <row r="141" spans="1:63" s="100" customFormat="1" ht="16" hidden="1" customHeight="1">
      <c r="A141" s="13" t="s">
        <v>29</v>
      </c>
      <c r="B141" s="13" t="s">
        <v>403</v>
      </c>
      <c r="C141" s="13" t="s">
        <v>404</v>
      </c>
      <c r="D141" s="13" t="s">
        <v>393</v>
      </c>
      <c r="E141" s="13" t="s">
        <v>405</v>
      </c>
      <c r="F141" s="13" t="s">
        <v>266</v>
      </c>
      <c r="G141" s="13" t="s">
        <v>58</v>
      </c>
      <c r="H141" s="13" t="s">
        <v>38</v>
      </c>
      <c r="I141" s="7"/>
      <c r="J141" s="7"/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/>
      <c r="R141" s="7"/>
      <c r="S141" s="7"/>
      <c r="T141" s="7"/>
      <c r="U141" s="7"/>
      <c r="V141" s="7"/>
      <c r="W141" s="7"/>
      <c r="X141" s="12">
        <v>740</v>
      </c>
      <c r="Y141" s="12">
        <v>10</v>
      </c>
      <c r="Z141" s="12">
        <f t="shared" si="125"/>
        <v>730</v>
      </c>
      <c r="AA141" s="12"/>
      <c r="AB141" s="12">
        <v>10</v>
      </c>
      <c r="AC141" s="12">
        <v>0</v>
      </c>
      <c r="AD141" s="130">
        <f t="shared" si="126"/>
        <v>0</v>
      </c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8">
        <f t="shared" si="120"/>
        <v>0</v>
      </c>
      <c r="AU141" s="131">
        <f t="shared" si="127"/>
        <v>0</v>
      </c>
      <c r="AV141" s="123"/>
      <c r="AW141" s="11">
        <f t="shared" si="128"/>
        <v>10</v>
      </c>
      <c r="AX141" s="129">
        <f t="shared" ref="AX141:BE141" si="135">AW141+AF141-J141</f>
        <v>10</v>
      </c>
      <c r="AY141" s="129">
        <f t="shared" si="135"/>
        <v>10</v>
      </c>
      <c r="AZ141" s="129">
        <f t="shared" si="135"/>
        <v>10</v>
      </c>
      <c r="BA141" s="129">
        <f t="shared" si="135"/>
        <v>10</v>
      </c>
      <c r="BB141" s="129">
        <f t="shared" si="135"/>
        <v>10</v>
      </c>
      <c r="BC141" s="129">
        <f t="shared" si="135"/>
        <v>10</v>
      </c>
      <c r="BD141" s="129">
        <f t="shared" si="135"/>
        <v>10</v>
      </c>
      <c r="BE141" s="129">
        <f t="shared" si="135"/>
        <v>10</v>
      </c>
      <c r="BF141" s="129">
        <f t="shared" ref="BF141:BK141" si="136">BE141+AN141-R141</f>
        <v>10</v>
      </c>
      <c r="BG141" s="129">
        <f t="shared" si="136"/>
        <v>10</v>
      </c>
      <c r="BH141" s="129">
        <f t="shared" si="136"/>
        <v>10</v>
      </c>
      <c r="BI141" s="129">
        <f t="shared" si="136"/>
        <v>10</v>
      </c>
      <c r="BJ141" s="129">
        <f t="shared" si="136"/>
        <v>10</v>
      </c>
      <c r="BK141" s="129">
        <f t="shared" si="136"/>
        <v>10</v>
      </c>
    </row>
    <row r="142" spans="1:63" s="100" customFormat="1" ht="16" customHeight="1">
      <c r="A142" s="13" t="s">
        <v>29</v>
      </c>
      <c r="B142" s="13" t="s">
        <v>406</v>
      </c>
      <c r="C142" s="13" t="s">
        <v>407</v>
      </c>
      <c r="D142" s="13" t="s">
        <v>408</v>
      </c>
      <c r="E142" s="13" t="s">
        <v>409</v>
      </c>
      <c r="F142" s="13" t="s">
        <v>273</v>
      </c>
      <c r="G142" s="13" t="s">
        <v>58</v>
      </c>
      <c r="H142" s="13" t="s">
        <v>38</v>
      </c>
      <c r="I142" s="7"/>
      <c r="J142" s="7"/>
      <c r="K142" s="7">
        <v>0</v>
      </c>
      <c r="L142" s="7">
        <v>323</v>
      </c>
      <c r="M142" s="7">
        <v>429</v>
      </c>
      <c r="N142" s="7">
        <v>297</v>
      </c>
      <c r="O142" s="7">
        <v>661</v>
      </c>
      <c r="P142" s="7">
        <v>1154</v>
      </c>
      <c r="Q142" s="7"/>
      <c r="R142" s="7"/>
      <c r="S142" s="7"/>
      <c r="T142" s="7"/>
      <c r="U142" s="7"/>
      <c r="V142" s="7"/>
      <c r="W142" s="7"/>
      <c r="X142" s="12">
        <v>754</v>
      </c>
      <c r="Y142" s="12">
        <v>754</v>
      </c>
      <c r="Z142" s="12">
        <f t="shared" si="125"/>
        <v>2500</v>
      </c>
      <c r="AA142" s="12"/>
      <c r="AB142" s="12">
        <v>3435</v>
      </c>
      <c r="AC142" s="12">
        <v>2500</v>
      </c>
      <c r="AD142" s="130">
        <f t="shared" si="126"/>
        <v>5181</v>
      </c>
      <c r="AE142" s="12"/>
      <c r="AF142" s="12"/>
      <c r="AG142" s="10">
        <v>2000</v>
      </c>
      <c r="AH142" s="10">
        <v>2000</v>
      </c>
      <c r="AI142" s="10">
        <v>1181</v>
      </c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8">
        <f t="shared" si="120"/>
        <v>5181</v>
      </c>
      <c r="AU142" s="131">
        <f t="shared" si="127"/>
        <v>0</v>
      </c>
      <c r="AV142" s="123"/>
      <c r="AW142" s="11">
        <f t="shared" si="128"/>
        <v>754</v>
      </c>
      <c r="AX142" s="129">
        <f t="shared" ref="AX142:BE142" si="137">AW142+AF142-J142</f>
        <v>754</v>
      </c>
      <c r="AY142" s="129">
        <f t="shared" si="137"/>
        <v>2754</v>
      </c>
      <c r="AZ142" s="129">
        <f t="shared" si="137"/>
        <v>4431</v>
      </c>
      <c r="BA142" s="129">
        <f t="shared" si="137"/>
        <v>5183</v>
      </c>
      <c r="BB142" s="129">
        <f t="shared" si="137"/>
        <v>4886</v>
      </c>
      <c r="BC142" s="129">
        <f t="shared" si="137"/>
        <v>4225</v>
      </c>
      <c r="BD142" s="129">
        <f t="shared" si="137"/>
        <v>3071</v>
      </c>
      <c r="BE142" s="129">
        <f t="shared" si="137"/>
        <v>3071</v>
      </c>
      <c r="BF142" s="129">
        <f t="shared" ref="BF142:BK142" si="138">BE142+AN142-R142</f>
        <v>3071</v>
      </c>
      <c r="BG142" s="129">
        <f t="shared" si="138"/>
        <v>3071</v>
      </c>
      <c r="BH142" s="129">
        <f t="shared" si="138"/>
        <v>3071</v>
      </c>
      <c r="BI142" s="129">
        <f t="shared" si="138"/>
        <v>3071</v>
      </c>
      <c r="BJ142" s="129">
        <f t="shared" si="138"/>
        <v>3071</v>
      </c>
      <c r="BK142" s="129">
        <f t="shared" si="138"/>
        <v>3071</v>
      </c>
    </row>
    <row r="143" spans="1:63" s="100" customFormat="1" ht="16" hidden="1" customHeight="1">
      <c r="A143" s="13" t="s">
        <v>29</v>
      </c>
      <c r="B143" s="13" t="s">
        <v>410</v>
      </c>
      <c r="C143" s="13" t="s">
        <v>411</v>
      </c>
      <c r="D143" s="128" t="s">
        <v>408</v>
      </c>
      <c r="E143" s="13" t="s">
        <v>402</v>
      </c>
      <c r="F143" s="13" t="s">
        <v>207</v>
      </c>
      <c r="G143" s="13" t="s">
        <v>58</v>
      </c>
      <c r="H143" s="13" t="s">
        <v>38</v>
      </c>
      <c r="I143" s="7"/>
      <c r="J143" s="7"/>
      <c r="K143" s="7">
        <v>0</v>
      </c>
      <c r="L143" s="7">
        <v>65</v>
      </c>
      <c r="M143" s="7">
        <v>49</v>
      </c>
      <c r="N143" s="7">
        <v>5</v>
      </c>
      <c r="O143" s="7">
        <v>20</v>
      </c>
      <c r="P143" s="7">
        <v>0</v>
      </c>
      <c r="Q143" s="7"/>
      <c r="R143" s="7"/>
      <c r="S143" s="7"/>
      <c r="T143" s="7"/>
      <c r="U143" s="7"/>
      <c r="V143" s="7"/>
      <c r="W143" s="7"/>
      <c r="X143" s="12">
        <v>273</v>
      </c>
      <c r="Y143" s="12">
        <v>154</v>
      </c>
      <c r="Z143" s="12">
        <f t="shared" si="125"/>
        <v>119</v>
      </c>
      <c r="AA143" s="12"/>
      <c r="AB143" s="12">
        <v>154</v>
      </c>
      <c r="AC143" s="12">
        <v>0</v>
      </c>
      <c r="AD143" s="130">
        <f t="shared" si="126"/>
        <v>0</v>
      </c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8">
        <f t="shared" si="120"/>
        <v>0</v>
      </c>
      <c r="AU143" s="131">
        <f t="shared" si="127"/>
        <v>0</v>
      </c>
      <c r="AV143" s="123"/>
      <c r="AW143" s="11">
        <f t="shared" si="128"/>
        <v>154</v>
      </c>
      <c r="AX143" s="129">
        <f t="shared" ref="AX143:BE143" si="139">AW143+AF143-J143</f>
        <v>154</v>
      </c>
      <c r="AY143" s="129">
        <f t="shared" si="139"/>
        <v>154</v>
      </c>
      <c r="AZ143" s="129">
        <f t="shared" si="139"/>
        <v>89</v>
      </c>
      <c r="BA143" s="129">
        <f t="shared" si="139"/>
        <v>40</v>
      </c>
      <c r="BB143" s="129">
        <f t="shared" si="139"/>
        <v>35</v>
      </c>
      <c r="BC143" s="129">
        <f t="shared" si="139"/>
        <v>15</v>
      </c>
      <c r="BD143" s="129">
        <f t="shared" si="139"/>
        <v>15</v>
      </c>
      <c r="BE143" s="129">
        <f t="shared" si="139"/>
        <v>15</v>
      </c>
      <c r="BF143" s="129">
        <f t="shared" ref="BF143:BK143" si="140">BE143+AN143-R143</f>
        <v>15</v>
      </c>
      <c r="BG143" s="129">
        <f t="shared" si="140"/>
        <v>15</v>
      </c>
      <c r="BH143" s="129">
        <f t="shared" si="140"/>
        <v>15</v>
      </c>
      <c r="BI143" s="129">
        <f t="shared" si="140"/>
        <v>15</v>
      </c>
      <c r="BJ143" s="129">
        <f t="shared" si="140"/>
        <v>15</v>
      </c>
      <c r="BK143" s="129">
        <f t="shared" si="140"/>
        <v>15</v>
      </c>
    </row>
    <row r="144" spans="1:63" s="100" customFormat="1" ht="16" hidden="1" customHeight="1">
      <c r="A144" s="13" t="s">
        <v>29</v>
      </c>
      <c r="B144" s="13" t="s">
        <v>412</v>
      </c>
      <c r="C144" s="13" t="s">
        <v>413</v>
      </c>
      <c r="D144" s="13" t="s">
        <v>414</v>
      </c>
      <c r="E144" s="13" t="s">
        <v>415</v>
      </c>
      <c r="F144" s="13" t="s">
        <v>273</v>
      </c>
      <c r="G144" s="13" t="s">
        <v>58</v>
      </c>
      <c r="H144" s="13" t="s">
        <v>38</v>
      </c>
      <c r="I144" s="7"/>
      <c r="J144" s="7"/>
      <c r="K144" s="7">
        <v>0</v>
      </c>
      <c r="L144" s="7">
        <v>0</v>
      </c>
      <c r="M144" s="7">
        <v>110</v>
      </c>
      <c r="N144" s="7">
        <v>7</v>
      </c>
      <c r="O144" s="7">
        <v>101</v>
      </c>
      <c r="P144" s="7">
        <v>0</v>
      </c>
      <c r="Q144" s="7"/>
      <c r="R144" s="7"/>
      <c r="S144" s="7"/>
      <c r="T144" s="7"/>
      <c r="U144" s="7"/>
      <c r="V144" s="7"/>
      <c r="W144" s="7"/>
      <c r="X144" s="12">
        <v>300</v>
      </c>
      <c r="Y144" s="12">
        <v>218</v>
      </c>
      <c r="Z144" s="12">
        <f t="shared" si="125"/>
        <v>82</v>
      </c>
      <c r="AA144" s="12"/>
      <c r="AB144" s="12">
        <v>218</v>
      </c>
      <c r="AC144" s="12">
        <v>0</v>
      </c>
      <c r="AD144" s="130">
        <f t="shared" si="126"/>
        <v>0</v>
      </c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8">
        <f t="shared" si="120"/>
        <v>0</v>
      </c>
      <c r="AU144" s="131">
        <f t="shared" si="127"/>
        <v>0</v>
      </c>
      <c r="AV144" s="123"/>
      <c r="AW144" s="11">
        <f t="shared" si="128"/>
        <v>218</v>
      </c>
      <c r="AX144" s="129">
        <f t="shared" ref="AX144:BE144" si="141">AW144+AF144-J144</f>
        <v>218</v>
      </c>
      <c r="AY144" s="129">
        <f t="shared" si="141"/>
        <v>218</v>
      </c>
      <c r="AZ144" s="129">
        <f t="shared" si="141"/>
        <v>218</v>
      </c>
      <c r="BA144" s="129">
        <f t="shared" si="141"/>
        <v>108</v>
      </c>
      <c r="BB144" s="129">
        <f t="shared" si="141"/>
        <v>101</v>
      </c>
      <c r="BC144" s="129">
        <f t="shared" si="141"/>
        <v>0</v>
      </c>
      <c r="BD144" s="129">
        <f t="shared" si="141"/>
        <v>0</v>
      </c>
      <c r="BE144" s="129">
        <f t="shared" si="141"/>
        <v>0</v>
      </c>
      <c r="BF144" s="129">
        <f t="shared" ref="BF144:BK144" si="142">BE144+AN144-R144</f>
        <v>0</v>
      </c>
      <c r="BG144" s="129">
        <f t="shared" si="142"/>
        <v>0</v>
      </c>
      <c r="BH144" s="129">
        <f t="shared" si="142"/>
        <v>0</v>
      </c>
      <c r="BI144" s="129">
        <f t="shared" si="142"/>
        <v>0</v>
      </c>
      <c r="BJ144" s="129">
        <f t="shared" si="142"/>
        <v>0</v>
      </c>
      <c r="BK144" s="129">
        <f t="shared" si="142"/>
        <v>0</v>
      </c>
    </row>
    <row r="145" spans="1:63" s="100" customFormat="1" ht="16" customHeight="1">
      <c r="A145" s="13" t="s">
        <v>29</v>
      </c>
      <c r="B145" s="13" t="s">
        <v>416</v>
      </c>
      <c r="C145" s="13" t="s">
        <v>417</v>
      </c>
      <c r="D145" s="13" t="s">
        <v>418</v>
      </c>
      <c r="E145" s="13" t="s">
        <v>415</v>
      </c>
      <c r="F145" s="13" t="s">
        <v>273</v>
      </c>
      <c r="G145" s="13"/>
      <c r="H145" s="13"/>
      <c r="I145" s="7"/>
      <c r="J145" s="7"/>
      <c r="K145" s="7">
        <v>0</v>
      </c>
      <c r="L145" s="7">
        <v>30</v>
      </c>
      <c r="M145" s="7">
        <v>55</v>
      </c>
      <c r="N145" s="7">
        <v>18</v>
      </c>
      <c r="O145" s="7">
        <v>171</v>
      </c>
      <c r="P145" s="7">
        <v>250</v>
      </c>
      <c r="Q145" s="7"/>
      <c r="R145" s="7"/>
      <c r="S145" s="7"/>
      <c r="T145" s="7"/>
      <c r="U145" s="7"/>
      <c r="V145" s="7"/>
      <c r="W145" s="7"/>
      <c r="X145" s="12">
        <v>91</v>
      </c>
      <c r="Y145" s="12">
        <v>91</v>
      </c>
      <c r="Z145" s="12">
        <f t="shared" si="125"/>
        <v>967</v>
      </c>
      <c r="AA145" s="12"/>
      <c r="AB145" s="12">
        <v>824</v>
      </c>
      <c r="AC145" s="12">
        <v>967</v>
      </c>
      <c r="AD145" s="130">
        <f t="shared" si="126"/>
        <v>1700</v>
      </c>
      <c r="AE145" s="12"/>
      <c r="AF145" s="12"/>
      <c r="AG145" s="12"/>
      <c r="AH145" s="12"/>
      <c r="AI145" s="12">
        <v>1000</v>
      </c>
      <c r="AJ145" s="12"/>
      <c r="AK145" s="12"/>
      <c r="AL145" s="12">
        <v>700</v>
      </c>
      <c r="AM145" s="12"/>
      <c r="AN145" s="12"/>
      <c r="AO145" s="12"/>
      <c r="AP145" s="12"/>
      <c r="AQ145" s="12"/>
      <c r="AR145" s="12"/>
      <c r="AS145" s="12"/>
      <c r="AT145" s="18">
        <f t="shared" si="120"/>
        <v>1700</v>
      </c>
      <c r="AU145" s="131">
        <f t="shared" si="127"/>
        <v>0</v>
      </c>
      <c r="AV145" s="123"/>
      <c r="AW145" s="11">
        <f t="shared" si="128"/>
        <v>91</v>
      </c>
      <c r="AX145" s="129">
        <f t="shared" ref="AX145:BE145" si="143">AW145+AF145-J145</f>
        <v>91</v>
      </c>
      <c r="AY145" s="129">
        <f t="shared" si="143"/>
        <v>91</v>
      </c>
      <c r="AZ145" s="129">
        <f t="shared" si="143"/>
        <v>61</v>
      </c>
      <c r="BA145" s="129">
        <f t="shared" si="143"/>
        <v>1006</v>
      </c>
      <c r="BB145" s="129">
        <f t="shared" si="143"/>
        <v>988</v>
      </c>
      <c r="BC145" s="129">
        <f t="shared" si="143"/>
        <v>817</v>
      </c>
      <c r="BD145" s="129">
        <f t="shared" si="143"/>
        <v>1267</v>
      </c>
      <c r="BE145" s="129">
        <f t="shared" si="143"/>
        <v>1267</v>
      </c>
      <c r="BF145" s="129">
        <f t="shared" ref="BF145:BK145" si="144">BE145+AN145-R145</f>
        <v>1267</v>
      </c>
      <c r="BG145" s="129">
        <f t="shared" si="144"/>
        <v>1267</v>
      </c>
      <c r="BH145" s="129">
        <f t="shared" si="144"/>
        <v>1267</v>
      </c>
      <c r="BI145" s="129">
        <f t="shared" si="144"/>
        <v>1267</v>
      </c>
      <c r="BJ145" s="129">
        <f t="shared" si="144"/>
        <v>1267</v>
      </c>
      <c r="BK145" s="129">
        <f t="shared" si="144"/>
        <v>1267</v>
      </c>
    </row>
    <row r="146" spans="1:63" s="100" customFormat="1" ht="16" hidden="1" customHeight="1">
      <c r="A146" s="13" t="s">
        <v>29</v>
      </c>
      <c r="B146" s="13" t="s">
        <v>419</v>
      </c>
      <c r="C146" s="13" t="s">
        <v>420</v>
      </c>
      <c r="D146" s="13"/>
      <c r="E146" s="13" t="s">
        <v>421</v>
      </c>
      <c r="F146" s="13" t="s">
        <v>273</v>
      </c>
      <c r="G146" s="13"/>
      <c r="H146" s="13"/>
      <c r="I146" s="7"/>
      <c r="J146" s="7"/>
      <c r="K146" s="7">
        <v>0</v>
      </c>
      <c r="L146" s="7">
        <v>0</v>
      </c>
      <c r="M146" s="7">
        <v>0</v>
      </c>
      <c r="N146" s="7">
        <v>0</v>
      </c>
      <c r="O146" s="7">
        <v>50</v>
      </c>
      <c r="P146" s="7">
        <v>90</v>
      </c>
      <c r="Q146" s="7"/>
      <c r="R146" s="7"/>
      <c r="S146" s="7"/>
      <c r="T146" s="7"/>
      <c r="U146" s="7"/>
      <c r="V146" s="7"/>
      <c r="W146" s="7"/>
      <c r="X146" s="12">
        <v>233</v>
      </c>
      <c r="Y146" s="12">
        <v>210</v>
      </c>
      <c r="Z146" s="12">
        <f t="shared" si="125"/>
        <v>23</v>
      </c>
      <c r="AA146" s="12"/>
      <c r="AB146" s="12">
        <v>210</v>
      </c>
      <c r="AC146" s="12">
        <v>0</v>
      </c>
      <c r="AD146" s="130">
        <f t="shared" si="126"/>
        <v>0</v>
      </c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8">
        <f t="shared" si="120"/>
        <v>0</v>
      </c>
      <c r="AU146" s="131">
        <f t="shared" si="127"/>
        <v>0</v>
      </c>
      <c r="AV146" s="123"/>
      <c r="AW146" s="11">
        <f t="shared" si="128"/>
        <v>210</v>
      </c>
      <c r="AX146" s="129">
        <f t="shared" ref="AX146:BE146" si="145">AW146+AF146-J146</f>
        <v>210</v>
      </c>
      <c r="AY146" s="129">
        <f t="shared" si="145"/>
        <v>210</v>
      </c>
      <c r="AZ146" s="129">
        <f t="shared" si="145"/>
        <v>210</v>
      </c>
      <c r="BA146" s="129">
        <f t="shared" si="145"/>
        <v>210</v>
      </c>
      <c r="BB146" s="129">
        <f t="shared" si="145"/>
        <v>210</v>
      </c>
      <c r="BC146" s="129">
        <f t="shared" si="145"/>
        <v>160</v>
      </c>
      <c r="BD146" s="129">
        <f t="shared" si="145"/>
        <v>70</v>
      </c>
      <c r="BE146" s="129">
        <f t="shared" si="145"/>
        <v>70</v>
      </c>
      <c r="BF146" s="129">
        <f t="shared" ref="BF146:BK146" si="146">BE146+AN146-R146</f>
        <v>70</v>
      </c>
      <c r="BG146" s="129">
        <f t="shared" si="146"/>
        <v>70</v>
      </c>
      <c r="BH146" s="129">
        <f t="shared" si="146"/>
        <v>70</v>
      </c>
      <c r="BI146" s="129">
        <f t="shared" si="146"/>
        <v>70</v>
      </c>
      <c r="BJ146" s="129">
        <f t="shared" si="146"/>
        <v>70</v>
      </c>
      <c r="BK146" s="129">
        <f t="shared" si="146"/>
        <v>70</v>
      </c>
    </row>
    <row r="147" spans="1:63" s="100" customFormat="1" ht="16" customHeight="1">
      <c r="A147" s="13" t="s">
        <v>29</v>
      </c>
      <c r="B147" s="13" t="s">
        <v>422</v>
      </c>
      <c r="C147" s="13" t="s">
        <v>423</v>
      </c>
      <c r="D147" s="13" t="s">
        <v>424</v>
      </c>
      <c r="E147" s="13" t="s">
        <v>425</v>
      </c>
      <c r="F147" s="13" t="s">
        <v>266</v>
      </c>
      <c r="G147" s="13" t="s">
        <v>58</v>
      </c>
      <c r="H147" s="13" t="s">
        <v>45</v>
      </c>
      <c r="I147" s="7"/>
      <c r="J147" s="7"/>
      <c r="K147" s="7">
        <v>0</v>
      </c>
      <c r="L147" s="7">
        <v>1</v>
      </c>
      <c r="M147" s="7">
        <v>70</v>
      </c>
      <c r="N147" s="7">
        <v>11</v>
      </c>
      <c r="O147" s="7">
        <v>95</v>
      </c>
      <c r="P147" s="7">
        <v>215</v>
      </c>
      <c r="Q147" s="7"/>
      <c r="R147" s="7"/>
      <c r="S147" s="7"/>
      <c r="T147" s="7"/>
      <c r="U147" s="7"/>
      <c r="V147" s="7"/>
      <c r="W147" s="7"/>
      <c r="X147" s="12">
        <v>0</v>
      </c>
      <c r="Y147" s="12">
        <v>0</v>
      </c>
      <c r="Z147" s="12">
        <f t="shared" ref="Z147:Z171" si="147">X147-Y147+AC147</f>
        <v>1000</v>
      </c>
      <c r="AA147" s="12"/>
      <c r="AB147" s="12">
        <v>920</v>
      </c>
      <c r="AC147" s="12">
        <v>1000</v>
      </c>
      <c r="AD147" s="130">
        <f t="shared" ref="AD147:AD171" si="148">AB147-Y147+AA147+AC147</f>
        <v>1920</v>
      </c>
      <c r="AE147" s="12"/>
      <c r="AF147" s="12"/>
      <c r="AG147" s="12"/>
      <c r="AH147" s="12"/>
      <c r="AI147" s="12"/>
      <c r="AJ147" s="12"/>
      <c r="AK147" s="12"/>
      <c r="AL147" s="12">
        <v>1920</v>
      </c>
      <c r="AM147" s="12"/>
      <c r="AN147" s="12"/>
      <c r="AO147" s="12"/>
      <c r="AP147" s="12"/>
      <c r="AQ147" s="12"/>
      <c r="AR147" s="12"/>
      <c r="AS147" s="12"/>
      <c r="AT147" s="18">
        <f t="shared" si="120"/>
        <v>1920</v>
      </c>
      <c r="AU147" s="131">
        <f t="shared" ref="AU147:AU171" si="149">AD147-AT147</f>
        <v>0</v>
      </c>
      <c r="AV147" s="123"/>
      <c r="AW147" s="11">
        <f t="shared" ref="AW147:AW171" si="150">AE147+Y147-I147</f>
        <v>0</v>
      </c>
      <c r="AX147" s="129">
        <f t="shared" ref="AX147:BE147" si="151">AW147+AF147-J147</f>
        <v>0</v>
      </c>
      <c r="AY147" s="129">
        <f t="shared" si="151"/>
        <v>0</v>
      </c>
      <c r="AZ147" s="129">
        <f t="shared" si="151"/>
        <v>-1</v>
      </c>
      <c r="BA147" s="129">
        <f t="shared" si="151"/>
        <v>-71</v>
      </c>
      <c r="BB147" s="129">
        <f t="shared" si="151"/>
        <v>-82</v>
      </c>
      <c r="BC147" s="129">
        <f t="shared" si="151"/>
        <v>-177</v>
      </c>
      <c r="BD147" s="129">
        <f t="shared" si="151"/>
        <v>1528</v>
      </c>
      <c r="BE147" s="129">
        <f t="shared" si="151"/>
        <v>1528</v>
      </c>
      <c r="BF147" s="129">
        <f t="shared" ref="BF147:BK147" si="152">BE147+AN147-R147</f>
        <v>1528</v>
      </c>
      <c r="BG147" s="129">
        <f t="shared" si="152"/>
        <v>1528</v>
      </c>
      <c r="BH147" s="129">
        <f t="shared" si="152"/>
        <v>1528</v>
      </c>
      <c r="BI147" s="129">
        <f t="shared" si="152"/>
        <v>1528</v>
      </c>
      <c r="BJ147" s="129">
        <f t="shared" si="152"/>
        <v>1528</v>
      </c>
      <c r="BK147" s="129">
        <f t="shared" si="152"/>
        <v>1528</v>
      </c>
    </row>
    <row r="148" spans="1:63" s="100" customFormat="1" ht="16" customHeight="1">
      <c r="A148" s="13" t="s">
        <v>29</v>
      </c>
      <c r="B148" s="13" t="s">
        <v>426</v>
      </c>
      <c r="C148" s="13" t="s">
        <v>427</v>
      </c>
      <c r="D148" s="13" t="s">
        <v>428</v>
      </c>
      <c r="E148" s="13" t="s">
        <v>429</v>
      </c>
      <c r="F148" s="13" t="s">
        <v>273</v>
      </c>
      <c r="G148" s="13" t="s">
        <v>58</v>
      </c>
      <c r="H148" s="13" t="s">
        <v>45</v>
      </c>
      <c r="I148" s="7"/>
      <c r="J148" s="7"/>
      <c r="K148" s="7">
        <v>0</v>
      </c>
      <c r="L148" s="7">
        <v>125</v>
      </c>
      <c r="M148" s="7">
        <v>40</v>
      </c>
      <c r="N148" s="7">
        <v>242</v>
      </c>
      <c r="O148" s="7">
        <v>561</v>
      </c>
      <c r="P148" s="7">
        <v>1273</v>
      </c>
      <c r="Q148" s="7"/>
      <c r="R148" s="7"/>
      <c r="S148" s="7"/>
      <c r="T148" s="7"/>
      <c r="U148" s="7"/>
      <c r="V148" s="7"/>
      <c r="W148" s="7"/>
      <c r="X148" s="12">
        <v>0</v>
      </c>
      <c r="Y148" s="12">
        <v>0</v>
      </c>
      <c r="Z148" s="12">
        <f t="shared" si="147"/>
        <v>1000</v>
      </c>
      <c r="AA148" s="12"/>
      <c r="AB148" s="12">
        <v>3499</v>
      </c>
      <c r="AC148" s="12">
        <v>1000</v>
      </c>
      <c r="AD148" s="130">
        <f t="shared" si="148"/>
        <v>4499</v>
      </c>
      <c r="AE148" s="12"/>
      <c r="AF148" s="12"/>
      <c r="AG148" s="10">
        <v>1600</v>
      </c>
      <c r="AH148" s="10">
        <v>1800</v>
      </c>
      <c r="AI148" s="10">
        <v>1099</v>
      </c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8">
        <f t="shared" si="120"/>
        <v>4499</v>
      </c>
      <c r="AU148" s="131">
        <f t="shared" si="149"/>
        <v>0</v>
      </c>
      <c r="AV148" s="123"/>
      <c r="AW148" s="11">
        <f t="shared" si="150"/>
        <v>0</v>
      </c>
      <c r="AX148" s="129">
        <f t="shared" ref="AX148:BE148" si="153">AW148+AF148-J148</f>
        <v>0</v>
      </c>
      <c r="AY148" s="129">
        <f t="shared" si="153"/>
        <v>1600</v>
      </c>
      <c r="AZ148" s="129">
        <f t="shared" si="153"/>
        <v>3275</v>
      </c>
      <c r="BA148" s="129">
        <f t="shared" si="153"/>
        <v>4334</v>
      </c>
      <c r="BB148" s="129">
        <f t="shared" si="153"/>
        <v>4092</v>
      </c>
      <c r="BC148" s="129">
        <f t="shared" si="153"/>
        <v>3531</v>
      </c>
      <c r="BD148" s="129">
        <f t="shared" si="153"/>
        <v>2258</v>
      </c>
      <c r="BE148" s="129">
        <f t="shared" si="153"/>
        <v>2258</v>
      </c>
      <c r="BF148" s="129">
        <f t="shared" ref="BF148:BK148" si="154">BE148+AN148-R148</f>
        <v>2258</v>
      </c>
      <c r="BG148" s="129">
        <f t="shared" si="154"/>
        <v>2258</v>
      </c>
      <c r="BH148" s="129">
        <f t="shared" si="154"/>
        <v>2258</v>
      </c>
      <c r="BI148" s="129">
        <f t="shared" si="154"/>
        <v>2258</v>
      </c>
      <c r="BJ148" s="129">
        <f t="shared" si="154"/>
        <v>2258</v>
      </c>
      <c r="BK148" s="129">
        <f t="shared" si="154"/>
        <v>2258</v>
      </c>
    </row>
    <row r="149" spans="1:63" s="100" customFormat="1" ht="16" hidden="1" customHeight="1">
      <c r="A149" s="13" t="s">
        <v>29</v>
      </c>
      <c r="B149" s="13" t="s">
        <v>430</v>
      </c>
      <c r="C149" s="13" t="s">
        <v>431</v>
      </c>
      <c r="D149" s="13" t="s">
        <v>428</v>
      </c>
      <c r="E149" s="13" t="s">
        <v>432</v>
      </c>
      <c r="F149" s="13" t="s">
        <v>207</v>
      </c>
      <c r="G149" s="13" t="s">
        <v>58</v>
      </c>
      <c r="H149" s="13" t="s">
        <v>38</v>
      </c>
      <c r="I149" s="7"/>
      <c r="J149" s="7"/>
      <c r="K149" s="7">
        <v>1</v>
      </c>
      <c r="L149" s="7">
        <v>75</v>
      </c>
      <c r="M149" s="7">
        <v>0</v>
      </c>
      <c r="N149" s="7">
        <v>0</v>
      </c>
      <c r="O149" s="7">
        <v>15</v>
      </c>
      <c r="P149" s="7">
        <v>2</v>
      </c>
      <c r="Q149" s="7"/>
      <c r="R149" s="7"/>
      <c r="S149" s="7"/>
      <c r="T149" s="7"/>
      <c r="U149" s="7"/>
      <c r="V149" s="7"/>
      <c r="W149" s="7"/>
      <c r="X149" s="12">
        <v>493</v>
      </c>
      <c r="Y149" s="12">
        <v>93</v>
      </c>
      <c r="Z149" s="12">
        <f t="shared" si="147"/>
        <v>400</v>
      </c>
      <c r="AA149" s="12"/>
      <c r="AB149" s="12">
        <v>93</v>
      </c>
      <c r="AC149" s="12">
        <v>0</v>
      </c>
      <c r="AD149" s="130">
        <f t="shared" si="148"/>
        <v>0</v>
      </c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8">
        <f t="shared" si="120"/>
        <v>0</v>
      </c>
      <c r="AU149" s="131">
        <f t="shared" si="149"/>
        <v>0</v>
      </c>
      <c r="AV149" s="123"/>
      <c r="AW149" s="11">
        <f t="shared" si="150"/>
        <v>93</v>
      </c>
      <c r="AX149" s="129">
        <f t="shared" ref="AX149:BE149" si="155">AW149+AF149-J149</f>
        <v>93</v>
      </c>
      <c r="AY149" s="129">
        <f t="shared" si="155"/>
        <v>92</v>
      </c>
      <c r="AZ149" s="129">
        <f t="shared" si="155"/>
        <v>17</v>
      </c>
      <c r="BA149" s="129">
        <f t="shared" si="155"/>
        <v>17</v>
      </c>
      <c r="BB149" s="129">
        <f t="shared" si="155"/>
        <v>17</v>
      </c>
      <c r="BC149" s="129">
        <f t="shared" si="155"/>
        <v>2</v>
      </c>
      <c r="BD149" s="129">
        <f t="shared" si="155"/>
        <v>0</v>
      </c>
      <c r="BE149" s="129">
        <f t="shared" si="155"/>
        <v>0</v>
      </c>
      <c r="BF149" s="129">
        <f t="shared" ref="BF149:BK149" si="156">BE149+AN149-R149</f>
        <v>0</v>
      </c>
      <c r="BG149" s="129">
        <f t="shared" si="156"/>
        <v>0</v>
      </c>
      <c r="BH149" s="129">
        <f t="shared" si="156"/>
        <v>0</v>
      </c>
      <c r="BI149" s="129">
        <f t="shared" si="156"/>
        <v>0</v>
      </c>
      <c r="BJ149" s="129">
        <f t="shared" si="156"/>
        <v>0</v>
      </c>
      <c r="BK149" s="129">
        <f t="shared" si="156"/>
        <v>0</v>
      </c>
    </row>
    <row r="150" spans="1:63" s="100" customFormat="1" ht="16" hidden="1" customHeight="1">
      <c r="A150" s="13" t="s">
        <v>29</v>
      </c>
      <c r="B150" s="13" t="s">
        <v>433</v>
      </c>
      <c r="C150" s="13" t="s">
        <v>434</v>
      </c>
      <c r="D150" s="13" t="s">
        <v>435</v>
      </c>
      <c r="E150" s="13" t="s">
        <v>436</v>
      </c>
      <c r="F150" s="13" t="s">
        <v>273</v>
      </c>
      <c r="G150" s="13" t="s">
        <v>58</v>
      </c>
      <c r="H150" s="13" t="s">
        <v>38</v>
      </c>
      <c r="I150" s="7"/>
      <c r="J150" s="7"/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/>
      <c r="R150" s="7"/>
      <c r="S150" s="7"/>
      <c r="T150" s="7"/>
      <c r="U150" s="7"/>
      <c r="V150" s="7"/>
      <c r="W150" s="7"/>
      <c r="X150" s="12">
        <v>670</v>
      </c>
      <c r="Y150" s="12">
        <v>0</v>
      </c>
      <c r="Z150" s="12">
        <f t="shared" si="147"/>
        <v>670</v>
      </c>
      <c r="AA150" s="12"/>
      <c r="AB150" s="12">
        <v>0</v>
      </c>
      <c r="AC150" s="12">
        <v>0</v>
      </c>
      <c r="AD150" s="130">
        <f t="shared" si="148"/>
        <v>0</v>
      </c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8">
        <f>SUM(AE150:AR150)</f>
        <v>0</v>
      </c>
      <c r="AU150" s="131">
        <f t="shared" si="149"/>
        <v>0</v>
      </c>
      <c r="AV150" s="123"/>
      <c r="AW150" s="11">
        <f t="shared" si="150"/>
        <v>0</v>
      </c>
      <c r="AX150" s="129">
        <f t="shared" ref="AX150:BG150" si="157">AW150+AF150-J150</f>
        <v>0</v>
      </c>
      <c r="AY150" s="129">
        <f t="shared" si="157"/>
        <v>0</v>
      </c>
      <c r="AZ150" s="129">
        <f t="shared" si="157"/>
        <v>0</v>
      </c>
      <c r="BA150" s="129">
        <f t="shared" si="157"/>
        <v>0</v>
      </c>
      <c r="BB150" s="129">
        <f t="shared" si="157"/>
        <v>0</v>
      </c>
      <c r="BC150" s="129">
        <f t="shared" si="157"/>
        <v>0</v>
      </c>
      <c r="BD150" s="129">
        <f t="shared" si="157"/>
        <v>0</v>
      </c>
      <c r="BE150" s="129">
        <f t="shared" si="157"/>
        <v>0</v>
      </c>
      <c r="BF150" s="129">
        <f t="shared" si="157"/>
        <v>0</v>
      </c>
      <c r="BG150" s="129">
        <f t="shared" si="157"/>
        <v>0</v>
      </c>
      <c r="BH150" s="129">
        <f t="shared" ref="BH150:BK151" si="158">AP150+AJ150-T150</f>
        <v>0</v>
      </c>
      <c r="BI150" s="129">
        <f t="shared" si="158"/>
        <v>0</v>
      </c>
      <c r="BJ150" s="129">
        <f t="shared" si="158"/>
        <v>0</v>
      </c>
      <c r="BK150" s="129">
        <f t="shared" si="158"/>
        <v>0</v>
      </c>
    </row>
    <row r="151" spans="1:63" s="100" customFormat="1" ht="16" hidden="1" customHeight="1">
      <c r="A151" s="13" t="s">
        <v>29</v>
      </c>
      <c r="B151" s="13" t="s">
        <v>437</v>
      </c>
      <c r="C151" s="13" t="s">
        <v>438</v>
      </c>
      <c r="D151" s="13" t="s">
        <v>435</v>
      </c>
      <c r="E151" s="13" t="s">
        <v>439</v>
      </c>
      <c r="F151" s="13" t="s">
        <v>207</v>
      </c>
      <c r="G151" s="13" t="s">
        <v>58</v>
      </c>
      <c r="H151" s="13" t="s">
        <v>38</v>
      </c>
      <c r="I151" s="7"/>
      <c r="J151" s="7"/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/>
      <c r="R151" s="7"/>
      <c r="S151" s="7"/>
      <c r="T151" s="7"/>
      <c r="U151" s="7"/>
      <c r="V151" s="7"/>
      <c r="W151" s="7"/>
      <c r="X151" s="12">
        <v>140</v>
      </c>
      <c r="Y151" s="12">
        <v>0</v>
      </c>
      <c r="Z151" s="12">
        <f t="shared" si="147"/>
        <v>140</v>
      </c>
      <c r="AA151" s="12"/>
      <c r="AB151" s="12">
        <v>0</v>
      </c>
      <c r="AC151" s="12">
        <v>0</v>
      </c>
      <c r="AD151" s="130">
        <f t="shared" si="148"/>
        <v>0</v>
      </c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8">
        <f>SUM(AE151:AR151)</f>
        <v>0</v>
      </c>
      <c r="AU151" s="131">
        <f t="shared" si="149"/>
        <v>0</v>
      </c>
      <c r="AV151" s="123"/>
      <c r="AW151" s="11">
        <f t="shared" si="150"/>
        <v>0</v>
      </c>
      <c r="AX151" s="129">
        <f t="shared" ref="AX151:BG151" si="159">AW151+AF151-J151</f>
        <v>0</v>
      </c>
      <c r="AY151" s="129">
        <f t="shared" si="159"/>
        <v>0</v>
      </c>
      <c r="AZ151" s="129">
        <f t="shared" si="159"/>
        <v>0</v>
      </c>
      <c r="BA151" s="129">
        <f t="shared" si="159"/>
        <v>0</v>
      </c>
      <c r="BB151" s="129">
        <f t="shared" si="159"/>
        <v>0</v>
      </c>
      <c r="BC151" s="129">
        <f t="shared" si="159"/>
        <v>0</v>
      </c>
      <c r="BD151" s="129">
        <f t="shared" si="159"/>
        <v>0</v>
      </c>
      <c r="BE151" s="129">
        <f t="shared" si="159"/>
        <v>0</v>
      </c>
      <c r="BF151" s="129">
        <f t="shared" si="159"/>
        <v>0</v>
      </c>
      <c r="BG151" s="129">
        <f t="shared" si="159"/>
        <v>0</v>
      </c>
      <c r="BH151" s="129">
        <f t="shared" si="158"/>
        <v>0</v>
      </c>
      <c r="BI151" s="129">
        <f t="shared" si="158"/>
        <v>0</v>
      </c>
      <c r="BJ151" s="129">
        <f t="shared" si="158"/>
        <v>0</v>
      </c>
      <c r="BK151" s="129">
        <f t="shared" si="158"/>
        <v>0</v>
      </c>
    </row>
    <row r="152" spans="1:63" s="100" customFormat="1" ht="16" hidden="1" customHeight="1">
      <c r="A152" s="13" t="s">
        <v>29</v>
      </c>
      <c r="B152" s="13" t="s">
        <v>440</v>
      </c>
      <c r="C152" s="13" t="s">
        <v>441</v>
      </c>
      <c r="D152" s="13" t="s">
        <v>435</v>
      </c>
      <c r="E152" s="13" t="s">
        <v>442</v>
      </c>
      <c r="F152" s="13" t="s">
        <v>273</v>
      </c>
      <c r="G152" s="13" t="s">
        <v>58</v>
      </c>
      <c r="H152" s="13" t="s">
        <v>38</v>
      </c>
      <c r="I152" s="7"/>
      <c r="J152" s="7"/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5</v>
      </c>
      <c r="Q152" s="7"/>
      <c r="R152" s="7"/>
      <c r="S152" s="7"/>
      <c r="T152" s="7"/>
      <c r="U152" s="7"/>
      <c r="V152" s="7"/>
      <c r="W152" s="7"/>
      <c r="X152" s="12">
        <v>288</v>
      </c>
      <c r="Y152" s="12">
        <v>55</v>
      </c>
      <c r="Z152" s="12">
        <f t="shared" si="147"/>
        <v>233</v>
      </c>
      <c r="AA152" s="12"/>
      <c r="AB152" s="12">
        <v>55</v>
      </c>
      <c r="AC152" s="12">
        <v>0</v>
      </c>
      <c r="AD152" s="130">
        <f t="shared" si="148"/>
        <v>0</v>
      </c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8">
        <f t="shared" ref="AT152:AT158" si="160">SUM(AE152:AS152)</f>
        <v>0</v>
      </c>
      <c r="AU152" s="131">
        <f t="shared" si="149"/>
        <v>0</v>
      </c>
      <c r="AV152" s="123"/>
      <c r="AW152" s="11">
        <f t="shared" si="150"/>
        <v>55</v>
      </c>
      <c r="AX152" s="129">
        <f t="shared" ref="AX152:BE152" si="161">AW152+AF152-J152</f>
        <v>55</v>
      </c>
      <c r="AY152" s="129">
        <f t="shared" si="161"/>
        <v>55</v>
      </c>
      <c r="AZ152" s="129">
        <f t="shared" si="161"/>
        <v>55</v>
      </c>
      <c r="BA152" s="129">
        <f t="shared" si="161"/>
        <v>55</v>
      </c>
      <c r="BB152" s="129">
        <f t="shared" si="161"/>
        <v>55</v>
      </c>
      <c r="BC152" s="129">
        <f t="shared" si="161"/>
        <v>55</v>
      </c>
      <c r="BD152" s="129">
        <f t="shared" si="161"/>
        <v>50</v>
      </c>
      <c r="BE152" s="129">
        <f t="shared" si="161"/>
        <v>50</v>
      </c>
      <c r="BF152" s="129">
        <f t="shared" ref="BF152:BK152" si="162">BE152+AN152-R152</f>
        <v>50</v>
      </c>
      <c r="BG152" s="129">
        <f t="shared" si="162"/>
        <v>50</v>
      </c>
      <c r="BH152" s="129">
        <f t="shared" si="162"/>
        <v>50</v>
      </c>
      <c r="BI152" s="129">
        <f t="shared" si="162"/>
        <v>50</v>
      </c>
      <c r="BJ152" s="129">
        <f t="shared" si="162"/>
        <v>50</v>
      </c>
      <c r="BK152" s="129">
        <f t="shared" si="162"/>
        <v>50</v>
      </c>
    </row>
    <row r="153" spans="1:63" s="100" customFormat="1" ht="16" hidden="1" customHeight="1">
      <c r="A153" s="13" t="s">
        <v>29</v>
      </c>
      <c r="B153" s="13" t="s">
        <v>443</v>
      </c>
      <c r="C153" s="13" t="s">
        <v>444</v>
      </c>
      <c r="D153" s="13"/>
      <c r="E153" s="13"/>
      <c r="F153" s="13" t="s">
        <v>273</v>
      </c>
      <c r="G153" s="13"/>
      <c r="H153" s="13"/>
      <c r="I153" s="7"/>
      <c r="J153" s="7"/>
      <c r="K153" s="7">
        <v>100</v>
      </c>
      <c r="L153" s="7">
        <v>0</v>
      </c>
      <c r="M153" s="7">
        <v>0</v>
      </c>
      <c r="N153" s="7">
        <v>0</v>
      </c>
      <c r="O153" s="7">
        <v>50</v>
      </c>
      <c r="P153" s="7">
        <v>0</v>
      </c>
      <c r="Q153" s="7"/>
      <c r="R153" s="7"/>
      <c r="S153" s="7"/>
      <c r="T153" s="7"/>
      <c r="U153" s="7"/>
      <c r="V153" s="7"/>
      <c r="W153" s="7"/>
      <c r="X153" s="12">
        <v>1015</v>
      </c>
      <c r="Y153" s="12">
        <v>180</v>
      </c>
      <c r="Z153" s="12">
        <f t="shared" si="147"/>
        <v>835</v>
      </c>
      <c r="AA153" s="12"/>
      <c r="AB153" s="12">
        <v>180</v>
      </c>
      <c r="AC153" s="12">
        <v>0</v>
      </c>
      <c r="AD153" s="130">
        <f t="shared" si="148"/>
        <v>0</v>
      </c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8">
        <f t="shared" si="160"/>
        <v>0</v>
      </c>
      <c r="AU153" s="131">
        <f t="shared" si="149"/>
        <v>0</v>
      </c>
      <c r="AV153" s="123"/>
      <c r="AW153" s="11">
        <f t="shared" si="150"/>
        <v>180</v>
      </c>
      <c r="AX153" s="129">
        <f t="shared" ref="AX153:BE153" si="163">AW153+AF153-J153</f>
        <v>180</v>
      </c>
      <c r="AY153" s="129">
        <f t="shared" si="163"/>
        <v>80</v>
      </c>
      <c r="AZ153" s="129">
        <f t="shared" si="163"/>
        <v>80</v>
      </c>
      <c r="BA153" s="129">
        <f t="shared" si="163"/>
        <v>80</v>
      </c>
      <c r="BB153" s="129">
        <f t="shared" si="163"/>
        <v>80</v>
      </c>
      <c r="BC153" s="129">
        <f t="shared" si="163"/>
        <v>30</v>
      </c>
      <c r="BD153" s="129">
        <f t="shared" si="163"/>
        <v>30</v>
      </c>
      <c r="BE153" s="129">
        <f t="shared" si="163"/>
        <v>30</v>
      </c>
      <c r="BF153" s="129">
        <f t="shared" ref="BF153:BK153" si="164">BE153+AN153-R153</f>
        <v>30</v>
      </c>
      <c r="BG153" s="129">
        <f t="shared" si="164"/>
        <v>30</v>
      </c>
      <c r="BH153" s="129">
        <f t="shared" si="164"/>
        <v>30</v>
      </c>
      <c r="BI153" s="129">
        <f t="shared" si="164"/>
        <v>30</v>
      </c>
      <c r="BJ153" s="129">
        <f t="shared" si="164"/>
        <v>30</v>
      </c>
      <c r="BK153" s="129">
        <f t="shared" si="164"/>
        <v>30</v>
      </c>
    </row>
    <row r="154" spans="1:63" s="100" customFormat="1" ht="16" customHeight="1">
      <c r="A154" s="13" t="s">
        <v>29</v>
      </c>
      <c r="B154" s="13" t="s">
        <v>445</v>
      </c>
      <c r="C154" s="13" t="s">
        <v>446</v>
      </c>
      <c r="D154" s="13" t="s">
        <v>384</v>
      </c>
      <c r="E154" s="13" t="s">
        <v>436</v>
      </c>
      <c r="F154" s="13" t="s">
        <v>273</v>
      </c>
      <c r="G154" s="13" t="s">
        <v>58</v>
      </c>
      <c r="H154" s="13" t="s">
        <v>38</v>
      </c>
      <c r="I154" s="7"/>
      <c r="J154" s="7"/>
      <c r="K154" s="7">
        <v>3</v>
      </c>
      <c r="L154" s="7">
        <v>44</v>
      </c>
      <c r="M154" s="7">
        <v>5</v>
      </c>
      <c r="N154" s="7">
        <v>105</v>
      </c>
      <c r="O154" s="7">
        <v>273</v>
      </c>
      <c r="P154" s="7">
        <v>379</v>
      </c>
      <c r="Q154" s="7"/>
      <c r="R154" s="7"/>
      <c r="S154" s="7"/>
      <c r="T154" s="7"/>
      <c r="U154" s="7"/>
      <c r="V154" s="7"/>
      <c r="W154" s="7"/>
      <c r="X154" s="12">
        <v>1494</v>
      </c>
      <c r="Y154" s="12">
        <v>1247</v>
      </c>
      <c r="Z154" s="12">
        <f t="shared" si="147"/>
        <v>2247</v>
      </c>
      <c r="AA154" s="12"/>
      <c r="AB154" s="12">
        <v>1247</v>
      </c>
      <c r="AC154" s="12">
        <v>2000</v>
      </c>
      <c r="AD154" s="130">
        <f t="shared" si="148"/>
        <v>2000</v>
      </c>
      <c r="AE154" s="12"/>
      <c r="AF154" s="12"/>
      <c r="AG154" s="12"/>
      <c r="AH154" s="12"/>
      <c r="AI154" s="12"/>
      <c r="AJ154" s="10">
        <v>2000</v>
      </c>
      <c r="AK154" s="12"/>
      <c r="AL154" s="12"/>
      <c r="AM154" s="12"/>
      <c r="AN154" s="12"/>
      <c r="AO154" s="12"/>
      <c r="AP154" s="12"/>
      <c r="AQ154" s="12"/>
      <c r="AR154" s="12"/>
      <c r="AS154" s="12"/>
      <c r="AT154" s="18">
        <f t="shared" si="160"/>
        <v>2000</v>
      </c>
      <c r="AU154" s="131">
        <f t="shared" si="149"/>
        <v>0</v>
      </c>
      <c r="AV154" s="123"/>
      <c r="AW154" s="11">
        <f t="shared" si="150"/>
        <v>1247</v>
      </c>
      <c r="AX154" s="129">
        <f t="shared" ref="AX154:BE154" si="165">AW154+AF154-J154</f>
        <v>1247</v>
      </c>
      <c r="AY154" s="129">
        <f t="shared" si="165"/>
        <v>1244</v>
      </c>
      <c r="AZ154" s="129">
        <f t="shared" si="165"/>
        <v>1200</v>
      </c>
      <c r="BA154" s="129">
        <f t="shared" si="165"/>
        <v>1195</v>
      </c>
      <c r="BB154" s="129">
        <f t="shared" si="165"/>
        <v>3090</v>
      </c>
      <c r="BC154" s="129">
        <f t="shared" si="165"/>
        <v>2817</v>
      </c>
      <c r="BD154" s="129">
        <f t="shared" si="165"/>
        <v>2438</v>
      </c>
      <c r="BE154" s="129">
        <f t="shared" si="165"/>
        <v>2438</v>
      </c>
      <c r="BF154" s="129">
        <f t="shared" ref="BF154:BK154" si="166">BE154+AN154-R154</f>
        <v>2438</v>
      </c>
      <c r="BG154" s="129">
        <f t="shared" si="166"/>
        <v>2438</v>
      </c>
      <c r="BH154" s="129">
        <f t="shared" si="166"/>
        <v>2438</v>
      </c>
      <c r="BI154" s="129">
        <f t="shared" si="166"/>
        <v>2438</v>
      </c>
      <c r="BJ154" s="129">
        <f t="shared" si="166"/>
        <v>2438</v>
      </c>
      <c r="BK154" s="129">
        <f t="shared" si="166"/>
        <v>2438</v>
      </c>
    </row>
    <row r="155" spans="1:63" s="100" customFormat="1" ht="16" hidden="1" customHeight="1">
      <c r="A155" s="13" t="s">
        <v>29</v>
      </c>
      <c r="B155" s="13" t="s">
        <v>447</v>
      </c>
      <c r="C155" s="13" t="s">
        <v>448</v>
      </c>
      <c r="D155" s="13" t="s">
        <v>384</v>
      </c>
      <c r="E155" s="13" t="s">
        <v>439</v>
      </c>
      <c r="F155" s="13" t="s">
        <v>207</v>
      </c>
      <c r="G155" s="13" t="s">
        <v>58</v>
      </c>
      <c r="H155" s="13" t="s">
        <v>38</v>
      </c>
      <c r="I155" s="7"/>
      <c r="J155" s="7"/>
      <c r="K155" s="7">
        <v>0</v>
      </c>
      <c r="L155" s="7">
        <v>0</v>
      </c>
      <c r="M155" s="7">
        <v>0</v>
      </c>
      <c r="N155" s="7">
        <v>1</v>
      </c>
      <c r="O155" s="7">
        <v>107</v>
      </c>
      <c r="P155" s="7">
        <v>0</v>
      </c>
      <c r="Q155" s="7"/>
      <c r="R155" s="7"/>
      <c r="S155" s="7"/>
      <c r="T155" s="7"/>
      <c r="U155" s="7"/>
      <c r="V155" s="7"/>
      <c r="W155" s="7"/>
      <c r="X155" s="12">
        <v>211</v>
      </c>
      <c r="Y155" s="12">
        <v>108</v>
      </c>
      <c r="Z155" s="12">
        <f t="shared" si="147"/>
        <v>103</v>
      </c>
      <c r="AA155" s="12"/>
      <c r="AB155" s="12">
        <v>108</v>
      </c>
      <c r="AC155" s="12">
        <v>0</v>
      </c>
      <c r="AD155" s="130">
        <f t="shared" si="148"/>
        <v>0</v>
      </c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8">
        <f t="shared" si="160"/>
        <v>0</v>
      </c>
      <c r="AU155" s="131">
        <f t="shared" si="149"/>
        <v>0</v>
      </c>
      <c r="AV155" s="123"/>
      <c r="AW155" s="11">
        <f t="shared" si="150"/>
        <v>108</v>
      </c>
      <c r="AX155" s="129">
        <f t="shared" ref="AX155:BE155" si="167">AW155+AF155-J155</f>
        <v>108</v>
      </c>
      <c r="AY155" s="129">
        <f t="shared" si="167"/>
        <v>108</v>
      </c>
      <c r="AZ155" s="129">
        <f t="shared" si="167"/>
        <v>108</v>
      </c>
      <c r="BA155" s="129">
        <f t="shared" si="167"/>
        <v>108</v>
      </c>
      <c r="BB155" s="129">
        <f t="shared" si="167"/>
        <v>107</v>
      </c>
      <c r="BC155" s="129">
        <f t="shared" si="167"/>
        <v>0</v>
      </c>
      <c r="BD155" s="129">
        <f t="shared" si="167"/>
        <v>0</v>
      </c>
      <c r="BE155" s="129">
        <f t="shared" si="167"/>
        <v>0</v>
      </c>
      <c r="BF155" s="129">
        <f t="shared" ref="BF155:BK155" si="168">BE155+AN155-R155</f>
        <v>0</v>
      </c>
      <c r="BG155" s="129">
        <f t="shared" si="168"/>
        <v>0</v>
      </c>
      <c r="BH155" s="129">
        <f t="shared" si="168"/>
        <v>0</v>
      </c>
      <c r="BI155" s="129">
        <f t="shared" si="168"/>
        <v>0</v>
      </c>
      <c r="BJ155" s="129">
        <f t="shared" si="168"/>
        <v>0</v>
      </c>
      <c r="BK155" s="129">
        <f t="shared" si="168"/>
        <v>0</v>
      </c>
    </row>
    <row r="156" spans="1:63" s="100" customFormat="1" ht="16" hidden="1" customHeight="1">
      <c r="A156" s="13" t="s">
        <v>29</v>
      </c>
      <c r="B156" s="13" t="s">
        <v>449</v>
      </c>
      <c r="C156" s="13" t="s">
        <v>450</v>
      </c>
      <c r="D156" s="13" t="s">
        <v>384</v>
      </c>
      <c r="E156" s="13" t="s">
        <v>436</v>
      </c>
      <c r="F156" s="13" t="s">
        <v>273</v>
      </c>
      <c r="G156" s="13" t="s">
        <v>58</v>
      </c>
      <c r="H156" s="13" t="s">
        <v>38</v>
      </c>
      <c r="I156" s="7"/>
      <c r="J156" s="7"/>
      <c r="K156" s="7">
        <v>31</v>
      </c>
      <c r="L156" s="7">
        <v>0</v>
      </c>
      <c r="M156" s="7">
        <v>0</v>
      </c>
      <c r="N156" s="7">
        <v>0</v>
      </c>
      <c r="O156" s="7">
        <v>239</v>
      </c>
      <c r="P156" s="7">
        <v>25</v>
      </c>
      <c r="Q156" s="7"/>
      <c r="R156" s="7"/>
      <c r="S156" s="7"/>
      <c r="T156" s="7"/>
      <c r="U156" s="7"/>
      <c r="V156" s="7"/>
      <c r="W156" s="7"/>
      <c r="X156" s="12">
        <v>636</v>
      </c>
      <c r="Y156" s="12">
        <v>295</v>
      </c>
      <c r="Z156" s="12">
        <f t="shared" si="147"/>
        <v>341</v>
      </c>
      <c r="AA156" s="12"/>
      <c r="AB156" s="12">
        <v>295</v>
      </c>
      <c r="AC156" s="12">
        <v>0</v>
      </c>
      <c r="AD156" s="130">
        <f t="shared" si="148"/>
        <v>0</v>
      </c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8">
        <f t="shared" si="160"/>
        <v>0</v>
      </c>
      <c r="AU156" s="131">
        <f t="shared" si="149"/>
        <v>0</v>
      </c>
      <c r="AV156" s="123"/>
      <c r="AW156" s="11">
        <f t="shared" si="150"/>
        <v>295</v>
      </c>
      <c r="AX156" s="129">
        <f t="shared" ref="AX156:BE156" si="169">AW156+AF156-J156</f>
        <v>295</v>
      </c>
      <c r="AY156" s="129">
        <f t="shared" si="169"/>
        <v>264</v>
      </c>
      <c r="AZ156" s="129">
        <f t="shared" si="169"/>
        <v>264</v>
      </c>
      <c r="BA156" s="129">
        <f t="shared" si="169"/>
        <v>264</v>
      </c>
      <c r="BB156" s="129">
        <f t="shared" si="169"/>
        <v>264</v>
      </c>
      <c r="BC156" s="129">
        <f t="shared" si="169"/>
        <v>25</v>
      </c>
      <c r="BD156" s="129">
        <f t="shared" si="169"/>
        <v>0</v>
      </c>
      <c r="BE156" s="129">
        <f t="shared" si="169"/>
        <v>0</v>
      </c>
      <c r="BF156" s="129">
        <f t="shared" ref="BF156:BK156" si="170">BE156+AN156-R156</f>
        <v>0</v>
      </c>
      <c r="BG156" s="129">
        <f t="shared" si="170"/>
        <v>0</v>
      </c>
      <c r="BH156" s="129">
        <f t="shared" si="170"/>
        <v>0</v>
      </c>
      <c r="BI156" s="129">
        <f t="shared" si="170"/>
        <v>0</v>
      </c>
      <c r="BJ156" s="129">
        <f t="shared" si="170"/>
        <v>0</v>
      </c>
      <c r="BK156" s="129">
        <f t="shared" si="170"/>
        <v>0</v>
      </c>
    </row>
    <row r="157" spans="1:63" s="100" customFormat="1" ht="16" customHeight="1">
      <c r="A157" s="13" t="s">
        <v>29</v>
      </c>
      <c r="B157" s="13" t="s">
        <v>451</v>
      </c>
      <c r="C157" s="13" t="s">
        <v>452</v>
      </c>
      <c r="D157" s="13" t="s">
        <v>384</v>
      </c>
      <c r="E157" s="13" t="s">
        <v>436</v>
      </c>
      <c r="F157" s="13" t="s">
        <v>273</v>
      </c>
      <c r="G157" s="13" t="s">
        <v>58</v>
      </c>
      <c r="H157" s="13" t="s">
        <v>38</v>
      </c>
      <c r="I157" s="7"/>
      <c r="J157" s="7"/>
      <c r="K157" s="7">
        <v>0</v>
      </c>
      <c r="L157" s="7">
        <v>0</v>
      </c>
      <c r="M157" s="7">
        <v>125</v>
      </c>
      <c r="N157" s="7">
        <v>50</v>
      </c>
      <c r="O157" s="7">
        <v>222</v>
      </c>
      <c r="P157" s="7">
        <v>0</v>
      </c>
      <c r="Q157" s="7"/>
      <c r="R157" s="7"/>
      <c r="S157" s="7"/>
      <c r="T157" s="7"/>
      <c r="U157" s="7"/>
      <c r="V157" s="7"/>
      <c r="W157" s="7"/>
      <c r="X157" s="12">
        <v>764</v>
      </c>
      <c r="Y157" s="12">
        <v>764</v>
      </c>
      <c r="Z157" s="12">
        <f t="shared" si="147"/>
        <v>787</v>
      </c>
      <c r="AA157" s="12"/>
      <c r="AB157" s="12">
        <v>777</v>
      </c>
      <c r="AC157" s="12">
        <v>787</v>
      </c>
      <c r="AD157" s="130">
        <f t="shared" si="148"/>
        <v>800</v>
      </c>
      <c r="AE157" s="12"/>
      <c r="AF157" s="12"/>
      <c r="AG157" s="12"/>
      <c r="AH157" s="12"/>
      <c r="AI157" s="12"/>
      <c r="AJ157" s="12"/>
      <c r="AK157" s="12"/>
      <c r="AL157" s="10">
        <v>800</v>
      </c>
      <c r="AM157" s="12"/>
      <c r="AN157" s="12"/>
      <c r="AO157" s="12"/>
      <c r="AP157" s="12"/>
      <c r="AQ157" s="12"/>
      <c r="AR157" s="12"/>
      <c r="AS157" s="12"/>
      <c r="AT157" s="18">
        <f t="shared" si="160"/>
        <v>800</v>
      </c>
      <c r="AU157" s="131">
        <f t="shared" si="149"/>
        <v>0</v>
      </c>
      <c r="AV157" s="123"/>
      <c r="AW157" s="11">
        <f t="shared" si="150"/>
        <v>764</v>
      </c>
      <c r="AX157" s="129">
        <f t="shared" ref="AX157:BE157" si="171">AW157+AF157-J157</f>
        <v>764</v>
      </c>
      <c r="AY157" s="129">
        <f t="shared" si="171"/>
        <v>764</v>
      </c>
      <c r="AZ157" s="129">
        <f t="shared" si="171"/>
        <v>764</v>
      </c>
      <c r="BA157" s="129">
        <f t="shared" si="171"/>
        <v>639</v>
      </c>
      <c r="BB157" s="129">
        <f t="shared" si="171"/>
        <v>589</v>
      </c>
      <c r="BC157" s="129">
        <f t="shared" si="171"/>
        <v>367</v>
      </c>
      <c r="BD157" s="129">
        <f t="shared" si="171"/>
        <v>1167</v>
      </c>
      <c r="BE157" s="129">
        <f t="shared" si="171"/>
        <v>1167</v>
      </c>
      <c r="BF157" s="129">
        <f t="shared" ref="BF157:BK157" si="172">BE157+AN157-R157</f>
        <v>1167</v>
      </c>
      <c r="BG157" s="129">
        <f t="shared" si="172"/>
        <v>1167</v>
      </c>
      <c r="BH157" s="129">
        <f t="shared" si="172"/>
        <v>1167</v>
      </c>
      <c r="BI157" s="129">
        <f t="shared" si="172"/>
        <v>1167</v>
      </c>
      <c r="BJ157" s="129">
        <f t="shared" si="172"/>
        <v>1167</v>
      </c>
      <c r="BK157" s="129">
        <f t="shared" si="172"/>
        <v>1167</v>
      </c>
    </row>
    <row r="158" spans="1:63" s="100" customFormat="1" ht="16" hidden="1" customHeight="1">
      <c r="A158" s="13" t="s">
        <v>29</v>
      </c>
      <c r="B158" s="13" t="s">
        <v>453</v>
      </c>
      <c r="C158" s="13" t="s">
        <v>454</v>
      </c>
      <c r="D158" s="13" t="s">
        <v>455</v>
      </c>
      <c r="E158" s="13" t="s">
        <v>456</v>
      </c>
      <c r="F158" s="13" t="s">
        <v>273</v>
      </c>
      <c r="G158" s="13" t="s">
        <v>58</v>
      </c>
      <c r="H158" s="13" t="s">
        <v>38</v>
      </c>
      <c r="I158" s="7"/>
      <c r="J158" s="7"/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/>
      <c r="R158" s="7"/>
      <c r="S158" s="7"/>
      <c r="T158" s="7"/>
      <c r="U158" s="7"/>
      <c r="V158" s="7"/>
      <c r="W158" s="7"/>
      <c r="X158" s="12">
        <v>1500</v>
      </c>
      <c r="Y158" s="12">
        <v>0</v>
      </c>
      <c r="Z158" s="12">
        <f t="shared" si="147"/>
        <v>1500</v>
      </c>
      <c r="AA158" s="12"/>
      <c r="AB158" s="12">
        <v>0</v>
      </c>
      <c r="AC158" s="12">
        <v>0</v>
      </c>
      <c r="AD158" s="130">
        <f t="shared" si="148"/>
        <v>0</v>
      </c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8">
        <f t="shared" si="160"/>
        <v>0</v>
      </c>
      <c r="AU158" s="131">
        <f t="shared" si="149"/>
        <v>0</v>
      </c>
      <c r="AV158" s="123"/>
      <c r="AW158" s="11">
        <f t="shared" si="150"/>
        <v>0</v>
      </c>
      <c r="AX158" s="129">
        <f t="shared" ref="AX158:BE158" si="173">AW158+AF158-J158</f>
        <v>0</v>
      </c>
      <c r="AY158" s="129">
        <f t="shared" si="173"/>
        <v>0</v>
      </c>
      <c r="AZ158" s="129">
        <f t="shared" si="173"/>
        <v>0</v>
      </c>
      <c r="BA158" s="129">
        <f t="shared" si="173"/>
        <v>0</v>
      </c>
      <c r="BB158" s="129">
        <f t="shared" si="173"/>
        <v>0</v>
      </c>
      <c r="BC158" s="129">
        <f t="shared" si="173"/>
        <v>0</v>
      </c>
      <c r="BD158" s="129">
        <f t="shared" si="173"/>
        <v>0</v>
      </c>
      <c r="BE158" s="129">
        <f t="shared" si="173"/>
        <v>0</v>
      </c>
      <c r="BF158" s="129">
        <f t="shared" ref="BF158:BK158" si="174">BE158+AN158-R158</f>
        <v>0</v>
      </c>
      <c r="BG158" s="129">
        <f t="shared" si="174"/>
        <v>0</v>
      </c>
      <c r="BH158" s="129">
        <f t="shared" si="174"/>
        <v>0</v>
      </c>
      <c r="BI158" s="129">
        <f t="shared" si="174"/>
        <v>0</v>
      </c>
      <c r="BJ158" s="129">
        <f t="shared" si="174"/>
        <v>0</v>
      </c>
      <c r="BK158" s="129">
        <f t="shared" si="174"/>
        <v>0</v>
      </c>
    </row>
    <row r="159" spans="1:63" s="100" customFormat="1" ht="16" hidden="1" customHeight="1">
      <c r="A159" s="13" t="s">
        <v>29</v>
      </c>
      <c r="B159" s="13" t="s">
        <v>457</v>
      </c>
      <c r="C159" s="13" t="s">
        <v>458</v>
      </c>
      <c r="D159" s="13" t="s">
        <v>455</v>
      </c>
      <c r="E159" s="13" t="s">
        <v>459</v>
      </c>
      <c r="F159" s="13" t="s">
        <v>207</v>
      </c>
      <c r="G159" s="13" t="s">
        <v>58</v>
      </c>
      <c r="H159" s="13" t="s">
        <v>38</v>
      </c>
      <c r="I159" s="7"/>
      <c r="J159" s="7"/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/>
      <c r="R159" s="7"/>
      <c r="S159" s="7"/>
      <c r="T159" s="7"/>
      <c r="U159" s="7"/>
      <c r="V159" s="7"/>
      <c r="W159" s="7"/>
      <c r="X159" s="12">
        <v>0</v>
      </c>
      <c r="Y159" s="12">
        <v>0</v>
      </c>
      <c r="Z159" s="12">
        <f t="shared" si="147"/>
        <v>0</v>
      </c>
      <c r="AA159" s="12"/>
      <c r="AB159" s="12">
        <v>0</v>
      </c>
      <c r="AC159" s="12">
        <v>0</v>
      </c>
      <c r="AD159" s="130">
        <f t="shared" si="148"/>
        <v>0</v>
      </c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8">
        <f>SUM(AE159:AR159)</f>
        <v>0</v>
      </c>
      <c r="AU159" s="131">
        <f t="shared" si="149"/>
        <v>0</v>
      </c>
      <c r="AV159" s="123"/>
      <c r="AW159" s="11">
        <f t="shared" si="150"/>
        <v>0</v>
      </c>
      <c r="AX159" s="129">
        <f t="shared" ref="AX159:BG159" si="175">AW159+AF159-J159</f>
        <v>0</v>
      </c>
      <c r="AY159" s="129">
        <f t="shared" si="175"/>
        <v>0</v>
      </c>
      <c r="AZ159" s="129">
        <f t="shared" si="175"/>
        <v>0</v>
      </c>
      <c r="BA159" s="129">
        <f t="shared" si="175"/>
        <v>0</v>
      </c>
      <c r="BB159" s="129">
        <f t="shared" si="175"/>
        <v>0</v>
      </c>
      <c r="BC159" s="129">
        <f t="shared" si="175"/>
        <v>0</v>
      </c>
      <c r="BD159" s="129">
        <f t="shared" si="175"/>
        <v>0</v>
      </c>
      <c r="BE159" s="129">
        <f t="shared" si="175"/>
        <v>0</v>
      </c>
      <c r="BF159" s="129">
        <f t="shared" si="175"/>
        <v>0</v>
      </c>
      <c r="BG159" s="129">
        <f t="shared" si="175"/>
        <v>0</v>
      </c>
      <c r="BH159" s="129">
        <f>AP159+AJ159-T159</f>
        <v>0</v>
      </c>
      <c r="BI159" s="129">
        <f>AQ159+AK159-U159</f>
        <v>0</v>
      </c>
      <c r="BJ159" s="129">
        <f>AR159+AL159-V159</f>
        <v>0</v>
      </c>
      <c r="BK159" s="129">
        <f>AS159+AM159-W159</f>
        <v>0</v>
      </c>
    </row>
    <row r="160" spans="1:63" s="100" customFormat="1" ht="16" hidden="1" customHeight="1">
      <c r="A160" s="13" t="s">
        <v>29</v>
      </c>
      <c r="B160" s="13" t="s">
        <v>460</v>
      </c>
      <c r="C160" s="13" t="s">
        <v>461</v>
      </c>
      <c r="D160" s="13" t="s">
        <v>455</v>
      </c>
      <c r="E160" s="13" t="s">
        <v>456</v>
      </c>
      <c r="F160" s="13" t="s">
        <v>273</v>
      </c>
      <c r="G160" s="13" t="s">
        <v>58</v>
      </c>
      <c r="H160" s="13" t="s">
        <v>38</v>
      </c>
      <c r="I160" s="7"/>
      <c r="J160" s="7"/>
      <c r="K160" s="7">
        <v>0</v>
      </c>
      <c r="L160" s="7">
        <v>0</v>
      </c>
      <c r="M160" s="7">
        <v>0</v>
      </c>
      <c r="N160" s="7">
        <v>0</v>
      </c>
      <c r="O160" s="7">
        <v>29</v>
      </c>
      <c r="P160" s="7">
        <v>0</v>
      </c>
      <c r="Q160" s="7"/>
      <c r="R160" s="7"/>
      <c r="S160" s="7"/>
      <c r="T160" s="7"/>
      <c r="U160" s="7"/>
      <c r="V160" s="7"/>
      <c r="W160" s="7"/>
      <c r="X160" s="12">
        <v>1076</v>
      </c>
      <c r="Y160" s="12">
        <v>29</v>
      </c>
      <c r="Z160" s="12">
        <f t="shared" si="147"/>
        <v>1047</v>
      </c>
      <c r="AA160" s="12"/>
      <c r="AB160" s="12">
        <v>29</v>
      </c>
      <c r="AC160" s="12">
        <v>0</v>
      </c>
      <c r="AD160" s="130">
        <f t="shared" si="148"/>
        <v>0</v>
      </c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8">
        <f>SUM(AE160:AS160)</f>
        <v>0</v>
      </c>
      <c r="AU160" s="131">
        <f t="shared" si="149"/>
        <v>0</v>
      </c>
      <c r="AV160" s="123"/>
      <c r="AW160" s="11">
        <f t="shared" si="150"/>
        <v>29</v>
      </c>
      <c r="AX160" s="129">
        <f t="shared" ref="AX160:BE160" si="176">AW160+AF160-J160</f>
        <v>29</v>
      </c>
      <c r="AY160" s="129">
        <f t="shared" si="176"/>
        <v>29</v>
      </c>
      <c r="AZ160" s="129">
        <f t="shared" si="176"/>
        <v>29</v>
      </c>
      <c r="BA160" s="129">
        <f t="shared" si="176"/>
        <v>29</v>
      </c>
      <c r="BB160" s="129">
        <f t="shared" si="176"/>
        <v>29</v>
      </c>
      <c r="BC160" s="129">
        <f t="shared" si="176"/>
        <v>0</v>
      </c>
      <c r="BD160" s="129">
        <f t="shared" si="176"/>
        <v>0</v>
      </c>
      <c r="BE160" s="129">
        <f t="shared" si="176"/>
        <v>0</v>
      </c>
      <c r="BF160" s="129">
        <f t="shared" ref="BF160:BK160" si="177">BE160+AN160-R160</f>
        <v>0</v>
      </c>
      <c r="BG160" s="129">
        <f t="shared" si="177"/>
        <v>0</v>
      </c>
      <c r="BH160" s="129">
        <f t="shared" si="177"/>
        <v>0</v>
      </c>
      <c r="BI160" s="129">
        <f t="shared" si="177"/>
        <v>0</v>
      </c>
      <c r="BJ160" s="129">
        <f t="shared" si="177"/>
        <v>0</v>
      </c>
      <c r="BK160" s="129">
        <f t="shared" si="177"/>
        <v>0</v>
      </c>
    </row>
    <row r="161" spans="1:63" s="100" customFormat="1" ht="16" hidden="1" customHeight="1">
      <c r="A161" s="13" t="s">
        <v>29</v>
      </c>
      <c r="B161" s="13" t="s">
        <v>462</v>
      </c>
      <c r="C161" s="13" t="s">
        <v>463</v>
      </c>
      <c r="D161" s="13" t="s">
        <v>455</v>
      </c>
      <c r="E161" s="13" t="s">
        <v>456</v>
      </c>
      <c r="F161" s="13" t="s">
        <v>273</v>
      </c>
      <c r="G161" s="13" t="s">
        <v>58</v>
      </c>
      <c r="H161" s="13" t="s">
        <v>38</v>
      </c>
      <c r="I161" s="7"/>
      <c r="J161" s="7"/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/>
      <c r="R161" s="7"/>
      <c r="S161" s="7"/>
      <c r="T161" s="7"/>
      <c r="U161" s="7"/>
      <c r="V161" s="7"/>
      <c r="W161" s="7"/>
      <c r="X161" s="12">
        <v>1800</v>
      </c>
      <c r="Y161" s="12">
        <v>0</v>
      </c>
      <c r="Z161" s="12">
        <f t="shared" si="147"/>
        <v>1800</v>
      </c>
      <c r="AA161" s="12"/>
      <c r="AB161" s="12">
        <v>0</v>
      </c>
      <c r="AC161" s="12">
        <v>0</v>
      </c>
      <c r="AD161" s="130">
        <f t="shared" si="148"/>
        <v>0</v>
      </c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8">
        <f>SUM(AE161:AS161)</f>
        <v>0</v>
      </c>
      <c r="AU161" s="131">
        <f t="shared" si="149"/>
        <v>0</v>
      </c>
      <c r="AV161" s="123"/>
      <c r="AW161" s="11">
        <f t="shared" si="150"/>
        <v>0</v>
      </c>
      <c r="AX161" s="129">
        <f t="shared" ref="AX161:BE161" si="178">AW161+AF161-J161</f>
        <v>0</v>
      </c>
      <c r="AY161" s="129">
        <f t="shared" si="178"/>
        <v>0</v>
      </c>
      <c r="AZ161" s="129">
        <f t="shared" si="178"/>
        <v>0</v>
      </c>
      <c r="BA161" s="129">
        <f t="shared" si="178"/>
        <v>0</v>
      </c>
      <c r="BB161" s="129">
        <f t="shared" si="178"/>
        <v>0</v>
      </c>
      <c r="BC161" s="129">
        <f t="shared" si="178"/>
        <v>0</v>
      </c>
      <c r="BD161" s="129">
        <f t="shared" si="178"/>
        <v>0</v>
      </c>
      <c r="BE161" s="129">
        <f t="shared" si="178"/>
        <v>0</v>
      </c>
      <c r="BF161" s="129">
        <f t="shared" ref="BF161:BK161" si="179">BE161+AN161-R161</f>
        <v>0</v>
      </c>
      <c r="BG161" s="129">
        <f t="shared" si="179"/>
        <v>0</v>
      </c>
      <c r="BH161" s="129">
        <f t="shared" si="179"/>
        <v>0</v>
      </c>
      <c r="BI161" s="129">
        <f t="shared" si="179"/>
        <v>0</v>
      </c>
      <c r="BJ161" s="129">
        <f t="shared" si="179"/>
        <v>0</v>
      </c>
      <c r="BK161" s="129">
        <f t="shared" si="179"/>
        <v>0</v>
      </c>
    </row>
    <row r="162" spans="1:63" s="100" customFormat="1" ht="16" hidden="1" customHeight="1">
      <c r="A162" s="13" t="s">
        <v>29</v>
      </c>
      <c r="B162" s="13" t="s">
        <v>464</v>
      </c>
      <c r="C162" s="13" t="s">
        <v>465</v>
      </c>
      <c r="D162" s="13" t="s">
        <v>455</v>
      </c>
      <c r="E162" s="13" t="s">
        <v>459</v>
      </c>
      <c r="F162" s="13" t="s">
        <v>207</v>
      </c>
      <c r="G162" s="13" t="s">
        <v>58</v>
      </c>
      <c r="H162" s="13" t="s">
        <v>38</v>
      </c>
      <c r="I162" s="7"/>
      <c r="J162" s="7"/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/>
      <c r="R162" s="7"/>
      <c r="S162" s="7"/>
      <c r="T162" s="7"/>
      <c r="U162" s="7"/>
      <c r="V162" s="7"/>
      <c r="W162" s="7"/>
      <c r="X162" s="12">
        <v>0</v>
      </c>
      <c r="Y162" s="12">
        <v>0</v>
      </c>
      <c r="Z162" s="12">
        <f t="shared" si="147"/>
        <v>0</v>
      </c>
      <c r="AA162" s="12"/>
      <c r="AB162" s="12">
        <v>0</v>
      </c>
      <c r="AC162" s="12">
        <v>0</v>
      </c>
      <c r="AD162" s="130">
        <f t="shared" si="148"/>
        <v>0</v>
      </c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8">
        <f>SUM(AE162:AR162)</f>
        <v>0</v>
      </c>
      <c r="AU162" s="131">
        <f t="shared" si="149"/>
        <v>0</v>
      </c>
      <c r="AV162" s="123"/>
      <c r="AW162" s="11">
        <f t="shared" si="150"/>
        <v>0</v>
      </c>
      <c r="AX162" s="129">
        <f t="shared" ref="AX162:BG162" si="180">AW162+AF162-J162</f>
        <v>0</v>
      </c>
      <c r="AY162" s="129">
        <f t="shared" si="180"/>
        <v>0</v>
      </c>
      <c r="AZ162" s="129">
        <f t="shared" si="180"/>
        <v>0</v>
      </c>
      <c r="BA162" s="129">
        <f t="shared" si="180"/>
        <v>0</v>
      </c>
      <c r="BB162" s="129">
        <f t="shared" si="180"/>
        <v>0</v>
      </c>
      <c r="BC162" s="129">
        <f t="shared" si="180"/>
        <v>0</v>
      </c>
      <c r="BD162" s="129">
        <f t="shared" si="180"/>
        <v>0</v>
      </c>
      <c r="BE162" s="129">
        <f t="shared" si="180"/>
        <v>0</v>
      </c>
      <c r="BF162" s="129">
        <f t="shared" si="180"/>
        <v>0</v>
      </c>
      <c r="BG162" s="129">
        <f t="shared" si="180"/>
        <v>0</v>
      </c>
      <c r="BH162" s="129">
        <f>AP162+AJ162-T162</f>
        <v>0</v>
      </c>
      <c r="BI162" s="129">
        <f>AQ162+AK162-U162</f>
        <v>0</v>
      </c>
      <c r="BJ162" s="129">
        <f>AR162+AL162-V162</f>
        <v>0</v>
      </c>
      <c r="BK162" s="129">
        <f>AS162+AM162-W162</f>
        <v>0</v>
      </c>
    </row>
    <row r="163" spans="1:63" s="100" customFormat="1" ht="16" hidden="1" customHeight="1">
      <c r="A163" s="13" t="s">
        <v>29</v>
      </c>
      <c r="B163" s="13" t="s">
        <v>466</v>
      </c>
      <c r="C163" s="13" t="s">
        <v>467</v>
      </c>
      <c r="D163" s="13" t="s">
        <v>455</v>
      </c>
      <c r="E163" s="13" t="s">
        <v>456</v>
      </c>
      <c r="F163" s="13" t="s">
        <v>273</v>
      </c>
      <c r="G163" s="13" t="s">
        <v>58</v>
      </c>
      <c r="H163" s="13" t="s">
        <v>38</v>
      </c>
      <c r="I163" s="7"/>
      <c r="J163" s="7"/>
      <c r="K163" s="7">
        <v>0</v>
      </c>
      <c r="L163" s="7">
        <v>10</v>
      </c>
      <c r="M163" s="7">
        <v>0</v>
      </c>
      <c r="N163" s="7">
        <v>1</v>
      </c>
      <c r="O163" s="7">
        <v>0</v>
      </c>
      <c r="P163" s="7">
        <v>10</v>
      </c>
      <c r="Q163" s="7"/>
      <c r="R163" s="7"/>
      <c r="S163" s="7"/>
      <c r="T163" s="7"/>
      <c r="U163" s="7"/>
      <c r="V163" s="7"/>
      <c r="W163" s="7"/>
      <c r="X163" s="12">
        <v>1642</v>
      </c>
      <c r="Y163" s="12">
        <v>21</v>
      </c>
      <c r="Z163" s="12">
        <f t="shared" si="147"/>
        <v>1621</v>
      </c>
      <c r="AA163" s="12"/>
      <c r="AB163" s="12">
        <v>21</v>
      </c>
      <c r="AC163" s="12">
        <v>0</v>
      </c>
      <c r="AD163" s="130">
        <f t="shared" si="148"/>
        <v>0</v>
      </c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8">
        <f>SUM(AE163:AS163)</f>
        <v>0</v>
      </c>
      <c r="AU163" s="131">
        <f t="shared" si="149"/>
        <v>0</v>
      </c>
      <c r="AV163" s="123"/>
      <c r="AW163" s="11">
        <f t="shared" si="150"/>
        <v>21</v>
      </c>
      <c r="AX163" s="129">
        <f t="shared" ref="AX163:BE163" si="181">AW163+AF163-J163</f>
        <v>21</v>
      </c>
      <c r="AY163" s="129">
        <f t="shared" si="181"/>
        <v>21</v>
      </c>
      <c r="AZ163" s="129">
        <f t="shared" si="181"/>
        <v>11</v>
      </c>
      <c r="BA163" s="129">
        <f t="shared" si="181"/>
        <v>11</v>
      </c>
      <c r="BB163" s="129">
        <f t="shared" si="181"/>
        <v>10</v>
      </c>
      <c r="BC163" s="129">
        <f t="shared" si="181"/>
        <v>10</v>
      </c>
      <c r="BD163" s="129">
        <f t="shared" si="181"/>
        <v>0</v>
      </c>
      <c r="BE163" s="129">
        <f t="shared" si="181"/>
        <v>0</v>
      </c>
      <c r="BF163" s="129">
        <f t="shared" ref="BF163:BK163" si="182">BE163+AN163-R163</f>
        <v>0</v>
      </c>
      <c r="BG163" s="129">
        <f t="shared" si="182"/>
        <v>0</v>
      </c>
      <c r="BH163" s="129">
        <f t="shared" si="182"/>
        <v>0</v>
      </c>
      <c r="BI163" s="129">
        <f t="shared" si="182"/>
        <v>0</v>
      </c>
      <c r="BJ163" s="129">
        <f t="shared" si="182"/>
        <v>0</v>
      </c>
      <c r="BK163" s="129">
        <f t="shared" si="182"/>
        <v>0</v>
      </c>
    </row>
    <row r="164" spans="1:63" s="100" customFormat="1" ht="16" hidden="1" customHeight="1">
      <c r="A164" s="13" t="s">
        <v>29</v>
      </c>
      <c r="B164" s="13" t="s">
        <v>468</v>
      </c>
      <c r="C164" s="13" t="s">
        <v>469</v>
      </c>
      <c r="D164" s="13" t="s">
        <v>455</v>
      </c>
      <c r="E164" s="13" t="s">
        <v>470</v>
      </c>
      <c r="F164" s="13" t="s">
        <v>273</v>
      </c>
      <c r="G164" s="13"/>
      <c r="H164" s="13"/>
      <c r="I164" s="7"/>
      <c r="J164" s="7"/>
      <c r="K164" s="7">
        <v>0</v>
      </c>
      <c r="L164" s="7">
        <v>0</v>
      </c>
      <c r="M164" s="7">
        <v>170</v>
      </c>
      <c r="N164" s="7">
        <v>100</v>
      </c>
      <c r="O164" s="7">
        <v>121</v>
      </c>
      <c r="P164" s="7">
        <v>6</v>
      </c>
      <c r="Q164" s="7"/>
      <c r="R164" s="7"/>
      <c r="S164" s="7"/>
      <c r="T164" s="7"/>
      <c r="U164" s="7"/>
      <c r="V164" s="7"/>
      <c r="W164" s="7"/>
      <c r="X164" s="12">
        <v>557</v>
      </c>
      <c r="Y164" s="12">
        <v>417</v>
      </c>
      <c r="Z164" s="12">
        <f t="shared" si="147"/>
        <v>140</v>
      </c>
      <c r="AA164" s="12"/>
      <c r="AB164" s="12">
        <v>417</v>
      </c>
      <c r="AC164" s="12">
        <v>0</v>
      </c>
      <c r="AD164" s="130">
        <f t="shared" si="148"/>
        <v>0</v>
      </c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8">
        <f>SUM(AE164:AS164)</f>
        <v>0</v>
      </c>
      <c r="AU164" s="131">
        <f t="shared" si="149"/>
        <v>0</v>
      </c>
      <c r="AV164" s="123"/>
      <c r="AW164" s="11">
        <f t="shared" si="150"/>
        <v>417</v>
      </c>
      <c r="AX164" s="129">
        <f t="shared" ref="AX164:BE164" si="183">AW164+AF164-J164</f>
        <v>417</v>
      </c>
      <c r="AY164" s="129">
        <f t="shared" si="183"/>
        <v>417</v>
      </c>
      <c r="AZ164" s="129">
        <f t="shared" si="183"/>
        <v>417</v>
      </c>
      <c r="BA164" s="129">
        <f t="shared" si="183"/>
        <v>247</v>
      </c>
      <c r="BB164" s="129">
        <f t="shared" si="183"/>
        <v>147</v>
      </c>
      <c r="BC164" s="129">
        <f t="shared" si="183"/>
        <v>26</v>
      </c>
      <c r="BD164" s="129">
        <f t="shared" si="183"/>
        <v>20</v>
      </c>
      <c r="BE164" s="129">
        <f t="shared" si="183"/>
        <v>20</v>
      </c>
      <c r="BF164" s="129">
        <f t="shared" ref="BF164:BK164" si="184">BE164+AN164-R164</f>
        <v>20</v>
      </c>
      <c r="BG164" s="129">
        <f t="shared" si="184"/>
        <v>20</v>
      </c>
      <c r="BH164" s="129">
        <f t="shared" si="184"/>
        <v>20</v>
      </c>
      <c r="BI164" s="129">
        <f t="shared" si="184"/>
        <v>20</v>
      </c>
      <c r="BJ164" s="129">
        <f t="shared" si="184"/>
        <v>20</v>
      </c>
      <c r="BK164" s="129">
        <f t="shared" si="184"/>
        <v>20</v>
      </c>
    </row>
    <row r="165" spans="1:63" s="100" customFormat="1" ht="16" hidden="1" customHeight="1">
      <c r="A165" s="13" t="s">
        <v>29</v>
      </c>
      <c r="B165" s="13" t="s">
        <v>471</v>
      </c>
      <c r="C165" s="13" t="s">
        <v>472</v>
      </c>
      <c r="D165" s="13"/>
      <c r="E165" s="13" t="s">
        <v>409</v>
      </c>
      <c r="F165" s="13" t="s">
        <v>273</v>
      </c>
      <c r="G165" s="13" t="s">
        <v>58</v>
      </c>
      <c r="H165" s="13" t="s">
        <v>38</v>
      </c>
      <c r="I165" s="7"/>
      <c r="J165" s="7"/>
      <c r="K165" s="7">
        <v>0</v>
      </c>
      <c r="L165" s="7">
        <v>50</v>
      </c>
      <c r="M165" s="7">
        <v>0</v>
      </c>
      <c r="N165" s="7">
        <v>70</v>
      </c>
      <c r="O165" s="7">
        <v>180</v>
      </c>
      <c r="P165" s="7">
        <v>140</v>
      </c>
      <c r="Q165" s="7"/>
      <c r="R165" s="7"/>
      <c r="S165" s="7"/>
      <c r="T165" s="7"/>
      <c r="U165" s="7"/>
      <c r="V165" s="7"/>
      <c r="W165" s="7"/>
      <c r="X165" s="12">
        <v>2600</v>
      </c>
      <c r="Y165" s="12">
        <v>650</v>
      </c>
      <c r="Z165" s="12">
        <f t="shared" si="147"/>
        <v>1950</v>
      </c>
      <c r="AA165" s="12"/>
      <c r="AB165" s="12">
        <v>650</v>
      </c>
      <c r="AC165" s="12">
        <v>0</v>
      </c>
      <c r="AD165" s="130">
        <f t="shared" si="148"/>
        <v>0</v>
      </c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8">
        <f>SUM(AE165:AS165)</f>
        <v>0</v>
      </c>
      <c r="AU165" s="131">
        <f t="shared" si="149"/>
        <v>0</v>
      </c>
      <c r="AV165" s="123"/>
      <c r="AW165" s="11">
        <f t="shared" si="150"/>
        <v>650</v>
      </c>
      <c r="AX165" s="129">
        <f t="shared" ref="AX165:BE165" si="185">AW165+AF165-J165</f>
        <v>650</v>
      </c>
      <c r="AY165" s="129">
        <f t="shared" si="185"/>
        <v>650</v>
      </c>
      <c r="AZ165" s="129">
        <f t="shared" si="185"/>
        <v>600</v>
      </c>
      <c r="BA165" s="129">
        <f t="shared" si="185"/>
        <v>600</v>
      </c>
      <c r="BB165" s="129">
        <f t="shared" si="185"/>
        <v>530</v>
      </c>
      <c r="BC165" s="129">
        <f t="shared" si="185"/>
        <v>350</v>
      </c>
      <c r="BD165" s="129">
        <f t="shared" si="185"/>
        <v>210</v>
      </c>
      <c r="BE165" s="129">
        <f t="shared" si="185"/>
        <v>210</v>
      </c>
      <c r="BF165" s="129">
        <f t="shared" ref="BF165:BK165" si="186">BE165+AN165-R165</f>
        <v>210</v>
      </c>
      <c r="BG165" s="129">
        <f t="shared" si="186"/>
        <v>210</v>
      </c>
      <c r="BH165" s="129">
        <f t="shared" si="186"/>
        <v>210</v>
      </c>
      <c r="BI165" s="129">
        <f t="shared" si="186"/>
        <v>210</v>
      </c>
      <c r="BJ165" s="129">
        <f t="shared" si="186"/>
        <v>210</v>
      </c>
      <c r="BK165" s="129">
        <f t="shared" si="186"/>
        <v>210</v>
      </c>
    </row>
    <row r="166" spans="1:63" s="100" customFormat="1" ht="16" customHeight="1">
      <c r="A166" s="13" t="s">
        <v>29</v>
      </c>
      <c r="B166" s="13" t="s">
        <v>473</v>
      </c>
      <c r="C166" s="13" t="s">
        <v>474</v>
      </c>
      <c r="D166" s="13"/>
      <c r="E166" s="13" t="s">
        <v>421</v>
      </c>
      <c r="F166" s="13" t="s">
        <v>273</v>
      </c>
      <c r="G166" s="13"/>
      <c r="H166" s="13"/>
      <c r="I166" s="7"/>
      <c r="J166" s="7"/>
      <c r="K166" s="7">
        <v>0</v>
      </c>
      <c r="L166" s="7">
        <v>0</v>
      </c>
      <c r="M166" s="7">
        <v>5</v>
      </c>
      <c r="N166" s="7">
        <v>0</v>
      </c>
      <c r="O166" s="7">
        <v>100</v>
      </c>
      <c r="P166" s="7">
        <v>185</v>
      </c>
      <c r="Q166" s="7"/>
      <c r="R166" s="7"/>
      <c r="S166" s="7"/>
      <c r="T166" s="7"/>
      <c r="U166" s="7"/>
      <c r="V166" s="7"/>
      <c r="W166" s="7"/>
      <c r="X166" s="12">
        <v>131</v>
      </c>
      <c r="Y166" s="12">
        <v>131</v>
      </c>
      <c r="Z166" s="12">
        <f t="shared" si="147"/>
        <v>580</v>
      </c>
      <c r="AA166" s="12"/>
      <c r="AB166" s="12">
        <v>420</v>
      </c>
      <c r="AC166" s="12">
        <v>580</v>
      </c>
      <c r="AD166" s="130">
        <f t="shared" si="148"/>
        <v>869</v>
      </c>
      <c r="AE166" s="12"/>
      <c r="AF166" s="12"/>
      <c r="AG166" s="12"/>
      <c r="AH166" s="12"/>
      <c r="AI166" s="12"/>
      <c r="AJ166" s="12"/>
      <c r="AK166" s="12"/>
      <c r="AL166" s="10">
        <v>869</v>
      </c>
      <c r="AM166" s="12"/>
      <c r="AN166" s="12"/>
      <c r="AO166" s="12"/>
      <c r="AP166" s="12"/>
      <c r="AQ166" s="12"/>
      <c r="AR166" s="12"/>
      <c r="AS166" s="12"/>
      <c r="AT166" s="18">
        <f>SUM(AE166:AR166)</f>
        <v>869</v>
      </c>
      <c r="AU166" s="131">
        <f t="shared" si="149"/>
        <v>0</v>
      </c>
      <c r="AV166" s="123"/>
      <c r="AW166" s="11">
        <f t="shared" si="150"/>
        <v>131</v>
      </c>
      <c r="AX166" s="129">
        <f t="shared" ref="AX166:BG166" si="187">AW166+AF166-J166</f>
        <v>131</v>
      </c>
      <c r="AY166" s="129">
        <f t="shared" si="187"/>
        <v>131</v>
      </c>
      <c r="AZ166" s="129">
        <f t="shared" si="187"/>
        <v>131</v>
      </c>
      <c r="BA166" s="129">
        <f t="shared" si="187"/>
        <v>126</v>
      </c>
      <c r="BB166" s="129">
        <f t="shared" si="187"/>
        <v>126</v>
      </c>
      <c r="BC166" s="129">
        <f t="shared" si="187"/>
        <v>26</v>
      </c>
      <c r="BD166" s="129">
        <f t="shared" si="187"/>
        <v>710</v>
      </c>
      <c r="BE166" s="129">
        <f t="shared" si="187"/>
        <v>710</v>
      </c>
      <c r="BF166" s="129">
        <f t="shared" si="187"/>
        <v>710</v>
      </c>
      <c r="BG166" s="129">
        <f t="shared" si="187"/>
        <v>710</v>
      </c>
      <c r="BH166" s="129">
        <f t="shared" ref="BH166:BK170" si="188">AP166+AJ166-T166</f>
        <v>0</v>
      </c>
      <c r="BI166" s="129">
        <f t="shared" si="188"/>
        <v>0</v>
      </c>
      <c r="BJ166" s="129">
        <f t="shared" si="188"/>
        <v>869</v>
      </c>
      <c r="BK166" s="129">
        <f t="shared" si="188"/>
        <v>0</v>
      </c>
    </row>
    <row r="167" spans="1:63" s="100" customFormat="1" ht="16" hidden="1" customHeight="1">
      <c r="A167" s="13" t="s">
        <v>29</v>
      </c>
      <c r="B167" s="13" t="s">
        <v>475</v>
      </c>
      <c r="C167" s="13" t="s">
        <v>476</v>
      </c>
      <c r="D167" s="13" t="s">
        <v>477</v>
      </c>
      <c r="E167" s="13" t="s">
        <v>272</v>
      </c>
      <c r="F167" s="13" t="s">
        <v>273</v>
      </c>
      <c r="G167" s="13" t="s">
        <v>58</v>
      </c>
      <c r="H167" s="13" t="s">
        <v>38</v>
      </c>
      <c r="I167" s="7"/>
      <c r="J167" s="7"/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/>
      <c r="R167" s="7"/>
      <c r="S167" s="7"/>
      <c r="T167" s="7"/>
      <c r="U167" s="7"/>
      <c r="V167" s="7"/>
      <c r="W167" s="7"/>
      <c r="X167" s="12">
        <v>0</v>
      </c>
      <c r="Y167" s="12">
        <v>0</v>
      </c>
      <c r="Z167" s="12">
        <f t="shared" si="147"/>
        <v>0</v>
      </c>
      <c r="AA167" s="12"/>
      <c r="AB167" s="12">
        <v>0</v>
      </c>
      <c r="AC167" s="12">
        <v>0</v>
      </c>
      <c r="AD167" s="130">
        <f t="shared" si="148"/>
        <v>0</v>
      </c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8">
        <f>SUM(AE167:AR167)</f>
        <v>0</v>
      </c>
      <c r="AU167" s="131">
        <f t="shared" si="149"/>
        <v>0</v>
      </c>
      <c r="AV167" s="123"/>
      <c r="AW167" s="11">
        <f t="shared" si="150"/>
        <v>0</v>
      </c>
      <c r="AX167" s="129">
        <f t="shared" ref="AX167:BG167" si="189">AW167+AF167-J167</f>
        <v>0</v>
      </c>
      <c r="AY167" s="129">
        <f t="shared" si="189"/>
        <v>0</v>
      </c>
      <c r="AZ167" s="129">
        <f t="shared" si="189"/>
        <v>0</v>
      </c>
      <c r="BA167" s="129">
        <f t="shared" si="189"/>
        <v>0</v>
      </c>
      <c r="BB167" s="129">
        <f t="shared" si="189"/>
        <v>0</v>
      </c>
      <c r="BC167" s="129">
        <f t="shared" si="189"/>
        <v>0</v>
      </c>
      <c r="BD167" s="129">
        <f t="shared" si="189"/>
        <v>0</v>
      </c>
      <c r="BE167" s="129">
        <f t="shared" si="189"/>
        <v>0</v>
      </c>
      <c r="BF167" s="129">
        <f t="shared" si="189"/>
        <v>0</v>
      </c>
      <c r="BG167" s="129">
        <f t="shared" si="189"/>
        <v>0</v>
      </c>
      <c r="BH167" s="129">
        <f t="shared" si="188"/>
        <v>0</v>
      </c>
      <c r="BI167" s="129">
        <f t="shared" si="188"/>
        <v>0</v>
      </c>
      <c r="BJ167" s="129">
        <f t="shared" si="188"/>
        <v>0</v>
      </c>
      <c r="BK167" s="129">
        <f t="shared" si="188"/>
        <v>0</v>
      </c>
    </row>
    <row r="168" spans="1:63" s="100" customFormat="1" ht="16" hidden="1" customHeight="1">
      <c r="A168" s="13" t="s">
        <v>29</v>
      </c>
      <c r="B168" s="13" t="s">
        <v>478</v>
      </c>
      <c r="C168" s="13" t="s">
        <v>479</v>
      </c>
      <c r="D168" s="13" t="s">
        <v>477</v>
      </c>
      <c r="E168" s="13" t="s">
        <v>272</v>
      </c>
      <c r="F168" s="13" t="s">
        <v>273</v>
      </c>
      <c r="G168" s="13" t="s">
        <v>58</v>
      </c>
      <c r="H168" s="13" t="s">
        <v>38</v>
      </c>
      <c r="I168" s="7"/>
      <c r="J168" s="7"/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/>
      <c r="R168" s="7"/>
      <c r="S168" s="7"/>
      <c r="T168" s="7"/>
      <c r="U168" s="7"/>
      <c r="V168" s="7"/>
      <c r="W168" s="7"/>
      <c r="X168" s="12">
        <v>0</v>
      </c>
      <c r="Y168" s="12">
        <v>0</v>
      </c>
      <c r="Z168" s="12">
        <f t="shared" si="147"/>
        <v>0</v>
      </c>
      <c r="AA168" s="12"/>
      <c r="AB168" s="12">
        <v>0</v>
      </c>
      <c r="AC168" s="12">
        <v>0</v>
      </c>
      <c r="AD168" s="130">
        <f t="shared" si="148"/>
        <v>0</v>
      </c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8">
        <f>SUM(AE168:AR168)</f>
        <v>0</v>
      </c>
      <c r="AU168" s="131">
        <f t="shared" si="149"/>
        <v>0</v>
      </c>
      <c r="AV168" s="123"/>
      <c r="AW168" s="11">
        <f t="shared" si="150"/>
        <v>0</v>
      </c>
      <c r="AX168" s="129">
        <f t="shared" ref="AX168:BG168" si="190">AW168+AF168-J168</f>
        <v>0</v>
      </c>
      <c r="AY168" s="129">
        <f t="shared" si="190"/>
        <v>0</v>
      </c>
      <c r="AZ168" s="129">
        <f t="shared" si="190"/>
        <v>0</v>
      </c>
      <c r="BA168" s="129">
        <f t="shared" si="190"/>
        <v>0</v>
      </c>
      <c r="BB168" s="129">
        <f t="shared" si="190"/>
        <v>0</v>
      </c>
      <c r="BC168" s="129">
        <f t="shared" si="190"/>
        <v>0</v>
      </c>
      <c r="BD168" s="129">
        <f t="shared" si="190"/>
        <v>0</v>
      </c>
      <c r="BE168" s="129">
        <f t="shared" si="190"/>
        <v>0</v>
      </c>
      <c r="BF168" s="129">
        <f t="shared" si="190"/>
        <v>0</v>
      </c>
      <c r="BG168" s="129">
        <f t="shared" si="190"/>
        <v>0</v>
      </c>
      <c r="BH168" s="129">
        <f t="shared" si="188"/>
        <v>0</v>
      </c>
      <c r="BI168" s="129">
        <f t="shared" si="188"/>
        <v>0</v>
      </c>
      <c r="BJ168" s="129">
        <f t="shared" si="188"/>
        <v>0</v>
      </c>
      <c r="BK168" s="129">
        <f t="shared" si="188"/>
        <v>0</v>
      </c>
    </row>
    <row r="169" spans="1:63" s="100" customFormat="1" ht="16" hidden="1" customHeight="1">
      <c r="A169" s="13" t="s">
        <v>29</v>
      </c>
      <c r="B169" s="13" t="s">
        <v>480</v>
      </c>
      <c r="C169" s="13" t="s">
        <v>481</v>
      </c>
      <c r="D169" s="13" t="s">
        <v>477</v>
      </c>
      <c r="E169" s="13" t="s">
        <v>272</v>
      </c>
      <c r="F169" s="13" t="s">
        <v>273</v>
      </c>
      <c r="G169" s="13" t="s">
        <v>58</v>
      </c>
      <c r="H169" s="13" t="s">
        <v>38</v>
      </c>
      <c r="I169" s="7"/>
      <c r="J169" s="7"/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/>
      <c r="R169" s="7"/>
      <c r="S169" s="7"/>
      <c r="T169" s="7"/>
      <c r="U169" s="7"/>
      <c r="V169" s="7"/>
      <c r="W169" s="7"/>
      <c r="X169" s="12">
        <v>0</v>
      </c>
      <c r="Y169" s="12">
        <v>0</v>
      </c>
      <c r="Z169" s="12">
        <f t="shared" si="147"/>
        <v>0</v>
      </c>
      <c r="AA169" s="12"/>
      <c r="AB169" s="12">
        <v>0</v>
      </c>
      <c r="AC169" s="12">
        <v>0</v>
      </c>
      <c r="AD169" s="130">
        <f t="shared" si="148"/>
        <v>0</v>
      </c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8">
        <f>SUM(AE169:AR169)</f>
        <v>0</v>
      </c>
      <c r="AU169" s="131">
        <f t="shared" si="149"/>
        <v>0</v>
      </c>
      <c r="AV169" s="123"/>
      <c r="AW169" s="11">
        <f t="shared" si="150"/>
        <v>0</v>
      </c>
      <c r="AX169" s="129">
        <f t="shared" ref="AX169:BG169" si="191">AW169+AF169-J169</f>
        <v>0</v>
      </c>
      <c r="AY169" s="129">
        <f t="shared" si="191"/>
        <v>0</v>
      </c>
      <c r="AZ169" s="129">
        <f t="shared" si="191"/>
        <v>0</v>
      </c>
      <c r="BA169" s="129">
        <f t="shared" si="191"/>
        <v>0</v>
      </c>
      <c r="BB169" s="129">
        <f t="shared" si="191"/>
        <v>0</v>
      </c>
      <c r="BC169" s="129">
        <f t="shared" si="191"/>
        <v>0</v>
      </c>
      <c r="BD169" s="129">
        <f t="shared" si="191"/>
        <v>0</v>
      </c>
      <c r="BE169" s="129">
        <f t="shared" si="191"/>
        <v>0</v>
      </c>
      <c r="BF169" s="129">
        <f t="shared" si="191"/>
        <v>0</v>
      </c>
      <c r="BG169" s="129">
        <f t="shared" si="191"/>
        <v>0</v>
      </c>
      <c r="BH169" s="129">
        <f t="shared" si="188"/>
        <v>0</v>
      </c>
      <c r="BI169" s="129">
        <f t="shared" si="188"/>
        <v>0</v>
      </c>
      <c r="BJ169" s="129">
        <f t="shared" si="188"/>
        <v>0</v>
      </c>
      <c r="BK169" s="129">
        <f t="shared" si="188"/>
        <v>0</v>
      </c>
    </row>
    <row r="170" spans="1:63" s="100" customFormat="1" ht="16" hidden="1" customHeight="1">
      <c r="A170" s="13" t="s">
        <v>29</v>
      </c>
      <c r="B170" s="13" t="s">
        <v>482</v>
      </c>
      <c r="C170" s="13" t="s">
        <v>483</v>
      </c>
      <c r="D170" s="13" t="s">
        <v>484</v>
      </c>
      <c r="E170" s="13" t="s">
        <v>485</v>
      </c>
      <c r="F170" s="13" t="s">
        <v>273</v>
      </c>
      <c r="G170" s="13" t="s">
        <v>58</v>
      </c>
      <c r="H170" s="13" t="s">
        <v>38</v>
      </c>
      <c r="I170" s="7"/>
      <c r="J170" s="7"/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/>
      <c r="R170" s="7"/>
      <c r="S170" s="7"/>
      <c r="T170" s="7"/>
      <c r="U170" s="7"/>
      <c r="V170" s="7"/>
      <c r="W170" s="7"/>
      <c r="X170" s="12">
        <v>0</v>
      </c>
      <c r="Y170" s="12">
        <v>0</v>
      </c>
      <c r="Z170" s="12">
        <f t="shared" si="147"/>
        <v>0</v>
      </c>
      <c r="AA170" s="12"/>
      <c r="AB170" s="12">
        <v>0</v>
      </c>
      <c r="AC170" s="12">
        <v>0</v>
      </c>
      <c r="AD170" s="130">
        <f t="shared" si="148"/>
        <v>0</v>
      </c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8">
        <f>SUM(AE170:AR170)</f>
        <v>0</v>
      </c>
      <c r="AU170" s="131">
        <f t="shared" si="149"/>
        <v>0</v>
      </c>
      <c r="AV170" s="123"/>
      <c r="AW170" s="11">
        <f t="shared" si="150"/>
        <v>0</v>
      </c>
      <c r="AX170" s="129">
        <f t="shared" ref="AX170:BG170" si="192">AW170+AF170-J170</f>
        <v>0</v>
      </c>
      <c r="AY170" s="129">
        <f t="shared" si="192"/>
        <v>0</v>
      </c>
      <c r="AZ170" s="129">
        <f t="shared" si="192"/>
        <v>0</v>
      </c>
      <c r="BA170" s="129">
        <f t="shared" si="192"/>
        <v>0</v>
      </c>
      <c r="BB170" s="129">
        <f t="shared" si="192"/>
        <v>0</v>
      </c>
      <c r="BC170" s="129">
        <f t="shared" si="192"/>
        <v>0</v>
      </c>
      <c r="BD170" s="129">
        <f t="shared" si="192"/>
        <v>0</v>
      </c>
      <c r="BE170" s="129">
        <f t="shared" si="192"/>
        <v>0</v>
      </c>
      <c r="BF170" s="129">
        <f t="shared" si="192"/>
        <v>0</v>
      </c>
      <c r="BG170" s="129">
        <f t="shared" si="192"/>
        <v>0</v>
      </c>
      <c r="BH170" s="129">
        <f t="shared" si="188"/>
        <v>0</v>
      </c>
      <c r="BI170" s="129">
        <f t="shared" si="188"/>
        <v>0</v>
      </c>
      <c r="BJ170" s="129">
        <f t="shared" si="188"/>
        <v>0</v>
      </c>
      <c r="BK170" s="129">
        <f t="shared" si="188"/>
        <v>0</v>
      </c>
    </row>
    <row r="171" spans="1:63" s="100" customFormat="1" ht="16" hidden="1" customHeight="1">
      <c r="A171" s="13" t="s">
        <v>29</v>
      </c>
      <c r="B171" s="13" t="s">
        <v>486</v>
      </c>
      <c r="C171" s="13" t="s">
        <v>487</v>
      </c>
      <c r="D171" s="13" t="s">
        <v>484</v>
      </c>
      <c r="E171" s="13" t="s">
        <v>485</v>
      </c>
      <c r="F171" s="13" t="s">
        <v>273</v>
      </c>
      <c r="G171" s="13" t="s">
        <v>58</v>
      </c>
      <c r="H171" s="13" t="s">
        <v>38</v>
      </c>
      <c r="I171" s="7"/>
      <c r="J171" s="7"/>
      <c r="K171" s="7">
        <v>0</v>
      </c>
      <c r="L171" s="7">
        <v>0</v>
      </c>
      <c r="M171" s="7">
        <v>0</v>
      </c>
      <c r="N171" s="7">
        <v>0</v>
      </c>
      <c r="O171" s="7">
        <v>120</v>
      </c>
      <c r="P171" s="7">
        <v>20</v>
      </c>
      <c r="Q171" s="7"/>
      <c r="R171" s="7"/>
      <c r="S171" s="7"/>
      <c r="T171" s="7"/>
      <c r="U171" s="7"/>
      <c r="V171" s="7"/>
      <c r="W171" s="7"/>
      <c r="X171" s="12">
        <v>1235</v>
      </c>
      <c r="Y171" s="12">
        <v>280</v>
      </c>
      <c r="Z171" s="12">
        <f t="shared" si="147"/>
        <v>955</v>
      </c>
      <c r="AA171" s="12"/>
      <c r="AB171" s="12">
        <v>280</v>
      </c>
      <c r="AC171" s="12">
        <v>0</v>
      </c>
      <c r="AD171" s="130">
        <f t="shared" si="148"/>
        <v>0</v>
      </c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8">
        <f>SUM(AE171:AS171)</f>
        <v>0</v>
      </c>
      <c r="AU171" s="131">
        <f t="shared" si="149"/>
        <v>0</v>
      </c>
      <c r="AV171" s="123"/>
      <c r="AW171" s="11">
        <f t="shared" si="150"/>
        <v>280</v>
      </c>
      <c r="AX171" s="129">
        <f t="shared" ref="AX171:BE171" si="193">AW171+AF171-J171</f>
        <v>280</v>
      </c>
      <c r="AY171" s="129">
        <f t="shared" si="193"/>
        <v>280</v>
      </c>
      <c r="AZ171" s="129">
        <f t="shared" si="193"/>
        <v>280</v>
      </c>
      <c r="BA171" s="129">
        <f t="shared" si="193"/>
        <v>280</v>
      </c>
      <c r="BB171" s="129">
        <f t="shared" si="193"/>
        <v>280</v>
      </c>
      <c r="BC171" s="129">
        <f t="shared" si="193"/>
        <v>160</v>
      </c>
      <c r="BD171" s="129">
        <f t="shared" si="193"/>
        <v>140</v>
      </c>
      <c r="BE171" s="129">
        <f t="shared" si="193"/>
        <v>140</v>
      </c>
      <c r="BF171" s="129">
        <f t="shared" ref="BF171:BK171" si="194">BE171+AN171-R171</f>
        <v>140</v>
      </c>
      <c r="BG171" s="129">
        <f t="shared" si="194"/>
        <v>140</v>
      </c>
      <c r="BH171" s="129">
        <f t="shared" si="194"/>
        <v>140</v>
      </c>
      <c r="BI171" s="129">
        <f t="shared" si="194"/>
        <v>140</v>
      </c>
      <c r="BJ171" s="129">
        <f t="shared" si="194"/>
        <v>140</v>
      </c>
      <c r="BK171" s="129">
        <f t="shared" si="194"/>
        <v>140</v>
      </c>
    </row>
    <row r="172" spans="1:63" s="100" customFormat="1" ht="16" hidden="1" customHeight="1">
      <c r="A172" s="13" t="s">
        <v>29</v>
      </c>
      <c r="B172" s="13" t="s">
        <v>488</v>
      </c>
      <c r="C172" s="13" t="s">
        <v>489</v>
      </c>
      <c r="D172" s="13" t="s">
        <v>484</v>
      </c>
      <c r="E172" s="13" t="s">
        <v>490</v>
      </c>
      <c r="F172" s="13" t="s">
        <v>273</v>
      </c>
      <c r="G172" s="13" t="s">
        <v>58</v>
      </c>
      <c r="H172" s="13" t="s">
        <v>38</v>
      </c>
      <c r="I172" s="7"/>
      <c r="J172" s="7"/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/>
      <c r="R172" s="7"/>
      <c r="S172" s="7"/>
      <c r="T172" s="7"/>
      <c r="U172" s="7"/>
      <c r="V172" s="7"/>
      <c r="W172" s="7"/>
      <c r="X172" s="12">
        <v>0</v>
      </c>
      <c r="Y172" s="12">
        <v>0</v>
      </c>
      <c r="Z172" s="12">
        <f t="shared" ref="Z172:Z178" si="195">X172-Y172+AC172</f>
        <v>0</v>
      </c>
      <c r="AA172" s="12"/>
      <c r="AB172" s="12">
        <v>0</v>
      </c>
      <c r="AC172" s="12">
        <v>0</v>
      </c>
      <c r="AD172" s="130">
        <f t="shared" ref="AD172:AD184" si="196">AB172-Y172+AA172+AC172</f>
        <v>0</v>
      </c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8">
        <f t="shared" ref="AT172:AT178" si="197">SUM(AE172:AR172)</f>
        <v>0</v>
      </c>
      <c r="AU172" s="131">
        <f t="shared" ref="AU172:AU184" si="198">AD172-AT172</f>
        <v>0</v>
      </c>
      <c r="AV172" s="123"/>
      <c r="AW172" s="11">
        <f t="shared" ref="AW172:AW178" si="199">AE172+Y172-I172</f>
        <v>0</v>
      </c>
      <c r="AX172" s="129">
        <f t="shared" ref="AX172:AX188" si="200">AW172+AF172-J172</f>
        <v>0</v>
      </c>
      <c r="AY172" s="129">
        <f t="shared" ref="AY172:AY187" si="201">AX172+AG172-K172</f>
        <v>0</v>
      </c>
      <c r="AZ172" s="129">
        <f t="shared" ref="AZ172:AZ187" si="202">AY172+AH172-L172</f>
        <v>0</v>
      </c>
      <c r="BA172" s="129">
        <f t="shared" ref="BA172:BA187" si="203">AZ172+AI172-M172</f>
        <v>0</v>
      </c>
      <c r="BB172" s="129">
        <f t="shared" ref="BB172:BB187" si="204">BA172+AJ172-N172</f>
        <v>0</v>
      </c>
      <c r="BC172" s="129">
        <f t="shared" ref="BC172:BC187" si="205">BB172+AK172-O172</f>
        <v>0</v>
      </c>
      <c r="BD172" s="129">
        <f t="shared" ref="BD172:BD187" si="206">BC172+AL172-P172</f>
        <v>0</v>
      </c>
      <c r="BE172" s="129">
        <f t="shared" ref="BE172:BE187" si="207">BD172+AM172-Q172</f>
        <v>0</v>
      </c>
      <c r="BF172" s="129">
        <f t="shared" ref="BF172:BF183" si="208">BE172+AN172-R172</f>
        <v>0</v>
      </c>
      <c r="BG172" s="129">
        <f t="shared" ref="BG172:BG183" si="209">BF172+AO172-S172</f>
        <v>0</v>
      </c>
      <c r="BH172" s="129">
        <f t="shared" ref="BH172:BH183" si="210">AP172+AJ172-T172</f>
        <v>0</v>
      </c>
      <c r="BI172" s="129">
        <f t="shared" ref="BI172:BI183" si="211">AQ172+AK172-U172</f>
        <v>0</v>
      </c>
      <c r="BJ172" s="129">
        <f t="shared" ref="BJ172:BJ183" si="212">AR172+AL172-V172</f>
        <v>0</v>
      </c>
      <c r="BK172" s="129">
        <f t="shared" ref="BK172:BK183" si="213">AS172+AM172-W172</f>
        <v>0</v>
      </c>
    </row>
    <row r="173" spans="1:63" s="100" customFormat="1" ht="16" hidden="1" customHeight="1">
      <c r="A173" s="13" t="s">
        <v>29</v>
      </c>
      <c r="B173" s="13" t="s">
        <v>491</v>
      </c>
      <c r="C173" s="13" t="s">
        <v>492</v>
      </c>
      <c r="D173" s="13" t="s">
        <v>484</v>
      </c>
      <c r="E173" s="13" t="s">
        <v>276</v>
      </c>
      <c r="F173" s="13" t="s">
        <v>273</v>
      </c>
      <c r="G173" s="13" t="s">
        <v>58</v>
      </c>
      <c r="H173" s="13" t="s">
        <v>38</v>
      </c>
      <c r="I173" s="7"/>
      <c r="J173" s="7"/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/>
      <c r="R173" s="7"/>
      <c r="S173" s="7"/>
      <c r="T173" s="7"/>
      <c r="U173" s="7"/>
      <c r="V173" s="7"/>
      <c r="W173" s="7"/>
      <c r="X173" s="12">
        <v>0</v>
      </c>
      <c r="Y173" s="12">
        <v>0</v>
      </c>
      <c r="Z173" s="12">
        <f t="shared" si="195"/>
        <v>0</v>
      </c>
      <c r="AA173" s="12"/>
      <c r="AB173" s="12">
        <v>0</v>
      </c>
      <c r="AC173" s="12">
        <v>0</v>
      </c>
      <c r="AD173" s="130">
        <f t="shared" si="196"/>
        <v>0</v>
      </c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8">
        <f t="shared" si="197"/>
        <v>0</v>
      </c>
      <c r="AU173" s="131">
        <f t="shared" si="198"/>
        <v>0</v>
      </c>
      <c r="AV173" s="123"/>
      <c r="AW173" s="11">
        <f t="shared" si="199"/>
        <v>0</v>
      </c>
      <c r="AX173" s="129">
        <f t="shared" si="200"/>
        <v>0</v>
      </c>
      <c r="AY173" s="129">
        <f t="shared" si="201"/>
        <v>0</v>
      </c>
      <c r="AZ173" s="129">
        <f t="shared" si="202"/>
        <v>0</v>
      </c>
      <c r="BA173" s="129">
        <f t="shared" si="203"/>
        <v>0</v>
      </c>
      <c r="BB173" s="129">
        <f t="shared" si="204"/>
        <v>0</v>
      </c>
      <c r="BC173" s="129">
        <f t="shared" si="205"/>
        <v>0</v>
      </c>
      <c r="BD173" s="129">
        <f t="shared" si="206"/>
        <v>0</v>
      </c>
      <c r="BE173" s="129">
        <f t="shared" si="207"/>
        <v>0</v>
      </c>
      <c r="BF173" s="129">
        <f t="shared" si="208"/>
        <v>0</v>
      </c>
      <c r="BG173" s="129">
        <f t="shared" si="209"/>
        <v>0</v>
      </c>
      <c r="BH173" s="129">
        <f t="shared" si="210"/>
        <v>0</v>
      </c>
      <c r="BI173" s="129">
        <f t="shared" si="211"/>
        <v>0</v>
      </c>
      <c r="BJ173" s="129">
        <f t="shared" si="212"/>
        <v>0</v>
      </c>
      <c r="BK173" s="129">
        <f t="shared" si="213"/>
        <v>0</v>
      </c>
    </row>
    <row r="174" spans="1:63" s="100" customFormat="1" ht="16" hidden="1" customHeight="1">
      <c r="A174" s="13" t="s">
        <v>29</v>
      </c>
      <c r="B174" s="13" t="s">
        <v>493</v>
      </c>
      <c r="C174" s="13" t="s">
        <v>494</v>
      </c>
      <c r="D174" s="13" t="s">
        <v>484</v>
      </c>
      <c r="E174" s="13" t="s">
        <v>495</v>
      </c>
      <c r="F174" s="13" t="s">
        <v>273</v>
      </c>
      <c r="G174" s="13" t="s">
        <v>58</v>
      </c>
      <c r="H174" s="13" t="s">
        <v>38</v>
      </c>
      <c r="I174" s="7"/>
      <c r="J174" s="7"/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/>
      <c r="R174" s="7"/>
      <c r="S174" s="7"/>
      <c r="T174" s="7"/>
      <c r="U174" s="7"/>
      <c r="V174" s="7"/>
      <c r="W174" s="7"/>
      <c r="X174" s="12">
        <v>132</v>
      </c>
      <c r="Y174" s="12">
        <v>10</v>
      </c>
      <c r="Z174" s="12">
        <f t="shared" si="195"/>
        <v>122</v>
      </c>
      <c r="AA174" s="12"/>
      <c r="AB174" s="12">
        <v>10</v>
      </c>
      <c r="AC174" s="12">
        <v>0</v>
      </c>
      <c r="AD174" s="130">
        <f t="shared" si="196"/>
        <v>0</v>
      </c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8">
        <f t="shared" si="197"/>
        <v>0</v>
      </c>
      <c r="AU174" s="131">
        <f t="shared" si="198"/>
        <v>0</v>
      </c>
      <c r="AV174" s="123"/>
      <c r="AW174" s="11">
        <f t="shared" si="199"/>
        <v>10</v>
      </c>
      <c r="AX174" s="129">
        <f t="shared" si="200"/>
        <v>10</v>
      </c>
      <c r="AY174" s="129">
        <f t="shared" si="201"/>
        <v>10</v>
      </c>
      <c r="AZ174" s="129">
        <f t="shared" si="202"/>
        <v>10</v>
      </c>
      <c r="BA174" s="129">
        <f t="shared" si="203"/>
        <v>10</v>
      </c>
      <c r="BB174" s="129">
        <f t="shared" si="204"/>
        <v>10</v>
      </c>
      <c r="BC174" s="129">
        <f t="shared" si="205"/>
        <v>10</v>
      </c>
      <c r="BD174" s="129">
        <f t="shared" si="206"/>
        <v>10</v>
      </c>
      <c r="BE174" s="129">
        <f t="shared" si="207"/>
        <v>10</v>
      </c>
      <c r="BF174" s="129">
        <f t="shared" si="208"/>
        <v>10</v>
      </c>
      <c r="BG174" s="129">
        <f t="shared" si="209"/>
        <v>10</v>
      </c>
      <c r="BH174" s="129">
        <f t="shared" si="210"/>
        <v>0</v>
      </c>
      <c r="BI174" s="129">
        <f t="shared" si="211"/>
        <v>0</v>
      </c>
      <c r="BJ174" s="129">
        <f t="shared" si="212"/>
        <v>0</v>
      </c>
      <c r="BK174" s="129">
        <f t="shared" si="213"/>
        <v>0</v>
      </c>
    </row>
    <row r="175" spans="1:63" s="100" customFormat="1" ht="16" hidden="1" customHeight="1">
      <c r="A175" s="13" t="s">
        <v>29</v>
      </c>
      <c r="B175" s="13" t="s">
        <v>496</v>
      </c>
      <c r="C175" s="13" t="s">
        <v>497</v>
      </c>
      <c r="D175" s="13" t="s">
        <v>484</v>
      </c>
      <c r="E175" s="13" t="s">
        <v>498</v>
      </c>
      <c r="F175" s="13" t="s">
        <v>207</v>
      </c>
      <c r="G175" s="13" t="s">
        <v>37</v>
      </c>
      <c r="H175" s="13" t="s">
        <v>38</v>
      </c>
      <c r="I175" s="7"/>
      <c r="J175" s="7"/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/>
      <c r="R175" s="7"/>
      <c r="S175" s="7"/>
      <c r="T175" s="7"/>
      <c r="U175" s="7"/>
      <c r="V175" s="7"/>
      <c r="W175" s="7"/>
      <c r="X175" s="12">
        <v>0</v>
      </c>
      <c r="Y175" s="12">
        <v>0</v>
      </c>
      <c r="Z175" s="12">
        <f t="shared" si="195"/>
        <v>0</v>
      </c>
      <c r="AA175" s="12"/>
      <c r="AB175" s="12">
        <v>0</v>
      </c>
      <c r="AC175" s="12">
        <v>0</v>
      </c>
      <c r="AD175" s="130">
        <f t="shared" si="196"/>
        <v>0</v>
      </c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8">
        <f t="shared" si="197"/>
        <v>0</v>
      </c>
      <c r="AU175" s="131">
        <f t="shared" si="198"/>
        <v>0</v>
      </c>
      <c r="AV175" s="123"/>
      <c r="AW175" s="11">
        <f t="shared" si="199"/>
        <v>0</v>
      </c>
      <c r="AX175" s="129">
        <f t="shared" si="200"/>
        <v>0</v>
      </c>
      <c r="AY175" s="129">
        <f t="shared" si="201"/>
        <v>0</v>
      </c>
      <c r="AZ175" s="129">
        <f t="shared" si="202"/>
        <v>0</v>
      </c>
      <c r="BA175" s="129">
        <f t="shared" si="203"/>
        <v>0</v>
      </c>
      <c r="BB175" s="129">
        <f t="shared" si="204"/>
        <v>0</v>
      </c>
      <c r="BC175" s="129">
        <f t="shared" si="205"/>
        <v>0</v>
      </c>
      <c r="BD175" s="129">
        <f t="shared" si="206"/>
        <v>0</v>
      </c>
      <c r="BE175" s="129">
        <f t="shared" si="207"/>
        <v>0</v>
      </c>
      <c r="BF175" s="129">
        <f t="shared" si="208"/>
        <v>0</v>
      </c>
      <c r="BG175" s="129">
        <f t="shared" si="209"/>
        <v>0</v>
      </c>
      <c r="BH175" s="129">
        <f t="shared" si="210"/>
        <v>0</v>
      </c>
      <c r="BI175" s="129">
        <f t="shared" si="211"/>
        <v>0</v>
      </c>
      <c r="BJ175" s="129">
        <f t="shared" si="212"/>
        <v>0</v>
      </c>
      <c r="BK175" s="129">
        <f t="shared" si="213"/>
        <v>0</v>
      </c>
    </row>
    <row r="176" spans="1:63" s="100" customFormat="1" ht="16" hidden="1" customHeight="1">
      <c r="A176" s="13" t="s">
        <v>29</v>
      </c>
      <c r="B176" s="13" t="s">
        <v>499</v>
      </c>
      <c r="C176" s="13" t="s">
        <v>500</v>
      </c>
      <c r="D176" s="13" t="s">
        <v>484</v>
      </c>
      <c r="E176" s="13" t="s">
        <v>495</v>
      </c>
      <c r="F176" s="13" t="s">
        <v>273</v>
      </c>
      <c r="G176" s="13" t="s">
        <v>58</v>
      </c>
      <c r="H176" s="13" t="s">
        <v>38</v>
      </c>
      <c r="I176" s="7"/>
      <c r="J176" s="7"/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/>
      <c r="R176" s="7"/>
      <c r="S176" s="7"/>
      <c r="T176" s="7"/>
      <c r="U176" s="7"/>
      <c r="V176" s="7"/>
      <c r="W176" s="7"/>
      <c r="X176" s="12">
        <v>0</v>
      </c>
      <c r="Y176" s="12">
        <v>0</v>
      </c>
      <c r="Z176" s="12">
        <f t="shared" si="195"/>
        <v>0</v>
      </c>
      <c r="AA176" s="12"/>
      <c r="AB176" s="12">
        <v>0</v>
      </c>
      <c r="AC176" s="12">
        <v>0</v>
      </c>
      <c r="AD176" s="130">
        <f t="shared" si="196"/>
        <v>0</v>
      </c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8">
        <f t="shared" si="197"/>
        <v>0</v>
      </c>
      <c r="AU176" s="131">
        <f t="shared" si="198"/>
        <v>0</v>
      </c>
      <c r="AV176" s="123"/>
      <c r="AW176" s="11">
        <f t="shared" si="199"/>
        <v>0</v>
      </c>
      <c r="AX176" s="129">
        <f t="shared" si="200"/>
        <v>0</v>
      </c>
      <c r="AY176" s="129">
        <f t="shared" si="201"/>
        <v>0</v>
      </c>
      <c r="AZ176" s="129">
        <f t="shared" si="202"/>
        <v>0</v>
      </c>
      <c r="BA176" s="129">
        <f t="shared" si="203"/>
        <v>0</v>
      </c>
      <c r="BB176" s="129">
        <f t="shared" si="204"/>
        <v>0</v>
      </c>
      <c r="BC176" s="129">
        <f t="shared" si="205"/>
        <v>0</v>
      </c>
      <c r="BD176" s="129">
        <f t="shared" si="206"/>
        <v>0</v>
      </c>
      <c r="BE176" s="129">
        <f t="shared" si="207"/>
        <v>0</v>
      </c>
      <c r="BF176" s="129">
        <f t="shared" si="208"/>
        <v>0</v>
      </c>
      <c r="BG176" s="129">
        <f t="shared" si="209"/>
        <v>0</v>
      </c>
      <c r="BH176" s="129">
        <f t="shared" si="210"/>
        <v>0</v>
      </c>
      <c r="BI176" s="129">
        <f t="shared" si="211"/>
        <v>0</v>
      </c>
      <c r="BJ176" s="129">
        <f t="shared" si="212"/>
        <v>0</v>
      </c>
      <c r="BK176" s="129">
        <f t="shared" si="213"/>
        <v>0</v>
      </c>
    </row>
    <row r="177" spans="1:63" s="100" customFormat="1" ht="16" hidden="1" customHeight="1">
      <c r="A177" s="13" t="s">
        <v>29</v>
      </c>
      <c r="B177" s="13" t="s">
        <v>501</v>
      </c>
      <c r="C177" s="13" t="s">
        <v>502</v>
      </c>
      <c r="D177" s="13" t="s">
        <v>484</v>
      </c>
      <c r="E177" s="13" t="s">
        <v>498</v>
      </c>
      <c r="F177" s="13" t="s">
        <v>503</v>
      </c>
      <c r="G177" s="13" t="s">
        <v>37</v>
      </c>
      <c r="H177" s="13" t="s">
        <v>38</v>
      </c>
      <c r="I177" s="7"/>
      <c r="J177" s="7"/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/>
      <c r="R177" s="7"/>
      <c r="S177" s="7"/>
      <c r="T177" s="7"/>
      <c r="U177" s="7"/>
      <c r="V177" s="7"/>
      <c r="W177" s="7"/>
      <c r="X177" s="12">
        <v>0</v>
      </c>
      <c r="Y177" s="12">
        <v>0</v>
      </c>
      <c r="Z177" s="12">
        <f t="shared" si="195"/>
        <v>0</v>
      </c>
      <c r="AA177" s="12"/>
      <c r="AB177" s="12">
        <v>0</v>
      </c>
      <c r="AC177" s="12">
        <v>0</v>
      </c>
      <c r="AD177" s="130">
        <f t="shared" si="196"/>
        <v>0</v>
      </c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8">
        <f t="shared" si="197"/>
        <v>0</v>
      </c>
      <c r="AU177" s="131">
        <f t="shared" si="198"/>
        <v>0</v>
      </c>
      <c r="AV177" s="123"/>
      <c r="AW177" s="11">
        <f t="shared" si="199"/>
        <v>0</v>
      </c>
      <c r="AX177" s="129">
        <f t="shared" si="200"/>
        <v>0</v>
      </c>
      <c r="AY177" s="129">
        <f t="shared" si="201"/>
        <v>0</v>
      </c>
      <c r="AZ177" s="129">
        <f t="shared" si="202"/>
        <v>0</v>
      </c>
      <c r="BA177" s="129">
        <f t="shared" si="203"/>
        <v>0</v>
      </c>
      <c r="BB177" s="129">
        <f t="shared" si="204"/>
        <v>0</v>
      </c>
      <c r="BC177" s="129">
        <f t="shared" si="205"/>
        <v>0</v>
      </c>
      <c r="BD177" s="129">
        <f t="shared" si="206"/>
        <v>0</v>
      </c>
      <c r="BE177" s="129">
        <f t="shared" si="207"/>
        <v>0</v>
      </c>
      <c r="BF177" s="129">
        <f t="shared" si="208"/>
        <v>0</v>
      </c>
      <c r="BG177" s="129">
        <f t="shared" si="209"/>
        <v>0</v>
      </c>
      <c r="BH177" s="129">
        <f t="shared" si="210"/>
        <v>0</v>
      </c>
      <c r="BI177" s="129">
        <f t="shared" si="211"/>
        <v>0</v>
      </c>
      <c r="BJ177" s="129">
        <f t="shared" si="212"/>
        <v>0</v>
      </c>
      <c r="BK177" s="129">
        <f t="shared" si="213"/>
        <v>0</v>
      </c>
    </row>
    <row r="178" spans="1:63" s="100" customFormat="1" ht="16" hidden="1" customHeight="1">
      <c r="A178" s="13" t="s">
        <v>29</v>
      </c>
      <c r="B178" s="13" t="s">
        <v>504</v>
      </c>
      <c r="C178" s="13" t="s">
        <v>505</v>
      </c>
      <c r="D178" s="13" t="s">
        <v>484</v>
      </c>
      <c r="E178" s="13" t="s">
        <v>495</v>
      </c>
      <c r="F178" s="13" t="s">
        <v>273</v>
      </c>
      <c r="G178" s="13" t="s">
        <v>58</v>
      </c>
      <c r="H178" s="13" t="s">
        <v>38</v>
      </c>
      <c r="I178" s="7"/>
      <c r="J178" s="7"/>
      <c r="K178" s="7">
        <v>10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/>
      <c r="R178" s="7"/>
      <c r="S178" s="7"/>
      <c r="T178" s="7"/>
      <c r="U178" s="7"/>
      <c r="V178" s="7"/>
      <c r="W178" s="7"/>
      <c r="X178" s="12">
        <v>349</v>
      </c>
      <c r="Y178" s="12">
        <v>23</v>
      </c>
      <c r="Z178" s="12">
        <f t="shared" si="195"/>
        <v>326</v>
      </c>
      <c r="AA178" s="12"/>
      <c r="AB178" s="12">
        <v>23</v>
      </c>
      <c r="AC178" s="12">
        <v>0</v>
      </c>
      <c r="AD178" s="130">
        <f t="shared" si="196"/>
        <v>0</v>
      </c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8">
        <f t="shared" si="197"/>
        <v>0</v>
      </c>
      <c r="AU178" s="131">
        <f t="shared" si="198"/>
        <v>0</v>
      </c>
      <c r="AV178" s="123"/>
      <c r="AW178" s="11">
        <f t="shared" si="199"/>
        <v>23</v>
      </c>
      <c r="AX178" s="129">
        <f t="shared" si="200"/>
        <v>23</v>
      </c>
      <c r="AY178" s="129">
        <f t="shared" si="201"/>
        <v>13</v>
      </c>
      <c r="AZ178" s="129">
        <f t="shared" si="202"/>
        <v>13</v>
      </c>
      <c r="BA178" s="129">
        <f t="shared" si="203"/>
        <v>13</v>
      </c>
      <c r="BB178" s="129">
        <f t="shared" si="204"/>
        <v>13</v>
      </c>
      <c r="BC178" s="129">
        <f t="shared" si="205"/>
        <v>13</v>
      </c>
      <c r="BD178" s="129">
        <f t="shared" si="206"/>
        <v>13</v>
      </c>
      <c r="BE178" s="129">
        <f t="shared" si="207"/>
        <v>13</v>
      </c>
      <c r="BF178" s="129">
        <f t="shared" si="208"/>
        <v>13</v>
      </c>
      <c r="BG178" s="129">
        <f t="shared" si="209"/>
        <v>13</v>
      </c>
      <c r="BH178" s="129">
        <f t="shared" si="210"/>
        <v>0</v>
      </c>
      <c r="BI178" s="129">
        <f t="shared" si="211"/>
        <v>0</v>
      </c>
      <c r="BJ178" s="129">
        <f t="shared" si="212"/>
        <v>0</v>
      </c>
      <c r="BK178" s="129">
        <f t="shared" si="213"/>
        <v>0</v>
      </c>
    </row>
    <row r="179" spans="1:63" s="100" customFormat="1" ht="16" hidden="1" customHeight="1">
      <c r="A179" s="13" t="s">
        <v>29</v>
      </c>
      <c r="B179" s="13" t="s">
        <v>506</v>
      </c>
      <c r="C179" s="13" t="s">
        <v>507</v>
      </c>
      <c r="D179" s="13" t="s">
        <v>484</v>
      </c>
      <c r="E179" s="13" t="s">
        <v>495</v>
      </c>
      <c r="F179" s="13" t="s">
        <v>273</v>
      </c>
      <c r="G179" s="13" t="s">
        <v>58</v>
      </c>
      <c r="H179" s="13" t="s">
        <v>38</v>
      </c>
      <c r="I179" s="7"/>
      <c r="J179" s="7"/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/>
      <c r="R179" s="7"/>
      <c r="S179" s="7"/>
      <c r="T179" s="7"/>
      <c r="U179" s="7"/>
      <c r="V179" s="7"/>
      <c r="W179" s="7"/>
      <c r="X179" s="12">
        <v>0</v>
      </c>
      <c r="Y179" s="12">
        <v>0</v>
      </c>
      <c r="Z179" s="12">
        <f t="shared" ref="Z179:Z184" si="214">X179-Y179+AC179</f>
        <v>0</v>
      </c>
      <c r="AA179" s="12"/>
      <c r="AB179" s="12">
        <v>0</v>
      </c>
      <c r="AC179" s="12">
        <v>0</v>
      </c>
      <c r="AD179" s="130">
        <f t="shared" si="196"/>
        <v>0</v>
      </c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8">
        <f t="shared" ref="AT179:AT189" si="215">SUM(AE179:AR179)</f>
        <v>0</v>
      </c>
      <c r="AU179" s="131">
        <f t="shared" si="198"/>
        <v>0</v>
      </c>
      <c r="AV179" s="123"/>
      <c r="AW179" s="11">
        <f t="shared" ref="AW179:AW189" si="216">AE179+Y179-I179</f>
        <v>0</v>
      </c>
      <c r="AX179" s="129">
        <f t="shared" si="200"/>
        <v>0</v>
      </c>
      <c r="AY179" s="129">
        <f t="shared" si="201"/>
        <v>0</v>
      </c>
      <c r="AZ179" s="129">
        <f t="shared" si="202"/>
        <v>0</v>
      </c>
      <c r="BA179" s="129">
        <f t="shared" si="203"/>
        <v>0</v>
      </c>
      <c r="BB179" s="129">
        <f t="shared" si="204"/>
        <v>0</v>
      </c>
      <c r="BC179" s="129">
        <f t="shared" si="205"/>
        <v>0</v>
      </c>
      <c r="BD179" s="129">
        <f t="shared" si="206"/>
        <v>0</v>
      </c>
      <c r="BE179" s="129">
        <f t="shared" si="207"/>
        <v>0</v>
      </c>
      <c r="BF179" s="129">
        <f t="shared" si="208"/>
        <v>0</v>
      </c>
      <c r="BG179" s="129">
        <f t="shared" si="209"/>
        <v>0</v>
      </c>
      <c r="BH179" s="129">
        <f t="shared" si="210"/>
        <v>0</v>
      </c>
      <c r="BI179" s="129">
        <f t="shared" si="211"/>
        <v>0</v>
      </c>
      <c r="BJ179" s="129">
        <f t="shared" si="212"/>
        <v>0</v>
      </c>
      <c r="BK179" s="129">
        <f t="shared" si="213"/>
        <v>0</v>
      </c>
    </row>
    <row r="180" spans="1:63" s="100" customFormat="1" ht="16" hidden="1" customHeight="1">
      <c r="A180" s="13" t="s">
        <v>29</v>
      </c>
      <c r="B180" s="13" t="s">
        <v>508</v>
      </c>
      <c r="C180" s="13" t="s">
        <v>509</v>
      </c>
      <c r="D180" s="13" t="s">
        <v>484</v>
      </c>
      <c r="E180" s="13" t="s">
        <v>276</v>
      </c>
      <c r="F180" s="13" t="s">
        <v>273</v>
      </c>
      <c r="G180" s="13" t="s">
        <v>58</v>
      </c>
      <c r="H180" s="13" t="s">
        <v>38</v>
      </c>
      <c r="I180" s="7"/>
      <c r="J180" s="7"/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/>
      <c r="R180" s="7"/>
      <c r="S180" s="7"/>
      <c r="T180" s="7"/>
      <c r="U180" s="7"/>
      <c r="V180" s="7"/>
      <c r="W180" s="7"/>
      <c r="X180" s="12">
        <v>0</v>
      </c>
      <c r="Y180" s="12">
        <v>0</v>
      </c>
      <c r="Z180" s="12">
        <f t="shared" si="214"/>
        <v>0</v>
      </c>
      <c r="AA180" s="12"/>
      <c r="AB180" s="12">
        <v>0</v>
      </c>
      <c r="AC180" s="12">
        <v>0</v>
      </c>
      <c r="AD180" s="130">
        <f t="shared" si="196"/>
        <v>0</v>
      </c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8">
        <f t="shared" si="215"/>
        <v>0</v>
      </c>
      <c r="AU180" s="131">
        <f t="shared" si="198"/>
        <v>0</v>
      </c>
      <c r="AV180" s="123"/>
      <c r="AW180" s="11">
        <f t="shared" si="216"/>
        <v>0</v>
      </c>
      <c r="AX180" s="129">
        <f t="shared" si="200"/>
        <v>0</v>
      </c>
      <c r="AY180" s="129">
        <f t="shared" si="201"/>
        <v>0</v>
      </c>
      <c r="AZ180" s="129">
        <f t="shared" si="202"/>
        <v>0</v>
      </c>
      <c r="BA180" s="129">
        <f t="shared" si="203"/>
        <v>0</v>
      </c>
      <c r="BB180" s="129">
        <f t="shared" si="204"/>
        <v>0</v>
      </c>
      <c r="BC180" s="129">
        <f t="shared" si="205"/>
        <v>0</v>
      </c>
      <c r="BD180" s="129">
        <f t="shared" si="206"/>
        <v>0</v>
      </c>
      <c r="BE180" s="129">
        <f t="shared" si="207"/>
        <v>0</v>
      </c>
      <c r="BF180" s="129">
        <f t="shared" si="208"/>
        <v>0</v>
      </c>
      <c r="BG180" s="129">
        <f t="shared" si="209"/>
        <v>0</v>
      </c>
      <c r="BH180" s="129">
        <f t="shared" si="210"/>
        <v>0</v>
      </c>
      <c r="BI180" s="129">
        <f t="shared" si="211"/>
        <v>0</v>
      </c>
      <c r="BJ180" s="129">
        <f t="shared" si="212"/>
        <v>0</v>
      </c>
      <c r="BK180" s="129">
        <f t="shared" si="213"/>
        <v>0</v>
      </c>
    </row>
    <row r="181" spans="1:63" s="100" customFormat="1" ht="16" hidden="1" customHeight="1">
      <c r="A181" s="13" t="s">
        <v>29</v>
      </c>
      <c r="B181" s="13" t="s">
        <v>510</v>
      </c>
      <c r="C181" s="13" t="s">
        <v>511</v>
      </c>
      <c r="D181" s="13" t="s">
        <v>225</v>
      </c>
      <c r="E181" s="13" t="s">
        <v>512</v>
      </c>
      <c r="F181" s="13" t="s">
        <v>503</v>
      </c>
      <c r="G181" s="13" t="s">
        <v>58</v>
      </c>
      <c r="H181" s="13" t="s">
        <v>38</v>
      </c>
      <c r="I181" s="7"/>
      <c r="J181" s="7"/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/>
      <c r="R181" s="7"/>
      <c r="S181" s="7"/>
      <c r="T181" s="7"/>
      <c r="U181" s="7"/>
      <c r="V181" s="7"/>
      <c r="W181" s="7"/>
      <c r="X181" s="12">
        <v>0</v>
      </c>
      <c r="Y181" s="12">
        <v>0</v>
      </c>
      <c r="Z181" s="12">
        <f t="shared" si="214"/>
        <v>0</v>
      </c>
      <c r="AA181" s="12"/>
      <c r="AB181" s="12">
        <v>0</v>
      </c>
      <c r="AC181" s="12">
        <v>0</v>
      </c>
      <c r="AD181" s="130">
        <f t="shared" si="196"/>
        <v>0</v>
      </c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8">
        <f t="shared" si="215"/>
        <v>0</v>
      </c>
      <c r="AU181" s="131">
        <f t="shared" si="198"/>
        <v>0</v>
      </c>
      <c r="AV181" s="123"/>
      <c r="AW181" s="11">
        <f t="shared" si="216"/>
        <v>0</v>
      </c>
      <c r="AX181" s="129">
        <f t="shared" si="200"/>
        <v>0</v>
      </c>
      <c r="AY181" s="129">
        <f t="shared" si="201"/>
        <v>0</v>
      </c>
      <c r="AZ181" s="129">
        <f t="shared" si="202"/>
        <v>0</v>
      </c>
      <c r="BA181" s="129">
        <f t="shared" si="203"/>
        <v>0</v>
      </c>
      <c r="BB181" s="129">
        <f t="shared" si="204"/>
        <v>0</v>
      </c>
      <c r="BC181" s="129">
        <f t="shared" si="205"/>
        <v>0</v>
      </c>
      <c r="BD181" s="129">
        <f t="shared" si="206"/>
        <v>0</v>
      </c>
      <c r="BE181" s="129">
        <f t="shared" si="207"/>
        <v>0</v>
      </c>
      <c r="BF181" s="129">
        <f t="shared" si="208"/>
        <v>0</v>
      </c>
      <c r="BG181" s="129">
        <f t="shared" si="209"/>
        <v>0</v>
      </c>
      <c r="BH181" s="129">
        <f t="shared" si="210"/>
        <v>0</v>
      </c>
      <c r="BI181" s="129">
        <f t="shared" si="211"/>
        <v>0</v>
      </c>
      <c r="BJ181" s="129">
        <f t="shared" si="212"/>
        <v>0</v>
      </c>
      <c r="BK181" s="129">
        <f t="shared" si="213"/>
        <v>0</v>
      </c>
    </row>
    <row r="182" spans="1:63" s="100" customFormat="1" ht="16" hidden="1" customHeight="1">
      <c r="A182" s="13" t="s">
        <v>29</v>
      </c>
      <c r="B182" s="13" t="s">
        <v>513</v>
      </c>
      <c r="C182" s="13" t="s">
        <v>514</v>
      </c>
      <c r="D182" s="13" t="s">
        <v>225</v>
      </c>
      <c r="E182" s="13" t="s">
        <v>515</v>
      </c>
      <c r="F182" s="13" t="s">
        <v>261</v>
      </c>
      <c r="G182" s="13" t="s">
        <v>58</v>
      </c>
      <c r="H182" s="13" t="s">
        <v>45</v>
      </c>
      <c r="I182" s="7"/>
      <c r="J182" s="7"/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/>
      <c r="R182" s="7"/>
      <c r="S182" s="7"/>
      <c r="T182" s="7"/>
      <c r="U182" s="7"/>
      <c r="V182" s="7"/>
      <c r="W182" s="7"/>
      <c r="X182" s="12">
        <v>0</v>
      </c>
      <c r="Y182" s="12">
        <v>0</v>
      </c>
      <c r="Z182" s="12">
        <f t="shared" si="214"/>
        <v>0</v>
      </c>
      <c r="AA182" s="12"/>
      <c r="AB182" s="12">
        <v>0</v>
      </c>
      <c r="AC182" s="12">
        <v>0</v>
      </c>
      <c r="AD182" s="130">
        <f t="shared" si="196"/>
        <v>0</v>
      </c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8">
        <f t="shared" si="215"/>
        <v>0</v>
      </c>
      <c r="AU182" s="131">
        <f t="shared" si="198"/>
        <v>0</v>
      </c>
      <c r="AV182" s="123"/>
      <c r="AW182" s="11">
        <f t="shared" si="216"/>
        <v>0</v>
      </c>
      <c r="AX182" s="129">
        <f t="shared" si="200"/>
        <v>0</v>
      </c>
      <c r="AY182" s="129">
        <f t="shared" si="201"/>
        <v>0</v>
      </c>
      <c r="AZ182" s="129">
        <f t="shared" si="202"/>
        <v>0</v>
      </c>
      <c r="BA182" s="129">
        <f t="shared" si="203"/>
        <v>0</v>
      </c>
      <c r="BB182" s="129">
        <f t="shared" si="204"/>
        <v>0</v>
      </c>
      <c r="BC182" s="129">
        <f t="shared" si="205"/>
        <v>0</v>
      </c>
      <c r="BD182" s="129">
        <f t="shared" si="206"/>
        <v>0</v>
      </c>
      <c r="BE182" s="129">
        <f t="shared" si="207"/>
        <v>0</v>
      </c>
      <c r="BF182" s="129">
        <f t="shared" si="208"/>
        <v>0</v>
      </c>
      <c r="BG182" s="129">
        <f t="shared" si="209"/>
        <v>0</v>
      </c>
      <c r="BH182" s="129">
        <f t="shared" si="210"/>
        <v>0</v>
      </c>
      <c r="BI182" s="129">
        <f t="shared" si="211"/>
        <v>0</v>
      </c>
      <c r="BJ182" s="129">
        <f t="shared" si="212"/>
        <v>0</v>
      </c>
      <c r="BK182" s="129">
        <f t="shared" si="213"/>
        <v>0</v>
      </c>
    </row>
    <row r="183" spans="1:63" s="100" customFormat="1" ht="16" hidden="1" customHeight="1">
      <c r="A183" s="11" t="s">
        <v>29</v>
      </c>
      <c r="B183" s="11" t="s">
        <v>516</v>
      </c>
      <c r="C183" s="11" t="s">
        <v>517</v>
      </c>
      <c r="D183" s="13" t="s">
        <v>225</v>
      </c>
      <c r="E183" s="13" t="s">
        <v>515</v>
      </c>
      <c r="F183" s="13" t="s">
        <v>261</v>
      </c>
      <c r="G183" s="13" t="s">
        <v>58</v>
      </c>
      <c r="H183" s="13" t="s">
        <v>45</v>
      </c>
      <c r="I183" s="7"/>
      <c r="J183" s="7"/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/>
      <c r="R183" s="7"/>
      <c r="S183" s="7"/>
      <c r="T183" s="7"/>
      <c r="U183" s="7"/>
      <c r="V183" s="7"/>
      <c r="W183" s="7"/>
      <c r="X183" s="12">
        <v>0</v>
      </c>
      <c r="Y183" s="12">
        <v>0</v>
      </c>
      <c r="Z183" s="12">
        <f t="shared" si="214"/>
        <v>0</v>
      </c>
      <c r="AA183" s="12"/>
      <c r="AB183" s="12">
        <v>0</v>
      </c>
      <c r="AC183" s="12">
        <v>0</v>
      </c>
      <c r="AD183" s="130">
        <f t="shared" si="196"/>
        <v>0</v>
      </c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8">
        <f t="shared" si="215"/>
        <v>0</v>
      </c>
      <c r="AU183" s="131">
        <f t="shared" si="198"/>
        <v>0</v>
      </c>
      <c r="AV183" s="123"/>
      <c r="AW183" s="11">
        <f t="shared" si="216"/>
        <v>0</v>
      </c>
      <c r="AX183" s="129">
        <f t="shared" si="200"/>
        <v>0</v>
      </c>
      <c r="AY183" s="129">
        <f t="shared" si="201"/>
        <v>0</v>
      </c>
      <c r="AZ183" s="129">
        <f t="shared" si="202"/>
        <v>0</v>
      </c>
      <c r="BA183" s="129">
        <f t="shared" si="203"/>
        <v>0</v>
      </c>
      <c r="BB183" s="129">
        <f t="shared" si="204"/>
        <v>0</v>
      </c>
      <c r="BC183" s="129">
        <f t="shared" si="205"/>
        <v>0</v>
      </c>
      <c r="BD183" s="129">
        <f t="shared" si="206"/>
        <v>0</v>
      </c>
      <c r="BE183" s="129">
        <f t="shared" si="207"/>
        <v>0</v>
      </c>
      <c r="BF183" s="129">
        <f t="shared" si="208"/>
        <v>0</v>
      </c>
      <c r="BG183" s="129">
        <f t="shared" si="209"/>
        <v>0</v>
      </c>
      <c r="BH183" s="129">
        <f t="shared" si="210"/>
        <v>0</v>
      </c>
      <c r="BI183" s="129">
        <f t="shared" si="211"/>
        <v>0</v>
      </c>
      <c r="BJ183" s="129">
        <f t="shared" si="212"/>
        <v>0</v>
      </c>
      <c r="BK183" s="129">
        <f t="shared" si="213"/>
        <v>0</v>
      </c>
    </row>
    <row r="184" spans="1:63" s="100" customFormat="1" ht="16" hidden="1" customHeight="1">
      <c r="A184" s="13" t="s">
        <v>29</v>
      </c>
      <c r="B184" s="13" t="s">
        <v>518</v>
      </c>
      <c r="C184" s="13" t="s">
        <v>519</v>
      </c>
      <c r="D184" s="13" t="s">
        <v>225</v>
      </c>
      <c r="E184" s="13" t="s">
        <v>515</v>
      </c>
      <c r="F184" s="13" t="s">
        <v>261</v>
      </c>
      <c r="G184" s="13" t="s">
        <v>58</v>
      </c>
      <c r="H184" s="13" t="s">
        <v>45</v>
      </c>
      <c r="I184" s="7"/>
      <c r="J184" s="7"/>
      <c r="K184" s="7">
        <v>0</v>
      </c>
      <c r="L184" s="7">
        <v>0</v>
      </c>
      <c r="M184" s="7">
        <v>0</v>
      </c>
      <c r="N184" s="7">
        <v>0</v>
      </c>
      <c r="O184" s="7">
        <v>20</v>
      </c>
      <c r="P184" s="7">
        <v>0</v>
      </c>
      <c r="Q184" s="7"/>
      <c r="R184" s="7"/>
      <c r="S184" s="7"/>
      <c r="T184" s="7"/>
      <c r="U184" s="7"/>
      <c r="V184" s="7"/>
      <c r="W184" s="7"/>
      <c r="X184" s="12">
        <v>88</v>
      </c>
      <c r="Y184" s="12">
        <v>20</v>
      </c>
      <c r="Z184" s="12">
        <f t="shared" si="214"/>
        <v>68</v>
      </c>
      <c r="AA184" s="12"/>
      <c r="AB184" s="12">
        <v>20</v>
      </c>
      <c r="AC184" s="12">
        <v>0</v>
      </c>
      <c r="AD184" s="130">
        <f t="shared" si="196"/>
        <v>0</v>
      </c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8">
        <f>SUM(AE184:AS184)</f>
        <v>0</v>
      </c>
      <c r="AU184" s="131">
        <f t="shared" si="198"/>
        <v>0</v>
      </c>
      <c r="AV184" s="123"/>
      <c r="AW184" s="11">
        <f t="shared" si="216"/>
        <v>20</v>
      </c>
      <c r="AX184" s="129">
        <f t="shared" si="200"/>
        <v>20</v>
      </c>
      <c r="AY184" s="129">
        <f t="shared" si="201"/>
        <v>20</v>
      </c>
      <c r="AZ184" s="129">
        <f t="shared" si="202"/>
        <v>20</v>
      </c>
      <c r="BA184" s="129">
        <f t="shared" si="203"/>
        <v>20</v>
      </c>
      <c r="BB184" s="129">
        <f t="shared" si="204"/>
        <v>20</v>
      </c>
      <c r="BC184" s="129">
        <f t="shared" si="205"/>
        <v>0</v>
      </c>
      <c r="BD184" s="129">
        <f t="shared" si="206"/>
        <v>0</v>
      </c>
      <c r="BE184" s="129">
        <f t="shared" si="207"/>
        <v>0</v>
      </c>
      <c r="BF184" s="129">
        <f t="shared" ref="BF184:BK184" si="217">BE184+AN184-R184</f>
        <v>0</v>
      </c>
      <c r="BG184" s="129">
        <f t="shared" si="217"/>
        <v>0</v>
      </c>
      <c r="BH184" s="129">
        <f t="shared" si="217"/>
        <v>0</v>
      </c>
      <c r="BI184" s="129">
        <f t="shared" si="217"/>
        <v>0</v>
      </c>
      <c r="BJ184" s="129">
        <f t="shared" si="217"/>
        <v>0</v>
      </c>
      <c r="BK184" s="129">
        <f t="shared" si="217"/>
        <v>0</v>
      </c>
    </row>
    <row r="185" spans="1:63" s="100" customFormat="1" ht="16" hidden="1" customHeight="1">
      <c r="A185" s="13" t="s">
        <v>29</v>
      </c>
      <c r="B185" s="13" t="s">
        <v>520</v>
      </c>
      <c r="C185" s="13" t="s">
        <v>521</v>
      </c>
      <c r="D185" s="13" t="s">
        <v>225</v>
      </c>
      <c r="E185" s="13" t="s">
        <v>522</v>
      </c>
      <c r="F185" s="13" t="s">
        <v>207</v>
      </c>
      <c r="G185" s="13" t="s">
        <v>37</v>
      </c>
      <c r="H185" s="13" t="s">
        <v>38</v>
      </c>
      <c r="I185" s="7"/>
      <c r="J185" s="7"/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/>
      <c r="R185" s="7"/>
      <c r="S185" s="7"/>
      <c r="T185" s="7"/>
      <c r="U185" s="7"/>
      <c r="V185" s="7"/>
      <c r="W185" s="7"/>
      <c r="X185" s="12">
        <v>0</v>
      </c>
      <c r="Y185" s="12">
        <v>0</v>
      </c>
      <c r="Z185" s="12">
        <f t="shared" ref="Z185:Z190" si="218">X185-Y185+AC185</f>
        <v>0</v>
      </c>
      <c r="AA185" s="12"/>
      <c r="AB185" s="12">
        <v>0</v>
      </c>
      <c r="AC185" s="12">
        <v>0</v>
      </c>
      <c r="AD185" s="130">
        <f t="shared" ref="AD185:AD190" si="219">AB185-Y185+AA185+AC185</f>
        <v>0</v>
      </c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8">
        <f t="shared" si="215"/>
        <v>0</v>
      </c>
      <c r="AU185" s="131">
        <f t="shared" ref="AU185:AU190" si="220">AD185-AT185</f>
        <v>0</v>
      </c>
      <c r="AV185" s="123"/>
      <c r="AW185" s="11">
        <f t="shared" si="216"/>
        <v>0</v>
      </c>
      <c r="AX185" s="129">
        <f t="shared" si="200"/>
        <v>0</v>
      </c>
      <c r="AY185" s="129">
        <f t="shared" si="201"/>
        <v>0</v>
      </c>
      <c r="AZ185" s="129">
        <f t="shared" si="202"/>
        <v>0</v>
      </c>
      <c r="BA185" s="129">
        <f t="shared" si="203"/>
        <v>0</v>
      </c>
      <c r="BB185" s="129">
        <f t="shared" si="204"/>
        <v>0</v>
      </c>
      <c r="BC185" s="129">
        <f t="shared" si="205"/>
        <v>0</v>
      </c>
      <c r="BD185" s="129">
        <f t="shared" si="206"/>
        <v>0</v>
      </c>
      <c r="BE185" s="129">
        <f t="shared" si="207"/>
        <v>0</v>
      </c>
      <c r="BF185" s="129">
        <f t="shared" ref="BF185:BG187" si="221">BE185+AN185-R185</f>
        <v>0</v>
      </c>
      <c r="BG185" s="129">
        <f t="shared" si="221"/>
        <v>0</v>
      </c>
      <c r="BH185" s="129">
        <f t="shared" ref="BH185:BH193" si="222">AP185+AJ185-T185</f>
        <v>0</v>
      </c>
      <c r="BI185" s="129">
        <f t="shared" ref="BI185:BI193" si="223">AQ185+AK185-U185</f>
        <v>0</v>
      </c>
      <c r="BJ185" s="129">
        <f t="shared" ref="BJ185:BJ193" si="224">AR185+AL185-V185</f>
        <v>0</v>
      </c>
      <c r="BK185" s="129">
        <f t="shared" ref="BK185:BK193" si="225">AS185+AM185-W185</f>
        <v>0</v>
      </c>
    </row>
    <row r="186" spans="1:63" s="100" customFormat="1" ht="16" hidden="1" customHeight="1">
      <c r="A186" s="13" t="s">
        <v>29</v>
      </c>
      <c r="B186" s="13" t="s">
        <v>523</v>
      </c>
      <c r="C186" s="13" t="s">
        <v>524</v>
      </c>
      <c r="D186" s="13" t="s">
        <v>225</v>
      </c>
      <c r="E186" s="13" t="s">
        <v>515</v>
      </c>
      <c r="F186" s="13" t="s">
        <v>261</v>
      </c>
      <c r="G186" s="13" t="s">
        <v>58</v>
      </c>
      <c r="H186" s="13" t="s">
        <v>45</v>
      </c>
      <c r="I186" s="7"/>
      <c r="J186" s="7"/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/>
      <c r="R186" s="7"/>
      <c r="S186" s="7"/>
      <c r="T186" s="7"/>
      <c r="U186" s="7"/>
      <c r="V186" s="7"/>
      <c r="W186" s="7"/>
      <c r="X186" s="12">
        <v>0</v>
      </c>
      <c r="Y186" s="12">
        <v>0</v>
      </c>
      <c r="Z186" s="12">
        <f t="shared" si="218"/>
        <v>0</v>
      </c>
      <c r="AA186" s="12"/>
      <c r="AB186" s="12">
        <v>0</v>
      </c>
      <c r="AC186" s="12">
        <v>0</v>
      </c>
      <c r="AD186" s="130">
        <f t="shared" si="219"/>
        <v>0</v>
      </c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8">
        <f t="shared" si="215"/>
        <v>0</v>
      </c>
      <c r="AU186" s="131">
        <f t="shared" si="220"/>
        <v>0</v>
      </c>
      <c r="AV186" s="123"/>
      <c r="AW186" s="11">
        <f t="shared" si="216"/>
        <v>0</v>
      </c>
      <c r="AX186" s="129">
        <f t="shared" si="200"/>
        <v>0</v>
      </c>
      <c r="AY186" s="129">
        <f t="shared" si="201"/>
        <v>0</v>
      </c>
      <c r="AZ186" s="129">
        <f t="shared" si="202"/>
        <v>0</v>
      </c>
      <c r="BA186" s="129">
        <f t="shared" si="203"/>
        <v>0</v>
      </c>
      <c r="BB186" s="129">
        <f t="shared" si="204"/>
        <v>0</v>
      </c>
      <c r="BC186" s="129">
        <f t="shared" si="205"/>
        <v>0</v>
      </c>
      <c r="BD186" s="129">
        <f t="shared" si="206"/>
        <v>0</v>
      </c>
      <c r="BE186" s="129">
        <f t="shared" si="207"/>
        <v>0</v>
      </c>
      <c r="BF186" s="129">
        <f t="shared" si="221"/>
        <v>0</v>
      </c>
      <c r="BG186" s="129">
        <f t="shared" si="221"/>
        <v>0</v>
      </c>
      <c r="BH186" s="129">
        <f t="shared" si="222"/>
        <v>0</v>
      </c>
      <c r="BI186" s="129">
        <f t="shared" si="223"/>
        <v>0</v>
      </c>
      <c r="BJ186" s="129">
        <f t="shared" si="224"/>
        <v>0</v>
      </c>
      <c r="BK186" s="129">
        <f t="shared" si="225"/>
        <v>0</v>
      </c>
    </row>
    <row r="187" spans="1:63" s="100" customFormat="1" ht="16" hidden="1" customHeight="1">
      <c r="A187" s="13" t="s">
        <v>29</v>
      </c>
      <c r="B187" s="13" t="s">
        <v>525</v>
      </c>
      <c r="C187" s="13" t="s">
        <v>526</v>
      </c>
      <c r="D187" s="13" t="s">
        <v>225</v>
      </c>
      <c r="E187" s="13" t="s">
        <v>515</v>
      </c>
      <c r="F187" s="13" t="s">
        <v>261</v>
      </c>
      <c r="G187" s="13" t="s">
        <v>58</v>
      </c>
      <c r="H187" s="13" t="s">
        <v>45</v>
      </c>
      <c r="I187" s="7"/>
      <c r="J187" s="7"/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/>
      <c r="R187" s="7"/>
      <c r="S187" s="7"/>
      <c r="T187" s="7"/>
      <c r="U187" s="7"/>
      <c r="V187" s="7"/>
      <c r="W187" s="7"/>
      <c r="X187" s="12">
        <v>0</v>
      </c>
      <c r="Y187" s="12">
        <v>0</v>
      </c>
      <c r="Z187" s="12">
        <f t="shared" si="218"/>
        <v>0</v>
      </c>
      <c r="AA187" s="12"/>
      <c r="AB187" s="12">
        <v>0</v>
      </c>
      <c r="AC187" s="12">
        <v>0</v>
      </c>
      <c r="AD187" s="130">
        <f t="shared" si="219"/>
        <v>0</v>
      </c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8">
        <f t="shared" si="215"/>
        <v>0</v>
      </c>
      <c r="AU187" s="131">
        <f t="shared" si="220"/>
        <v>0</v>
      </c>
      <c r="AV187" s="123"/>
      <c r="AW187" s="11">
        <f t="shared" si="216"/>
        <v>0</v>
      </c>
      <c r="AX187" s="129">
        <f t="shared" si="200"/>
        <v>0</v>
      </c>
      <c r="AY187" s="129">
        <f t="shared" si="201"/>
        <v>0</v>
      </c>
      <c r="AZ187" s="129">
        <f t="shared" si="202"/>
        <v>0</v>
      </c>
      <c r="BA187" s="129">
        <f t="shared" si="203"/>
        <v>0</v>
      </c>
      <c r="BB187" s="129">
        <f t="shared" si="204"/>
        <v>0</v>
      </c>
      <c r="BC187" s="129">
        <f t="shared" si="205"/>
        <v>0</v>
      </c>
      <c r="BD187" s="129">
        <f t="shared" si="206"/>
        <v>0</v>
      </c>
      <c r="BE187" s="129">
        <f t="shared" si="207"/>
        <v>0</v>
      </c>
      <c r="BF187" s="129">
        <f t="shared" si="221"/>
        <v>0</v>
      </c>
      <c r="BG187" s="129">
        <f t="shared" si="221"/>
        <v>0</v>
      </c>
      <c r="BH187" s="129">
        <f t="shared" si="222"/>
        <v>0</v>
      </c>
      <c r="BI187" s="129">
        <f t="shared" si="223"/>
        <v>0</v>
      </c>
      <c r="BJ187" s="129">
        <f t="shared" si="224"/>
        <v>0</v>
      </c>
      <c r="BK187" s="129">
        <f t="shared" si="225"/>
        <v>0</v>
      </c>
    </row>
    <row r="188" spans="1:63" s="100" customFormat="1" ht="16" hidden="1" customHeight="1">
      <c r="A188" s="13" t="s">
        <v>29</v>
      </c>
      <c r="B188" s="13" t="s">
        <v>527</v>
      </c>
      <c r="C188" s="13" t="s">
        <v>528</v>
      </c>
      <c r="D188" s="13" t="s">
        <v>529</v>
      </c>
      <c r="E188" s="13" t="s">
        <v>530</v>
      </c>
      <c r="F188" s="13" t="s">
        <v>261</v>
      </c>
      <c r="G188" s="13"/>
      <c r="H188" s="13"/>
      <c r="I188" s="7"/>
      <c r="J188" s="7"/>
      <c r="K188" s="7">
        <v>0</v>
      </c>
      <c r="L188" s="7">
        <v>0</v>
      </c>
      <c r="M188" s="7">
        <v>0</v>
      </c>
      <c r="N188" s="7">
        <v>0</v>
      </c>
      <c r="O188" s="7">
        <v>30</v>
      </c>
      <c r="P188" s="7">
        <v>0</v>
      </c>
      <c r="Q188" s="7"/>
      <c r="R188" s="7"/>
      <c r="S188" s="7"/>
      <c r="T188" s="7"/>
      <c r="U188" s="7"/>
      <c r="V188" s="7"/>
      <c r="W188" s="7"/>
      <c r="X188" s="12">
        <v>325</v>
      </c>
      <c r="Y188" s="12">
        <v>50</v>
      </c>
      <c r="Z188" s="12">
        <f t="shared" si="218"/>
        <v>275</v>
      </c>
      <c r="AA188" s="12"/>
      <c r="AB188" s="12">
        <v>50</v>
      </c>
      <c r="AC188" s="12">
        <v>0</v>
      </c>
      <c r="AD188" s="130">
        <f t="shared" si="219"/>
        <v>0</v>
      </c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8">
        <f t="shared" si="215"/>
        <v>0</v>
      </c>
      <c r="AU188" s="131">
        <f t="shared" si="220"/>
        <v>0</v>
      </c>
      <c r="AV188" s="123"/>
      <c r="AW188" s="11">
        <f t="shared" si="216"/>
        <v>50</v>
      </c>
      <c r="AX188" s="129">
        <f t="shared" si="200"/>
        <v>50</v>
      </c>
      <c r="AY188" s="129">
        <f t="shared" ref="AY188:BG188" si="226">AX188+AG188-K188</f>
        <v>50</v>
      </c>
      <c r="AZ188" s="129">
        <f t="shared" si="226"/>
        <v>50</v>
      </c>
      <c r="BA188" s="129">
        <f t="shared" si="226"/>
        <v>50</v>
      </c>
      <c r="BB188" s="129">
        <f t="shared" si="226"/>
        <v>50</v>
      </c>
      <c r="BC188" s="129">
        <f t="shared" si="226"/>
        <v>20</v>
      </c>
      <c r="BD188" s="129">
        <f t="shared" si="226"/>
        <v>20</v>
      </c>
      <c r="BE188" s="129">
        <f t="shared" si="226"/>
        <v>20</v>
      </c>
      <c r="BF188" s="129">
        <f t="shared" si="226"/>
        <v>20</v>
      </c>
      <c r="BG188" s="129">
        <f t="shared" si="226"/>
        <v>20</v>
      </c>
      <c r="BH188" s="129">
        <f t="shared" si="222"/>
        <v>0</v>
      </c>
      <c r="BI188" s="129">
        <f t="shared" si="223"/>
        <v>0</v>
      </c>
      <c r="BJ188" s="129">
        <f t="shared" si="224"/>
        <v>0</v>
      </c>
      <c r="BK188" s="129">
        <f t="shared" si="225"/>
        <v>0</v>
      </c>
    </row>
    <row r="189" spans="1:63" s="100" customFormat="1" ht="16" hidden="1" customHeight="1">
      <c r="A189" s="13" t="s">
        <v>29</v>
      </c>
      <c r="B189" s="13" t="s">
        <v>531</v>
      </c>
      <c r="C189" s="13" t="s">
        <v>532</v>
      </c>
      <c r="D189" s="13" t="s">
        <v>529</v>
      </c>
      <c r="E189" s="13" t="s">
        <v>530</v>
      </c>
      <c r="F189" s="13" t="s">
        <v>261</v>
      </c>
      <c r="G189" s="13"/>
      <c r="H189" s="13"/>
      <c r="I189" s="7"/>
      <c r="J189" s="7"/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/>
      <c r="R189" s="7"/>
      <c r="S189" s="7"/>
      <c r="T189" s="7"/>
      <c r="U189" s="7"/>
      <c r="V189" s="7"/>
      <c r="W189" s="7"/>
      <c r="X189" s="12">
        <v>65</v>
      </c>
      <c r="Y189" s="12">
        <v>0</v>
      </c>
      <c r="Z189" s="12">
        <f t="shared" si="218"/>
        <v>65</v>
      </c>
      <c r="AA189" s="12"/>
      <c r="AB189" s="12">
        <v>0</v>
      </c>
      <c r="AC189" s="12">
        <v>0</v>
      </c>
      <c r="AD189" s="130">
        <f t="shared" si="219"/>
        <v>0</v>
      </c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8">
        <f t="shared" si="215"/>
        <v>0</v>
      </c>
      <c r="AU189" s="131">
        <f t="shared" si="220"/>
        <v>0</v>
      </c>
      <c r="AV189" s="123"/>
      <c r="AW189" s="11">
        <f t="shared" si="216"/>
        <v>0</v>
      </c>
      <c r="AX189" s="129">
        <f t="shared" ref="AX189:AX252" si="227">AW189+AF189-J189</f>
        <v>0</v>
      </c>
      <c r="AY189" s="129">
        <f t="shared" ref="AY189:AY252" si="228">AX189+AG189-K189</f>
        <v>0</v>
      </c>
      <c r="AZ189" s="129">
        <f t="shared" ref="AZ189:AZ252" si="229">AY189+AH189-L189</f>
        <v>0</v>
      </c>
      <c r="BA189" s="129">
        <f t="shared" ref="BA189:BA252" si="230">AZ189+AI189-M189</f>
        <v>0</v>
      </c>
      <c r="BB189" s="129">
        <f t="shared" ref="BB189:BB252" si="231">BA189+AJ189-N189</f>
        <v>0</v>
      </c>
      <c r="BC189" s="129">
        <f t="shared" ref="BC189:BC252" si="232">BB189+AK189-O189</f>
        <v>0</v>
      </c>
      <c r="BD189" s="129">
        <f t="shared" ref="BD189:BD252" si="233">BC189+AL189-P189</f>
        <v>0</v>
      </c>
      <c r="BE189" s="129">
        <f t="shared" ref="BE189:BE237" si="234">BD189+AM189-Q189</f>
        <v>0</v>
      </c>
      <c r="BF189" s="129">
        <f t="shared" ref="BF189:BF232" si="235">BE189+AN189-R189</f>
        <v>0</v>
      </c>
      <c r="BG189" s="129">
        <f t="shared" ref="BG189:BG232" si="236">BF189+AO189-S189</f>
        <v>0</v>
      </c>
      <c r="BH189" s="129">
        <f t="shared" si="222"/>
        <v>0</v>
      </c>
      <c r="BI189" s="129">
        <f t="shared" si="223"/>
        <v>0</v>
      </c>
      <c r="BJ189" s="129">
        <f t="shared" si="224"/>
        <v>0</v>
      </c>
      <c r="BK189" s="129">
        <f t="shared" si="225"/>
        <v>0</v>
      </c>
    </row>
    <row r="190" spans="1:63" s="100" customFormat="1" ht="16" hidden="1" customHeight="1">
      <c r="A190" s="132" t="s">
        <v>533</v>
      </c>
      <c r="B190" s="133" t="s">
        <v>534</v>
      </c>
      <c r="C190" s="133" t="s">
        <v>535</v>
      </c>
      <c r="D190" s="14"/>
      <c r="E190" s="14"/>
      <c r="F190" s="15"/>
      <c r="G190" s="15"/>
      <c r="H190" s="15"/>
      <c r="I190" s="7"/>
      <c r="J190" s="7"/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/>
      <c r="R190" s="7"/>
      <c r="S190" s="15"/>
      <c r="T190" s="15"/>
      <c r="U190" s="15"/>
      <c r="V190" s="15"/>
      <c r="W190" s="15"/>
      <c r="X190" s="15">
        <v>0</v>
      </c>
      <c r="Y190" s="15">
        <v>0</v>
      </c>
      <c r="Z190" s="15">
        <f t="shared" si="218"/>
        <v>0</v>
      </c>
      <c r="AA190" s="15"/>
      <c r="AB190" s="15">
        <v>0</v>
      </c>
      <c r="AC190" s="15">
        <v>0</v>
      </c>
      <c r="AD190" s="15">
        <f t="shared" si="219"/>
        <v>0</v>
      </c>
      <c r="AE190" s="15"/>
      <c r="AF190" s="15"/>
      <c r="AG190" s="15"/>
      <c r="AH190" s="15"/>
      <c r="AI190" s="15"/>
      <c r="AJ190" s="15"/>
      <c r="AK190" s="15"/>
      <c r="AL190" s="15"/>
      <c r="AM190" s="15"/>
      <c r="AN190" s="19"/>
      <c r="AO190" s="14"/>
      <c r="AP190" s="14"/>
      <c r="AQ190" s="14"/>
      <c r="AR190" s="14"/>
      <c r="AS190" s="14"/>
      <c r="AT190" s="14">
        <f t="shared" ref="AT190:AT229" si="237">SUM(AE190:AR190)</f>
        <v>0</v>
      </c>
      <c r="AU190" s="19">
        <f t="shared" si="220"/>
        <v>0</v>
      </c>
      <c r="AV190" s="123"/>
      <c r="AW190" s="134">
        <f t="shared" ref="AW190:AW205" si="238">AE190+Y190-I190</f>
        <v>0</v>
      </c>
      <c r="AX190" s="134">
        <f t="shared" si="227"/>
        <v>0</v>
      </c>
      <c r="AY190" s="134">
        <f t="shared" si="228"/>
        <v>0</v>
      </c>
      <c r="AZ190" s="134">
        <f t="shared" si="229"/>
        <v>0</v>
      </c>
      <c r="BA190" s="134">
        <f t="shared" si="230"/>
        <v>0</v>
      </c>
      <c r="BB190" s="134">
        <f t="shared" si="231"/>
        <v>0</v>
      </c>
      <c r="BC190" s="134">
        <f t="shared" si="232"/>
        <v>0</v>
      </c>
      <c r="BD190" s="134">
        <f t="shared" si="233"/>
        <v>0</v>
      </c>
      <c r="BE190" s="134">
        <f t="shared" si="234"/>
        <v>0</v>
      </c>
      <c r="BF190" s="134">
        <f t="shared" si="235"/>
        <v>0</v>
      </c>
      <c r="BG190" s="134">
        <f t="shared" si="236"/>
        <v>0</v>
      </c>
      <c r="BH190" s="134">
        <f t="shared" si="222"/>
        <v>0</v>
      </c>
      <c r="BI190" s="134">
        <f t="shared" si="223"/>
        <v>0</v>
      </c>
      <c r="BJ190" s="134">
        <f t="shared" si="224"/>
        <v>0</v>
      </c>
      <c r="BK190" s="134">
        <f t="shared" si="225"/>
        <v>0</v>
      </c>
    </row>
    <row r="191" spans="1:63" s="100" customFormat="1" ht="16" hidden="1" customHeight="1">
      <c r="A191" s="132" t="s">
        <v>533</v>
      </c>
      <c r="B191" s="133" t="s">
        <v>536</v>
      </c>
      <c r="C191" s="133" t="s">
        <v>537</v>
      </c>
      <c r="D191" s="14"/>
      <c r="E191" s="14"/>
      <c r="F191" s="15"/>
      <c r="G191" s="15"/>
      <c r="H191" s="15"/>
      <c r="I191" s="7"/>
      <c r="J191" s="7"/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/>
      <c r="R191" s="7"/>
      <c r="S191" s="15"/>
      <c r="T191" s="15"/>
      <c r="U191" s="15"/>
      <c r="V191" s="15"/>
      <c r="W191" s="15"/>
      <c r="X191" s="15">
        <v>0</v>
      </c>
      <c r="Y191" s="15">
        <v>0</v>
      </c>
      <c r="Z191" s="15">
        <f t="shared" ref="Z191:Z205" si="239">X191-Y191+AC191</f>
        <v>0</v>
      </c>
      <c r="AA191" s="15"/>
      <c r="AB191" s="15">
        <v>0</v>
      </c>
      <c r="AC191" s="15">
        <v>0</v>
      </c>
      <c r="AD191" s="15">
        <f t="shared" ref="AD191:AD205" si="240">AB191-Y191+AA191+AC191</f>
        <v>0</v>
      </c>
      <c r="AE191" s="15"/>
      <c r="AF191" s="15"/>
      <c r="AG191" s="15"/>
      <c r="AH191" s="15"/>
      <c r="AI191" s="15"/>
      <c r="AJ191" s="15"/>
      <c r="AK191" s="15"/>
      <c r="AL191" s="15"/>
      <c r="AM191" s="15"/>
      <c r="AN191" s="19"/>
      <c r="AO191" s="19"/>
      <c r="AP191" s="19"/>
      <c r="AQ191" s="19"/>
      <c r="AR191" s="19"/>
      <c r="AS191" s="19"/>
      <c r="AT191" s="14">
        <f t="shared" si="237"/>
        <v>0</v>
      </c>
      <c r="AU191" s="19">
        <f t="shared" ref="AU191:AU205" si="241">AD191-AT191</f>
        <v>0</v>
      </c>
      <c r="AV191" s="123"/>
      <c r="AW191" s="134">
        <f t="shared" si="238"/>
        <v>0</v>
      </c>
      <c r="AX191" s="134">
        <f t="shared" si="227"/>
        <v>0</v>
      </c>
      <c r="AY191" s="134">
        <f t="shared" si="228"/>
        <v>0</v>
      </c>
      <c r="AZ191" s="134">
        <f t="shared" si="229"/>
        <v>0</v>
      </c>
      <c r="BA191" s="134">
        <f t="shared" si="230"/>
        <v>0</v>
      </c>
      <c r="BB191" s="134">
        <f t="shared" si="231"/>
        <v>0</v>
      </c>
      <c r="BC191" s="134">
        <f t="shared" si="232"/>
        <v>0</v>
      </c>
      <c r="BD191" s="134">
        <f t="shared" si="233"/>
        <v>0</v>
      </c>
      <c r="BE191" s="134">
        <f t="shared" si="234"/>
        <v>0</v>
      </c>
      <c r="BF191" s="134">
        <f t="shared" si="235"/>
        <v>0</v>
      </c>
      <c r="BG191" s="134">
        <f t="shared" si="236"/>
        <v>0</v>
      </c>
      <c r="BH191" s="134">
        <f t="shared" si="222"/>
        <v>0</v>
      </c>
      <c r="BI191" s="134">
        <f t="shared" si="223"/>
        <v>0</v>
      </c>
      <c r="BJ191" s="134">
        <f t="shared" si="224"/>
        <v>0</v>
      </c>
      <c r="BK191" s="134">
        <f t="shared" si="225"/>
        <v>0</v>
      </c>
    </row>
    <row r="192" spans="1:63" s="100" customFormat="1" ht="16" hidden="1" customHeight="1">
      <c r="A192" s="132" t="s">
        <v>533</v>
      </c>
      <c r="B192" s="133" t="s">
        <v>538</v>
      </c>
      <c r="C192" s="133" t="s">
        <v>539</v>
      </c>
      <c r="D192" s="14"/>
      <c r="E192" s="14"/>
      <c r="F192" s="15"/>
      <c r="G192" s="15"/>
      <c r="H192" s="15"/>
      <c r="I192" s="7"/>
      <c r="J192" s="7"/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/>
      <c r="R192" s="7"/>
      <c r="S192" s="15"/>
      <c r="T192" s="15"/>
      <c r="U192" s="15"/>
      <c r="V192" s="15"/>
      <c r="W192" s="15"/>
      <c r="X192" s="15">
        <v>0</v>
      </c>
      <c r="Y192" s="15">
        <v>0</v>
      </c>
      <c r="Z192" s="15">
        <f t="shared" si="239"/>
        <v>0</v>
      </c>
      <c r="AA192" s="15"/>
      <c r="AB192" s="15">
        <v>0</v>
      </c>
      <c r="AC192" s="15">
        <v>0</v>
      </c>
      <c r="AD192" s="15">
        <f t="shared" si="240"/>
        <v>0</v>
      </c>
      <c r="AE192" s="15"/>
      <c r="AF192" s="15"/>
      <c r="AG192" s="15"/>
      <c r="AH192" s="15"/>
      <c r="AI192" s="15"/>
      <c r="AJ192" s="15"/>
      <c r="AK192" s="15"/>
      <c r="AL192" s="15"/>
      <c r="AM192" s="15"/>
      <c r="AN192" s="19"/>
      <c r="AO192" s="19"/>
      <c r="AP192" s="19"/>
      <c r="AQ192" s="19"/>
      <c r="AR192" s="19"/>
      <c r="AS192" s="19"/>
      <c r="AT192" s="14">
        <f t="shared" si="237"/>
        <v>0</v>
      </c>
      <c r="AU192" s="19">
        <f t="shared" si="241"/>
        <v>0</v>
      </c>
      <c r="AV192" s="123"/>
      <c r="AW192" s="134">
        <f t="shared" si="238"/>
        <v>0</v>
      </c>
      <c r="AX192" s="134">
        <f t="shared" si="227"/>
        <v>0</v>
      </c>
      <c r="AY192" s="134">
        <f t="shared" si="228"/>
        <v>0</v>
      </c>
      <c r="AZ192" s="134">
        <f t="shared" si="229"/>
        <v>0</v>
      </c>
      <c r="BA192" s="134">
        <f t="shared" si="230"/>
        <v>0</v>
      </c>
      <c r="BB192" s="134">
        <f t="shared" si="231"/>
        <v>0</v>
      </c>
      <c r="BC192" s="134">
        <f t="shared" si="232"/>
        <v>0</v>
      </c>
      <c r="BD192" s="134">
        <f t="shared" si="233"/>
        <v>0</v>
      </c>
      <c r="BE192" s="134">
        <f t="shared" si="234"/>
        <v>0</v>
      </c>
      <c r="BF192" s="134">
        <f t="shared" si="235"/>
        <v>0</v>
      </c>
      <c r="BG192" s="134">
        <f t="shared" si="236"/>
        <v>0</v>
      </c>
      <c r="BH192" s="134">
        <f t="shared" si="222"/>
        <v>0</v>
      </c>
      <c r="BI192" s="134">
        <f t="shared" si="223"/>
        <v>0</v>
      </c>
      <c r="BJ192" s="134">
        <f t="shared" si="224"/>
        <v>0</v>
      </c>
      <c r="BK192" s="134">
        <f t="shared" si="225"/>
        <v>0</v>
      </c>
    </row>
    <row r="193" spans="1:63" s="100" customFormat="1" ht="16" hidden="1" customHeight="1">
      <c r="A193" s="132" t="s">
        <v>533</v>
      </c>
      <c r="B193" s="133" t="s">
        <v>540</v>
      </c>
      <c r="C193" s="133" t="s">
        <v>541</v>
      </c>
      <c r="D193" s="14"/>
      <c r="E193" s="14"/>
      <c r="F193" s="15"/>
      <c r="G193" s="15"/>
      <c r="H193" s="15"/>
      <c r="I193" s="7"/>
      <c r="J193" s="7"/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/>
      <c r="R193" s="7"/>
      <c r="S193" s="15"/>
      <c r="T193" s="15"/>
      <c r="U193" s="15"/>
      <c r="V193" s="15"/>
      <c r="W193" s="15"/>
      <c r="X193" s="15">
        <v>0</v>
      </c>
      <c r="Y193" s="15">
        <v>0</v>
      </c>
      <c r="Z193" s="15">
        <f t="shared" si="239"/>
        <v>0</v>
      </c>
      <c r="AA193" s="15"/>
      <c r="AB193" s="15">
        <v>0</v>
      </c>
      <c r="AC193" s="15">
        <v>0</v>
      </c>
      <c r="AD193" s="15">
        <f t="shared" si="240"/>
        <v>0</v>
      </c>
      <c r="AE193" s="15"/>
      <c r="AF193" s="15"/>
      <c r="AG193" s="15"/>
      <c r="AH193" s="15"/>
      <c r="AI193" s="15"/>
      <c r="AJ193" s="15"/>
      <c r="AK193" s="15"/>
      <c r="AL193" s="15"/>
      <c r="AM193" s="15"/>
      <c r="AN193" s="19"/>
      <c r="AO193" s="19"/>
      <c r="AP193" s="19"/>
      <c r="AQ193" s="19"/>
      <c r="AR193" s="19"/>
      <c r="AS193" s="19"/>
      <c r="AT193" s="14">
        <f t="shared" si="237"/>
        <v>0</v>
      </c>
      <c r="AU193" s="19">
        <f t="shared" si="241"/>
        <v>0</v>
      </c>
      <c r="AV193" s="123"/>
      <c r="AW193" s="134">
        <f t="shared" si="238"/>
        <v>0</v>
      </c>
      <c r="AX193" s="134">
        <f t="shared" si="227"/>
        <v>0</v>
      </c>
      <c r="AY193" s="134">
        <f t="shared" si="228"/>
        <v>0</v>
      </c>
      <c r="AZ193" s="134">
        <f t="shared" si="229"/>
        <v>0</v>
      </c>
      <c r="BA193" s="134">
        <f t="shared" si="230"/>
        <v>0</v>
      </c>
      <c r="BB193" s="134">
        <f t="shared" si="231"/>
        <v>0</v>
      </c>
      <c r="BC193" s="134">
        <f t="shared" si="232"/>
        <v>0</v>
      </c>
      <c r="BD193" s="134">
        <f t="shared" si="233"/>
        <v>0</v>
      </c>
      <c r="BE193" s="134">
        <f t="shared" si="234"/>
        <v>0</v>
      </c>
      <c r="BF193" s="134">
        <f t="shared" si="235"/>
        <v>0</v>
      </c>
      <c r="BG193" s="134">
        <f t="shared" si="236"/>
        <v>0</v>
      </c>
      <c r="BH193" s="134">
        <f t="shared" si="222"/>
        <v>0</v>
      </c>
      <c r="BI193" s="134">
        <f t="shared" si="223"/>
        <v>0</v>
      </c>
      <c r="BJ193" s="134">
        <f t="shared" si="224"/>
        <v>0</v>
      </c>
      <c r="BK193" s="134">
        <f t="shared" si="225"/>
        <v>0</v>
      </c>
    </row>
    <row r="194" spans="1:63" s="100" customFormat="1" ht="16" customHeight="1">
      <c r="A194" s="132" t="s">
        <v>533</v>
      </c>
      <c r="B194" s="14" t="s">
        <v>542</v>
      </c>
      <c r="C194" s="14" t="s">
        <v>543</v>
      </c>
      <c r="D194" s="14"/>
      <c r="E194" s="14"/>
      <c r="F194" s="15"/>
      <c r="G194" s="15"/>
      <c r="H194" s="15"/>
      <c r="I194" s="7"/>
      <c r="J194" s="7"/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/>
      <c r="R194" s="7"/>
      <c r="S194" s="15"/>
      <c r="T194" s="15"/>
      <c r="U194" s="15"/>
      <c r="V194" s="15"/>
      <c r="W194" s="15"/>
      <c r="X194" s="15">
        <v>1650</v>
      </c>
      <c r="Y194" s="15">
        <v>0</v>
      </c>
      <c r="Z194" s="15">
        <f t="shared" si="239"/>
        <v>1650</v>
      </c>
      <c r="AA194" s="15"/>
      <c r="AB194" s="15">
        <v>400</v>
      </c>
      <c r="AC194" s="15">
        <v>0</v>
      </c>
      <c r="AD194" s="15">
        <f t="shared" si="240"/>
        <v>400</v>
      </c>
      <c r="AE194" s="15"/>
      <c r="AF194" s="15"/>
      <c r="AG194" s="15">
        <v>400</v>
      </c>
      <c r="AH194" s="15"/>
      <c r="AI194" s="15"/>
      <c r="AJ194" s="15"/>
      <c r="AK194" s="15"/>
      <c r="AL194" s="15"/>
      <c r="AM194" s="15"/>
      <c r="AN194" s="19"/>
      <c r="AO194" s="19"/>
      <c r="AP194" s="19"/>
      <c r="AQ194" s="19"/>
      <c r="AR194" s="19"/>
      <c r="AS194" s="19"/>
      <c r="AT194" s="19">
        <f>SUM(AE194:AS194)</f>
        <v>400</v>
      </c>
      <c r="AU194" s="19">
        <f t="shared" si="241"/>
        <v>0</v>
      </c>
      <c r="AV194" s="123"/>
      <c r="AW194" s="134">
        <f t="shared" si="238"/>
        <v>0</v>
      </c>
      <c r="AX194" s="134">
        <f t="shared" si="227"/>
        <v>0</v>
      </c>
      <c r="AY194" s="134">
        <f t="shared" si="228"/>
        <v>400</v>
      </c>
      <c r="AZ194" s="134">
        <f t="shared" si="229"/>
        <v>400</v>
      </c>
      <c r="BA194" s="134">
        <f t="shared" si="230"/>
        <v>400</v>
      </c>
      <c r="BB194" s="134">
        <f t="shared" si="231"/>
        <v>400</v>
      </c>
      <c r="BC194" s="134">
        <f t="shared" si="232"/>
        <v>400</v>
      </c>
      <c r="BD194" s="134">
        <f t="shared" si="233"/>
        <v>400</v>
      </c>
      <c r="BE194" s="134">
        <f t="shared" si="234"/>
        <v>400</v>
      </c>
      <c r="BF194" s="134">
        <f t="shared" ref="BF194:BK194" si="242">BE194+AN194-R194</f>
        <v>400</v>
      </c>
      <c r="BG194" s="134">
        <f t="shared" si="242"/>
        <v>400</v>
      </c>
      <c r="BH194" s="134">
        <f t="shared" si="242"/>
        <v>400</v>
      </c>
      <c r="BI194" s="134">
        <f t="shared" si="242"/>
        <v>400</v>
      </c>
      <c r="BJ194" s="134">
        <f t="shared" si="242"/>
        <v>400</v>
      </c>
      <c r="BK194" s="134">
        <f t="shared" si="242"/>
        <v>400</v>
      </c>
    </row>
    <row r="195" spans="1:63" s="100" customFormat="1" ht="16" hidden="1" customHeight="1">
      <c r="A195" s="132" t="s">
        <v>533</v>
      </c>
      <c r="B195" s="14" t="s">
        <v>544</v>
      </c>
      <c r="C195" s="14" t="s">
        <v>545</v>
      </c>
      <c r="D195" s="14"/>
      <c r="E195" s="14"/>
      <c r="F195" s="15"/>
      <c r="G195" s="15"/>
      <c r="H195" s="15"/>
      <c r="I195" s="7"/>
      <c r="J195" s="7"/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/>
      <c r="R195" s="7"/>
      <c r="S195" s="15"/>
      <c r="T195" s="15"/>
      <c r="U195" s="15"/>
      <c r="V195" s="15"/>
      <c r="W195" s="15"/>
      <c r="X195" s="15">
        <v>0</v>
      </c>
      <c r="Y195" s="15">
        <v>0</v>
      </c>
      <c r="Z195" s="15">
        <f t="shared" si="239"/>
        <v>0</v>
      </c>
      <c r="AA195" s="15"/>
      <c r="AB195" s="15">
        <v>0</v>
      </c>
      <c r="AC195" s="15">
        <v>0</v>
      </c>
      <c r="AD195" s="15">
        <f t="shared" si="240"/>
        <v>0</v>
      </c>
      <c r="AE195" s="15"/>
      <c r="AF195" s="15"/>
      <c r="AG195" s="15"/>
      <c r="AH195" s="15"/>
      <c r="AI195" s="15"/>
      <c r="AJ195" s="15"/>
      <c r="AK195" s="15"/>
      <c r="AL195" s="15"/>
      <c r="AM195" s="15"/>
      <c r="AN195" s="19"/>
      <c r="AO195" s="19"/>
      <c r="AP195" s="19"/>
      <c r="AQ195" s="19"/>
      <c r="AR195" s="19"/>
      <c r="AS195" s="19"/>
      <c r="AT195" s="14">
        <f t="shared" si="237"/>
        <v>0</v>
      </c>
      <c r="AU195" s="19">
        <f t="shared" si="241"/>
        <v>0</v>
      </c>
      <c r="AV195" s="123"/>
      <c r="AW195" s="134">
        <f t="shared" si="238"/>
        <v>0</v>
      </c>
      <c r="AX195" s="134">
        <f t="shared" si="227"/>
        <v>0</v>
      </c>
      <c r="AY195" s="134">
        <f t="shared" si="228"/>
        <v>0</v>
      </c>
      <c r="AZ195" s="134">
        <f t="shared" si="229"/>
        <v>0</v>
      </c>
      <c r="BA195" s="134">
        <f t="shared" si="230"/>
        <v>0</v>
      </c>
      <c r="BB195" s="134">
        <f t="shared" si="231"/>
        <v>0</v>
      </c>
      <c r="BC195" s="134">
        <f t="shared" si="232"/>
        <v>0</v>
      </c>
      <c r="BD195" s="134">
        <f t="shared" si="233"/>
        <v>0</v>
      </c>
      <c r="BE195" s="134">
        <f t="shared" si="234"/>
        <v>0</v>
      </c>
      <c r="BF195" s="134">
        <f t="shared" si="235"/>
        <v>0</v>
      </c>
      <c r="BG195" s="134">
        <f t="shared" si="236"/>
        <v>0</v>
      </c>
      <c r="BH195" s="134">
        <f t="shared" ref="BH195:BH217" si="243">AP195+AJ195-T195</f>
        <v>0</v>
      </c>
      <c r="BI195" s="134">
        <f t="shared" ref="BI195:BI217" si="244">AQ195+AK195-U195</f>
        <v>0</v>
      </c>
      <c r="BJ195" s="134">
        <f t="shared" ref="BJ195:BJ217" si="245">AR195+AL195-V195</f>
        <v>0</v>
      </c>
      <c r="BK195" s="134">
        <f t="shared" ref="BK195:BK217" si="246">AS195+AM195-W195</f>
        <v>0</v>
      </c>
    </row>
    <row r="196" spans="1:63" s="100" customFormat="1" ht="16" hidden="1" customHeight="1">
      <c r="A196" s="132" t="s">
        <v>533</v>
      </c>
      <c r="B196" s="14" t="s">
        <v>546</v>
      </c>
      <c r="C196" s="14" t="s">
        <v>547</v>
      </c>
      <c r="D196" s="14"/>
      <c r="E196" s="14"/>
      <c r="F196" s="15"/>
      <c r="G196" s="15"/>
      <c r="H196" s="15"/>
      <c r="I196" s="7"/>
      <c r="J196" s="7"/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/>
      <c r="R196" s="7"/>
      <c r="S196" s="15"/>
      <c r="T196" s="15"/>
      <c r="U196" s="15"/>
      <c r="V196" s="15"/>
      <c r="W196" s="15"/>
      <c r="X196" s="15">
        <v>0</v>
      </c>
      <c r="Y196" s="15">
        <v>0</v>
      </c>
      <c r="Z196" s="15">
        <f t="shared" si="239"/>
        <v>0</v>
      </c>
      <c r="AA196" s="15"/>
      <c r="AB196" s="15">
        <v>0</v>
      </c>
      <c r="AC196" s="15">
        <v>0</v>
      </c>
      <c r="AD196" s="15">
        <f t="shared" si="240"/>
        <v>0</v>
      </c>
      <c r="AE196" s="15"/>
      <c r="AF196" s="15"/>
      <c r="AG196" s="15"/>
      <c r="AH196" s="15"/>
      <c r="AI196" s="15"/>
      <c r="AJ196" s="15"/>
      <c r="AK196" s="15"/>
      <c r="AL196" s="15"/>
      <c r="AM196" s="15"/>
      <c r="AN196" s="19"/>
      <c r="AO196" s="19"/>
      <c r="AP196" s="19"/>
      <c r="AQ196" s="19"/>
      <c r="AR196" s="19"/>
      <c r="AS196" s="19"/>
      <c r="AT196" s="14">
        <f t="shared" si="237"/>
        <v>0</v>
      </c>
      <c r="AU196" s="19">
        <f t="shared" si="241"/>
        <v>0</v>
      </c>
      <c r="AV196" s="123"/>
      <c r="AW196" s="134">
        <f t="shared" si="238"/>
        <v>0</v>
      </c>
      <c r="AX196" s="134">
        <f t="shared" si="227"/>
        <v>0</v>
      </c>
      <c r="AY196" s="134">
        <f t="shared" si="228"/>
        <v>0</v>
      </c>
      <c r="AZ196" s="134">
        <f t="shared" si="229"/>
        <v>0</v>
      </c>
      <c r="BA196" s="134">
        <f t="shared" si="230"/>
        <v>0</v>
      </c>
      <c r="BB196" s="134">
        <f t="shared" si="231"/>
        <v>0</v>
      </c>
      <c r="BC196" s="134">
        <f t="shared" si="232"/>
        <v>0</v>
      </c>
      <c r="BD196" s="134">
        <f t="shared" si="233"/>
        <v>0</v>
      </c>
      <c r="BE196" s="134">
        <f t="shared" si="234"/>
        <v>0</v>
      </c>
      <c r="BF196" s="134">
        <f t="shared" si="235"/>
        <v>0</v>
      </c>
      <c r="BG196" s="134">
        <f t="shared" si="236"/>
        <v>0</v>
      </c>
      <c r="BH196" s="134">
        <f t="shared" si="243"/>
        <v>0</v>
      </c>
      <c r="BI196" s="134">
        <f t="shared" si="244"/>
        <v>0</v>
      </c>
      <c r="BJ196" s="134">
        <f t="shared" si="245"/>
        <v>0</v>
      </c>
      <c r="BK196" s="134">
        <f t="shared" si="246"/>
        <v>0</v>
      </c>
    </row>
    <row r="197" spans="1:63" s="100" customFormat="1" ht="16" hidden="1" customHeight="1">
      <c r="A197" s="132" t="s">
        <v>533</v>
      </c>
      <c r="B197" s="14" t="s">
        <v>548</v>
      </c>
      <c r="C197" s="14" t="s">
        <v>549</v>
      </c>
      <c r="D197" s="14"/>
      <c r="E197" s="14"/>
      <c r="F197" s="15"/>
      <c r="G197" s="15"/>
      <c r="H197" s="15"/>
      <c r="I197" s="7"/>
      <c r="J197" s="7"/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/>
      <c r="R197" s="7"/>
      <c r="S197" s="15"/>
      <c r="T197" s="15"/>
      <c r="U197" s="15"/>
      <c r="V197" s="15"/>
      <c r="W197" s="15"/>
      <c r="X197" s="15">
        <v>0</v>
      </c>
      <c r="Y197" s="15">
        <v>0</v>
      </c>
      <c r="Z197" s="15">
        <f t="shared" si="239"/>
        <v>0</v>
      </c>
      <c r="AA197" s="15"/>
      <c r="AB197" s="15">
        <v>0</v>
      </c>
      <c r="AC197" s="15">
        <v>0</v>
      </c>
      <c r="AD197" s="15">
        <f t="shared" si="240"/>
        <v>0</v>
      </c>
      <c r="AE197" s="15"/>
      <c r="AF197" s="15"/>
      <c r="AG197" s="15"/>
      <c r="AH197" s="15"/>
      <c r="AI197" s="15"/>
      <c r="AJ197" s="15"/>
      <c r="AK197" s="15"/>
      <c r="AL197" s="15"/>
      <c r="AM197" s="15"/>
      <c r="AN197" s="19"/>
      <c r="AO197" s="19"/>
      <c r="AP197" s="19"/>
      <c r="AQ197" s="19"/>
      <c r="AR197" s="19"/>
      <c r="AS197" s="19"/>
      <c r="AT197" s="14">
        <f t="shared" si="237"/>
        <v>0</v>
      </c>
      <c r="AU197" s="19">
        <f t="shared" si="241"/>
        <v>0</v>
      </c>
      <c r="AV197" s="123"/>
      <c r="AW197" s="134">
        <f t="shared" si="238"/>
        <v>0</v>
      </c>
      <c r="AX197" s="134">
        <f t="shared" si="227"/>
        <v>0</v>
      </c>
      <c r="AY197" s="134">
        <f t="shared" si="228"/>
        <v>0</v>
      </c>
      <c r="AZ197" s="134">
        <f t="shared" si="229"/>
        <v>0</v>
      </c>
      <c r="BA197" s="134">
        <f t="shared" si="230"/>
        <v>0</v>
      </c>
      <c r="BB197" s="134">
        <f t="shared" si="231"/>
        <v>0</v>
      </c>
      <c r="BC197" s="134">
        <f t="shared" si="232"/>
        <v>0</v>
      </c>
      <c r="BD197" s="134">
        <f t="shared" si="233"/>
        <v>0</v>
      </c>
      <c r="BE197" s="134">
        <f t="shared" si="234"/>
        <v>0</v>
      </c>
      <c r="BF197" s="134">
        <f t="shared" si="235"/>
        <v>0</v>
      </c>
      <c r="BG197" s="134">
        <f t="shared" si="236"/>
        <v>0</v>
      </c>
      <c r="BH197" s="134">
        <f t="shared" si="243"/>
        <v>0</v>
      </c>
      <c r="BI197" s="134">
        <f t="shared" si="244"/>
        <v>0</v>
      </c>
      <c r="BJ197" s="134">
        <f t="shared" si="245"/>
        <v>0</v>
      </c>
      <c r="BK197" s="134">
        <f t="shared" si="246"/>
        <v>0</v>
      </c>
    </row>
    <row r="198" spans="1:63" s="100" customFormat="1" ht="16" hidden="1" customHeight="1">
      <c r="A198" s="132" t="s">
        <v>533</v>
      </c>
      <c r="B198" s="14" t="s">
        <v>550</v>
      </c>
      <c r="C198" s="14" t="s">
        <v>551</v>
      </c>
      <c r="D198" s="14"/>
      <c r="E198" s="14"/>
      <c r="F198" s="15"/>
      <c r="G198" s="15"/>
      <c r="H198" s="15"/>
      <c r="I198" s="7"/>
      <c r="J198" s="7"/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/>
      <c r="R198" s="7"/>
      <c r="S198" s="15"/>
      <c r="T198" s="15"/>
      <c r="U198" s="15"/>
      <c r="V198" s="15"/>
      <c r="W198" s="15"/>
      <c r="X198" s="15">
        <v>0</v>
      </c>
      <c r="Y198" s="15">
        <v>0</v>
      </c>
      <c r="Z198" s="15">
        <f t="shared" si="239"/>
        <v>0</v>
      </c>
      <c r="AA198" s="15"/>
      <c r="AB198" s="15">
        <v>0</v>
      </c>
      <c r="AC198" s="15">
        <v>0</v>
      </c>
      <c r="AD198" s="15">
        <f t="shared" si="240"/>
        <v>0</v>
      </c>
      <c r="AE198" s="15"/>
      <c r="AF198" s="15"/>
      <c r="AG198" s="15"/>
      <c r="AH198" s="15"/>
      <c r="AI198" s="15"/>
      <c r="AJ198" s="15"/>
      <c r="AK198" s="15"/>
      <c r="AL198" s="15"/>
      <c r="AM198" s="15"/>
      <c r="AN198" s="19"/>
      <c r="AO198" s="19"/>
      <c r="AP198" s="19"/>
      <c r="AQ198" s="19"/>
      <c r="AR198" s="19"/>
      <c r="AS198" s="19"/>
      <c r="AT198" s="14">
        <f t="shared" si="237"/>
        <v>0</v>
      </c>
      <c r="AU198" s="19">
        <f t="shared" si="241"/>
        <v>0</v>
      </c>
      <c r="AV198" s="123"/>
      <c r="AW198" s="134">
        <f t="shared" si="238"/>
        <v>0</v>
      </c>
      <c r="AX198" s="134">
        <f t="shared" si="227"/>
        <v>0</v>
      </c>
      <c r="AY198" s="134">
        <f t="shared" si="228"/>
        <v>0</v>
      </c>
      <c r="AZ198" s="134">
        <f t="shared" si="229"/>
        <v>0</v>
      </c>
      <c r="BA198" s="134">
        <f t="shared" si="230"/>
        <v>0</v>
      </c>
      <c r="BB198" s="134">
        <f t="shared" si="231"/>
        <v>0</v>
      </c>
      <c r="BC198" s="134">
        <f t="shared" si="232"/>
        <v>0</v>
      </c>
      <c r="BD198" s="134">
        <f t="shared" si="233"/>
        <v>0</v>
      </c>
      <c r="BE198" s="134">
        <f t="shared" si="234"/>
        <v>0</v>
      </c>
      <c r="BF198" s="134">
        <f t="shared" si="235"/>
        <v>0</v>
      </c>
      <c r="BG198" s="134">
        <f t="shared" si="236"/>
        <v>0</v>
      </c>
      <c r="BH198" s="134">
        <f t="shared" si="243"/>
        <v>0</v>
      </c>
      <c r="BI198" s="134">
        <f t="shared" si="244"/>
        <v>0</v>
      </c>
      <c r="BJ198" s="134">
        <f t="shared" si="245"/>
        <v>0</v>
      </c>
      <c r="BK198" s="134">
        <f t="shared" si="246"/>
        <v>0</v>
      </c>
    </row>
    <row r="199" spans="1:63" s="100" customFormat="1" ht="16" hidden="1" customHeight="1">
      <c r="A199" s="132" t="s">
        <v>533</v>
      </c>
      <c r="B199" s="14" t="s">
        <v>552</v>
      </c>
      <c r="C199" s="14" t="s">
        <v>553</v>
      </c>
      <c r="D199" s="14"/>
      <c r="E199" s="14"/>
      <c r="F199" s="15"/>
      <c r="G199" s="15"/>
      <c r="H199" s="15"/>
      <c r="I199" s="7"/>
      <c r="J199" s="7"/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/>
      <c r="R199" s="7"/>
      <c r="S199" s="15"/>
      <c r="T199" s="15"/>
      <c r="U199" s="15"/>
      <c r="V199" s="15"/>
      <c r="W199" s="15"/>
      <c r="X199" s="15">
        <v>0</v>
      </c>
      <c r="Y199" s="15">
        <v>0</v>
      </c>
      <c r="Z199" s="15">
        <f t="shared" si="239"/>
        <v>0</v>
      </c>
      <c r="AA199" s="15"/>
      <c r="AB199" s="15">
        <v>0</v>
      </c>
      <c r="AC199" s="15">
        <v>0</v>
      </c>
      <c r="AD199" s="15">
        <f t="shared" si="240"/>
        <v>0</v>
      </c>
      <c r="AE199" s="15"/>
      <c r="AF199" s="15"/>
      <c r="AG199" s="15"/>
      <c r="AH199" s="15"/>
      <c r="AI199" s="15"/>
      <c r="AJ199" s="15"/>
      <c r="AK199" s="15"/>
      <c r="AL199" s="15"/>
      <c r="AM199" s="15"/>
      <c r="AN199" s="19"/>
      <c r="AO199" s="19"/>
      <c r="AP199" s="19"/>
      <c r="AQ199" s="19"/>
      <c r="AR199" s="19"/>
      <c r="AS199" s="19"/>
      <c r="AT199" s="14">
        <f t="shared" si="237"/>
        <v>0</v>
      </c>
      <c r="AU199" s="19">
        <f t="shared" si="241"/>
        <v>0</v>
      </c>
      <c r="AV199" s="123"/>
      <c r="AW199" s="134">
        <f t="shared" si="238"/>
        <v>0</v>
      </c>
      <c r="AX199" s="134">
        <f t="shared" si="227"/>
        <v>0</v>
      </c>
      <c r="AY199" s="134">
        <f t="shared" si="228"/>
        <v>0</v>
      </c>
      <c r="AZ199" s="134">
        <f t="shared" si="229"/>
        <v>0</v>
      </c>
      <c r="BA199" s="134">
        <f t="shared" si="230"/>
        <v>0</v>
      </c>
      <c r="BB199" s="134">
        <f t="shared" si="231"/>
        <v>0</v>
      </c>
      <c r="BC199" s="134">
        <f t="shared" si="232"/>
        <v>0</v>
      </c>
      <c r="BD199" s="134">
        <f t="shared" si="233"/>
        <v>0</v>
      </c>
      <c r="BE199" s="134">
        <f t="shared" si="234"/>
        <v>0</v>
      </c>
      <c r="BF199" s="134">
        <f t="shared" si="235"/>
        <v>0</v>
      </c>
      <c r="BG199" s="134">
        <f t="shared" si="236"/>
        <v>0</v>
      </c>
      <c r="BH199" s="134">
        <f t="shared" si="243"/>
        <v>0</v>
      </c>
      <c r="BI199" s="134">
        <f t="shared" si="244"/>
        <v>0</v>
      </c>
      <c r="BJ199" s="134">
        <f t="shared" si="245"/>
        <v>0</v>
      </c>
      <c r="BK199" s="134">
        <f t="shared" si="246"/>
        <v>0</v>
      </c>
    </row>
    <row r="200" spans="1:63" s="100" customFormat="1" ht="16" hidden="1" customHeight="1">
      <c r="A200" s="132" t="s">
        <v>533</v>
      </c>
      <c r="B200" s="14" t="s">
        <v>554</v>
      </c>
      <c r="C200" s="14" t="s">
        <v>555</v>
      </c>
      <c r="D200" s="14"/>
      <c r="E200" s="14"/>
      <c r="F200" s="15"/>
      <c r="G200" s="15"/>
      <c r="H200" s="15"/>
      <c r="I200" s="7"/>
      <c r="J200" s="7"/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/>
      <c r="R200" s="7"/>
      <c r="S200" s="15"/>
      <c r="T200" s="15"/>
      <c r="U200" s="15"/>
      <c r="V200" s="15"/>
      <c r="W200" s="15"/>
      <c r="X200" s="15">
        <v>0</v>
      </c>
      <c r="Y200" s="15">
        <v>0</v>
      </c>
      <c r="Z200" s="15">
        <f t="shared" si="239"/>
        <v>0</v>
      </c>
      <c r="AA200" s="15"/>
      <c r="AB200" s="15">
        <v>0</v>
      </c>
      <c r="AC200" s="15">
        <v>0</v>
      </c>
      <c r="AD200" s="15">
        <f t="shared" si="240"/>
        <v>0</v>
      </c>
      <c r="AE200" s="15"/>
      <c r="AF200" s="15"/>
      <c r="AG200" s="15"/>
      <c r="AH200" s="15"/>
      <c r="AI200" s="15"/>
      <c r="AJ200" s="15"/>
      <c r="AK200" s="15"/>
      <c r="AL200" s="15"/>
      <c r="AM200" s="15"/>
      <c r="AN200" s="19"/>
      <c r="AO200" s="19"/>
      <c r="AP200" s="19"/>
      <c r="AQ200" s="19"/>
      <c r="AR200" s="19"/>
      <c r="AS200" s="19"/>
      <c r="AT200" s="14">
        <f t="shared" si="237"/>
        <v>0</v>
      </c>
      <c r="AU200" s="19">
        <f t="shared" si="241"/>
        <v>0</v>
      </c>
      <c r="AV200" s="123"/>
      <c r="AW200" s="134">
        <f t="shared" si="238"/>
        <v>0</v>
      </c>
      <c r="AX200" s="134">
        <f t="shared" si="227"/>
        <v>0</v>
      </c>
      <c r="AY200" s="134">
        <f t="shared" si="228"/>
        <v>0</v>
      </c>
      <c r="AZ200" s="134">
        <f t="shared" si="229"/>
        <v>0</v>
      </c>
      <c r="BA200" s="134">
        <f t="shared" si="230"/>
        <v>0</v>
      </c>
      <c r="BB200" s="134">
        <f t="shared" si="231"/>
        <v>0</v>
      </c>
      <c r="BC200" s="134">
        <f t="shared" si="232"/>
        <v>0</v>
      </c>
      <c r="BD200" s="134">
        <f t="shared" si="233"/>
        <v>0</v>
      </c>
      <c r="BE200" s="134">
        <f t="shared" si="234"/>
        <v>0</v>
      </c>
      <c r="BF200" s="134">
        <f t="shared" si="235"/>
        <v>0</v>
      </c>
      <c r="BG200" s="134">
        <f t="shared" si="236"/>
        <v>0</v>
      </c>
      <c r="BH200" s="134">
        <f t="shared" si="243"/>
        <v>0</v>
      </c>
      <c r="BI200" s="134">
        <f t="shared" si="244"/>
        <v>0</v>
      </c>
      <c r="BJ200" s="134">
        <f t="shared" si="245"/>
        <v>0</v>
      </c>
      <c r="BK200" s="134">
        <f t="shared" si="246"/>
        <v>0</v>
      </c>
    </row>
    <row r="201" spans="1:63" s="100" customFormat="1" ht="16" hidden="1" customHeight="1">
      <c r="A201" s="132" t="s">
        <v>533</v>
      </c>
      <c r="B201" s="14" t="s">
        <v>556</v>
      </c>
      <c r="C201" s="14" t="s">
        <v>557</v>
      </c>
      <c r="D201" s="14"/>
      <c r="E201" s="14"/>
      <c r="F201" s="15"/>
      <c r="G201" s="15"/>
      <c r="H201" s="15"/>
      <c r="I201" s="7"/>
      <c r="J201" s="7"/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/>
      <c r="R201" s="7"/>
      <c r="S201" s="15"/>
      <c r="T201" s="15"/>
      <c r="U201" s="15"/>
      <c r="V201" s="15"/>
      <c r="W201" s="15"/>
      <c r="X201" s="15">
        <v>0</v>
      </c>
      <c r="Y201" s="15">
        <v>0</v>
      </c>
      <c r="Z201" s="15">
        <f t="shared" si="239"/>
        <v>0</v>
      </c>
      <c r="AA201" s="15"/>
      <c r="AB201" s="15">
        <v>0</v>
      </c>
      <c r="AC201" s="15">
        <v>0</v>
      </c>
      <c r="AD201" s="15">
        <f t="shared" si="240"/>
        <v>0</v>
      </c>
      <c r="AE201" s="15"/>
      <c r="AF201" s="15"/>
      <c r="AG201" s="15"/>
      <c r="AH201" s="15"/>
      <c r="AI201" s="15"/>
      <c r="AJ201" s="15"/>
      <c r="AK201" s="15"/>
      <c r="AL201" s="15"/>
      <c r="AM201" s="15"/>
      <c r="AN201" s="19"/>
      <c r="AO201" s="19"/>
      <c r="AP201" s="19"/>
      <c r="AQ201" s="19"/>
      <c r="AR201" s="19"/>
      <c r="AS201" s="19"/>
      <c r="AT201" s="14">
        <f t="shared" si="237"/>
        <v>0</v>
      </c>
      <c r="AU201" s="19">
        <f t="shared" si="241"/>
        <v>0</v>
      </c>
      <c r="AV201" s="123"/>
      <c r="AW201" s="134">
        <f t="shared" si="238"/>
        <v>0</v>
      </c>
      <c r="AX201" s="134">
        <f t="shared" si="227"/>
        <v>0</v>
      </c>
      <c r="AY201" s="134">
        <f t="shared" si="228"/>
        <v>0</v>
      </c>
      <c r="AZ201" s="134">
        <f t="shared" si="229"/>
        <v>0</v>
      </c>
      <c r="BA201" s="134">
        <f t="shared" si="230"/>
        <v>0</v>
      </c>
      <c r="BB201" s="134">
        <f t="shared" si="231"/>
        <v>0</v>
      </c>
      <c r="BC201" s="134">
        <f t="shared" si="232"/>
        <v>0</v>
      </c>
      <c r="BD201" s="134">
        <f t="shared" si="233"/>
        <v>0</v>
      </c>
      <c r="BE201" s="134">
        <f t="shared" si="234"/>
        <v>0</v>
      </c>
      <c r="BF201" s="134">
        <f t="shared" si="235"/>
        <v>0</v>
      </c>
      <c r="BG201" s="134">
        <f t="shared" si="236"/>
        <v>0</v>
      </c>
      <c r="BH201" s="134">
        <f t="shared" si="243"/>
        <v>0</v>
      </c>
      <c r="BI201" s="134">
        <f t="shared" si="244"/>
        <v>0</v>
      </c>
      <c r="BJ201" s="134">
        <f t="shared" si="245"/>
        <v>0</v>
      </c>
      <c r="BK201" s="134">
        <f t="shared" si="246"/>
        <v>0</v>
      </c>
    </row>
    <row r="202" spans="1:63" s="100" customFormat="1" ht="16" hidden="1" customHeight="1">
      <c r="A202" s="132" t="s">
        <v>533</v>
      </c>
      <c r="B202" s="14" t="s">
        <v>558</v>
      </c>
      <c r="C202" s="14" t="s">
        <v>559</v>
      </c>
      <c r="D202" s="14"/>
      <c r="E202" s="14"/>
      <c r="F202" s="15"/>
      <c r="G202" s="15"/>
      <c r="H202" s="15"/>
      <c r="I202" s="7"/>
      <c r="J202" s="7"/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/>
      <c r="R202" s="7"/>
      <c r="S202" s="15"/>
      <c r="T202" s="15"/>
      <c r="U202" s="15"/>
      <c r="V202" s="15"/>
      <c r="W202" s="15"/>
      <c r="X202" s="15">
        <v>0</v>
      </c>
      <c r="Y202" s="15">
        <v>0</v>
      </c>
      <c r="Z202" s="15">
        <f t="shared" si="239"/>
        <v>0</v>
      </c>
      <c r="AA202" s="15"/>
      <c r="AB202" s="15">
        <v>0</v>
      </c>
      <c r="AC202" s="15">
        <v>0</v>
      </c>
      <c r="AD202" s="15">
        <f t="shared" si="240"/>
        <v>0</v>
      </c>
      <c r="AE202" s="15"/>
      <c r="AF202" s="15"/>
      <c r="AG202" s="15"/>
      <c r="AH202" s="15"/>
      <c r="AI202" s="15"/>
      <c r="AJ202" s="15"/>
      <c r="AK202" s="15"/>
      <c r="AL202" s="15"/>
      <c r="AM202" s="15"/>
      <c r="AN202" s="19"/>
      <c r="AO202" s="19"/>
      <c r="AP202" s="19"/>
      <c r="AQ202" s="19"/>
      <c r="AR202" s="19"/>
      <c r="AS202" s="19"/>
      <c r="AT202" s="14">
        <f t="shared" si="237"/>
        <v>0</v>
      </c>
      <c r="AU202" s="19">
        <f t="shared" si="241"/>
        <v>0</v>
      </c>
      <c r="AV202" s="123"/>
      <c r="AW202" s="134">
        <f t="shared" si="238"/>
        <v>0</v>
      </c>
      <c r="AX202" s="134">
        <f t="shared" si="227"/>
        <v>0</v>
      </c>
      <c r="AY202" s="134">
        <f t="shared" si="228"/>
        <v>0</v>
      </c>
      <c r="AZ202" s="134">
        <f t="shared" si="229"/>
        <v>0</v>
      </c>
      <c r="BA202" s="134">
        <f t="shared" si="230"/>
        <v>0</v>
      </c>
      <c r="BB202" s="134">
        <f t="shared" si="231"/>
        <v>0</v>
      </c>
      <c r="BC202" s="134">
        <f t="shared" si="232"/>
        <v>0</v>
      </c>
      <c r="BD202" s="134">
        <f t="shared" si="233"/>
        <v>0</v>
      </c>
      <c r="BE202" s="134">
        <f t="shared" si="234"/>
        <v>0</v>
      </c>
      <c r="BF202" s="134">
        <f t="shared" si="235"/>
        <v>0</v>
      </c>
      <c r="BG202" s="134">
        <f t="shared" si="236"/>
        <v>0</v>
      </c>
      <c r="BH202" s="134">
        <f t="shared" si="243"/>
        <v>0</v>
      </c>
      <c r="BI202" s="134">
        <f t="shared" si="244"/>
        <v>0</v>
      </c>
      <c r="BJ202" s="134">
        <f t="shared" si="245"/>
        <v>0</v>
      </c>
      <c r="BK202" s="134">
        <f t="shared" si="246"/>
        <v>0</v>
      </c>
    </row>
    <row r="203" spans="1:63" s="100" customFormat="1" ht="16" hidden="1" customHeight="1">
      <c r="A203" s="132" t="s">
        <v>533</v>
      </c>
      <c r="B203" s="132" t="s">
        <v>560</v>
      </c>
      <c r="C203" s="132" t="s">
        <v>561</v>
      </c>
      <c r="D203" s="132"/>
      <c r="E203" s="132"/>
      <c r="F203" s="15"/>
      <c r="G203" s="15"/>
      <c r="H203" s="15"/>
      <c r="I203" s="7"/>
      <c r="J203" s="7"/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/>
      <c r="R203" s="7"/>
      <c r="S203" s="15"/>
      <c r="T203" s="15"/>
      <c r="U203" s="15"/>
      <c r="V203" s="15"/>
      <c r="W203" s="15"/>
      <c r="X203" s="15">
        <v>0</v>
      </c>
      <c r="Y203" s="15">
        <v>0</v>
      </c>
      <c r="Z203" s="15">
        <f t="shared" si="239"/>
        <v>0</v>
      </c>
      <c r="AA203" s="15"/>
      <c r="AB203" s="15">
        <v>0</v>
      </c>
      <c r="AC203" s="15">
        <v>0</v>
      </c>
      <c r="AD203" s="15">
        <f t="shared" si="240"/>
        <v>0</v>
      </c>
      <c r="AE203" s="15"/>
      <c r="AF203" s="15"/>
      <c r="AG203" s="15"/>
      <c r="AH203" s="15"/>
      <c r="AI203" s="15"/>
      <c r="AJ203" s="15"/>
      <c r="AK203" s="15"/>
      <c r="AL203" s="15"/>
      <c r="AM203" s="15"/>
      <c r="AN203" s="19"/>
      <c r="AO203" s="132"/>
      <c r="AP203" s="132"/>
      <c r="AQ203" s="132"/>
      <c r="AR203" s="132"/>
      <c r="AS203" s="132"/>
      <c r="AT203" s="14">
        <f t="shared" si="237"/>
        <v>0</v>
      </c>
      <c r="AU203" s="132">
        <f t="shared" si="241"/>
        <v>0</v>
      </c>
      <c r="AV203" s="123"/>
      <c r="AW203" s="134">
        <f t="shared" si="238"/>
        <v>0</v>
      </c>
      <c r="AX203" s="134">
        <f t="shared" si="227"/>
        <v>0</v>
      </c>
      <c r="AY203" s="134">
        <f t="shared" si="228"/>
        <v>0</v>
      </c>
      <c r="AZ203" s="134">
        <f t="shared" si="229"/>
        <v>0</v>
      </c>
      <c r="BA203" s="134">
        <f t="shared" si="230"/>
        <v>0</v>
      </c>
      <c r="BB203" s="134">
        <f t="shared" si="231"/>
        <v>0</v>
      </c>
      <c r="BC203" s="134">
        <f t="shared" si="232"/>
        <v>0</v>
      </c>
      <c r="BD203" s="134">
        <f t="shared" si="233"/>
        <v>0</v>
      </c>
      <c r="BE203" s="134">
        <f t="shared" si="234"/>
        <v>0</v>
      </c>
      <c r="BF203" s="134">
        <f t="shared" si="235"/>
        <v>0</v>
      </c>
      <c r="BG203" s="134">
        <f t="shared" si="236"/>
        <v>0</v>
      </c>
      <c r="BH203" s="134">
        <f t="shared" si="243"/>
        <v>0</v>
      </c>
      <c r="BI203" s="134">
        <f t="shared" si="244"/>
        <v>0</v>
      </c>
      <c r="BJ203" s="134">
        <f t="shared" si="245"/>
        <v>0</v>
      </c>
      <c r="BK203" s="134">
        <f t="shared" si="246"/>
        <v>0</v>
      </c>
    </row>
    <row r="204" spans="1:63" s="100" customFormat="1" ht="16" hidden="1" customHeight="1">
      <c r="A204" s="132" t="s">
        <v>533</v>
      </c>
      <c r="B204" s="14" t="s">
        <v>562</v>
      </c>
      <c r="C204" s="14" t="s">
        <v>563</v>
      </c>
      <c r="D204" s="14"/>
      <c r="E204" s="14"/>
      <c r="F204" s="15"/>
      <c r="G204" s="15"/>
      <c r="H204" s="15"/>
      <c r="I204" s="7"/>
      <c r="J204" s="7"/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/>
      <c r="R204" s="7"/>
      <c r="S204" s="15"/>
      <c r="T204" s="15"/>
      <c r="U204" s="15"/>
      <c r="V204" s="15"/>
      <c r="W204" s="15"/>
      <c r="X204" s="15">
        <v>0</v>
      </c>
      <c r="Y204" s="15">
        <v>0</v>
      </c>
      <c r="Z204" s="15">
        <f t="shared" si="239"/>
        <v>0</v>
      </c>
      <c r="AA204" s="15"/>
      <c r="AB204" s="15">
        <v>0</v>
      </c>
      <c r="AC204" s="15">
        <v>0</v>
      </c>
      <c r="AD204" s="15">
        <f t="shared" si="240"/>
        <v>0</v>
      </c>
      <c r="AE204" s="15"/>
      <c r="AF204" s="15"/>
      <c r="AG204" s="15"/>
      <c r="AH204" s="15"/>
      <c r="AI204" s="15"/>
      <c r="AJ204" s="15"/>
      <c r="AK204" s="15"/>
      <c r="AL204" s="15"/>
      <c r="AM204" s="15"/>
      <c r="AN204" s="19"/>
      <c r="AO204" s="19"/>
      <c r="AP204" s="19"/>
      <c r="AQ204" s="19"/>
      <c r="AR204" s="19"/>
      <c r="AS204" s="19"/>
      <c r="AT204" s="14">
        <f t="shared" si="237"/>
        <v>0</v>
      </c>
      <c r="AU204" s="19">
        <f t="shared" si="241"/>
        <v>0</v>
      </c>
      <c r="AV204" s="123"/>
      <c r="AW204" s="134">
        <f t="shared" si="238"/>
        <v>0</v>
      </c>
      <c r="AX204" s="134">
        <f t="shared" si="227"/>
        <v>0</v>
      </c>
      <c r="AY204" s="134">
        <f t="shared" si="228"/>
        <v>0</v>
      </c>
      <c r="AZ204" s="134">
        <f t="shared" si="229"/>
        <v>0</v>
      </c>
      <c r="BA204" s="134">
        <f t="shared" si="230"/>
        <v>0</v>
      </c>
      <c r="BB204" s="134">
        <f t="shared" si="231"/>
        <v>0</v>
      </c>
      <c r="BC204" s="134">
        <f t="shared" si="232"/>
        <v>0</v>
      </c>
      <c r="BD204" s="134">
        <f t="shared" si="233"/>
        <v>0</v>
      </c>
      <c r="BE204" s="134">
        <f t="shared" si="234"/>
        <v>0</v>
      </c>
      <c r="BF204" s="134">
        <f t="shared" si="235"/>
        <v>0</v>
      </c>
      <c r="BG204" s="134">
        <f t="shared" si="236"/>
        <v>0</v>
      </c>
      <c r="BH204" s="134">
        <f t="shared" si="243"/>
        <v>0</v>
      </c>
      <c r="BI204" s="134">
        <f t="shared" si="244"/>
        <v>0</v>
      </c>
      <c r="BJ204" s="134">
        <f t="shared" si="245"/>
        <v>0</v>
      </c>
      <c r="BK204" s="134">
        <f t="shared" si="246"/>
        <v>0</v>
      </c>
    </row>
    <row r="205" spans="1:63" s="100" customFormat="1" ht="16" hidden="1" customHeight="1">
      <c r="A205" s="132" t="s">
        <v>533</v>
      </c>
      <c r="B205" s="14" t="s">
        <v>564</v>
      </c>
      <c r="C205" s="14" t="s">
        <v>565</v>
      </c>
      <c r="D205" s="14"/>
      <c r="E205" s="14"/>
      <c r="F205" s="15"/>
      <c r="G205" s="15"/>
      <c r="H205" s="15"/>
      <c r="I205" s="7"/>
      <c r="J205" s="7"/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/>
      <c r="R205" s="7"/>
      <c r="S205" s="15"/>
      <c r="T205" s="15"/>
      <c r="U205" s="15"/>
      <c r="V205" s="15"/>
      <c r="W205" s="15"/>
      <c r="X205" s="15">
        <v>0</v>
      </c>
      <c r="Y205" s="15">
        <v>0</v>
      </c>
      <c r="Z205" s="15">
        <f t="shared" si="239"/>
        <v>0</v>
      </c>
      <c r="AA205" s="15"/>
      <c r="AB205" s="15">
        <v>0</v>
      </c>
      <c r="AC205" s="15">
        <v>0</v>
      </c>
      <c r="AD205" s="15">
        <f t="shared" si="240"/>
        <v>0</v>
      </c>
      <c r="AE205" s="15"/>
      <c r="AF205" s="15"/>
      <c r="AG205" s="15"/>
      <c r="AH205" s="15"/>
      <c r="AI205" s="15"/>
      <c r="AJ205" s="15"/>
      <c r="AK205" s="15"/>
      <c r="AL205" s="15"/>
      <c r="AM205" s="15"/>
      <c r="AN205" s="19"/>
      <c r="AO205" s="19"/>
      <c r="AP205" s="19"/>
      <c r="AQ205" s="19"/>
      <c r="AR205" s="19"/>
      <c r="AS205" s="19"/>
      <c r="AT205" s="14">
        <f t="shared" si="237"/>
        <v>0</v>
      </c>
      <c r="AU205" s="19">
        <f t="shared" si="241"/>
        <v>0</v>
      </c>
      <c r="AV205" s="123"/>
      <c r="AW205" s="134">
        <f t="shared" si="238"/>
        <v>0</v>
      </c>
      <c r="AX205" s="134">
        <f t="shared" si="227"/>
        <v>0</v>
      </c>
      <c r="AY205" s="134">
        <f t="shared" si="228"/>
        <v>0</v>
      </c>
      <c r="AZ205" s="134">
        <f t="shared" si="229"/>
        <v>0</v>
      </c>
      <c r="BA205" s="134">
        <f t="shared" si="230"/>
        <v>0</v>
      </c>
      <c r="BB205" s="134">
        <f t="shared" si="231"/>
        <v>0</v>
      </c>
      <c r="BC205" s="134">
        <f t="shared" si="232"/>
        <v>0</v>
      </c>
      <c r="BD205" s="134">
        <f t="shared" si="233"/>
        <v>0</v>
      </c>
      <c r="BE205" s="134">
        <f t="shared" si="234"/>
        <v>0</v>
      </c>
      <c r="BF205" s="134">
        <f t="shared" si="235"/>
        <v>0</v>
      </c>
      <c r="BG205" s="134">
        <f t="shared" si="236"/>
        <v>0</v>
      </c>
      <c r="BH205" s="134">
        <f t="shared" si="243"/>
        <v>0</v>
      </c>
      <c r="BI205" s="134">
        <f t="shared" si="244"/>
        <v>0</v>
      </c>
      <c r="BJ205" s="134">
        <f t="shared" si="245"/>
        <v>0</v>
      </c>
      <c r="BK205" s="134">
        <f t="shared" si="246"/>
        <v>0</v>
      </c>
    </row>
    <row r="206" spans="1:63" s="100" customFormat="1" ht="16" hidden="1" customHeight="1">
      <c r="A206" s="135" t="s">
        <v>566</v>
      </c>
      <c r="B206" s="16" t="s">
        <v>567</v>
      </c>
      <c r="C206" s="16" t="s">
        <v>276</v>
      </c>
      <c r="D206" s="16"/>
      <c r="E206" s="16"/>
      <c r="F206" s="16"/>
      <c r="G206" s="16"/>
      <c r="H206" s="16"/>
      <c r="I206" s="7"/>
      <c r="J206" s="7"/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/>
      <c r="R206" s="7"/>
      <c r="S206" s="16"/>
      <c r="T206" s="16"/>
      <c r="U206" s="16"/>
      <c r="V206" s="16"/>
      <c r="W206" s="16"/>
      <c r="X206" s="16">
        <v>0</v>
      </c>
      <c r="Y206" s="16">
        <v>0</v>
      </c>
      <c r="Z206" s="16">
        <f t="shared" ref="Z206:Z227" si="247">X206-Y206+AC206</f>
        <v>0</v>
      </c>
      <c r="AA206" s="16"/>
      <c r="AB206" s="16">
        <v>0</v>
      </c>
      <c r="AC206" s="16">
        <v>0</v>
      </c>
      <c r="AD206" s="16">
        <f t="shared" ref="AD206:AD227" si="248">AB206-Y206+AA206+AC206</f>
        <v>0</v>
      </c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>
        <f t="shared" si="237"/>
        <v>0</v>
      </c>
      <c r="AU206" s="16">
        <f t="shared" ref="AU206:AU227" si="249">AD206-AT206</f>
        <v>0</v>
      </c>
      <c r="AV206" s="123"/>
      <c r="AW206" s="16">
        <f t="shared" ref="AW206:AW227" si="250">AE206+Y206-I206</f>
        <v>0</v>
      </c>
      <c r="AX206" s="136">
        <f t="shared" si="227"/>
        <v>0</v>
      </c>
      <c r="AY206" s="136">
        <f t="shared" si="228"/>
        <v>0</v>
      </c>
      <c r="AZ206" s="136">
        <f t="shared" si="229"/>
        <v>0</v>
      </c>
      <c r="BA206" s="136">
        <f t="shared" si="230"/>
        <v>0</v>
      </c>
      <c r="BB206" s="136">
        <f t="shared" si="231"/>
        <v>0</v>
      </c>
      <c r="BC206" s="136">
        <f t="shared" si="232"/>
        <v>0</v>
      </c>
      <c r="BD206" s="136">
        <f t="shared" si="233"/>
        <v>0</v>
      </c>
      <c r="BE206" s="136">
        <f t="shared" si="234"/>
        <v>0</v>
      </c>
      <c r="BF206" s="136">
        <f t="shared" si="235"/>
        <v>0</v>
      </c>
      <c r="BG206" s="136">
        <f t="shared" si="236"/>
        <v>0</v>
      </c>
      <c r="BH206" s="136">
        <f t="shared" si="243"/>
        <v>0</v>
      </c>
      <c r="BI206" s="136">
        <f t="shared" si="244"/>
        <v>0</v>
      </c>
      <c r="BJ206" s="136">
        <f t="shared" si="245"/>
        <v>0</v>
      </c>
      <c r="BK206" s="136">
        <f t="shared" si="246"/>
        <v>0</v>
      </c>
    </row>
    <row r="207" spans="1:63" s="100" customFormat="1" ht="16" hidden="1" customHeight="1">
      <c r="A207" s="135" t="s">
        <v>566</v>
      </c>
      <c r="B207" s="16" t="s">
        <v>568</v>
      </c>
      <c r="C207" s="16" t="s">
        <v>569</v>
      </c>
      <c r="D207" s="16"/>
      <c r="E207" s="16"/>
      <c r="F207" s="16"/>
      <c r="G207" s="16"/>
      <c r="H207" s="16"/>
      <c r="I207" s="7"/>
      <c r="J207" s="7"/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/>
      <c r="R207" s="7"/>
      <c r="S207" s="16"/>
      <c r="T207" s="16"/>
      <c r="U207" s="16"/>
      <c r="V207" s="16"/>
      <c r="W207" s="16"/>
      <c r="X207" s="16">
        <v>0</v>
      </c>
      <c r="Y207" s="16">
        <v>0</v>
      </c>
      <c r="Z207" s="16">
        <f t="shared" si="247"/>
        <v>0</v>
      </c>
      <c r="AA207" s="16"/>
      <c r="AB207" s="16">
        <v>0</v>
      </c>
      <c r="AC207" s="16">
        <v>0</v>
      </c>
      <c r="AD207" s="16">
        <f t="shared" si="248"/>
        <v>0</v>
      </c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>
        <f t="shared" si="237"/>
        <v>0</v>
      </c>
      <c r="AU207" s="136">
        <f t="shared" si="249"/>
        <v>0</v>
      </c>
      <c r="AV207" s="123"/>
      <c r="AW207" s="136">
        <f t="shared" si="250"/>
        <v>0</v>
      </c>
      <c r="AX207" s="136">
        <f t="shared" si="227"/>
        <v>0</v>
      </c>
      <c r="AY207" s="136">
        <f t="shared" si="228"/>
        <v>0</v>
      </c>
      <c r="AZ207" s="136">
        <f t="shared" si="229"/>
        <v>0</v>
      </c>
      <c r="BA207" s="136">
        <f t="shared" si="230"/>
        <v>0</v>
      </c>
      <c r="BB207" s="136">
        <f t="shared" si="231"/>
        <v>0</v>
      </c>
      <c r="BC207" s="136">
        <f t="shared" si="232"/>
        <v>0</v>
      </c>
      <c r="BD207" s="136">
        <f t="shared" si="233"/>
        <v>0</v>
      </c>
      <c r="BE207" s="136">
        <f t="shared" si="234"/>
        <v>0</v>
      </c>
      <c r="BF207" s="136">
        <f t="shared" si="235"/>
        <v>0</v>
      </c>
      <c r="BG207" s="136">
        <f t="shared" si="236"/>
        <v>0</v>
      </c>
      <c r="BH207" s="136">
        <f t="shared" si="243"/>
        <v>0</v>
      </c>
      <c r="BI207" s="136">
        <f t="shared" si="244"/>
        <v>0</v>
      </c>
      <c r="BJ207" s="136">
        <f t="shared" si="245"/>
        <v>0</v>
      </c>
      <c r="BK207" s="136">
        <f t="shared" si="246"/>
        <v>0</v>
      </c>
    </row>
    <row r="208" spans="1:63" s="100" customFormat="1" ht="16" hidden="1" customHeight="1">
      <c r="A208" s="135" t="s">
        <v>566</v>
      </c>
      <c r="B208" s="16" t="s">
        <v>570</v>
      </c>
      <c r="C208" s="16" t="s">
        <v>115</v>
      </c>
      <c r="D208" s="16"/>
      <c r="E208" s="16"/>
      <c r="F208" s="16"/>
      <c r="G208" s="16"/>
      <c r="H208" s="16"/>
      <c r="I208" s="7"/>
      <c r="J208" s="7"/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/>
      <c r="R208" s="7"/>
      <c r="S208" s="16"/>
      <c r="T208" s="16"/>
      <c r="U208" s="16"/>
      <c r="V208" s="16"/>
      <c r="W208" s="16"/>
      <c r="X208" s="16">
        <v>0</v>
      </c>
      <c r="Y208" s="16">
        <v>0</v>
      </c>
      <c r="Z208" s="16">
        <f t="shared" si="247"/>
        <v>0</v>
      </c>
      <c r="AA208" s="16"/>
      <c r="AB208" s="16">
        <v>0</v>
      </c>
      <c r="AC208" s="16">
        <v>0</v>
      </c>
      <c r="AD208" s="16">
        <f t="shared" si="248"/>
        <v>0</v>
      </c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>
        <f t="shared" si="237"/>
        <v>0</v>
      </c>
      <c r="AU208" s="136">
        <f t="shared" si="249"/>
        <v>0</v>
      </c>
      <c r="AV208" s="123"/>
      <c r="AW208" s="136">
        <f t="shared" si="250"/>
        <v>0</v>
      </c>
      <c r="AX208" s="136">
        <f t="shared" si="227"/>
        <v>0</v>
      </c>
      <c r="AY208" s="136">
        <f t="shared" si="228"/>
        <v>0</v>
      </c>
      <c r="AZ208" s="136">
        <f t="shared" si="229"/>
        <v>0</v>
      </c>
      <c r="BA208" s="136">
        <f t="shared" si="230"/>
        <v>0</v>
      </c>
      <c r="BB208" s="136">
        <f t="shared" si="231"/>
        <v>0</v>
      </c>
      <c r="BC208" s="136">
        <f t="shared" si="232"/>
        <v>0</v>
      </c>
      <c r="BD208" s="136">
        <f t="shared" si="233"/>
        <v>0</v>
      </c>
      <c r="BE208" s="136">
        <f t="shared" si="234"/>
        <v>0</v>
      </c>
      <c r="BF208" s="136">
        <f t="shared" si="235"/>
        <v>0</v>
      </c>
      <c r="BG208" s="136">
        <f t="shared" si="236"/>
        <v>0</v>
      </c>
      <c r="BH208" s="136">
        <f t="shared" si="243"/>
        <v>0</v>
      </c>
      <c r="BI208" s="136">
        <f t="shared" si="244"/>
        <v>0</v>
      </c>
      <c r="BJ208" s="136">
        <f t="shared" si="245"/>
        <v>0</v>
      </c>
      <c r="BK208" s="136">
        <f t="shared" si="246"/>
        <v>0</v>
      </c>
    </row>
    <row r="209" spans="1:63" s="100" customFormat="1" ht="16" hidden="1" customHeight="1">
      <c r="A209" s="135" t="s">
        <v>566</v>
      </c>
      <c r="B209" s="16" t="s">
        <v>571</v>
      </c>
      <c r="C209" s="16" t="s">
        <v>236</v>
      </c>
      <c r="D209" s="16"/>
      <c r="E209" s="16"/>
      <c r="F209" s="16"/>
      <c r="G209" s="16"/>
      <c r="H209" s="16"/>
      <c r="I209" s="7"/>
      <c r="J209" s="7"/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/>
      <c r="R209" s="7"/>
      <c r="S209" s="16"/>
      <c r="T209" s="16"/>
      <c r="U209" s="16"/>
      <c r="V209" s="16"/>
      <c r="W209" s="16"/>
      <c r="X209" s="16">
        <v>0</v>
      </c>
      <c r="Y209" s="16">
        <v>0</v>
      </c>
      <c r="Z209" s="16">
        <f t="shared" si="247"/>
        <v>0</v>
      </c>
      <c r="AA209" s="16"/>
      <c r="AB209" s="16">
        <v>0</v>
      </c>
      <c r="AC209" s="16">
        <v>0</v>
      </c>
      <c r="AD209" s="16">
        <f t="shared" si="248"/>
        <v>0</v>
      </c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>
        <f t="shared" si="237"/>
        <v>0</v>
      </c>
      <c r="AU209" s="136">
        <f t="shared" si="249"/>
        <v>0</v>
      </c>
      <c r="AV209" s="123"/>
      <c r="AW209" s="136">
        <f t="shared" si="250"/>
        <v>0</v>
      </c>
      <c r="AX209" s="136">
        <f t="shared" si="227"/>
        <v>0</v>
      </c>
      <c r="AY209" s="136">
        <f t="shared" si="228"/>
        <v>0</v>
      </c>
      <c r="AZ209" s="136">
        <f t="shared" si="229"/>
        <v>0</v>
      </c>
      <c r="BA209" s="136">
        <f t="shared" si="230"/>
        <v>0</v>
      </c>
      <c r="BB209" s="136">
        <f t="shared" si="231"/>
        <v>0</v>
      </c>
      <c r="BC209" s="136">
        <f t="shared" si="232"/>
        <v>0</v>
      </c>
      <c r="BD209" s="136">
        <f t="shared" si="233"/>
        <v>0</v>
      </c>
      <c r="BE209" s="136">
        <f t="shared" si="234"/>
        <v>0</v>
      </c>
      <c r="BF209" s="136">
        <f t="shared" si="235"/>
        <v>0</v>
      </c>
      <c r="BG209" s="136">
        <f t="shared" si="236"/>
        <v>0</v>
      </c>
      <c r="BH209" s="136">
        <f t="shared" si="243"/>
        <v>0</v>
      </c>
      <c r="BI209" s="136">
        <f t="shared" si="244"/>
        <v>0</v>
      </c>
      <c r="BJ209" s="136">
        <f t="shared" si="245"/>
        <v>0</v>
      </c>
      <c r="BK209" s="136">
        <f t="shared" si="246"/>
        <v>0</v>
      </c>
    </row>
    <row r="210" spans="1:63" s="100" customFormat="1" ht="16" hidden="1" customHeight="1">
      <c r="A210" s="135" t="s">
        <v>566</v>
      </c>
      <c r="B210" s="16" t="s">
        <v>572</v>
      </c>
      <c r="C210" s="16" t="s">
        <v>573</v>
      </c>
      <c r="D210" s="16"/>
      <c r="E210" s="16"/>
      <c r="F210" s="16"/>
      <c r="G210" s="16"/>
      <c r="H210" s="16"/>
      <c r="I210" s="7"/>
      <c r="J210" s="7"/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/>
      <c r="R210" s="7"/>
      <c r="S210" s="16"/>
      <c r="T210" s="16"/>
      <c r="U210" s="16"/>
      <c r="V210" s="16"/>
      <c r="W210" s="16"/>
      <c r="X210" s="16">
        <v>0</v>
      </c>
      <c r="Y210" s="16">
        <v>0</v>
      </c>
      <c r="Z210" s="16">
        <f t="shared" si="247"/>
        <v>0</v>
      </c>
      <c r="AA210" s="16"/>
      <c r="AB210" s="16">
        <v>0</v>
      </c>
      <c r="AC210" s="16">
        <v>0</v>
      </c>
      <c r="AD210" s="16">
        <f t="shared" si="248"/>
        <v>0</v>
      </c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>
        <f t="shared" si="237"/>
        <v>0</v>
      </c>
      <c r="AU210" s="136">
        <f t="shared" si="249"/>
        <v>0</v>
      </c>
      <c r="AV210" s="123"/>
      <c r="AW210" s="136">
        <f t="shared" si="250"/>
        <v>0</v>
      </c>
      <c r="AX210" s="136">
        <f t="shared" si="227"/>
        <v>0</v>
      </c>
      <c r="AY210" s="136">
        <f t="shared" si="228"/>
        <v>0</v>
      </c>
      <c r="AZ210" s="136">
        <f t="shared" si="229"/>
        <v>0</v>
      </c>
      <c r="BA210" s="136">
        <f t="shared" si="230"/>
        <v>0</v>
      </c>
      <c r="BB210" s="136">
        <f t="shared" si="231"/>
        <v>0</v>
      </c>
      <c r="BC210" s="136">
        <f t="shared" si="232"/>
        <v>0</v>
      </c>
      <c r="BD210" s="136">
        <f t="shared" si="233"/>
        <v>0</v>
      </c>
      <c r="BE210" s="136">
        <f t="shared" si="234"/>
        <v>0</v>
      </c>
      <c r="BF210" s="136">
        <f t="shared" si="235"/>
        <v>0</v>
      </c>
      <c r="BG210" s="136">
        <f t="shared" si="236"/>
        <v>0</v>
      </c>
      <c r="BH210" s="136">
        <f t="shared" si="243"/>
        <v>0</v>
      </c>
      <c r="BI210" s="136">
        <f t="shared" si="244"/>
        <v>0</v>
      </c>
      <c r="BJ210" s="136">
        <f t="shared" si="245"/>
        <v>0</v>
      </c>
      <c r="BK210" s="136">
        <f t="shared" si="246"/>
        <v>0</v>
      </c>
    </row>
    <row r="211" spans="1:63" s="100" customFormat="1" ht="16" hidden="1" customHeight="1">
      <c r="A211" s="135" t="s">
        <v>566</v>
      </c>
      <c r="B211" s="16"/>
      <c r="C211" s="16"/>
      <c r="D211" s="16"/>
      <c r="E211" s="16"/>
      <c r="F211" s="16"/>
      <c r="G211" s="16"/>
      <c r="H211" s="16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16"/>
      <c r="T211" s="16"/>
      <c r="U211" s="16"/>
      <c r="V211" s="16"/>
      <c r="W211" s="16"/>
      <c r="X211" s="16"/>
      <c r="Y211" s="16"/>
      <c r="Z211" s="16">
        <f t="shared" si="247"/>
        <v>0</v>
      </c>
      <c r="AA211" s="16"/>
      <c r="AB211" s="16"/>
      <c r="AC211" s="16"/>
      <c r="AD211" s="16">
        <f t="shared" si="248"/>
        <v>0</v>
      </c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>
        <f t="shared" si="237"/>
        <v>0</v>
      </c>
      <c r="AU211" s="136">
        <f t="shared" si="249"/>
        <v>0</v>
      </c>
      <c r="AV211" s="123"/>
      <c r="AW211" s="136">
        <f t="shared" si="250"/>
        <v>0</v>
      </c>
      <c r="AX211" s="136">
        <f t="shared" si="227"/>
        <v>0</v>
      </c>
      <c r="AY211" s="136">
        <f t="shared" si="228"/>
        <v>0</v>
      </c>
      <c r="AZ211" s="136">
        <f t="shared" si="229"/>
        <v>0</v>
      </c>
      <c r="BA211" s="136">
        <f t="shared" si="230"/>
        <v>0</v>
      </c>
      <c r="BB211" s="136">
        <f t="shared" si="231"/>
        <v>0</v>
      </c>
      <c r="BC211" s="136">
        <f t="shared" si="232"/>
        <v>0</v>
      </c>
      <c r="BD211" s="136">
        <f t="shared" si="233"/>
        <v>0</v>
      </c>
      <c r="BE211" s="136">
        <f t="shared" si="234"/>
        <v>0</v>
      </c>
      <c r="BF211" s="136">
        <f t="shared" si="235"/>
        <v>0</v>
      </c>
      <c r="BG211" s="136">
        <f t="shared" si="236"/>
        <v>0</v>
      </c>
      <c r="BH211" s="136">
        <f t="shared" si="243"/>
        <v>0</v>
      </c>
      <c r="BI211" s="136">
        <f t="shared" si="244"/>
        <v>0</v>
      </c>
      <c r="BJ211" s="136">
        <f t="shared" si="245"/>
        <v>0</v>
      </c>
      <c r="BK211" s="136">
        <f t="shared" si="246"/>
        <v>0</v>
      </c>
    </row>
    <row r="212" spans="1:63" s="100" customFormat="1" ht="16" hidden="1" customHeight="1">
      <c r="A212" s="135" t="s">
        <v>566</v>
      </c>
      <c r="B212" s="16"/>
      <c r="C212" s="16"/>
      <c r="D212" s="16"/>
      <c r="E212" s="16"/>
      <c r="F212" s="16"/>
      <c r="G212" s="16"/>
      <c r="H212" s="16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16"/>
      <c r="T212" s="16"/>
      <c r="U212" s="16"/>
      <c r="V212" s="16"/>
      <c r="W212" s="16"/>
      <c r="X212" s="16"/>
      <c r="Y212" s="16"/>
      <c r="Z212" s="16">
        <f t="shared" si="247"/>
        <v>0</v>
      </c>
      <c r="AA212" s="16"/>
      <c r="AB212" s="16"/>
      <c r="AC212" s="16"/>
      <c r="AD212" s="16">
        <f t="shared" si="248"/>
        <v>0</v>
      </c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>
        <f t="shared" si="237"/>
        <v>0</v>
      </c>
      <c r="AU212" s="136">
        <f t="shared" si="249"/>
        <v>0</v>
      </c>
      <c r="AV212" s="123"/>
      <c r="AW212" s="136">
        <f t="shared" si="250"/>
        <v>0</v>
      </c>
      <c r="AX212" s="136">
        <f t="shared" si="227"/>
        <v>0</v>
      </c>
      <c r="AY212" s="136">
        <f t="shared" si="228"/>
        <v>0</v>
      </c>
      <c r="AZ212" s="136">
        <f t="shared" si="229"/>
        <v>0</v>
      </c>
      <c r="BA212" s="136">
        <f t="shared" si="230"/>
        <v>0</v>
      </c>
      <c r="BB212" s="136">
        <f t="shared" si="231"/>
        <v>0</v>
      </c>
      <c r="BC212" s="136">
        <f t="shared" si="232"/>
        <v>0</v>
      </c>
      <c r="BD212" s="136">
        <f t="shared" si="233"/>
        <v>0</v>
      </c>
      <c r="BE212" s="136">
        <f t="shared" si="234"/>
        <v>0</v>
      </c>
      <c r="BF212" s="136">
        <f t="shared" si="235"/>
        <v>0</v>
      </c>
      <c r="BG212" s="136">
        <f t="shared" si="236"/>
        <v>0</v>
      </c>
      <c r="BH212" s="136">
        <f t="shared" si="243"/>
        <v>0</v>
      </c>
      <c r="BI212" s="136">
        <f t="shared" si="244"/>
        <v>0</v>
      </c>
      <c r="BJ212" s="136">
        <f t="shared" si="245"/>
        <v>0</v>
      </c>
      <c r="BK212" s="136">
        <f t="shared" si="246"/>
        <v>0</v>
      </c>
    </row>
    <row r="213" spans="1:63" s="100" customFormat="1" ht="16" hidden="1" customHeight="1">
      <c r="A213" s="135" t="s">
        <v>566</v>
      </c>
      <c r="B213" s="16"/>
      <c r="C213" s="16"/>
      <c r="D213" s="16"/>
      <c r="E213" s="16"/>
      <c r="F213" s="16"/>
      <c r="G213" s="16"/>
      <c r="H213" s="16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16"/>
      <c r="T213" s="16"/>
      <c r="U213" s="16"/>
      <c r="V213" s="16"/>
      <c r="W213" s="16"/>
      <c r="X213" s="16"/>
      <c r="Y213" s="16"/>
      <c r="Z213" s="16">
        <f t="shared" si="247"/>
        <v>0</v>
      </c>
      <c r="AA213" s="16"/>
      <c r="AB213" s="16"/>
      <c r="AC213" s="16"/>
      <c r="AD213" s="16">
        <f t="shared" si="248"/>
        <v>0</v>
      </c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>
        <f t="shared" si="237"/>
        <v>0</v>
      </c>
      <c r="AU213" s="136">
        <f t="shared" si="249"/>
        <v>0</v>
      </c>
      <c r="AV213" s="123"/>
      <c r="AW213" s="136">
        <f t="shared" si="250"/>
        <v>0</v>
      </c>
      <c r="AX213" s="136">
        <f t="shared" si="227"/>
        <v>0</v>
      </c>
      <c r="AY213" s="136">
        <f t="shared" si="228"/>
        <v>0</v>
      </c>
      <c r="AZ213" s="136">
        <f t="shared" si="229"/>
        <v>0</v>
      </c>
      <c r="BA213" s="136">
        <f t="shared" si="230"/>
        <v>0</v>
      </c>
      <c r="BB213" s="136">
        <f t="shared" si="231"/>
        <v>0</v>
      </c>
      <c r="BC213" s="136">
        <f t="shared" si="232"/>
        <v>0</v>
      </c>
      <c r="BD213" s="136">
        <f t="shared" si="233"/>
        <v>0</v>
      </c>
      <c r="BE213" s="136">
        <f t="shared" si="234"/>
        <v>0</v>
      </c>
      <c r="BF213" s="136">
        <f t="shared" si="235"/>
        <v>0</v>
      </c>
      <c r="BG213" s="136">
        <f t="shared" si="236"/>
        <v>0</v>
      </c>
      <c r="BH213" s="136">
        <f t="shared" si="243"/>
        <v>0</v>
      </c>
      <c r="BI213" s="136">
        <f t="shared" si="244"/>
        <v>0</v>
      </c>
      <c r="BJ213" s="136">
        <f t="shared" si="245"/>
        <v>0</v>
      </c>
      <c r="BK213" s="136">
        <f t="shared" si="246"/>
        <v>0</v>
      </c>
    </row>
    <row r="214" spans="1:63" s="100" customFormat="1" ht="16" hidden="1" customHeight="1">
      <c r="A214" s="135" t="s">
        <v>566</v>
      </c>
      <c r="B214" s="16"/>
      <c r="C214" s="16"/>
      <c r="D214" s="16"/>
      <c r="E214" s="16"/>
      <c r="F214" s="16"/>
      <c r="G214" s="16"/>
      <c r="H214" s="16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16"/>
      <c r="T214" s="16"/>
      <c r="U214" s="16"/>
      <c r="V214" s="16"/>
      <c r="W214" s="16"/>
      <c r="X214" s="16"/>
      <c r="Y214" s="16"/>
      <c r="Z214" s="16">
        <f t="shared" si="247"/>
        <v>0</v>
      </c>
      <c r="AA214" s="16"/>
      <c r="AB214" s="16"/>
      <c r="AC214" s="16"/>
      <c r="AD214" s="16">
        <f t="shared" si="248"/>
        <v>0</v>
      </c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>
        <f t="shared" si="237"/>
        <v>0</v>
      </c>
      <c r="AU214" s="136">
        <f t="shared" si="249"/>
        <v>0</v>
      </c>
      <c r="AV214" s="123"/>
      <c r="AW214" s="136">
        <f t="shared" si="250"/>
        <v>0</v>
      </c>
      <c r="AX214" s="136">
        <f t="shared" si="227"/>
        <v>0</v>
      </c>
      <c r="AY214" s="136">
        <f t="shared" si="228"/>
        <v>0</v>
      </c>
      <c r="AZ214" s="136">
        <f t="shared" si="229"/>
        <v>0</v>
      </c>
      <c r="BA214" s="136">
        <f t="shared" si="230"/>
        <v>0</v>
      </c>
      <c r="BB214" s="136">
        <f t="shared" si="231"/>
        <v>0</v>
      </c>
      <c r="BC214" s="136">
        <f t="shared" si="232"/>
        <v>0</v>
      </c>
      <c r="BD214" s="136">
        <f t="shared" si="233"/>
        <v>0</v>
      </c>
      <c r="BE214" s="136">
        <f t="shared" si="234"/>
        <v>0</v>
      </c>
      <c r="BF214" s="136">
        <f t="shared" si="235"/>
        <v>0</v>
      </c>
      <c r="BG214" s="136">
        <f t="shared" si="236"/>
        <v>0</v>
      </c>
      <c r="BH214" s="136">
        <f t="shared" si="243"/>
        <v>0</v>
      </c>
      <c r="BI214" s="136">
        <f t="shared" si="244"/>
        <v>0</v>
      </c>
      <c r="BJ214" s="136">
        <f t="shared" si="245"/>
        <v>0</v>
      </c>
      <c r="BK214" s="136">
        <f t="shared" si="246"/>
        <v>0</v>
      </c>
    </row>
    <row r="215" spans="1:63" s="100" customFormat="1" ht="16" hidden="1" customHeight="1">
      <c r="A215" s="135" t="s">
        <v>566</v>
      </c>
      <c r="B215" s="16"/>
      <c r="C215" s="16"/>
      <c r="D215" s="16"/>
      <c r="E215" s="16"/>
      <c r="F215" s="16"/>
      <c r="G215" s="16"/>
      <c r="H215" s="16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16"/>
      <c r="T215" s="16"/>
      <c r="U215" s="16"/>
      <c r="V215" s="16"/>
      <c r="W215" s="16"/>
      <c r="X215" s="16"/>
      <c r="Y215" s="16"/>
      <c r="Z215" s="16">
        <f t="shared" si="247"/>
        <v>0</v>
      </c>
      <c r="AA215" s="16"/>
      <c r="AB215" s="16"/>
      <c r="AC215" s="16"/>
      <c r="AD215" s="16">
        <f t="shared" si="248"/>
        <v>0</v>
      </c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>
        <f t="shared" si="237"/>
        <v>0</v>
      </c>
      <c r="AU215" s="136">
        <f t="shared" si="249"/>
        <v>0</v>
      </c>
      <c r="AV215" s="123"/>
      <c r="AW215" s="136">
        <f t="shared" si="250"/>
        <v>0</v>
      </c>
      <c r="AX215" s="136">
        <f t="shared" si="227"/>
        <v>0</v>
      </c>
      <c r="AY215" s="136">
        <f t="shared" si="228"/>
        <v>0</v>
      </c>
      <c r="AZ215" s="136">
        <f t="shared" si="229"/>
        <v>0</v>
      </c>
      <c r="BA215" s="136">
        <f t="shared" si="230"/>
        <v>0</v>
      </c>
      <c r="BB215" s="136">
        <f t="shared" si="231"/>
        <v>0</v>
      </c>
      <c r="BC215" s="136">
        <f t="shared" si="232"/>
        <v>0</v>
      </c>
      <c r="BD215" s="136">
        <f t="shared" si="233"/>
        <v>0</v>
      </c>
      <c r="BE215" s="136">
        <f t="shared" si="234"/>
        <v>0</v>
      </c>
      <c r="BF215" s="136">
        <f t="shared" si="235"/>
        <v>0</v>
      </c>
      <c r="BG215" s="136">
        <f t="shared" si="236"/>
        <v>0</v>
      </c>
      <c r="BH215" s="136">
        <f t="shared" si="243"/>
        <v>0</v>
      </c>
      <c r="BI215" s="136">
        <f t="shared" si="244"/>
        <v>0</v>
      </c>
      <c r="BJ215" s="136">
        <f t="shared" si="245"/>
        <v>0</v>
      </c>
      <c r="BK215" s="136">
        <f t="shared" si="246"/>
        <v>0</v>
      </c>
    </row>
    <row r="216" spans="1:63" s="100" customFormat="1" ht="16" hidden="1" customHeight="1">
      <c r="A216" s="135" t="s">
        <v>566</v>
      </c>
      <c r="B216" s="16"/>
      <c r="C216" s="16"/>
      <c r="D216" s="16"/>
      <c r="E216" s="16"/>
      <c r="F216" s="16"/>
      <c r="G216" s="16"/>
      <c r="H216" s="16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16"/>
      <c r="T216" s="16"/>
      <c r="U216" s="16"/>
      <c r="V216" s="16"/>
      <c r="W216" s="16"/>
      <c r="X216" s="16"/>
      <c r="Y216" s="16"/>
      <c r="Z216" s="16">
        <f t="shared" si="247"/>
        <v>0</v>
      </c>
      <c r="AA216" s="16"/>
      <c r="AB216" s="16"/>
      <c r="AC216" s="16"/>
      <c r="AD216" s="16">
        <f t="shared" si="248"/>
        <v>0</v>
      </c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>
        <f t="shared" si="237"/>
        <v>0</v>
      </c>
      <c r="AU216" s="136">
        <f t="shared" si="249"/>
        <v>0</v>
      </c>
      <c r="AV216" s="123"/>
      <c r="AW216" s="136">
        <f t="shared" si="250"/>
        <v>0</v>
      </c>
      <c r="AX216" s="136">
        <f t="shared" si="227"/>
        <v>0</v>
      </c>
      <c r="AY216" s="136">
        <f t="shared" si="228"/>
        <v>0</v>
      </c>
      <c r="AZ216" s="136">
        <f t="shared" si="229"/>
        <v>0</v>
      </c>
      <c r="BA216" s="136">
        <f t="shared" si="230"/>
        <v>0</v>
      </c>
      <c r="BB216" s="136">
        <f t="shared" si="231"/>
        <v>0</v>
      </c>
      <c r="BC216" s="136">
        <f t="shared" si="232"/>
        <v>0</v>
      </c>
      <c r="BD216" s="136">
        <f t="shared" si="233"/>
        <v>0</v>
      </c>
      <c r="BE216" s="136">
        <f t="shared" si="234"/>
        <v>0</v>
      </c>
      <c r="BF216" s="136">
        <f t="shared" si="235"/>
        <v>0</v>
      </c>
      <c r="BG216" s="136">
        <f t="shared" si="236"/>
        <v>0</v>
      </c>
      <c r="BH216" s="136">
        <f t="shared" si="243"/>
        <v>0</v>
      </c>
      <c r="BI216" s="136">
        <f t="shared" si="244"/>
        <v>0</v>
      </c>
      <c r="BJ216" s="136">
        <f t="shared" si="245"/>
        <v>0</v>
      </c>
      <c r="BK216" s="136">
        <f t="shared" si="246"/>
        <v>0</v>
      </c>
    </row>
    <row r="217" spans="1:63" s="100" customFormat="1" ht="16" hidden="1" customHeight="1">
      <c r="A217" s="135" t="s">
        <v>566</v>
      </c>
      <c r="B217" s="16"/>
      <c r="C217" s="16"/>
      <c r="D217" s="16"/>
      <c r="E217" s="16"/>
      <c r="F217" s="16"/>
      <c r="G217" s="16"/>
      <c r="H217" s="16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16"/>
      <c r="T217" s="16"/>
      <c r="U217" s="16"/>
      <c r="V217" s="16"/>
      <c r="W217" s="16"/>
      <c r="X217" s="16"/>
      <c r="Y217" s="16"/>
      <c r="Z217" s="16">
        <f t="shared" si="247"/>
        <v>0</v>
      </c>
      <c r="AA217" s="16"/>
      <c r="AB217" s="16"/>
      <c r="AC217" s="16"/>
      <c r="AD217" s="16">
        <f t="shared" si="248"/>
        <v>0</v>
      </c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>
        <f t="shared" si="237"/>
        <v>0</v>
      </c>
      <c r="AU217" s="136">
        <f t="shared" si="249"/>
        <v>0</v>
      </c>
      <c r="AV217" s="123"/>
      <c r="AW217" s="136">
        <f t="shared" si="250"/>
        <v>0</v>
      </c>
      <c r="AX217" s="136">
        <f t="shared" si="227"/>
        <v>0</v>
      </c>
      <c r="AY217" s="136">
        <f t="shared" si="228"/>
        <v>0</v>
      </c>
      <c r="AZ217" s="136">
        <f t="shared" si="229"/>
        <v>0</v>
      </c>
      <c r="BA217" s="136">
        <f t="shared" si="230"/>
        <v>0</v>
      </c>
      <c r="BB217" s="136">
        <f t="shared" si="231"/>
        <v>0</v>
      </c>
      <c r="BC217" s="136">
        <f t="shared" si="232"/>
        <v>0</v>
      </c>
      <c r="BD217" s="136">
        <f t="shared" si="233"/>
        <v>0</v>
      </c>
      <c r="BE217" s="136">
        <f t="shared" si="234"/>
        <v>0</v>
      </c>
      <c r="BF217" s="136">
        <f t="shared" si="235"/>
        <v>0</v>
      </c>
      <c r="BG217" s="136">
        <f t="shared" si="236"/>
        <v>0</v>
      </c>
      <c r="BH217" s="136">
        <f t="shared" si="243"/>
        <v>0</v>
      </c>
      <c r="BI217" s="136">
        <f t="shared" si="244"/>
        <v>0</v>
      </c>
      <c r="BJ217" s="136">
        <f t="shared" si="245"/>
        <v>0</v>
      </c>
      <c r="BK217" s="136">
        <f t="shared" si="246"/>
        <v>0</v>
      </c>
    </row>
    <row r="218" spans="1:63" s="100" customFormat="1" ht="16" customHeight="1">
      <c r="A218" s="135" t="s">
        <v>574</v>
      </c>
      <c r="B218" s="16" t="s">
        <v>575</v>
      </c>
      <c r="C218" s="16" t="s">
        <v>576</v>
      </c>
      <c r="D218" s="16"/>
      <c r="E218" s="16"/>
      <c r="F218" s="16"/>
      <c r="G218" s="16"/>
      <c r="H218" s="16" t="s">
        <v>38</v>
      </c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16"/>
      <c r="T218" s="16"/>
      <c r="U218" s="16"/>
      <c r="V218" s="16"/>
      <c r="W218" s="16"/>
      <c r="X218" s="16"/>
      <c r="Y218" s="16"/>
      <c r="Z218" s="16">
        <f t="shared" si="247"/>
        <v>0</v>
      </c>
      <c r="AA218" s="16"/>
      <c r="AB218" s="16">
        <v>1955</v>
      </c>
      <c r="AC218" s="16"/>
      <c r="AD218" s="16">
        <f t="shared" si="248"/>
        <v>1955</v>
      </c>
      <c r="AE218" s="16"/>
      <c r="AF218" s="16"/>
      <c r="AG218" s="16"/>
      <c r="AH218" s="16"/>
      <c r="AI218" s="16"/>
      <c r="AJ218" s="16"/>
      <c r="AK218" s="16"/>
      <c r="AL218" s="16">
        <v>1955</v>
      </c>
      <c r="AM218" s="16"/>
      <c r="AN218" s="16"/>
      <c r="AO218" s="16"/>
      <c r="AP218" s="16"/>
      <c r="AQ218" s="16"/>
      <c r="AR218" s="16"/>
      <c r="AS218" s="16"/>
      <c r="AT218" s="16">
        <f>SUM(AE218:AS218)</f>
        <v>1955</v>
      </c>
      <c r="AU218" s="136">
        <f t="shared" si="249"/>
        <v>0</v>
      </c>
      <c r="AV218" s="123"/>
      <c r="AW218" s="136">
        <f t="shared" si="250"/>
        <v>0</v>
      </c>
      <c r="AX218" s="136">
        <f t="shared" si="227"/>
        <v>0</v>
      </c>
      <c r="AY218" s="136">
        <f t="shared" si="228"/>
        <v>0</v>
      </c>
      <c r="AZ218" s="136">
        <f t="shared" si="229"/>
        <v>0</v>
      </c>
      <c r="BA218" s="136">
        <f t="shared" si="230"/>
        <v>0</v>
      </c>
      <c r="BB218" s="136">
        <f t="shared" si="231"/>
        <v>0</v>
      </c>
      <c r="BC218" s="136">
        <f t="shared" si="232"/>
        <v>0</v>
      </c>
      <c r="BD218" s="136">
        <f t="shared" si="233"/>
        <v>1955</v>
      </c>
      <c r="BE218" s="136">
        <f t="shared" si="234"/>
        <v>1955</v>
      </c>
      <c r="BF218" s="136">
        <f t="shared" ref="BF218:BK218" si="251">BE218+AN218-R218</f>
        <v>1955</v>
      </c>
      <c r="BG218" s="136">
        <f t="shared" si="251"/>
        <v>1955</v>
      </c>
      <c r="BH218" s="136">
        <f t="shared" si="251"/>
        <v>1955</v>
      </c>
      <c r="BI218" s="136">
        <f t="shared" si="251"/>
        <v>1955</v>
      </c>
      <c r="BJ218" s="136">
        <f t="shared" si="251"/>
        <v>1955</v>
      </c>
      <c r="BK218" s="136">
        <f t="shared" si="251"/>
        <v>1955</v>
      </c>
    </row>
    <row r="219" spans="1:63" s="100" customFormat="1" ht="16" customHeight="1">
      <c r="A219" s="135" t="s">
        <v>574</v>
      </c>
      <c r="B219" s="16" t="s">
        <v>577</v>
      </c>
      <c r="C219" s="16" t="s">
        <v>578</v>
      </c>
      <c r="D219" s="16"/>
      <c r="E219" s="16"/>
      <c r="F219" s="16"/>
      <c r="G219" s="16" t="s">
        <v>37</v>
      </c>
      <c r="H219" s="16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16"/>
      <c r="T219" s="16"/>
      <c r="U219" s="16"/>
      <c r="V219" s="16"/>
      <c r="W219" s="16"/>
      <c r="X219" s="16"/>
      <c r="Y219" s="16"/>
      <c r="Z219" s="16">
        <f t="shared" si="247"/>
        <v>0</v>
      </c>
      <c r="AA219" s="16"/>
      <c r="AB219" s="16">
        <v>1955</v>
      </c>
      <c r="AC219" s="16"/>
      <c r="AD219" s="16">
        <f t="shared" si="248"/>
        <v>1955</v>
      </c>
      <c r="AE219" s="16"/>
      <c r="AF219" s="16"/>
      <c r="AG219" s="16"/>
      <c r="AH219" s="16"/>
      <c r="AI219" s="16"/>
      <c r="AJ219" s="16"/>
      <c r="AK219" s="16"/>
      <c r="AL219" s="16">
        <v>1955</v>
      </c>
      <c r="AM219" s="16"/>
      <c r="AN219" s="16"/>
      <c r="AO219" s="16"/>
      <c r="AP219" s="16"/>
      <c r="AQ219" s="16"/>
      <c r="AR219" s="16"/>
      <c r="AS219" s="16"/>
      <c r="AT219" s="16">
        <f>SUM(AE219:AS219)</f>
        <v>1955</v>
      </c>
      <c r="AU219" s="136">
        <f t="shared" si="249"/>
        <v>0</v>
      </c>
      <c r="AV219" s="123" t="s">
        <v>579</v>
      </c>
      <c r="AW219" s="136">
        <f t="shared" si="250"/>
        <v>0</v>
      </c>
      <c r="AX219" s="136">
        <f t="shared" si="227"/>
        <v>0</v>
      </c>
      <c r="AY219" s="136">
        <f t="shared" si="228"/>
        <v>0</v>
      </c>
      <c r="AZ219" s="136">
        <f t="shared" si="229"/>
        <v>0</v>
      </c>
      <c r="BA219" s="136">
        <f t="shared" si="230"/>
        <v>0</v>
      </c>
      <c r="BB219" s="136">
        <f t="shared" si="231"/>
        <v>0</v>
      </c>
      <c r="BC219" s="136">
        <f t="shared" si="232"/>
        <v>0</v>
      </c>
      <c r="BD219" s="136">
        <f t="shared" si="233"/>
        <v>1955</v>
      </c>
      <c r="BE219" s="136">
        <f t="shared" si="234"/>
        <v>1955</v>
      </c>
      <c r="BF219" s="136">
        <f t="shared" ref="BF219:BK219" si="252">BE219+AN219-R219</f>
        <v>1955</v>
      </c>
      <c r="BG219" s="136">
        <f t="shared" si="252"/>
        <v>1955</v>
      </c>
      <c r="BH219" s="136">
        <f t="shared" si="252"/>
        <v>1955</v>
      </c>
      <c r="BI219" s="136">
        <f t="shared" si="252"/>
        <v>1955</v>
      </c>
      <c r="BJ219" s="136">
        <f t="shared" si="252"/>
        <v>1955</v>
      </c>
      <c r="BK219" s="136">
        <f t="shared" si="252"/>
        <v>1955</v>
      </c>
    </row>
    <row r="220" spans="1:63" s="100" customFormat="1" ht="16" customHeight="1">
      <c r="A220" s="16" t="s">
        <v>574</v>
      </c>
      <c r="B220" s="16" t="s">
        <v>580</v>
      </c>
      <c r="C220" s="16" t="s">
        <v>581</v>
      </c>
      <c r="D220" s="16"/>
      <c r="E220" s="16"/>
      <c r="F220" s="16"/>
      <c r="G220" s="16"/>
      <c r="H220" s="16" t="s">
        <v>45</v>
      </c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16"/>
      <c r="T220" s="16"/>
      <c r="U220" s="16"/>
      <c r="V220" s="16"/>
      <c r="W220" s="16"/>
      <c r="X220" s="16"/>
      <c r="Y220" s="16"/>
      <c r="Z220" s="16">
        <f t="shared" si="247"/>
        <v>0</v>
      </c>
      <c r="AA220" s="16"/>
      <c r="AB220" s="16">
        <v>448</v>
      </c>
      <c r="AC220" s="16"/>
      <c r="AD220" s="16">
        <f t="shared" si="248"/>
        <v>448</v>
      </c>
      <c r="AE220" s="16"/>
      <c r="AF220" s="16"/>
      <c r="AG220" s="16"/>
      <c r="AH220" s="16"/>
      <c r="AI220" s="16"/>
      <c r="AJ220" s="16"/>
      <c r="AK220" s="16"/>
      <c r="AL220" s="16">
        <v>448</v>
      </c>
      <c r="AM220" s="16"/>
      <c r="AN220" s="16"/>
      <c r="AO220" s="16"/>
      <c r="AP220" s="16"/>
      <c r="AQ220" s="16"/>
      <c r="AR220" s="16"/>
      <c r="AS220" s="16"/>
      <c r="AT220" s="16">
        <f>SUM(AE220:AS220)</f>
        <v>448</v>
      </c>
      <c r="AU220" s="136">
        <f t="shared" si="249"/>
        <v>0</v>
      </c>
      <c r="AV220" s="5" t="s">
        <v>582</v>
      </c>
      <c r="AW220" s="136">
        <f t="shared" si="250"/>
        <v>0</v>
      </c>
      <c r="AX220" s="136">
        <f t="shared" si="227"/>
        <v>0</v>
      </c>
      <c r="AY220" s="136">
        <f t="shared" si="228"/>
        <v>0</v>
      </c>
      <c r="AZ220" s="136">
        <f t="shared" si="229"/>
        <v>0</v>
      </c>
      <c r="BA220" s="136">
        <f t="shared" si="230"/>
        <v>0</v>
      </c>
      <c r="BB220" s="136">
        <f t="shared" si="231"/>
        <v>0</v>
      </c>
      <c r="BC220" s="136">
        <f t="shared" si="232"/>
        <v>0</v>
      </c>
      <c r="BD220" s="136">
        <f t="shared" si="233"/>
        <v>448</v>
      </c>
      <c r="BE220" s="136">
        <f t="shared" si="234"/>
        <v>448</v>
      </c>
      <c r="BF220" s="136">
        <f t="shared" ref="BF220:BK220" si="253">BE220+AN220-R220</f>
        <v>448</v>
      </c>
      <c r="BG220" s="136">
        <f t="shared" si="253"/>
        <v>448</v>
      </c>
      <c r="BH220" s="136">
        <f t="shared" si="253"/>
        <v>448</v>
      </c>
      <c r="BI220" s="136">
        <f t="shared" si="253"/>
        <v>448</v>
      </c>
      <c r="BJ220" s="136">
        <f t="shared" si="253"/>
        <v>448</v>
      </c>
      <c r="BK220" s="136">
        <f t="shared" si="253"/>
        <v>448</v>
      </c>
    </row>
    <row r="221" spans="1:63" s="100" customFormat="1" ht="16" hidden="1" customHeight="1">
      <c r="A221" s="16" t="s">
        <v>574</v>
      </c>
      <c r="B221" s="16" t="s">
        <v>583</v>
      </c>
      <c r="C221" s="16" t="s">
        <v>584</v>
      </c>
      <c r="D221" s="16"/>
      <c r="E221" s="16"/>
      <c r="F221" s="16"/>
      <c r="G221" s="16"/>
      <c r="H221" s="16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16"/>
      <c r="T221" s="16"/>
      <c r="U221" s="16"/>
      <c r="V221" s="16"/>
      <c r="W221" s="16"/>
      <c r="X221" s="16"/>
      <c r="Y221" s="16"/>
      <c r="Z221" s="16">
        <f t="shared" si="247"/>
        <v>0</v>
      </c>
      <c r="AA221" s="16"/>
      <c r="AB221" s="16">
        <v>0</v>
      </c>
      <c r="AC221" s="16"/>
      <c r="AD221" s="16">
        <f t="shared" si="248"/>
        <v>0</v>
      </c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>
        <f t="shared" si="237"/>
        <v>0</v>
      </c>
      <c r="AU221" s="136">
        <f t="shared" si="249"/>
        <v>0</v>
      </c>
      <c r="AV221" s="5" t="s">
        <v>582</v>
      </c>
      <c r="AW221" s="136">
        <f t="shared" si="250"/>
        <v>0</v>
      </c>
      <c r="AX221" s="136">
        <f t="shared" si="227"/>
        <v>0</v>
      </c>
      <c r="AY221" s="136">
        <f t="shared" si="228"/>
        <v>0</v>
      </c>
      <c r="AZ221" s="136">
        <f t="shared" si="229"/>
        <v>0</v>
      </c>
      <c r="BA221" s="136">
        <f t="shared" si="230"/>
        <v>0</v>
      </c>
      <c r="BB221" s="136">
        <f t="shared" si="231"/>
        <v>0</v>
      </c>
      <c r="BC221" s="136">
        <f t="shared" si="232"/>
        <v>0</v>
      </c>
      <c r="BD221" s="136">
        <f t="shared" si="233"/>
        <v>0</v>
      </c>
      <c r="BE221" s="136">
        <f t="shared" si="234"/>
        <v>0</v>
      </c>
      <c r="BF221" s="136">
        <f t="shared" si="235"/>
        <v>0</v>
      </c>
      <c r="BG221" s="136">
        <f t="shared" si="236"/>
        <v>0</v>
      </c>
      <c r="BH221" s="136">
        <f t="shared" ref="BH221:BH229" si="254">AP221+AJ221-T221</f>
        <v>0</v>
      </c>
      <c r="BI221" s="136">
        <f t="shared" ref="BI221:BI229" si="255">AQ221+AK221-U221</f>
        <v>0</v>
      </c>
      <c r="BJ221" s="136">
        <f t="shared" ref="BJ221:BJ229" si="256">AR221+AL221-V221</f>
        <v>0</v>
      </c>
      <c r="BK221" s="136">
        <f t="shared" ref="BK221:BK229" si="257">AS221+AM221-W221</f>
        <v>0</v>
      </c>
    </row>
    <row r="222" spans="1:63" s="100" customFormat="1" ht="16" hidden="1" customHeight="1">
      <c r="A222" s="16" t="s">
        <v>574</v>
      </c>
      <c r="B222" s="16" t="s">
        <v>585</v>
      </c>
      <c r="C222" s="16" t="s">
        <v>586</v>
      </c>
      <c r="D222" s="16"/>
      <c r="E222" s="16"/>
      <c r="F222" s="16"/>
      <c r="G222" s="16"/>
      <c r="H222" s="16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16"/>
      <c r="T222" s="16"/>
      <c r="U222" s="16"/>
      <c r="V222" s="16"/>
      <c r="W222" s="16"/>
      <c r="X222" s="16"/>
      <c r="Y222" s="16"/>
      <c r="Z222" s="16">
        <f t="shared" si="247"/>
        <v>0</v>
      </c>
      <c r="AA222" s="16"/>
      <c r="AB222" s="16">
        <v>0</v>
      </c>
      <c r="AC222" s="16"/>
      <c r="AD222" s="16">
        <f t="shared" si="248"/>
        <v>0</v>
      </c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>
        <f t="shared" si="237"/>
        <v>0</v>
      </c>
      <c r="AU222" s="136">
        <f t="shared" si="249"/>
        <v>0</v>
      </c>
      <c r="AV222" s="5" t="s">
        <v>582</v>
      </c>
      <c r="AW222" s="136">
        <f t="shared" si="250"/>
        <v>0</v>
      </c>
      <c r="AX222" s="136">
        <f t="shared" si="227"/>
        <v>0</v>
      </c>
      <c r="AY222" s="136">
        <f t="shared" si="228"/>
        <v>0</v>
      </c>
      <c r="AZ222" s="136">
        <f t="shared" si="229"/>
        <v>0</v>
      </c>
      <c r="BA222" s="136">
        <f t="shared" si="230"/>
        <v>0</v>
      </c>
      <c r="BB222" s="136">
        <f t="shared" si="231"/>
        <v>0</v>
      </c>
      <c r="BC222" s="136">
        <f t="shared" si="232"/>
        <v>0</v>
      </c>
      <c r="BD222" s="136">
        <f t="shared" si="233"/>
        <v>0</v>
      </c>
      <c r="BE222" s="136">
        <f t="shared" si="234"/>
        <v>0</v>
      </c>
      <c r="BF222" s="136">
        <f t="shared" si="235"/>
        <v>0</v>
      </c>
      <c r="BG222" s="136">
        <f t="shared" si="236"/>
        <v>0</v>
      </c>
      <c r="BH222" s="136">
        <f t="shared" si="254"/>
        <v>0</v>
      </c>
      <c r="BI222" s="136">
        <f t="shared" si="255"/>
        <v>0</v>
      </c>
      <c r="BJ222" s="136">
        <f t="shared" si="256"/>
        <v>0</v>
      </c>
      <c r="BK222" s="136">
        <f t="shared" si="257"/>
        <v>0</v>
      </c>
    </row>
    <row r="223" spans="1:63" s="100" customFormat="1" ht="16" customHeight="1">
      <c r="A223" s="16" t="s">
        <v>574</v>
      </c>
      <c r="B223" s="16" t="s">
        <v>587</v>
      </c>
      <c r="C223" s="16" t="s">
        <v>588</v>
      </c>
      <c r="D223" s="16"/>
      <c r="E223" s="16"/>
      <c r="F223" s="16"/>
      <c r="G223" s="16"/>
      <c r="H223" s="16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16"/>
      <c r="T223" s="16"/>
      <c r="U223" s="16"/>
      <c r="V223" s="16"/>
      <c r="W223" s="16"/>
      <c r="X223" s="16"/>
      <c r="Y223" s="16"/>
      <c r="Z223" s="16">
        <f t="shared" si="247"/>
        <v>0</v>
      </c>
      <c r="AA223" s="16"/>
      <c r="AB223" s="16">
        <v>186</v>
      </c>
      <c r="AC223" s="16"/>
      <c r="AD223" s="16">
        <f t="shared" si="248"/>
        <v>186</v>
      </c>
      <c r="AE223" s="16"/>
      <c r="AF223" s="16"/>
      <c r="AG223" s="16"/>
      <c r="AH223" s="16"/>
      <c r="AI223" s="16"/>
      <c r="AJ223" s="16"/>
      <c r="AK223" s="16"/>
      <c r="AL223" s="16">
        <v>186</v>
      </c>
      <c r="AM223" s="16"/>
      <c r="AN223" s="16"/>
      <c r="AO223" s="16"/>
      <c r="AP223" s="16"/>
      <c r="AQ223" s="16"/>
      <c r="AR223" s="16"/>
      <c r="AS223" s="16"/>
      <c r="AT223" s="16">
        <f t="shared" si="237"/>
        <v>186</v>
      </c>
      <c r="AU223" s="136">
        <f t="shared" si="249"/>
        <v>0</v>
      </c>
      <c r="AV223" s="5" t="s">
        <v>582</v>
      </c>
      <c r="AW223" s="136">
        <f t="shared" si="250"/>
        <v>0</v>
      </c>
      <c r="AX223" s="136">
        <f t="shared" si="227"/>
        <v>0</v>
      </c>
      <c r="AY223" s="136">
        <f t="shared" si="228"/>
        <v>0</v>
      </c>
      <c r="AZ223" s="136">
        <f t="shared" si="229"/>
        <v>0</v>
      </c>
      <c r="BA223" s="136">
        <f t="shared" si="230"/>
        <v>0</v>
      </c>
      <c r="BB223" s="136">
        <f t="shared" si="231"/>
        <v>0</v>
      </c>
      <c r="BC223" s="136">
        <f t="shared" si="232"/>
        <v>0</v>
      </c>
      <c r="BD223" s="136">
        <f t="shared" si="233"/>
        <v>186</v>
      </c>
      <c r="BE223" s="136">
        <f t="shared" si="234"/>
        <v>186</v>
      </c>
      <c r="BF223" s="136">
        <f t="shared" si="235"/>
        <v>186</v>
      </c>
      <c r="BG223" s="136">
        <f t="shared" si="236"/>
        <v>186</v>
      </c>
      <c r="BH223" s="136">
        <f t="shared" si="254"/>
        <v>0</v>
      </c>
      <c r="BI223" s="136">
        <f t="shared" si="255"/>
        <v>0</v>
      </c>
      <c r="BJ223" s="136">
        <f t="shared" si="256"/>
        <v>186</v>
      </c>
      <c r="BK223" s="136">
        <f t="shared" si="257"/>
        <v>0</v>
      </c>
    </row>
    <row r="224" spans="1:63" s="100" customFormat="1" ht="16" hidden="1" customHeight="1">
      <c r="A224" s="16" t="s">
        <v>574</v>
      </c>
      <c r="B224" s="16" t="s">
        <v>589</v>
      </c>
      <c r="C224" s="16" t="s">
        <v>590</v>
      </c>
      <c r="D224" s="16"/>
      <c r="E224" s="16"/>
      <c r="F224" s="16"/>
      <c r="G224" s="16"/>
      <c r="H224" s="16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16"/>
      <c r="T224" s="16"/>
      <c r="U224" s="16"/>
      <c r="V224" s="16"/>
      <c r="W224" s="16"/>
      <c r="X224" s="16"/>
      <c r="Y224" s="16"/>
      <c r="Z224" s="16">
        <f t="shared" si="247"/>
        <v>0</v>
      </c>
      <c r="AA224" s="16"/>
      <c r="AB224" s="16">
        <v>0</v>
      </c>
      <c r="AC224" s="16"/>
      <c r="AD224" s="16">
        <f t="shared" si="248"/>
        <v>0</v>
      </c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>
        <f t="shared" si="237"/>
        <v>0</v>
      </c>
      <c r="AU224" s="136">
        <f t="shared" si="249"/>
        <v>0</v>
      </c>
      <c r="AV224" s="5" t="s">
        <v>591</v>
      </c>
      <c r="AW224" s="136">
        <f t="shared" si="250"/>
        <v>0</v>
      </c>
      <c r="AX224" s="136">
        <f t="shared" si="227"/>
        <v>0</v>
      </c>
      <c r="AY224" s="136">
        <f t="shared" si="228"/>
        <v>0</v>
      </c>
      <c r="AZ224" s="136">
        <f t="shared" si="229"/>
        <v>0</v>
      </c>
      <c r="BA224" s="136">
        <f t="shared" si="230"/>
        <v>0</v>
      </c>
      <c r="BB224" s="136">
        <f t="shared" si="231"/>
        <v>0</v>
      </c>
      <c r="BC224" s="136">
        <f t="shared" si="232"/>
        <v>0</v>
      </c>
      <c r="BD224" s="136">
        <f t="shared" si="233"/>
        <v>0</v>
      </c>
      <c r="BE224" s="136">
        <f t="shared" si="234"/>
        <v>0</v>
      </c>
      <c r="BF224" s="136">
        <f t="shared" si="235"/>
        <v>0</v>
      </c>
      <c r="BG224" s="136">
        <f t="shared" si="236"/>
        <v>0</v>
      </c>
      <c r="BH224" s="136">
        <f t="shared" si="254"/>
        <v>0</v>
      </c>
      <c r="BI224" s="136">
        <f t="shared" si="255"/>
        <v>0</v>
      </c>
      <c r="BJ224" s="136">
        <f t="shared" si="256"/>
        <v>0</v>
      </c>
      <c r="BK224" s="136">
        <f t="shared" si="257"/>
        <v>0</v>
      </c>
    </row>
    <row r="225" spans="1:63" s="100" customFormat="1" ht="16" hidden="1" customHeight="1">
      <c r="A225" s="16" t="s">
        <v>574</v>
      </c>
      <c r="B225" s="16" t="s">
        <v>592</v>
      </c>
      <c r="C225" s="16" t="s">
        <v>593</v>
      </c>
      <c r="D225" s="16"/>
      <c r="E225" s="16"/>
      <c r="F225" s="16"/>
      <c r="G225" s="16"/>
      <c r="H225" s="16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16"/>
      <c r="T225" s="16"/>
      <c r="U225" s="16"/>
      <c r="V225" s="16"/>
      <c r="W225" s="16"/>
      <c r="X225" s="16"/>
      <c r="Y225" s="16"/>
      <c r="Z225" s="16">
        <f t="shared" si="247"/>
        <v>0</v>
      </c>
      <c r="AA225" s="16"/>
      <c r="AB225" s="16">
        <v>0</v>
      </c>
      <c r="AC225" s="16"/>
      <c r="AD225" s="16">
        <f t="shared" si="248"/>
        <v>0</v>
      </c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>
        <f t="shared" si="237"/>
        <v>0</v>
      </c>
      <c r="AU225" s="136">
        <f t="shared" si="249"/>
        <v>0</v>
      </c>
      <c r="AV225" s="5" t="s">
        <v>591</v>
      </c>
      <c r="AW225" s="136">
        <f t="shared" si="250"/>
        <v>0</v>
      </c>
      <c r="AX225" s="136">
        <f t="shared" si="227"/>
        <v>0</v>
      </c>
      <c r="AY225" s="136">
        <f t="shared" si="228"/>
        <v>0</v>
      </c>
      <c r="AZ225" s="136">
        <f t="shared" si="229"/>
        <v>0</v>
      </c>
      <c r="BA225" s="136">
        <f t="shared" si="230"/>
        <v>0</v>
      </c>
      <c r="BB225" s="136">
        <f t="shared" si="231"/>
        <v>0</v>
      </c>
      <c r="BC225" s="136">
        <f t="shared" si="232"/>
        <v>0</v>
      </c>
      <c r="BD225" s="136">
        <f t="shared" si="233"/>
        <v>0</v>
      </c>
      <c r="BE225" s="136">
        <f t="shared" si="234"/>
        <v>0</v>
      </c>
      <c r="BF225" s="136">
        <f t="shared" si="235"/>
        <v>0</v>
      </c>
      <c r="BG225" s="136">
        <f t="shared" si="236"/>
        <v>0</v>
      </c>
      <c r="BH225" s="136">
        <f t="shared" si="254"/>
        <v>0</v>
      </c>
      <c r="BI225" s="136">
        <f t="shared" si="255"/>
        <v>0</v>
      </c>
      <c r="BJ225" s="136">
        <f t="shared" si="256"/>
        <v>0</v>
      </c>
      <c r="BK225" s="136">
        <f t="shared" si="257"/>
        <v>0</v>
      </c>
    </row>
    <row r="226" spans="1:63" s="100" customFormat="1" ht="16" hidden="1" customHeight="1">
      <c r="A226" s="16" t="s">
        <v>574</v>
      </c>
      <c r="B226" s="16" t="s">
        <v>594</v>
      </c>
      <c r="C226" s="16" t="s">
        <v>595</v>
      </c>
      <c r="D226" s="16"/>
      <c r="E226" s="16"/>
      <c r="F226" s="16"/>
      <c r="G226" s="16"/>
      <c r="H226" s="16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16"/>
      <c r="T226" s="16"/>
      <c r="U226" s="16"/>
      <c r="V226" s="16"/>
      <c r="W226" s="16"/>
      <c r="X226" s="16"/>
      <c r="Y226" s="16"/>
      <c r="Z226" s="16">
        <f t="shared" si="247"/>
        <v>0</v>
      </c>
      <c r="AA226" s="16"/>
      <c r="AB226" s="16">
        <v>0</v>
      </c>
      <c r="AC226" s="16"/>
      <c r="AD226" s="16">
        <f t="shared" si="248"/>
        <v>0</v>
      </c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>
        <f t="shared" si="237"/>
        <v>0</v>
      </c>
      <c r="AU226" s="136">
        <f t="shared" si="249"/>
        <v>0</v>
      </c>
      <c r="AV226" s="5" t="s">
        <v>591</v>
      </c>
      <c r="AW226" s="136">
        <f t="shared" si="250"/>
        <v>0</v>
      </c>
      <c r="AX226" s="136">
        <f t="shared" si="227"/>
        <v>0</v>
      </c>
      <c r="AY226" s="136">
        <f t="shared" si="228"/>
        <v>0</v>
      </c>
      <c r="AZ226" s="136">
        <f t="shared" si="229"/>
        <v>0</v>
      </c>
      <c r="BA226" s="136">
        <f t="shared" si="230"/>
        <v>0</v>
      </c>
      <c r="BB226" s="136">
        <f t="shared" si="231"/>
        <v>0</v>
      </c>
      <c r="BC226" s="136">
        <f t="shared" si="232"/>
        <v>0</v>
      </c>
      <c r="BD226" s="136">
        <f t="shared" si="233"/>
        <v>0</v>
      </c>
      <c r="BE226" s="136">
        <f t="shared" si="234"/>
        <v>0</v>
      </c>
      <c r="BF226" s="136">
        <f t="shared" si="235"/>
        <v>0</v>
      </c>
      <c r="BG226" s="136">
        <f t="shared" si="236"/>
        <v>0</v>
      </c>
      <c r="BH226" s="136">
        <f t="shared" si="254"/>
        <v>0</v>
      </c>
      <c r="BI226" s="136">
        <f t="shared" si="255"/>
        <v>0</v>
      </c>
      <c r="BJ226" s="136">
        <f t="shared" si="256"/>
        <v>0</v>
      </c>
      <c r="BK226" s="136">
        <f t="shared" si="257"/>
        <v>0</v>
      </c>
    </row>
    <row r="227" spans="1:63" s="100" customFormat="1" ht="16" hidden="1" customHeight="1">
      <c r="A227" s="16" t="s">
        <v>574</v>
      </c>
      <c r="B227" s="16" t="s">
        <v>596</v>
      </c>
      <c r="C227" s="16" t="s">
        <v>597</v>
      </c>
      <c r="D227" s="16"/>
      <c r="E227" s="16"/>
      <c r="F227" s="16"/>
      <c r="G227" s="16"/>
      <c r="H227" s="16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16"/>
      <c r="T227" s="16"/>
      <c r="U227" s="16"/>
      <c r="V227" s="16"/>
      <c r="W227" s="16"/>
      <c r="X227" s="16"/>
      <c r="Y227" s="16"/>
      <c r="Z227" s="16">
        <f t="shared" si="247"/>
        <v>0</v>
      </c>
      <c r="AA227" s="16"/>
      <c r="AB227" s="16">
        <v>0</v>
      </c>
      <c r="AC227" s="16"/>
      <c r="AD227" s="16">
        <f t="shared" si="248"/>
        <v>0</v>
      </c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>
        <f t="shared" si="237"/>
        <v>0</v>
      </c>
      <c r="AU227" s="136">
        <f t="shared" si="249"/>
        <v>0</v>
      </c>
      <c r="AV227" s="5" t="s">
        <v>591</v>
      </c>
      <c r="AW227" s="136">
        <f t="shared" si="250"/>
        <v>0</v>
      </c>
      <c r="AX227" s="136">
        <f t="shared" si="227"/>
        <v>0</v>
      </c>
      <c r="AY227" s="136">
        <f t="shared" si="228"/>
        <v>0</v>
      </c>
      <c r="AZ227" s="136">
        <f t="shared" si="229"/>
        <v>0</v>
      </c>
      <c r="BA227" s="136">
        <f t="shared" si="230"/>
        <v>0</v>
      </c>
      <c r="BB227" s="136">
        <f t="shared" si="231"/>
        <v>0</v>
      </c>
      <c r="BC227" s="136">
        <f t="shared" si="232"/>
        <v>0</v>
      </c>
      <c r="BD227" s="136">
        <f t="shared" si="233"/>
        <v>0</v>
      </c>
      <c r="BE227" s="136">
        <f t="shared" si="234"/>
        <v>0</v>
      </c>
      <c r="BF227" s="136">
        <f t="shared" si="235"/>
        <v>0</v>
      </c>
      <c r="BG227" s="136">
        <f t="shared" si="236"/>
        <v>0</v>
      </c>
      <c r="BH227" s="136">
        <f t="shared" si="254"/>
        <v>0</v>
      </c>
      <c r="BI227" s="136">
        <f t="shared" si="255"/>
        <v>0</v>
      </c>
      <c r="BJ227" s="136">
        <f t="shared" si="256"/>
        <v>0</v>
      </c>
      <c r="BK227" s="136">
        <f t="shared" si="257"/>
        <v>0</v>
      </c>
    </row>
    <row r="228" spans="1:63" s="100" customFormat="1" ht="16" hidden="1" customHeight="1">
      <c r="A228" s="16" t="s">
        <v>574</v>
      </c>
      <c r="B228" s="16" t="s">
        <v>598</v>
      </c>
      <c r="C228" s="16" t="s">
        <v>599</v>
      </c>
      <c r="D228" s="16"/>
      <c r="E228" s="16"/>
      <c r="F228" s="16"/>
      <c r="G228" s="16"/>
      <c r="H228" s="16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16"/>
      <c r="T228" s="16"/>
      <c r="U228" s="16"/>
      <c r="V228" s="16"/>
      <c r="W228" s="16"/>
      <c r="X228" s="16"/>
      <c r="Y228" s="16"/>
      <c r="Z228" s="16">
        <f t="shared" ref="Z228:Z240" si="258">X228-Y228+AC228</f>
        <v>0</v>
      </c>
      <c r="AA228" s="16"/>
      <c r="AB228" s="16">
        <v>0</v>
      </c>
      <c r="AC228" s="16"/>
      <c r="AD228" s="16">
        <f t="shared" ref="AD228:AD240" si="259">AB228-Y228+AA228+AC228</f>
        <v>0</v>
      </c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>
        <f t="shared" si="237"/>
        <v>0</v>
      </c>
      <c r="AU228" s="136">
        <f t="shared" ref="AU228:AU240" si="260">AD228-AT228</f>
        <v>0</v>
      </c>
      <c r="AV228" s="5" t="s">
        <v>591</v>
      </c>
      <c r="AW228" s="136">
        <f t="shared" ref="AW228:AW240" si="261">AE228+Y228-I228</f>
        <v>0</v>
      </c>
      <c r="AX228" s="136">
        <f t="shared" si="227"/>
        <v>0</v>
      </c>
      <c r="AY228" s="136">
        <f t="shared" si="228"/>
        <v>0</v>
      </c>
      <c r="AZ228" s="136">
        <f t="shared" si="229"/>
        <v>0</v>
      </c>
      <c r="BA228" s="136">
        <f t="shared" si="230"/>
        <v>0</v>
      </c>
      <c r="BB228" s="136">
        <f t="shared" si="231"/>
        <v>0</v>
      </c>
      <c r="BC228" s="136">
        <f t="shared" si="232"/>
        <v>0</v>
      </c>
      <c r="BD228" s="136">
        <f t="shared" si="233"/>
        <v>0</v>
      </c>
      <c r="BE228" s="136">
        <f t="shared" si="234"/>
        <v>0</v>
      </c>
      <c r="BF228" s="136">
        <f t="shared" si="235"/>
        <v>0</v>
      </c>
      <c r="BG228" s="136">
        <f t="shared" si="236"/>
        <v>0</v>
      </c>
      <c r="BH228" s="136">
        <f t="shared" si="254"/>
        <v>0</v>
      </c>
      <c r="BI228" s="136">
        <f t="shared" si="255"/>
        <v>0</v>
      </c>
      <c r="BJ228" s="136">
        <f t="shared" si="256"/>
        <v>0</v>
      </c>
      <c r="BK228" s="136">
        <f t="shared" si="257"/>
        <v>0</v>
      </c>
    </row>
    <row r="229" spans="1:63" s="100" customFormat="1" ht="16" hidden="1" customHeight="1">
      <c r="A229" s="16" t="s">
        <v>574</v>
      </c>
      <c r="B229" s="16" t="s">
        <v>600</v>
      </c>
      <c r="C229" s="16" t="s">
        <v>601</v>
      </c>
      <c r="D229" s="16"/>
      <c r="E229" s="16"/>
      <c r="F229" s="16"/>
      <c r="G229" s="16"/>
      <c r="H229" s="16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16"/>
      <c r="T229" s="16"/>
      <c r="U229" s="16"/>
      <c r="V229" s="16"/>
      <c r="W229" s="16"/>
      <c r="X229" s="16"/>
      <c r="Y229" s="16"/>
      <c r="Z229" s="16">
        <f t="shared" si="258"/>
        <v>0</v>
      </c>
      <c r="AA229" s="16"/>
      <c r="AB229" s="16">
        <v>0</v>
      </c>
      <c r="AC229" s="16"/>
      <c r="AD229" s="16">
        <f t="shared" si="259"/>
        <v>0</v>
      </c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>
        <f t="shared" si="237"/>
        <v>0</v>
      </c>
      <c r="AU229" s="136">
        <f t="shared" si="260"/>
        <v>0</v>
      </c>
      <c r="AV229" s="5" t="s">
        <v>591</v>
      </c>
      <c r="AW229" s="136">
        <f t="shared" si="261"/>
        <v>0</v>
      </c>
      <c r="AX229" s="136">
        <f t="shared" si="227"/>
        <v>0</v>
      </c>
      <c r="AY229" s="136">
        <f t="shared" si="228"/>
        <v>0</v>
      </c>
      <c r="AZ229" s="136">
        <f t="shared" si="229"/>
        <v>0</v>
      </c>
      <c r="BA229" s="136">
        <f t="shared" si="230"/>
        <v>0</v>
      </c>
      <c r="BB229" s="136">
        <f t="shared" si="231"/>
        <v>0</v>
      </c>
      <c r="BC229" s="136">
        <f t="shared" si="232"/>
        <v>0</v>
      </c>
      <c r="BD229" s="136">
        <f t="shared" si="233"/>
        <v>0</v>
      </c>
      <c r="BE229" s="136">
        <f t="shared" si="234"/>
        <v>0</v>
      </c>
      <c r="BF229" s="136">
        <f t="shared" si="235"/>
        <v>0</v>
      </c>
      <c r="BG229" s="136">
        <f t="shared" si="236"/>
        <v>0</v>
      </c>
      <c r="BH229" s="136">
        <f t="shared" si="254"/>
        <v>0</v>
      </c>
      <c r="BI229" s="136">
        <f t="shared" si="255"/>
        <v>0</v>
      </c>
      <c r="BJ229" s="136">
        <f t="shared" si="256"/>
        <v>0</v>
      </c>
      <c r="BK229" s="136">
        <f t="shared" si="257"/>
        <v>0</v>
      </c>
    </row>
    <row r="230" spans="1:63" s="100" customFormat="1" ht="16" customHeight="1">
      <c r="A230" s="16" t="s">
        <v>574</v>
      </c>
      <c r="B230" s="16" t="s">
        <v>602</v>
      </c>
      <c r="C230" s="16" t="s">
        <v>603</v>
      </c>
      <c r="D230" s="16"/>
      <c r="E230" s="16"/>
      <c r="F230" s="16"/>
      <c r="G230" s="16"/>
      <c r="H230" s="16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16"/>
      <c r="T230" s="16"/>
      <c r="U230" s="16"/>
      <c r="V230" s="16"/>
      <c r="W230" s="16"/>
      <c r="X230" s="16"/>
      <c r="Y230" s="16"/>
      <c r="Z230" s="16">
        <f t="shared" si="258"/>
        <v>0</v>
      </c>
      <c r="AA230" s="16"/>
      <c r="AB230" s="16">
        <v>62</v>
      </c>
      <c r="AC230" s="16"/>
      <c r="AD230" s="16">
        <f t="shared" si="259"/>
        <v>62</v>
      </c>
      <c r="AE230" s="16"/>
      <c r="AF230" s="16"/>
      <c r="AG230" s="16"/>
      <c r="AH230" s="16"/>
      <c r="AI230" s="16"/>
      <c r="AJ230" s="16"/>
      <c r="AK230" s="16"/>
      <c r="AL230" s="16">
        <v>62</v>
      </c>
      <c r="AM230" s="16"/>
      <c r="AN230" s="16"/>
      <c r="AO230" s="16"/>
      <c r="AP230" s="16"/>
      <c r="AQ230" s="16"/>
      <c r="AR230" s="16"/>
      <c r="AS230" s="16"/>
      <c r="AT230" s="16">
        <f>SUM(AE230:AS230)</f>
        <v>62</v>
      </c>
      <c r="AU230" s="136">
        <f t="shared" si="260"/>
        <v>0</v>
      </c>
      <c r="AV230" s="5" t="s">
        <v>604</v>
      </c>
      <c r="AW230" s="136">
        <f t="shared" si="261"/>
        <v>0</v>
      </c>
      <c r="AX230" s="136">
        <f t="shared" si="227"/>
        <v>0</v>
      </c>
      <c r="AY230" s="136">
        <f t="shared" si="228"/>
        <v>0</v>
      </c>
      <c r="AZ230" s="136">
        <f t="shared" si="229"/>
        <v>0</v>
      </c>
      <c r="BA230" s="136">
        <f t="shared" si="230"/>
        <v>0</v>
      </c>
      <c r="BB230" s="136">
        <f t="shared" si="231"/>
        <v>0</v>
      </c>
      <c r="BC230" s="136">
        <f t="shared" si="232"/>
        <v>0</v>
      </c>
      <c r="BD230" s="136">
        <f t="shared" si="233"/>
        <v>62</v>
      </c>
      <c r="BE230" s="136">
        <f t="shared" si="234"/>
        <v>62</v>
      </c>
      <c r="BF230" s="136">
        <f t="shared" ref="BF230:BK230" si="262">BE230+AN230-R230</f>
        <v>62</v>
      </c>
      <c r="BG230" s="136">
        <f t="shared" si="262"/>
        <v>62</v>
      </c>
      <c r="BH230" s="136">
        <f t="shared" si="262"/>
        <v>62</v>
      </c>
      <c r="BI230" s="136">
        <f t="shared" si="262"/>
        <v>62</v>
      </c>
      <c r="BJ230" s="136">
        <f t="shared" si="262"/>
        <v>62</v>
      </c>
      <c r="BK230" s="136">
        <f t="shared" si="262"/>
        <v>62</v>
      </c>
    </row>
    <row r="231" spans="1:63" s="100" customFormat="1" ht="16" customHeight="1">
      <c r="A231" s="16" t="s">
        <v>574</v>
      </c>
      <c r="B231" s="16" t="s">
        <v>605</v>
      </c>
      <c r="C231" s="16" t="s">
        <v>606</v>
      </c>
      <c r="D231" s="16"/>
      <c r="E231" s="16"/>
      <c r="F231" s="16"/>
      <c r="G231" s="16"/>
      <c r="H231" s="16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16"/>
      <c r="T231" s="16"/>
      <c r="U231" s="16"/>
      <c r="V231" s="16"/>
      <c r="W231" s="16"/>
      <c r="X231" s="16"/>
      <c r="Y231" s="16"/>
      <c r="Z231" s="16">
        <f t="shared" si="258"/>
        <v>0</v>
      </c>
      <c r="AA231" s="16"/>
      <c r="AB231" s="16">
        <v>20</v>
      </c>
      <c r="AC231" s="16"/>
      <c r="AD231" s="16">
        <f t="shared" si="259"/>
        <v>20</v>
      </c>
      <c r="AE231" s="16"/>
      <c r="AF231" s="16"/>
      <c r="AG231" s="16"/>
      <c r="AH231" s="16"/>
      <c r="AI231" s="16"/>
      <c r="AJ231" s="16"/>
      <c r="AK231" s="16"/>
      <c r="AL231" s="16">
        <v>20</v>
      </c>
      <c r="AM231" s="16"/>
      <c r="AN231" s="16"/>
      <c r="AO231" s="16"/>
      <c r="AP231" s="16"/>
      <c r="AQ231" s="16"/>
      <c r="AR231" s="16"/>
      <c r="AS231" s="16"/>
      <c r="AT231" s="16">
        <f>SUM(AE231:AR231)</f>
        <v>20</v>
      </c>
      <c r="AU231" s="136">
        <f t="shared" si="260"/>
        <v>0</v>
      </c>
      <c r="AV231" s="5" t="s">
        <v>604</v>
      </c>
      <c r="AW231" s="136">
        <f t="shared" si="261"/>
        <v>0</v>
      </c>
      <c r="AX231" s="136">
        <f t="shared" si="227"/>
        <v>0</v>
      </c>
      <c r="AY231" s="136">
        <f t="shared" si="228"/>
        <v>0</v>
      </c>
      <c r="AZ231" s="136">
        <f t="shared" si="229"/>
        <v>0</v>
      </c>
      <c r="BA231" s="136">
        <f t="shared" si="230"/>
        <v>0</v>
      </c>
      <c r="BB231" s="136">
        <f t="shared" si="231"/>
        <v>0</v>
      </c>
      <c r="BC231" s="136">
        <f t="shared" si="232"/>
        <v>0</v>
      </c>
      <c r="BD231" s="136">
        <f t="shared" si="233"/>
        <v>20</v>
      </c>
      <c r="BE231" s="136">
        <f t="shared" si="234"/>
        <v>20</v>
      </c>
      <c r="BF231" s="136">
        <f t="shared" si="235"/>
        <v>20</v>
      </c>
      <c r="BG231" s="136">
        <f t="shared" si="236"/>
        <v>20</v>
      </c>
      <c r="BH231" s="136">
        <f t="shared" ref="BH231:BK232" si="263">AP231+AJ231-T231</f>
        <v>0</v>
      </c>
      <c r="BI231" s="136">
        <f t="shared" si="263"/>
        <v>0</v>
      </c>
      <c r="BJ231" s="136">
        <f t="shared" si="263"/>
        <v>20</v>
      </c>
      <c r="BK231" s="136">
        <f t="shared" si="263"/>
        <v>0</v>
      </c>
    </row>
    <row r="232" spans="1:63" s="100" customFormat="1" ht="16" hidden="1" customHeight="1">
      <c r="A232" s="16" t="s">
        <v>574</v>
      </c>
      <c r="B232" s="16" t="s">
        <v>607</v>
      </c>
      <c r="C232" s="16" t="s">
        <v>608</v>
      </c>
      <c r="D232" s="16"/>
      <c r="E232" s="16"/>
      <c r="F232" s="16"/>
      <c r="G232" s="16"/>
      <c r="H232" s="16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16"/>
      <c r="T232" s="16"/>
      <c r="U232" s="16"/>
      <c r="V232" s="16"/>
      <c r="W232" s="16"/>
      <c r="X232" s="16"/>
      <c r="Y232" s="16"/>
      <c r="Z232" s="16">
        <f t="shared" si="258"/>
        <v>0</v>
      </c>
      <c r="AA232" s="16"/>
      <c r="AB232" s="16">
        <v>0</v>
      </c>
      <c r="AC232" s="16"/>
      <c r="AD232" s="16">
        <f t="shared" si="259"/>
        <v>0</v>
      </c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>
        <f>SUM(AE232:AR232)</f>
        <v>0</v>
      </c>
      <c r="AU232" s="136">
        <f t="shared" si="260"/>
        <v>0</v>
      </c>
      <c r="AV232" s="5" t="s">
        <v>591</v>
      </c>
      <c r="AW232" s="136">
        <f t="shared" si="261"/>
        <v>0</v>
      </c>
      <c r="AX232" s="136">
        <f t="shared" si="227"/>
        <v>0</v>
      </c>
      <c r="AY232" s="136">
        <f t="shared" si="228"/>
        <v>0</v>
      </c>
      <c r="AZ232" s="136">
        <f t="shared" si="229"/>
        <v>0</v>
      </c>
      <c r="BA232" s="136">
        <f t="shared" si="230"/>
        <v>0</v>
      </c>
      <c r="BB232" s="136">
        <f t="shared" si="231"/>
        <v>0</v>
      </c>
      <c r="BC232" s="136">
        <f t="shared" si="232"/>
        <v>0</v>
      </c>
      <c r="BD232" s="136">
        <f t="shared" si="233"/>
        <v>0</v>
      </c>
      <c r="BE232" s="136">
        <f t="shared" si="234"/>
        <v>0</v>
      </c>
      <c r="BF232" s="136">
        <f t="shared" si="235"/>
        <v>0</v>
      </c>
      <c r="BG232" s="136">
        <f t="shared" si="236"/>
        <v>0</v>
      </c>
      <c r="BH232" s="136">
        <f t="shared" si="263"/>
        <v>0</v>
      </c>
      <c r="BI232" s="136">
        <f t="shared" si="263"/>
        <v>0</v>
      </c>
      <c r="BJ232" s="136">
        <f t="shared" si="263"/>
        <v>0</v>
      </c>
      <c r="BK232" s="136">
        <f t="shared" si="263"/>
        <v>0</v>
      </c>
    </row>
    <row r="233" spans="1:63" s="100" customFormat="1" ht="16" hidden="1" customHeight="1">
      <c r="A233" s="16" t="s">
        <v>574</v>
      </c>
      <c r="B233" s="16" t="s">
        <v>609</v>
      </c>
      <c r="C233" s="16" t="s">
        <v>610</v>
      </c>
      <c r="D233" s="16"/>
      <c r="E233" s="16"/>
      <c r="F233" s="16"/>
      <c r="G233" s="16"/>
      <c r="H233" s="16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16"/>
      <c r="T233" s="16"/>
      <c r="U233" s="16"/>
      <c r="V233" s="16"/>
      <c r="W233" s="16"/>
      <c r="X233" s="16"/>
      <c r="Y233" s="16"/>
      <c r="Z233" s="16">
        <f t="shared" si="258"/>
        <v>0</v>
      </c>
      <c r="AA233" s="16"/>
      <c r="AB233" s="16">
        <v>0</v>
      </c>
      <c r="AC233" s="16"/>
      <c r="AD233" s="16">
        <f t="shared" si="259"/>
        <v>0</v>
      </c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>
        <f t="shared" ref="AT233:AT240" si="264">SUM(AE233:AS233)</f>
        <v>0</v>
      </c>
      <c r="AU233" s="136">
        <f t="shared" si="260"/>
        <v>0</v>
      </c>
      <c r="AV233" s="5"/>
      <c r="AW233" s="136">
        <f t="shared" si="261"/>
        <v>0</v>
      </c>
      <c r="AX233" s="136">
        <f t="shared" si="227"/>
        <v>0</v>
      </c>
      <c r="AY233" s="136">
        <f t="shared" si="228"/>
        <v>0</v>
      </c>
      <c r="AZ233" s="136">
        <f t="shared" si="229"/>
        <v>0</v>
      </c>
      <c r="BA233" s="136">
        <f t="shared" si="230"/>
        <v>0</v>
      </c>
      <c r="BB233" s="136">
        <f t="shared" si="231"/>
        <v>0</v>
      </c>
      <c r="BC233" s="136">
        <f t="shared" si="232"/>
        <v>0</v>
      </c>
      <c r="BD233" s="136">
        <f t="shared" si="233"/>
        <v>0</v>
      </c>
      <c r="BE233" s="136">
        <f t="shared" si="234"/>
        <v>0</v>
      </c>
      <c r="BF233" s="136">
        <f t="shared" ref="BF233:BK233" si="265">BE233+AN233-R233</f>
        <v>0</v>
      </c>
      <c r="BG233" s="136">
        <f t="shared" si="265"/>
        <v>0</v>
      </c>
      <c r="BH233" s="136">
        <f t="shared" si="265"/>
        <v>0</v>
      </c>
      <c r="BI233" s="136">
        <f t="shared" si="265"/>
        <v>0</v>
      </c>
      <c r="BJ233" s="136">
        <f t="shared" si="265"/>
        <v>0</v>
      </c>
      <c r="BK233" s="136">
        <f t="shared" si="265"/>
        <v>0</v>
      </c>
    </row>
    <row r="234" spans="1:63" s="100" customFormat="1" ht="16" customHeight="1">
      <c r="A234" s="16" t="s">
        <v>574</v>
      </c>
      <c r="B234" s="10" t="s">
        <v>611</v>
      </c>
      <c r="C234" s="10" t="s">
        <v>612</v>
      </c>
      <c r="D234" s="16"/>
      <c r="E234" s="16"/>
      <c r="F234" s="16"/>
      <c r="G234" s="16"/>
      <c r="H234" s="16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16"/>
      <c r="T234" s="16"/>
      <c r="U234" s="16"/>
      <c r="V234" s="16"/>
      <c r="W234" s="16"/>
      <c r="X234" s="16"/>
      <c r="Y234" s="16"/>
      <c r="Z234" s="16">
        <f t="shared" si="258"/>
        <v>0</v>
      </c>
      <c r="AA234" s="16"/>
      <c r="AB234" s="16">
        <v>674</v>
      </c>
      <c r="AC234" s="16"/>
      <c r="AD234" s="16">
        <f t="shared" si="259"/>
        <v>674</v>
      </c>
      <c r="AE234" s="16"/>
      <c r="AF234" s="16"/>
      <c r="AG234" s="16"/>
      <c r="AH234" s="16"/>
      <c r="AI234" s="16"/>
      <c r="AJ234" s="16"/>
      <c r="AK234" s="16"/>
      <c r="AL234" s="16">
        <v>674</v>
      </c>
      <c r="AM234" s="16"/>
      <c r="AN234" s="16"/>
      <c r="AO234" s="16"/>
      <c r="AP234" s="16"/>
      <c r="AQ234" s="16"/>
      <c r="AR234" s="16"/>
      <c r="AS234" s="16"/>
      <c r="AT234" s="16">
        <f t="shared" si="264"/>
        <v>674</v>
      </c>
      <c r="AU234" s="136">
        <f t="shared" si="260"/>
        <v>0</v>
      </c>
      <c r="AV234" s="5"/>
      <c r="AW234" s="136">
        <f t="shared" si="261"/>
        <v>0</v>
      </c>
      <c r="AX234" s="136">
        <f t="shared" si="227"/>
        <v>0</v>
      </c>
      <c r="AY234" s="136">
        <f t="shared" si="228"/>
        <v>0</v>
      </c>
      <c r="AZ234" s="136">
        <f t="shared" si="229"/>
        <v>0</v>
      </c>
      <c r="BA234" s="136">
        <f t="shared" si="230"/>
        <v>0</v>
      </c>
      <c r="BB234" s="136">
        <f t="shared" si="231"/>
        <v>0</v>
      </c>
      <c r="BC234" s="136">
        <f t="shared" si="232"/>
        <v>0</v>
      </c>
      <c r="BD234" s="136">
        <f t="shared" si="233"/>
        <v>674</v>
      </c>
      <c r="BE234" s="136">
        <f t="shared" si="234"/>
        <v>674</v>
      </c>
      <c r="BF234" s="136">
        <f t="shared" ref="BF234:BK234" si="266">BE234+AN234-R234</f>
        <v>674</v>
      </c>
      <c r="BG234" s="136">
        <f t="shared" si="266"/>
        <v>674</v>
      </c>
      <c r="BH234" s="136">
        <f t="shared" si="266"/>
        <v>674</v>
      </c>
      <c r="BI234" s="136">
        <f t="shared" si="266"/>
        <v>674</v>
      </c>
      <c r="BJ234" s="136">
        <f t="shared" si="266"/>
        <v>674</v>
      </c>
      <c r="BK234" s="136">
        <f t="shared" si="266"/>
        <v>674</v>
      </c>
    </row>
    <row r="235" spans="1:63" s="100" customFormat="1" ht="16" customHeight="1">
      <c r="A235" s="16" t="s">
        <v>574</v>
      </c>
      <c r="B235" s="10" t="s">
        <v>613</v>
      </c>
      <c r="C235" s="10" t="s">
        <v>614</v>
      </c>
      <c r="D235" s="16"/>
      <c r="E235" s="16"/>
      <c r="F235" s="16"/>
      <c r="G235" s="16"/>
      <c r="H235" s="16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16"/>
      <c r="T235" s="16"/>
      <c r="U235" s="16"/>
      <c r="V235" s="16"/>
      <c r="W235" s="16"/>
      <c r="X235" s="16"/>
      <c r="Y235" s="16"/>
      <c r="Z235" s="16">
        <f t="shared" si="258"/>
        <v>0</v>
      </c>
      <c r="AA235" s="16"/>
      <c r="AB235" s="16">
        <v>674</v>
      </c>
      <c r="AC235" s="16"/>
      <c r="AD235" s="16">
        <f t="shared" si="259"/>
        <v>674</v>
      </c>
      <c r="AE235" s="16"/>
      <c r="AF235" s="16"/>
      <c r="AG235" s="16"/>
      <c r="AH235" s="16"/>
      <c r="AI235" s="16"/>
      <c r="AJ235" s="16"/>
      <c r="AK235" s="16"/>
      <c r="AL235" s="16">
        <v>674</v>
      </c>
      <c r="AM235" s="16"/>
      <c r="AN235" s="16"/>
      <c r="AO235" s="16"/>
      <c r="AP235" s="16"/>
      <c r="AQ235" s="16"/>
      <c r="AR235" s="16"/>
      <c r="AS235" s="16"/>
      <c r="AT235" s="16">
        <f t="shared" si="264"/>
        <v>674</v>
      </c>
      <c r="AU235" s="136">
        <f t="shared" si="260"/>
        <v>0</v>
      </c>
      <c r="AV235" s="5"/>
      <c r="AW235" s="136">
        <f t="shared" si="261"/>
        <v>0</v>
      </c>
      <c r="AX235" s="136">
        <f t="shared" si="227"/>
        <v>0</v>
      </c>
      <c r="AY235" s="136">
        <f t="shared" si="228"/>
        <v>0</v>
      </c>
      <c r="AZ235" s="136">
        <f t="shared" si="229"/>
        <v>0</v>
      </c>
      <c r="BA235" s="136">
        <f t="shared" si="230"/>
        <v>0</v>
      </c>
      <c r="BB235" s="136">
        <f t="shared" si="231"/>
        <v>0</v>
      </c>
      <c r="BC235" s="136">
        <f t="shared" si="232"/>
        <v>0</v>
      </c>
      <c r="BD235" s="136">
        <f t="shared" si="233"/>
        <v>674</v>
      </c>
      <c r="BE235" s="136">
        <f t="shared" si="234"/>
        <v>674</v>
      </c>
      <c r="BF235" s="136">
        <f t="shared" ref="BF235:BK235" si="267">BE235+AN235-R235</f>
        <v>674</v>
      </c>
      <c r="BG235" s="136">
        <f t="shared" si="267"/>
        <v>674</v>
      </c>
      <c r="BH235" s="136">
        <f t="shared" si="267"/>
        <v>674</v>
      </c>
      <c r="BI235" s="136">
        <f t="shared" si="267"/>
        <v>674</v>
      </c>
      <c r="BJ235" s="136">
        <f t="shared" si="267"/>
        <v>674</v>
      </c>
      <c r="BK235" s="136">
        <f t="shared" si="267"/>
        <v>674</v>
      </c>
    </row>
    <row r="236" spans="1:63" s="100" customFormat="1" ht="16" customHeight="1">
      <c r="A236" s="16" t="s">
        <v>574</v>
      </c>
      <c r="B236" s="10" t="s">
        <v>615</v>
      </c>
      <c r="C236" s="10" t="s">
        <v>616</v>
      </c>
      <c r="D236" s="16"/>
      <c r="E236" s="16"/>
      <c r="F236" s="16"/>
      <c r="G236" s="16"/>
      <c r="H236" s="16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16"/>
      <c r="T236" s="16"/>
      <c r="U236" s="16"/>
      <c r="V236" s="16"/>
      <c r="W236" s="16"/>
      <c r="X236" s="16"/>
      <c r="Y236" s="16"/>
      <c r="Z236" s="16">
        <f t="shared" si="258"/>
        <v>0</v>
      </c>
      <c r="AA236" s="16"/>
      <c r="AB236" s="16">
        <v>15</v>
      </c>
      <c r="AC236" s="16"/>
      <c r="AD236" s="16">
        <f t="shared" si="259"/>
        <v>15</v>
      </c>
      <c r="AE236" s="16"/>
      <c r="AF236" s="16"/>
      <c r="AG236" s="16"/>
      <c r="AH236" s="16"/>
      <c r="AI236" s="16"/>
      <c r="AJ236" s="16"/>
      <c r="AK236" s="16"/>
      <c r="AL236" s="16">
        <v>15</v>
      </c>
      <c r="AM236" s="16"/>
      <c r="AN236" s="16"/>
      <c r="AO236" s="16"/>
      <c r="AP236" s="16"/>
      <c r="AQ236" s="16"/>
      <c r="AR236" s="16"/>
      <c r="AS236" s="16"/>
      <c r="AT236" s="16">
        <f t="shared" si="264"/>
        <v>15</v>
      </c>
      <c r="AU236" s="136">
        <f t="shared" si="260"/>
        <v>0</v>
      </c>
      <c r="AV236" s="5"/>
      <c r="AW236" s="136">
        <f t="shared" si="261"/>
        <v>0</v>
      </c>
      <c r="AX236" s="136">
        <f t="shared" si="227"/>
        <v>0</v>
      </c>
      <c r="AY236" s="136">
        <f t="shared" si="228"/>
        <v>0</v>
      </c>
      <c r="AZ236" s="136">
        <f t="shared" si="229"/>
        <v>0</v>
      </c>
      <c r="BA236" s="136">
        <f t="shared" si="230"/>
        <v>0</v>
      </c>
      <c r="BB236" s="136">
        <f t="shared" si="231"/>
        <v>0</v>
      </c>
      <c r="BC236" s="136">
        <f t="shared" si="232"/>
        <v>0</v>
      </c>
      <c r="BD236" s="136">
        <f t="shared" si="233"/>
        <v>15</v>
      </c>
      <c r="BE236" s="136">
        <f t="shared" si="234"/>
        <v>15</v>
      </c>
      <c r="BF236" s="136">
        <f t="shared" ref="BF236:BK236" si="268">BE236+AN236-R236</f>
        <v>15</v>
      </c>
      <c r="BG236" s="136">
        <f t="shared" si="268"/>
        <v>15</v>
      </c>
      <c r="BH236" s="136">
        <f t="shared" si="268"/>
        <v>15</v>
      </c>
      <c r="BI236" s="136">
        <f t="shared" si="268"/>
        <v>15</v>
      </c>
      <c r="BJ236" s="136">
        <f t="shared" si="268"/>
        <v>15</v>
      </c>
      <c r="BK236" s="136">
        <f t="shared" si="268"/>
        <v>15</v>
      </c>
    </row>
    <row r="237" spans="1:63" s="100" customFormat="1" ht="16" customHeight="1">
      <c r="A237" s="16" t="s">
        <v>574</v>
      </c>
      <c r="B237" s="10" t="s">
        <v>617</v>
      </c>
      <c r="C237" s="10" t="s">
        <v>618</v>
      </c>
      <c r="D237" s="16"/>
      <c r="E237" s="16"/>
      <c r="F237" s="16"/>
      <c r="G237" s="16"/>
      <c r="H237" s="16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16"/>
      <c r="T237" s="16"/>
      <c r="U237" s="16"/>
      <c r="V237" s="16"/>
      <c r="W237" s="16"/>
      <c r="X237" s="16"/>
      <c r="Y237" s="16"/>
      <c r="Z237" s="16">
        <f t="shared" si="258"/>
        <v>0</v>
      </c>
      <c r="AA237" s="16"/>
      <c r="AB237" s="16">
        <v>15</v>
      </c>
      <c r="AC237" s="16"/>
      <c r="AD237" s="16">
        <f t="shared" si="259"/>
        <v>15</v>
      </c>
      <c r="AE237" s="16"/>
      <c r="AF237" s="16"/>
      <c r="AG237" s="16"/>
      <c r="AH237" s="16"/>
      <c r="AI237" s="16"/>
      <c r="AJ237" s="16"/>
      <c r="AK237" s="16"/>
      <c r="AL237" s="16">
        <v>15</v>
      </c>
      <c r="AM237" s="16"/>
      <c r="AN237" s="16"/>
      <c r="AO237" s="16"/>
      <c r="AP237" s="16"/>
      <c r="AQ237" s="16"/>
      <c r="AR237" s="16"/>
      <c r="AS237" s="16"/>
      <c r="AT237" s="16">
        <f t="shared" si="264"/>
        <v>15</v>
      </c>
      <c r="AU237" s="136">
        <f t="shared" si="260"/>
        <v>0</v>
      </c>
      <c r="AV237" s="5"/>
      <c r="AW237" s="136">
        <f t="shared" si="261"/>
        <v>0</v>
      </c>
      <c r="AX237" s="136">
        <f t="shared" si="227"/>
        <v>0</v>
      </c>
      <c r="AY237" s="136">
        <f t="shared" si="228"/>
        <v>0</v>
      </c>
      <c r="AZ237" s="136">
        <f t="shared" si="229"/>
        <v>0</v>
      </c>
      <c r="BA237" s="136">
        <f t="shared" si="230"/>
        <v>0</v>
      </c>
      <c r="BB237" s="136">
        <f t="shared" si="231"/>
        <v>0</v>
      </c>
      <c r="BC237" s="136">
        <f t="shared" si="232"/>
        <v>0</v>
      </c>
      <c r="BD237" s="136">
        <f t="shared" si="233"/>
        <v>15</v>
      </c>
      <c r="BE237" s="136">
        <f t="shared" si="234"/>
        <v>15</v>
      </c>
      <c r="BF237" s="136">
        <f t="shared" ref="BF237:BK237" si="269">BE237+AN237-R237</f>
        <v>15</v>
      </c>
      <c r="BG237" s="136">
        <f t="shared" si="269"/>
        <v>15</v>
      </c>
      <c r="BH237" s="136">
        <f t="shared" si="269"/>
        <v>15</v>
      </c>
      <c r="BI237" s="136">
        <f t="shared" si="269"/>
        <v>15</v>
      </c>
      <c r="BJ237" s="136">
        <f t="shared" si="269"/>
        <v>15</v>
      </c>
      <c r="BK237" s="136">
        <f t="shared" si="269"/>
        <v>15</v>
      </c>
    </row>
    <row r="238" spans="1:63" s="100" customFormat="1" ht="16" customHeight="1">
      <c r="A238" s="16" t="s">
        <v>574</v>
      </c>
      <c r="B238" s="16" t="s">
        <v>619</v>
      </c>
      <c r="C238" s="16" t="s">
        <v>620</v>
      </c>
      <c r="D238" s="16"/>
      <c r="E238" s="16"/>
      <c r="F238" s="16"/>
      <c r="G238" s="16"/>
      <c r="H238" s="16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16"/>
      <c r="T238" s="16"/>
      <c r="U238" s="16"/>
      <c r="V238" s="16"/>
      <c r="W238" s="16"/>
      <c r="X238" s="16"/>
      <c r="Y238" s="16"/>
      <c r="Z238" s="16">
        <f t="shared" si="258"/>
        <v>0</v>
      </c>
      <c r="AA238" s="16"/>
      <c r="AB238" s="16">
        <v>15</v>
      </c>
      <c r="AC238" s="16"/>
      <c r="AD238" s="16">
        <f t="shared" si="259"/>
        <v>15</v>
      </c>
      <c r="AE238" s="16"/>
      <c r="AF238" s="16"/>
      <c r="AG238" s="16"/>
      <c r="AH238" s="16"/>
      <c r="AI238" s="16"/>
      <c r="AJ238" s="16"/>
      <c r="AK238" s="16"/>
      <c r="AL238" s="16">
        <v>15</v>
      </c>
      <c r="AM238" s="16"/>
      <c r="AN238" s="16"/>
      <c r="AO238" s="16"/>
      <c r="AP238" s="16"/>
      <c r="AQ238" s="16"/>
      <c r="AR238" s="16"/>
      <c r="AS238" s="16"/>
      <c r="AT238" s="16">
        <f t="shared" si="264"/>
        <v>15</v>
      </c>
      <c r="AU238" s="136">
        <f t="shared" si="260"/>
        <v>0</v>
      </c>
      <c r="AV238" s="5"/>
      <c r="AW238" s="136">
        <f t="shared" si="261"/>
        <v>0</v>
      </c>
      <c r="AX238" s="136">
        <f t="shared" si="227"/>
        <v>0</v>
      </c>
      <c r="AY238" s="136">
        <f t="shared" si="228"/>
        <v>0</v>
      </c>
      <c r="AZ238" s="136">
        <f t="shared" si="229"/>
        <v>0</v>
      </c>
      <c r="BA238" s="136">
        <f t="shared" si="230"/>
        <v>0</v>
      </c>
      <c r="BB238" s="136">
        <f t="shared" si="231"/>
        <v>0</v>
      </c>
      <c r="BC238" s="136">
        <f t="shared" si="232"/>
        <v>0</v>
      </c>
      <c r="BD238" s="136">
        <f t="shared" si="233"/>
        <v>15</v>
      </c>
      <c r="BE238" s="136"/>
      <c r="BF238" s="136"/>
      <c r="BG238" s="136"/>
      <c r="BH238" s="136"/>
      <c r="BI238" s="136"/>
      <c r="BJ238" s="136"/>
      <c r="BK238" s="136"/>
    </row>
    <row r="239" spans="1:63" s="100" customFormat="1" ht="16" customHeight="1">
      <c r="A239" s="16" t="s">
        <v>574</v>
      </c>
      <c r="B239" s="16" t="s">
        <v>621</v>
      </c>
      <c r="C239" s="16" t="s">
        <v>622</v>
      </c>
      <c r="D239" s="16"/>
      <c r="E239" s="16"/>
      <c r="F239" s="16"/>
      <c r="G239" s="16"/>
      <c r="H239" s="16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16"/>
      <c r="T239" s="16"/>
      <c r="U239" s="16"/>
      <c r="V239" s="16"/>
      <c r="W239" s="16"/>
      <c r="X239" s="16"/>
      <c r="Y239" s="16"/>
      <c r="Z239" s="16">
        <f t="shared" si="258"/>
        <v>0</v>
      </c>
      <c r="AA239" s="16"/>
      <c r="AB239" s="16">
        <v>15</v>
      </c>
      <c r="AC239" s="16"/>
      <c r="AD239" s="16">
        <f t="shared" si="259"/>
        <v>15</v>
      </c>
      <c r="AE239" s="16"/>
      <c r="AF239" s="16"/>
      <c r="AG239" s="16"/>
      <c r="AH239" s="16"/>
      <c r="AI239" s="16"/>
      <c r="AJ239" s="16"/>
      <c r="AK239" s="16"/>
      <c r="AL239" s="16">
        <v>15</v>
      </c>
      <c r="AM239" s="16"/>
      <c r="AN239" s="16"/>
      <c r="AO239" s="16"/>
      <c r="AP239" s="16"/>
      <c r="AQ239" s="16"/>
      <c r="AR239" s="16"/>
      <c r="AS239" s="16"/>
      <c r="AT239" s="16">
        <f t="shared" si="264"/>
        <v>15</v>
      </c>
      <c r="AU239" s="136">
        <f t="shared" si="260"/>
        <v>0</v>
      </c>
      <c r="AV239" s="5"/>
      <c r="AW239" s="136">
        <f t="shared" si="261"/>
        <v>0</v>
      </c>
      <c r="AX239" s="136">
        <f t="shared" si="227"/>
        <v>0</v>
      </c>
      <c r="AY239" s="136">
        <f t="shared" si="228"/>
        <v>0</v>
      </c>
      <c r="AZ239" s="136">
        <f t="shared" si="229"/>
        <v>0</v>
      </c>
      <c r="BA239" s="136">
        <f t="shared" si="230"/>
        <v>0</v>
      </c>
      <c r="BB239" s="136">
        <f t="shared" si="231"/>
        <v>0</v>
      </c>
      <c r="BC239" s="136">
        <f t="shared" si="232"/>
        <v>0</v>
      </c>
      <c r="BD239" s="136">
        <f t="shared" si="233"/>
        <v>15</v>
      </c>
      <c r="BE239" s="136"/>
      <c r="BF239" s="136"/>
      <c r="BG239" s="136"/>
      <c r="BH239" s="136"/>
      <c r="BI239" s="136"/>
      <c r="BJ239" s="136"/>
      <c r="BK239" s="136"/>
    </row>
    <row r="240" spans="1:63" s="100" customFormat="1" ht="16" customHeight="1">
      <c r="A240" s="16" t="s">
        <v>574</v>
      </c>
      <c r="B240" s="10" t="s">
        <v>623</v>
      </c>
      <c r="C240" s="10" t="s">
        <v>624</v>
      </c>
      <c r="D240" s="16"/>
      <c r="E240" s="16"/>
      <c r="F240" s="16"/>
      <c r="G240" s="16"/>
      <c r="H240" s="16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16"/>
      <c r="T240" s="16"/>
      <c r="U240" s="16"/>
      <c r="V240" s="16"/>
      <c r="W240" s="16"/>
      <c r="X240" s="16"/>
      <c r="Y240" s="16"/>
      <c r="Z240" s="16">
        <f t="shared" si="258"/>
        <v>0</v>
      </c>
      <c r="AA240" s="16"/>
      <c r="AB240" s="16">
        <v>62</v>
      </c>
      <c r="AC240" s="16"/>
      <c r="AD240" s="16">
        <f t="shared" si="259"/>
        <v>62</v>
      </c>
      <c r="AE240" s="16"/>
      <c r="AF240" s="16"/>
      <c r="AG240" s="16"/>
      <c r="AH240" s="16"/>
      <c r="AI240" s="16"/>
      <c r="AJ240" s="16"/>
      <c r="AK240" s="16"/>
      <c r="AL240" s="16">
        <v>62</v>
      </c>
      <c r="AM240" s="16"/>
      <c r="AN240" s="16"/>
      <c r="AO240" s="16"/>
      <c r="AP240" s="16"/>
      <c r="AQ240" s="16"/>
      <c r="AR240" s="16"/>
      <c r="AS240" s="16"/>
      <c r="AT240" s="16">
        <f t="shared" si="264"/>
        <v>62</v>
      </c>
      <c r="AU240" s="136">
        <f t="shared" si="260"/>
        <v>0</v>
      </c>
      <c r="AV240" s="5"/>
      <c r="AW240" s="136">
        <f t="shared" si="261"/>
        <v>0</v>
      </c>
      <c r="AX240" s="136">
        <f t="shared" si="227"/>
        <v>0</v>
      </c>
      <c r="AY240" s="136">
        <f t="shared" si="228"/>
        <v>0</v>
      </c>
      <c r="AZ240" s="136">
        <f t="shared" si="229"/>
        <v>0</v>
      </c>
      <c r="BA240" s="136">
        <f t="shared" si="230"/>
        <v>0</v>
      </c>
      <c r="BB240" s="136">
        <f t="shared" si="231"/>
        <v>0</v>
      </c>
      <c r="BC240" s="136">
        <f t="shared" si="232"/>
        <v>0</v>
      </c>
      <c r="BD240" s="136">
        <f t="shared" si="233"/>
        <v>62</v>
      </c>
      <c r="BE240" s="136"/>
      <c r="BF240" s="136"/>
      <c r="BG240" s="136"/>
      <c r="BH240" s="136"/>
      <c r="BI240" s="136"/>
      <c r="BJ240" s="136"/>
      <c r="BK240" s="136"/>
    </row>
    <row r="241" spans="1:63" s="100" customFormat="1" ht="16" customHeight="1">
      <c r="A241" s="135" t="s">
        <v>625</v>
      </c>
      <c r="B241" s="16" t="s">
        <v>626</v>
      </c>
      <c r="C241" s="16" t="s">
        <v>627</v>
      </c>
      <c r="D241" s="16"/>
      <c r="E241" s="16"/>
      <c r="F241" s="16"/>
      <c r="G241" s="16"/>
      <c r="H241" s="16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16"/>
      <c r="T241" s="16"/>
      <c r="U241" s="16"/>
      <c r="V241" s="16"/>
      <c r="W241" s="16"/>
      <c r="X241" s="16"/>
      <c r="Y241" s="16"/>
      <c r="Z241" s="16">
        <f t="shared" ref="Z241:Z256" si="270">X241-Y241+AC241</f>
        <v>0</v>
      </c>
      <c r="AA241" s="16"/>
      <c r="AB241" s="16">
        <v>5</v>
      </c>
      <c r="AC241" s="16"/>
      <c r="AD241" s="16">
        <f t="shared" ref="AD241:AD256" si="271">AB241-Y241+AA241+AC241</f>
        <v>5</v>
      </c>
      <c r="AE241" s="16"/>
      <c r="AF241" s="16"/>
      <c r="AG241" s="16"/>
      <c r="AH241" s="16"/>
      <c r="AI241" s="16"/>
      <c r="AJ241" s="16"/>
      <c r="AK241" s="16"/>
      <c r="AL241" s="16">
        <v>5</v>
      </c>
      <c r="AM241" s="16"/>
      <c r="AN241" s="16"/>
      <c r="AO241" s="16"/>
      <c r="AP241" s="16"/>
      <c r="AQ241" s="16"/>
      <c r="AR241" s="16"/>
      <c r="AS241" s="16"/>
      <c r="AT241" s="16">
        <f t="shared" ref="AT241:AT256" si="272">SUM(AE241:AS241)</f>
        <v>5</v>
      </c>
      <c r="AU241" s="136">
        <f t="shared" ref="AU241:AU256" si="273">AD241-AT241</f>
        <v>0</v>
      </c>
      <c r="AV241" s="5"/>
      <c r="AW241" s="136">
        <f t="shared" ref="AW241:AW256" si="274">AE241+Y241-I241</f>
        <v>0</v>
      </c>
      <c r="AX241" s="136">
        <f t="shared" si="227"/>
        <v>0</v>
      </c>
      <c r="AY241" s="136">
        <f t="shared" si="228"/>
        <v>0</v>
      </c>
      <c r="AZ241" s="136">
        <f t="shared" si="229"/>
        <v>0</v>
      </c>
      <c r="BA241" s="136">
        <f t="shared" si="230"/>
        <v>0</v>
      </c>
      <c r="BB241" s="136">
        <f t="shared" si="231"/>
        <v>0</v>
      </c>
      <c r="BC241" s="136">
        <f t="shared" si="232"/>
        <v>0</v>
      </c>
      <c r="BD241" s="136">
        <f t="shared" si="233"/>
        <v>5</v>
      </c>
      <c r="BE241" s="136">
        <f t="shared" ref="BE241:BE247" si="275">BD241+AM241-Q241</f>
        <v>5</v>
      </c>
      <c r="BF241" s="136">
        <f t="shared" ref="BF241:BK241" si="276">BE241+AN241-R241</f>
        <v>5</v>
      </c>
      <c r="BG241" s="136">
        <f t="shared" si="276"/>
        <v>5</v>
      </c>
      <c r="BH241" s="136">
        <f t="shared" si="276"/>
        <v>5</v>
      </c>
      <c r="BI241" s="136">
        <f t="shared" si="276"/>
        <v>5</v>
      </c>
      <c r="BJ241" s="136">
        <f t="shared" si="276"/>
        <v>5</v>
      </c>
      <c r="BK241" s="136">
        <f t="shared" si="276"/>
        <v>5</v>
      </c>
    </row>
    <row r="242" spans="1:63" s="100" customFormat="1" ht="16" customHeight="1">
      <c r="A242" s="135" t="s">
        <v>625</v>
      </c>
      <c r="B242" s="16" t="s">
        <v>628</v>
      </c>
      <c r="C242" s="16" t="s">
        <v>629</v>
      </c>
      <c r="D242" s="16"/>
      <c r="E242" s="16"/>
      <c r="F242" s="16"/>
      <c r="G242" s="16"/>
      <c r="H242" s="16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16"/>
      <c r="T242" s="16"/>
      <c r="U242" s="16"/>
      <c r="V242" s="16"/>
      <c r="W242" s="16"/>
      <c r="X242" s="16"/>
      <c r="Y242" s="16"/>
      <c r="Z242" s="16">
        <f t="shared" si="270"/>
        <v>0</v>
      </c>
      <c r="AA242" s="16"/>
      <c r="AB242" s="16">
        <v>1</v>
      </c>
      <c r="AC242" s="16"/>
      <c r="AD242" s="16">
        <f t="shared" si="271"/>
        <v>1</v>
      </c>
      <c r="AE242" s="16"/>
      <c r="AF242" s="16"/>
      <c r="AG242" s="16"/>
      <c r="AH242" s="16"/>
      <c r="AI242" s="16"/>
      <c r="AJ242" s="16"/>
      <c r="AK242" s="16"/>
      <c r="AL242" s="16">
        <v>1</v>
      </c>
      <c r="AM242" s="16"/>
      <c r="AN242" s="16"/>
      <c r="AO242" s="16"/>
      <c r="AP242" s="16"/>
      <c r="AQ242" s="16"/>
      <c r="AR242" s="16"/>
      <c r="AS242" s="16"/>
      <c r="AT242" s="16">
        <f t="shared" si="272"/>
        <v>1</v>
      </c>
      <c r="AU242" s="136">
        <f t="shared" si="273"/>
        <v>0</v>
      </c>
      <c r="AV242" s="5"/>
      <c r="AW242" s="136">
        <f t="shared" si="274"/>
        <v>0</v>
      </c>
      <c r="AX242" s="136">
        <f t="shared" si="227"/>
        <v>0</v>
      </c>
      <c r="AY242" s="136">
        <f t="shared" si="228"/>
        <v>0</v>
      </c>
      <c r="AZ242" s="136">
        <f t="shared" si="229"/>
        <v>0</v>
      </c>
      <c r="BA242" s="136">
        <f t="shared" si="230"/>
        <v>0</v>
      </c>
      <c r="BB242" s="136">
        <f t="shared" si="231"/>
        <v>0</v>
      </c>
      <c r="BC242" s="136">
        <f t="shared" si="232"/>
        <v>0</v>
      </c>
      <c r="BD242" s="136">
        <f t="shared" si="233"/>
        <v>1</v>
      </c>
      <c r="BE242" s="136">
        <f t="shared" si="275"/>
        <v>1</v>
      </c>
      <c r="BF242" s="136">
        <f t="shared" ref="BF242:BK242" si="277">BE242+AN242-R242</f>
        <v>1</v>
      </c>
      <c r="BG242" s="136">
        <f t="shared" si="277"/>
        <v>1</v>
      </c>
      <c r="BH242" s="136">
        <f t="shared" si="277"/>
        <v>1</v>
      </c>
      <c r="BI242" s="136">
        <f t="shared" si="277"/>
        <v>1</v>
      </c>
      <c r="BJ242" s="136">
        <f t="shared" si="277"/>
        <v>1</v>
      </c>
      <c r="BK242" s="136">
        <f t="shared" si="277"/>
        <v>1</v>
      </c>
    </row>
    <row r="243" spans="1:63" s="100" customFormat="1" ht="16" customHeight="1">
      <c r="A243" s="135" t="s">
        <v>625</v>
      </c>
      <c r="B243" s="16" t="s">
        <v>630</v>
      </c>
      <c r="C243" s="16" t="s">
        <v>631</v>
      </c>
      <c r="D243" s="16"/>
      <c r="E243" s="16"/>
      <c r="F243" s="16"/>
      <c r="G243" s="16"/>
      <c r="H243" s="16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16"/>
      <c r="T243" s="16"/>
      <c r="U243" s="16"/>
      <c r="V243" s="16"/>
      <c r="W243" s="16"/>
      <c r="X243" s="16"/>
      <c r="Y243" s="16"/>
      <c r="Z243" s="16">
        <f t="shared" si="270"/>
        <v>0</v>
      </c>
      <c r="AA243" s="16"/>
      <c r="AB243" s="16">
        <v>2</v>
      </c>
      <c r="AC243" s="16"/>
      <c r="AD243" s="16">
        <f t="shared" si="271"/>
        <v>2</v>
      </c>
      <c r="AE243" s="16"/>
      <c r="AF243" s="16">
        <v>2</v>
      </c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>
        <f t="shared" si="272"/>
        <v>2</v>
      </c>
      <c r="AU243" s="136">
        <f t="shared" si="273"/>
        <v>0</v>
      </c>
      <c r="AV243" s="5"/>
      <c r="AW243" s="136">
        <f t="shared" si="274"/>
        <v>0</v>
      </c>
      <c r="AX243" s="136">
        <f t="shared" si="227"/>
        <v>2</v>
      </c>
      <c r="AY243" s="136">
        <f t="shared" si="228"/>
        <v>2</v>
      </c>
      <c r="AZ243" s="136">
        <f t="shared" si="229"/>
        <v>2</v>
      </c>
      <c r="BA243" s="136">
        <f t="shared" si="230"/>
        <v>2</v>
      </c>
      <c r="BB243" s="136">
        <f t="shared" si="231"/>
        <v>2</v>
      </c>
      <c r="BC243" s="136">
        <f t="shared" si="232"/>
        <v>2</v>
      </c>
      <c r="BD243" s="136">
        <f t="shared" si="233"/>
        <v>2</v>
      </c>
      <c r="BE243" s="136">
        <f t="shared" si="275"/>
        <v>2</v>
      </c>
      <c r="BF243" s="136">
        <f t="shared" ref="BF243:BK243" si="278">BE243+AN243-R243</f>
        <v>2</v>
      </c>
      <c r="BG243" s="136">
        <f t="shared" si="278"/>
        <v>2</v>
      </c>
      <c r="BH243" s="136">
        <f t="shared" si="278"/>
        <v>2</v>
      </c>
      <c r="BI243" s="136">
        <f t="shared" si="278"/>
        <v>2</v>
      </c>
      <c r="BJ243" s="136">
        <f t="shared" si="278"/>
        <v>2</v>
      </c>
      <c r="BK243" s="136">
        <f t="shared" si="278"/>
        <v>2</v>
      </c>
    </row>
    <row r="244" spans="1:63" s="100" customFormat="1" ht="16" customHeight="1">
      <c r="A244" s="135" t="s">
        <v>625</v>
      </c>
      <c r="B244" s="16" t="s">
        <v>632</v>
      </c>
      <c r="C244" s="16" t="s">
        <v>633</v>
      </c>
      <c r="D244" s="16"/>
      <c r="E244" s="16"/>
      <c r="F244" s="16"/>
      <c r="G244" s="16"/>
      <c r="H244" s="16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16"/>
      <c r="T244" s="16"/>
      <c r="U244" s="16"/>
      <c r="V244" s="16"/>
      <c r="W244" s="16"/>
      <c r="X244" s="16"/>
      <c r="Y244" s="16"/>
      <c r="Z244" s="16">
        <f t="shared" si="270"/>
        <v>0</v>
      </c>
      <c r="AA244" s="16"/>
      <c r="AB244" s="16">
        <v>6</v>
      </c>
      <c r="AC244" s="16"/>
      <c r="AD244" s="16">
        <f t="shared" si="271"/>
        <v>6</v>
      </c>
      <c r="AE244" s="16"/>
      <c r="AF244" s="16"/>
      <c r="AG244" s="16"/>
      <c r="AH244" s="16">
        <v>6</v>
      </c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>
        <f t="shared" si="272"/>
        <v>6</v>
      </c>
      <c r="AU244" s="136">
        <f t="shared" si="273"/>
        <v>0</v>
      </c>
      <c r="AV244" s="5"/>
      <c r="AW244" s="136">
        <f t="shared" si="274"/>
        <v>0</v>
      </c>
      <c r="AX244" s="136">
        <f t="shared" si="227"/>
        <v>0</v>
      </c>
      <c r="AY244" s="136">
        <f t="shared" si="228"/>
        <v>0</v>
      </c>
      <c r="AZ244" s="136">
        <f t="shared" si="229"/>
        <v>6</v>
      </c>
      <c r="BA244" s="136">
        <f t="shared" si="230"/>
        <v>6</v>
      </c>
      <c r="BB244" s="136">
        <f t="shared" si="231"/>
        <v>6</v>
      </c>
      <c r="BC244" s="136">
        <f t="shared" si="232"/>
        <v>6</v>
      </c>
      <c r="BD244" s="136">
        <f t="shared" si="233"/>
        <v>6</v>
      </c>
      <c r="BE244" s="136">
        <f t="shared" si="275"/>
        <v>6</v>
      </c>
      <c r="BF244" s="136">
        <f t="shared" ref="BF244:BK244" si="279">BE244+AN244-R244</f>
        <v>6</v>
      </c>
      <c r="BG244" s="136">
        <f t="shared" si="279"/>
        <v>6</v>
      </c>
      <c r="BH244" s="136">
        <f t="shared" si="279"/>
        <v>6</v>
      </c>
      <c r="BI244" s="136">
        <f t="shared" si="279"/>
        <v>6</v>
      </c>
      <c r="BJ244" s="136">
        <f t="shared" si="279"/>
        <v>6</v>
      </c>
      <c r="BK244" s="136">
        <f t="shared" si="279"/>
        <v>6</v>
      </c>
    </row>
    <row r="245" spans="1:63" s="100" customFormat="1" ht="16" customHeight="1">
      <c r="A245" s="135" t="s">
        <v>625</v>
      </c>
      <c r="B245" s="16" t="s">
        <v>634</v>
      </c>
      <c r="C245" s="16" t="s">
        <v>635</v>
      </c>
      <c r="D245" s="16"/>
      <c r="E245" s="16"/>
      <c r="F245" s="16"/>
      <c r="G245" s="16"/>
      <c r="H245" s="16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16"/>
      <c r="T245" s="16"/>
      <c r="U245" s="16"/>
      <c r="V245" s="16"/>
      <c r="W245" s="16"/>
      <c r="X245" s="16"/>
      <c r="Y245" s="16"/>
      <c r="Z245" s="16">
        <f t="shared" si="270"/>
        <v>0</v>
      </c>
      <c r="AA245" s="16"/>
      <c r="AB245" s="16">
        <v>6</v>
      </c>
      <c r="AC245" s="16"/>
      <c r="AD245" s="16">
        <f t="shared" si="271"/>
        <v>6</v>
      </c>
      <c r="AE245" s="16"/>
      <c r="AF245" s="16"/>
      <c r="AG245" s="16">
        <v>6</v>
      </c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>
        <f t="shared" si="272"/>
        <v>6</v>
      </c>
      <c r="AU245" s="136">
        <f t="shared" si="273"/>
        <v>0</v>
      </c>
      <c r="AV245" s="5"/>
      <c r="AW245" s="136">
        <f t="shared" si="274"/>
        <v>0</v>
      </c>
      <c r="AX245" s="136">
        <f t="shared" si="227"/>
        <v>0</v>
      </c>
      <c r="AY245" s="136">
        <f t="shared" si="228"/>
        <v>6</v>
      </c>
      <c r="AZ245" s="136">
        <f t="shared" si="229"/>
        <v>6</v>
      </c>
      <c r="BA245" s="136">
        <f t="shared" si="230"/>
        <v>6</v>
      </c>
      <c r="BB245" s="136">
        <f t="shared" si="231"/>
        <v>6</v>
      </c>
      <c r="BC245" s="136">
        <f t="shared" si="232"/>
        <v>6</v>
      </c>
      <c r="BD245" s="136">
        <f t="shared" si="233"/>
        <v>6</v>
      </c>
      <c r="BE245" s="136">
        <f t="shared" si="275"/>
        <v>6</v>
      </c>
      <c r="BF245" s="136">
        <f t="shared" ref="BF245:BK245" si="280">BE245+AN245-R245</f>
        <v>6</v>
      </c>
      <c r="BG245" s="136">
        <f t="shared" si="280"/>
        <v>6</v>
      </c>
      <c r="BH245" s="136">
        <f t="shared" si="280"/>
        <v>6</v>
      </c>
      <c r="BI245" s="136">
        <f t="shared" si="280"/>
        <v>6</v>
      </c>
      <c r="BJ245" s="136">
        <f t="shared" si="280"/>
        <v>6</v>
      </c>
      <c r="BK245" s="136">
        <f t="shared" si="280"/>
        <v>6</v>
      </c>
    </row>
    <row r="246" spans="1:63" s="100" customFormat="1" ht="16" customHeight="1">
      <c r="A246" s="135" t="s">
        <v>625</v>
      </c>
      <c r="B246" s="16" t="s">
        <v>636</v>
      </c>
      <c r="C246" s="16" t="s">
        <v>203</v>
      </c>
      <c r="D246" s="16"/>
      <c r="E246" s="16"/>
      <c r="F246" s="16"/>
      <c r="G246" s="16"/>
      <c r="H246" s="16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16"/>
      <c r="T246" s="16"/>
      <c r="U246" s="16"/>
      <c r="V246" s="16"/>
      <c r="W246" s="16"/>
      <c r="X246" s="16"/>
      <c r="Y246" s="16"/>
      <c r="Z246" s="16">
        <f t="shared" si="270"/>
        <v>0</v>
      </c>
      <c r="AA246" s="16"/>
      <c r="AB246" s="16">
        <v>7</v>
      </c>
      <c r="AC246" s="16"/>
      <c r="AD246" s="16">
        <f t="shared" si="271"/>
        <v>7</v>
      </c>
      <c r="AE246" s="16"/>
      <c r="AF246" s="16">
        <v>7</v>
      </c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>
        <f t="shared" si="272"/>
        <v>7</v>
      </c>
      <c r="AU246" s="136">
        <f t="shared" si="273"/>
        <v>0</v>
      </c>
      <c r="AV246" s="5"/>
      <c r="AW246" s="136">
        <f t="shared" si="274"/>
        <v>0</v>
      </c>
      <c r="AX246" s="136">
        <f t="shared" si="227"/>
        <v>7</v>
      </c>
      <c r="AY246" s="136">
        <f t="shared" si="228"/>
        <v>7</v>
      </c>
      <c r="AZ246" s="136">
        <f t="shared" si="229"/>
        <v>7</v>
      </c>
      <c r="BA246" s="136">
        <f t="shared" si="230"/>
        <v>7</v>
      </c>
      <c r="BB246" s="136">
        <f t="shared" si="231"/>
        <v>7</v>
      </c>
      <c r="BC246" s="136">
        <f t="shared" si="232"/>
        <v>7</v>
      </c>
      <c r="BD246" s="136">
        <f t="shared" si="233"/>
        <v>7</v>
      </c>
      <c r="BE246" s="136">
        <f t="shared" si="275"/>
        <v>7</v>
      </c>
      <c r="BF246" s="136">
        <f t="shared" ref="BF246:BK246" si="281">BE246+AN246-R246</f>
        <v>7</v>
      </c>
      <c r="BG246" s="136">
        <f t="shared" si="281"/>
        <v>7</v>
      </c>
      <c r="BH246" s="136">
        <f t="shared" si="281"/>
        <v>7</v>
      </c>
      <c r="BI246" s="136">
        <f t="shared" si="281"/>
        <v>7</v>
      </c>
      <c r="BJ246" s="136">
        <f t="shared" si="281"/>
        <v>7</v>
      </c>
      <c r="BK246" s="136">
        <f t="shared" si="281"/>
        <v>7</v>
      </c>
    </row>
    <row r="247" spans="1:63" s="100" customFormat="1" ht="16" customHeight="1">
      <c r="A247" s="135" t="s">
        <v>625</v>
      </c>
      <c r="B247" s="16" t="s">
        <v>637</v>
      </c>
      <c r="C247" s="16" t="s">
        <v>638</v>
      </c>
      <c r="D247" s="16"/>
      <c r="E247" s="16"/>
      <c r="F247" s="16"/>
      <c r="G247" s="16"/>
      <c r="H247" s="16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16"/>
      <c r="T247" s="16"/>
      <c r="U247" s="16"/>
      <c r="V247" s="16"/>
      <c r="W247" s="16"/>
      <c r="X247" s="16"/>
      <c r="Y247" s="16"/>
      <c r="Z247" s="16">
        <f t="shared" si="270"/>
        <v>0</v>
      </c>
      <c r="AA247" s="16"/>
      <c r="AB247" s="16">
        <v>7</v>
      </c>
      <c r="AC247" s="16"/>
      <c r="AD247" s="16">
        <f t="shared" si="271"/>
        <v>7</v>
      </c>
      <c r="AE247" s="16"/>
      <c r="AF247" s="16">
        <v>7</v>
      </c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>
        <f t="shared" si="272"/>
        <v>7</v>
      </c>
      <c r="AU247" s="136">
        <f t="shared" si="273"/>
        <v>0</v>
      </c>
      <c r="AV247" s="5"/>
      <c r="AW247" s="136">
        <f t="shared" si="274"/>
        <v>0</v>
      </c>
      <c r="AX247" s="136">
        <f t="shared" si="227"/>
        <v>7</v>
      </c>
      <c r="AY247" s="136">
        <f t="shared" si="228"/>
        <v>7</v>
      </c>
      <c r="AZ247" s="136">
        <f t="shared" si="229"/>
        <v>7</v>
      </c>
      <c r="BA247" s="136">
        <f t="shared" si="230"/>
        <v>7</v>
      </c>
      <c r="BB247" s="136">
        <f t="shared" si="231"/>
        <v>7</v>
      </c>
      <c r="BC247" s="136">
        <f t="shared" si="232"/>
        <v>7</v>
      </c>
      <c r="BD247" s="136">
        <f t="shared" si="233"/>
        <v>7</v>
      </c>
      <c r="BE247" s="136">
        <f t="shared" si="275"/>
        <v>7</v>
      </c>
      <c r="BF247" s="136">
        <f t="shared" ref="BF247:BK247" si="282">BE247+AN247-R247</f>
        <v>7</v>
      </c>
      <c r="BG247" s="136">
        <f t="shared" si="282"/>
        <v>7</v>
      </c>
      <c r="BH247" s="136">
        <f t="shared" si="282"/>
        <v>7</v>
      </c>
      <c r="BI247" s="136">
        <f t="shared" si="282"/>
        <v>7</v>
      </c>
      <c r="BJ247" s="136">
        <f t="shared" si="282"/>
        <v>7</v>
      </c>
      <c r="BK247" s="136">
        <f t="shared" si="282"/>
        <v>7</v>
      </c>
    </row>
    <row r="248" spans="1:63" s="100" customFormat="1" ht="16" customHeight="1">
      <c r="A248" s="135" t="s">
        <v>625</v>
      </c>
      <c r="B248" s="16" t="s">
        <v>639</v>
      </c>
      <c r="C248" s="16" t="s">
        <v>442</v>
      </c>
      <c r="D248" s="16"/>
      <c r="E248" s="16"/>
      <c r="F248" s="16"/>
      <c r="G248" s="16"/>
      <c r="H248" s="16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16"/>
      <c r="T248" s="16"/>
      <c r="U248" s="16"/>
      <c r="V248" s="16"/>
      <c r="W248" s="16"/>
      <c r="X248" s="16"/>
      <c r="Y248" s="16"/>
      <c r="Z248" s="16">
        <f t="shared" si="270"/>
        <v>0</v>
      </c>
      <c r="AA248" s="16"/>
      <c r="AB248" s="16">
        <v>1</v>
      </c>
      <c r="AC248" s="16"/>
      <c r="AD248" s="16">
        <f t="shared" si="271"/>
        <v>1</v>
      </c>
      <c r="AE248" s="16"/>
      <c r="AF248" s="16"/>
      <c r="AG248" s="16">
        <v>1</v>
      </c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>
        <f t="shared" si="272"/>
        <v>1</v>
      </c>
      <c r="AU248" s="136">
        <f t="shared" si="273"/>
        <v>0</v>
      </c>
      <c r="AV248" s="5"/>
      <c r="AW248" s="136">
        <f t="shared" si="274"/>
        <v>0</v>
      </c>
      <c r="AX248" s="136">
        <f t="shared" si="227"/>
        <v>0</v>
      </c>
      <c r="AY248" s="136">
        <f t="shared" si="228"/>
        <v>1</v>
      </c>
      <c r="AZ248" s="136">
        <f t="shared" si="229"/>
        <v>1</v>
      </c>
      <c r="BA248" s="136">
        <f t="shared" si="230"/>
        <v>1</v>
      </c>
      <c r="BB248" s="136">
        <f t="shared" si="231"/>
        <v>1</v>
      </c>
      <c r="BC248" s="136">
        <f t="shared" si="232"/>
        <v>1</v>
      </c>
      <c r="BD248" s="136">
        <f t="shared" si="233"/>
        <v>1</v>
      </c>
      <c r="BE248" s="136"/>
      <c r="BF248" s="136"/>
      <c r="BG248" s="136"/>
      <c r="BH248" s="136"/>
      <c r="BI248" s="136"/>
      <c r="BJ248" s="136"/>
      <c r="BK248" s="136"/>
    </row>
    <row r="249" spans="1:63" s="100" customFormat="1" ht="16" customHeight="1">
      <c r="A249" s="135" t="s">
        <v>625</v>
      </c>
      <c r="B249" s="16" t="s">
        <v>640</v>
      </c>
      <c r="C249" s="16" t="s">
        <v>641</v>
      </c>
      <c r="D249" s="16"/>
      <c r="E249" s="16"/>
      <c r="F249" s="16"/>
      <c r="G249" s="16"/>
      <c r="H249" s="16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16"/>
      <c r="T249" s="16"/>
      <c r="U249" s="16"/>
      <c r="V249" s="16"/>
      <c r="W249" s="16"/>
      <c r="X249" s="16"/>
      <c r="Y249" s="16"/>
      <c r="Z249" s="16">
        <f t="shared" si="270"/>
        <v>0</v>
      </c>
      <c r="AA249" s="16"/>
      <c r="AB249" s="16">
        <v>1</v>
      </c>
      <c r="AC249" s="16"/>
      <c r="AD249" s="16">
        <f t="shared" si="271"/>
        <v>1</v>
      </c>
      <c r="AE249" s="16"/>
      <c r="AF249" s="16"/>
      <c r="AG249" s="16">
        <v>1</v>
      </c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>
        <f t="shared" si="272"/>
        <v>1</v>
      </c>
      <c r="AU249" s="136">
        <f t="shared" si="273"/>
        <v>0</v>
      </c>
      <c r="AV249" s="5"/>
      <c r="AW249" s="136">
        <f t="shared" si="274"/>
        <v>0</v>
      </c>
      <c r="AX249" s="136">
        <f t="shared" si="227"/>
        <v>0</v>
      </c>
      <c r="AY249" s="136">
        <f t="shared" si="228"/>
        <v>1</v>
      </c>
      <c r="AZ249" s="136">
        <f t="shared" si="229"/>
        <v>1</v>
      </c>
      <c r="BA249" s="136">
        <f t="shared" si="230"/>
        <v>1</v>
      </c>
      <c r="BB249" s="136">
        <f t="shared" si="231"/>
        <v>1</v>
      </c>
      <c r="BC249" s="136">
        <f t="shared" si="232"/>
        <v>1</v>
      </c>
      <c r="BD249" s="136">
        <f t="shared" si="233"/>
        <v>1</v>
      </c>
      <c r="BE249" s="136"/>
      <c r="BF249" s="136"/>
      <c r="BG249" s="136"/>
      <c r="BH249" s="136"/>
      <c r="BI249" s="136"/>
      <c r="BJ249" s="136"/>
      <c r="BK249" s="136"/>
    </row>
    <row r="250" spans="1:63" s="100" customFormat="1" ht="16" customHeight="1">
      <c r="A250" s="135" t="s">
        <v>625</v>
      </c>
      <c r="B250" s="16" t="s">
        <v>642</v>
      </c>
      <c r="C250" s="16" t="s">
        <v>643</v>
      </c>
      <c r="D250" s="16"/>
      <c r="E250" s="16"/>
      <c r="F250" s="16"/>
      <c r="G250" s="16"/>
      <c r="H250" s="16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16"/>
      <c r="T250" s="16"/>
      <c r="U250" s="16"/>
      <c r="V250" s="16"/>
      <c r="W250" s="16"/>
      <c r="X250" s="16"/>
      <c r="Y250" s="16"/>
      <c r="Z250" s="16">
        <f t="shared" si="270"/>
        <v>0</v>
      </c>
      <c r="AA250" s="16"/>
      <c r="AB250" s="16">
        <v>1</v>
      </c>
      <c r="AC250" s="16"/>
      <c r="AD250" s="16">
        <f t="shared" si="271"/>
        <v>1</v>
      </c>
      <c r="AE250" s="16"/>
      <c r="AF250" s="16"/>
      <c r="AG250" s="16">
        <v>1</v>
      </c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>
        <f t="shared" si="272"/>
        <v>1</v>
      </c>
      <c r="AU250" s="136">
        <f t="shared" si="273"/>
        <v>0</v>
      </c>
      <c r="AV250" s="5"/>
      <c r="AW250" s="136">
        <f t="shared" si="274"/>
        <v>0</v>
      </c>
      <c r="AX250" s="136">
        <f t="shared" si="227"/>
        <v>0</v>
      </c>
      <c r="AY250" s="136">
        <f t="shared" si="228"/>
        <v>1</v>
      </c>
      <c r="AZ250" s="136">
        <f t="shared" si="229"/>
        <v>1</v>
      </c>
      <c r="BA250" s="136">
        <f t="shared" si="230"/>
        <v>1</v>
      </c>
      <c r="BB250" s="136">
        <f t="shared" si="231"/>
        <v>1</v>
      </c>
      <c r="BC250" s="136">
        <f t="shared" si="232"/>
        <v>1</v>
      </c>
      <c r="BD250" s="136">
        <f t="shared" si="233"/>
        <v>1</v>
      </c>
      <c r="BE250" s="136"/>
      <c r="BF250" s="136"/>
      <c r="BG250" s="136"/>
      <c r="BH250" s="136"/>
      <c r="BI250" s="136"/>
      <c r="BJ250" s="136"/>
      <c r="BK250" s="136"/>
    </row>
    <row r="251" spans="1:63" s="100" customFormat="1" ht="16" customHeight="1">
      <c r="A251" s="135" t="s">
        <v>625</v>
      </c>
      <c r="B251" s="16" t="s">
        <v>644</v>
      </c>
      <c r="C251" s="16" t="s">
        <v>645</v>
      </c>
      <c r="D251" s="16"/>
      <c r="E251" s="16"/>
      <c r="F251" s="16"/>
      <c r="G251" s="16"/>
      <c r="H251" s="16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16"/>
      <c r="T251" s="16"/>
      <c r="U251" s="16"/>
      <c r="V251" s="16"/>
      <c r="W251" s="16"/>
      <c r="X251" s="16"/>
      <c r="Y251" s="16"/>
      <c r="Z251" s="16">
        <f t="shared" si="270"/>
        <v>0</v>
      </c>
      <c r="AA251" s="16"/>
      <c r="AB251" s="16">
        <v>1</v>
      </c>
      <c r="AC251" s="16"/>
      <c r="AD251" s="16">
        <f t="shared" si="271"/>
        <v>1</v>
      </c>
      <c r="AE251" s="16"/>
      <c r="AF251" s="16"/>
      <c r="AG251" s="16">
        <v>1</v>
      </c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>
        <f t="shared" si="272"/>
        <v>1</v>
      </c>
      <c r="AU251" s="136">
        <f t="shared" si="273"/>
        <v>0</v>
      </c>
      <c r="AV251" s="5"/>
      <c r="AW251" s="136">
        <f t="shared" si="274"/>
        <v>0</v>
      </c>
      <c r="AX251" s="136">
        <f t="shared" si="227"/>
        <v>0</v>
      </c>
      <c r="AY251" s="136">
        <f t="shared" si="228"/>
        <v>1</v>
      </c>
      <c r="AZ251" s="136">
        <f t="shared" si="229"/>
        <v>1</v>
      </c>
      <c r="BA251" s="136">
        <f t="shared" si="230"/>
        <v>1</v>
      </c>
      <c r="BB251" s="136">
        <f t="shared" si="231"/>
        <v>1</v>
      </c>
      <c r="BC251" s="136">
        <f t="shared" si="232"/>
        <v>1</v>
      </c>
      <c r="BD251" s="136">
        <f t="shared" si="233"/>
        <v>1</v>
      </c>
      <c r="BE251" s="136"/>
      <c r="BF251" s="136"/>
      <c r="BG251" s="136"/>
      <c r="BH251" s="136"/>
      <c r="BI251" s="136"/>
      <c r="BJ251" s="136"/>
      <c r="BK251" s="136"/>
    </row>
    <row r="252" spans="1:63" s="100" customFormat="1" ht="16" customHeight="1">
      <c r="A252" s="135" t="s">
        <v>625</v>
      </c>
      <c r="B252" s="16" t="s">
        <v>646</v>
      </c>
      <c r="C252" s="16" t="s">
        <v>336</v>
      </c>
      <c r="D252" s="16"/>
      <c r="E252" s="16"/>
      <c r="F252" s="16"/>
      <c r="G252" s="16"/>
      <c r="H252" s="16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16"/>
      <c r="T252" s="16"/>
      <c r="U252" s="16"/>
      <c r="V252" s="16"/>
      <c r="W252" s="16"/>
      <c r="X252" s="16"/>
      <c r="Y252" s="16"/>
      <c r="Z252" s="16">
        <f t="shared" si="270"/>
        <v>0</v>
      </c>
      <c r="AA252" s="16"/>
      <c r="AB252" s="16">
        <v>1</v>
      </c>
      <c r="AC252" s="16"/>
      <c r="AD252" s="16">
        <f t="shared" si="271"/>
        <v>1</v>
      </c>
      <c r="AE252" s="16"/>
      <c r="AF252" s="16"/>
      <c r="AG252" s="16">
        <v>1</v>
      </c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>
        <f t="shared" si="272"/>
        <v>1</v>
      </c>
      <c r="AU252" s="136">
        <f t="shared" si="273"/>
        <v>0</v>
      </c>
      <c r="AV252" s="5"/>
      <c r="AW252" s="136">
        <f t="shared" si="274"/>
        <v>0</v>
      </c>
      <c r="AX252" s="136">
        <f t="shared" si="227"/>
        <v>0</v>
      </c>
      <c r="AY252" s="136">
        <f t="shared" si="228"/>
        <v>1</v>
      </c>
      <c r="AZ252" s="136">
        <f t="shared" si="229"/>
        <v>1</v>
      </c>
      <c r="BA252" s="136">
        <f t="shared" si="230"/>
        <v>1</v>
      </c>
      <c r="BB252" s="136">
        <f t="shared" si="231"/>
        <v>1</v>
      </c>
      <c r="BC252" s="136">
        <f t="shared" si="232"/>
        <v>1</v>
      </c>
      <c r="BD252" s="136">
        <f t="shared" si="233"/>
        <v>1</v>
      </c>
      <c r="BE252" s="136"/>
      <c r="BF252" s="136"/>
      <c r="BG252" s="136"/>
      <c r="BH252" s="136"/>
      <c r="BI252" s="136"/>
      <c r="BJ252" s="136"/>
      <c r="BK252" s="136"/>
    </row>
    <row r="253" spans="1:63" s="100" customFormat="1" ht="16" customHeight="1">
      <c r="A253" s="135" t="s">
        <v>625</v>
      </c>
      <c r="B253" s="16"/>
      <c r="C253" s="16" t="s">
        <v>647</v>
      </c>
      <c r="D253" s="16"/>
      <c r="E253" s="16"/>
      <c r="F253" s="16"/>
      <c r="G253" s="16"/>
      <c r="H253" s="16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16"/>
      <c r="T253" s="16"/>
      <c r="U253" s="16"/>
      <c r="V253" s="16"/>
      <c r="W253" s="16"/>
      <c r="X253" s="16"/>
      <c r="Y253" s="16"/>
      <c r="Z253" s="16">
        <f t="shared" si="270"/>
        <v>0</v>
      </c>
      <c r="AA253" s="16"/>
      <c r="AB253" s="16">
        <v>1</v>
      </c>
      <c r="AC253" s="16"/>
      <c r="AD253" s="16">
        <f t="shared" si="271"/>
        <v>1</v>
      </c>
      <c r="AE253" s="16"/>
      <c r="AF253" s="16"/>
      <c r="AG253" s="16">
        <v>1</v>
      </c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>
        <f t="shared" si="272"/>
        <v>1</v>
      </c>
      <c r="AU253" s="136">
        <f t="shared" si="273"/>
        <v>0</v>
      </c>
      <c r="AV253" s="5"/>
      <c r="AW253" s="136">
        <f t="shared" si="274"/>
        <v>0</v>
      </c>
      <c r="AX253" s="136">
        <f t="shared" ref="AX253:BE253" si="283">AW253+AF253-J253</f>
        <v>0</v>
      </c>
      <c r="AY253" s="136">
        <f t="shared" si="283"/>
        <v>1</v>
      </c>
      <c r="AZ253" s="136">
        <f t="shared" si="283"/>
        <v>1</v>
      </c>
      <c r="BA253" s="136">
        <f t="shared" si="283"/>
        <v>1</v>
      </c>
      <c r="BB253" s="136">
        <f t="shared" si="283"/>
        <v>1</v>
      </c>
      <c r="BC253" s="136">
        <f t="shared" si="283"/>
        <v>1</v>
      </c>
      <c r="BD253" s="136">
        <f t="shared" si="283"/>
        <v>1</v>
      </c>
      <c r="BE253" s="136">
        <f t="shared" si="283"/>
        <v>1</v>
      </c>
      <c r="BF253" s="136">
        <f t="shared" ref="BF253:BK253" si="284">BE253+AN253-R253</f>
        <v>1</v>
      </c>
      <c r="BG253" s="136">
        <f t="shared" si="284"/>
        <v>1</v>
      </c>
      <c r="BH253" s="136">
        <f t="shared" si="284"/>
        <v>1</v>
      </c>
      <c r="BI253" s="136">
        <f t="shared" si="284"/>
        <v>1</v>
      </c>
      <c r="BJ253" s="136">
        <f t="shared" si="284"/>
        <v>1</v>
      </c>
      <c r="BK253" s="136">
        <f t="shared" si="284"/>
        <v>1</v>
      </c>
    </row>
    <row r="254" spans="1:63" s="100" customFormat="1" ht="16" customHeight="1">
      <c r="A254" s="135" t="s">
        <v>625</v>
      </c>
      <c r="B254" s="16"/>
      <c r="C254" s="16" t="s">
        <v>648</v>
      </c>
      <c r="D254" s="16"/>
      <c r="E254" s="16"/>
      <c r="F254" s="16"/>
      <c r="G254" s="16"/>
      <c r="H254" s="16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16"/>
      <c r="T254" s="16"/>
      <c r="U254" s="16"/>
      <c r="V254" s="16"/>
      <c r="W254" s="16"/>
      <c r="X254" s="16"/>
      <c r="Y254" s="16"/>
      <c r="Z254" s="16">
        <f t="shared" si="270"/>
        <v>0</v>
      </c>
      <c r="AA254" s="16"/>
      <c r="AB254" s="16">
        <v>1</v>
      </c>
      <c r="AC254" s="16"/>
      <c r="AD254" s="16">
        <f t="shared" si="271"/>
        <v>1</v>
      </c>
      <c r="AE254" s="16"/>
      <c r="AF254" s="16"/>
      <c r="AG254" s="16">
        <v>1</v>
      </c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>
        <f t="shared" si="272"/>
        <v>1</v>
      </c>
      <c r="AU254" s="136">
        <f t="shared" si="273"/>
        <v>0</v>
      </c>
      <c r="AV254" s="5"/>
      <c r="AW254" s="136">
        <f t="shared" si="274"/>
        <v>0</v>
      </c>
      <c r="AX254" s="136">
        <f t="shared" ref="AX254:BE254" si="285">AW254+AF254-J254</f>
        <v>0</v>
      </c>
      <c r="AY254" s="136">
        <f t="shared" si="285"/>
        <v>1</v>
      </c>
      <c r="AZ254" s="136">
        <f t="shared" si="285"/>
        <v>1</v>
      </c>
      <c r="BA254" s="136">
        <f t="shared" si="285"/>
        <v>1</v>
      </c>
      <c r="BB254" s="136">
        <f t="shared" si="285"/>
        <v>1</v>
      </c>
      <c r="BC254" s="136">
        <f t="shared" si="285"/>
        <v>1</v>
      </c>
      <c r="BD254" s="136">
        <f t="shared" si="285"/>
        <v>1</v>
      </c>
      <c r="BE254" s="136">
        <f t="shared" si="285"/>
        <v>1</v>
      </c>
      <c r="BF254" s="136">
        <f t="shared" ref="BF254:BK254" si="286">BE254+AN254-R254</f>
        <v>1</v>
      </c>
      <c r="BG254" s="136">
        <f t="shared" si="286"/>
        <v>1</v>
      </c>
      <c r="BH254" s="136">
        <f t="shared" si="286"/>
        <v>1</v>
      </c>
      <c r="BI254" s="136">
        <f t="shared" si="286"/>
        <v>1</v>
      </c>
      <c r="BJ254" s="136">
        <f t="shared" si="286"/>
        <v>1</v>
      </c>
      <c r="BK254" s="136">
        <f t="shared" si="286"/>
        <v>1</v>
      </c>
    </row>
    <row r="255" spans="1:63" s="100" customFormat="1" ht="16" customHeight="1">
      <c r="A255" s="135" t="s">
        <v>625</v>
      </c>
      <c r="B255" s="16"/>
      <c r="C255" s="16" t="s">
        <v>649</v>
      </c>
      <c r="D255" s="16"/>
      <c r="E255" s="16"/>
      <c r="F255" s="16"/>
      <c r="G255" s="16"/>
      <c r="H255" s="16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16"/>
      <c r="T255" s="16"/>
      <c r="U255" s="16"/>
      <c r="V255" s="16"/>
      <c r="W255" s="16"/>
      <c r="X255" s="16"/>
      <c r="Y255" s="16"/>
      <c r="Z255" s="16">
        <f t="shared" si="270"/>
        <v>0</v>
      </c>
      <c r="AA255" s="16"/>
      <c r="AB255" s="16">
        <v>5</v>
      </c>
      <c r="AC255" s="16"/>
      <c r="AD255" s="16">
        <f t="shared" si="271"/>
        <v>5</v>
      </c>
      <c r="AE255" s="16"/>
      <c r="AF255" s="16"/>
      <c r="AG255" s="16"/>
      <c r="AH255" s="16">
        <v>5</v>
      </c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>
        <f t="shared" si="272"/>
        <v>5</v>
      </c>
      <c r="AU255" s="136">
        <f t="shared" si="273"/>
        <v>0</v>
      </c>
      <c r="AV255" s="5"/>
      <c r="AW255" s="136">
        <f t="shared" si="274"/>
        <v>0</v>
      </c>
      <c r="AX255" s="136">
        <f t="shared" ref="AX255:BE255" si="287">AW255+AF255-J255</f>
        <v>0</v>
      </c>
      <c r="AY255" s="136">
        <f t="shared" si="287"/>
        <v>0</v>
      </c>
      <c r="AZ255" s="136">
        <f t="shared" si="287"/>
        <v>5</v>
      </c>
      <c r="BA255" s="136">
        <f t="shared" si="287"/>
        <v>5</v>
      </c>
      <c r="BB255" s="136">
        <f t="shared" si="287"/>
        <v>5</v>
      </c>
      <c r="BC255" s="136">
        <f t="shared" si="287"/>
        <v>5</v>
      </c>
      <c r="BD255" s="136">
        <f t="shared" si="287"/>
        <v>5</v>
      </c>
      <c r="BE255" s="136">
        <f t="shared" si="287"/>
        <v>5</v>
      </c>
      <c r="BF255" s="136">
        <f t="shared" ref="BF255:BK255" si="288">BE255+AN255-R255</f>
        <v>5</v>
      </c>
      <c r="BG255" s="136">
        <f t="shared" si="288"/>
        <v>5</v>
      </c>
      <c r="BH255" s="136">
        <f t="shared" si="288"/>
        <v>5</v>
      </c>
      <c r="BI255" s="136">
        <f t="shared" si="288"/>
        <v>5</v>
      </c>
      <c r="BJ255" s="136">
        <f t="shared" si="288"/>
        <v>5</v>
      </c>
      <c r="BK255" s="136">
        <f t="shared" si="288"/>
        <v>5</v>
      </c>
    </row>
    <row r="256" spans="1:63" s="100" customFormat="1" ht="16" customHeight="1">
      <c r="A256" s="135" t="s">
        <v>625</v>
      </c>
      <c r="B256" s="16"/>
      <c r="C256" s="16" t="s">
        <v>530</v>
      </c>
      <c r="D256" s="16"/>
      <c r="E256" s="16"/>
      <c r="F256" s="16"/>
      <c r="G256" s="16"/>
      <c r="H256" s="16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16"/>
      <c r="T256" s="16"/>
      <c r="U256" s="16"/>
      <c r="V256" s="16"/>
      <c r="W256" s="16"/>
      <c r="X256" s="16"/>
      <c r="Y256" s="16"/>
      <c r="Z256" s="16">
        <f t="shared" si="270"/>
        <v>0</v>
      </c>
      <c r="AA256" s="16"/>
      <c r="AB256" s="16">
        <v>3</v>
      </c>
      <c r="AC256" s="16"/>
      <c r="AD256" s="16">
        <f t="shared" si="271"/>
        <v>3</v>
      </c>
      <c r="AE256" s="16"/>
      <c r="AF256" s="16"/>
      <c r="AG256" s="16"/>
      <c r="AH256" s="16">
        <v>3</v>
      </c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>
        <f t="shared" si="272"/>
        <v>3</v>
      </c>
      <c r="AU256" s="136">
        <f t="shared" si="273"/>
        <v>0</v>
      </c>
      <c r="AV256" s="5"/>
      <c r="AW256" s="136">
        <f t="shared" si="274"/>
        <v>0</v>
      </c>
      <c r="AX256" s="136">
        <f t="shared" ref="AX256:BE256" si="289">AW256+AF256-J256</f>
        <v>0</v>
      </c>
      <c r="AY256" s="136">
        <f t="shared" si="289"/>
        <v>0</v>
      </c>
      <c r="AZ256" s="136">
        <f t="shared" si="289"/>
        <v>3</v>
      </c>
      <c r="BA256" s="136">
        <f t="shared" si="289"/>
        <v>3</v>
      </c>
      <c r="BB256" s="136">
        <f t="shared" si="289"/>
        <v>3</v>
      </c>
      <c r="BC256" s="136">
        <f t="shared" si="289"/>
        <v>3</v>
      </c>
      <c r="BD256" s="136">
        <f t="shared" si="289"/>
        <v>3</v>
      </c>
      <c r="BE256" s="136">
        <f t="shared" si="289"/>
        <v>3</v>
      </c>
      <c r="BF256" s="136">
        <f t="shared" ref="BF256:BK256" si="290">BE256+AN256-R256</f>
        <v>3</v>
      </c>
      <c r="BG256" s="136">
        <f t="shared" si="290"/>
        <v>3</v>
      </c>
      <c r="BH256" s="136">
        <f t="shared" si="290"/>
        <v>3</v>
      </c>
      <c r="BI256" s="136">
        <f t="shared" si="290"/>
        <v>3</v>
      </c>
      <c r="BJ256" s="136">
        <f t="shared" si="290"/>
        <v>3</v>
      </c>
      <c r="BK256" s="136">
        <f t="shared" si="290"/>
        <v>3</v>
      </c>
    </row>
    <row r="257" spans="1:63" s="100" customFormat="1" ht="16" customHeight="1">
      <c r="A257" s="135" t="s">
        <v>625</v>
      </c>
      <c r="B257" s="16"/>
      <c r="C257" s="16" t="s">
        <v>650</v>
      </c>
      <c r="D257" s="16"/>
      <c r="E257" s="16"/>
      <c r="F257" s="16"/>
      <c r="G257" s="16"/>
      <c r="H257" s="16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16"/>
      <c r="T257" s="16"/>
      <c r="U257" s="16"/>
      <c r="V257" s="16"/>
      <c r="W257" s="16"/>
      <c r="X257" s="16"/>
      <c r="Y257" s="16"/>
      <c r="Z257" s="16">
        <f t="shared" ref="Z257:Z262" si="291">X257-Y257+AC257</f>
        <v>0</v>
      </c>
      <c r="AA257" s="16"/>
      <c r="AB257" s="16">
        <v>2</v>
      </c>
      <c r="AC257" s="16"/>
      <c r="AD257" s="16">
        <f t="shared" ref="AD257:AD263" si="292">AB257-Y257+AA257+AC257</f>
        <v>2</v>
      </c>
      <c r="AE257" s="16"/>
      <c r="AF257" s="16"/>
      <c r="AG257" s="16"/>
      <c r="AH257" s="16">
        <v>2</v>
      </c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>
        <f t="shared" ref="AT257:AT262" si="293">SUM(AE257:AS257)</f>
        <v>2</v>
      </c>
      <c r="AU257" s="136">
        <f t="shared" ref="AU257:AU263" si="294">AD257-AT257</f>
        <v>0</v>
      </c>
      <c r="AV257" s="5"/>
      <c r="AW257" s="136">
        <f t="shared" ref="AW257:AW263" si="295">AE257+Y257-I257</f>
        <v>0</v>
      </c>
      <c r="AX257" s="136">
        <f t="shared" ref="AX257:AX262" si="296">AW257+AF257-J257</f>
        <v>0</v>
      </c>
      <c r="AY257" s="136">
        <f t="shared" ref="AY257:AY262" si="297">AX257+AG257-K257</f>
        <v>0</v>
      </c>
      <c r="AZ257" s="136">
        <f t="shared" ref="AZ257:AZ262" si="298">AY257+AH257-L257</f>
        <v>2</v>
      </c>
      <c r="BA257" s="136">
        <f t="shared" ref="BA257:BA262" si="299">AZ257+AI257-M257</f>
        <v>2</v>
      </c>
      <c r="BB257" s="136">
        <f t="shared" ref="BB257:BB262" si="300">BA257+AJ257-N257</f>
        <v>2</v>
      </c>
      <c r="BC257" s="136">
        <f t="shared" ref="BC257:BC262" si="301">BB257+AK257-O257</f>
        <v>2</v>
      </c>
      <c r="BD257" s="136">
        <f t="shared" ref="BD257:BD262" si="302">BC257+AL257-P257</f>
        <v>2</v>
      </c>
      <c r="BE257" s="136"/>
      <c r="BF257" s="136"/>
      <c r="BG257" s="136"/>
      <c r="BH257" s="136"/>
      <c r="BI257" s="136"/>
      <c r="BJ257" s="136"/>
      <c r="BK257" s="136"/>
    </row>
    <row r="258" spans="1:63" s="100" customFormat="1" ht="16" customHeight="1">
      <c r="A258" s="135" t="s">
        <v>625</v>
      </c>
      <c r="B258" s="16"/>
      <c r="C258" s="16" t="s">
        <v>651</v>
      </c>
      <c r="D258" s="16"/>
      <c r="E258" s="16"/>
      <c r="F258" s="16"/>
      <c r="G258" s="16"/>
      <c r="H258" s="16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16"/>
      <c r="T258" s="16"/>
      <c r="U258" s="16"/>
      <c r="V258" s="16"/>
      <c r="W258" s="16"/>
      <c r="X258" s="16"/>
      <c r="Y258" s="16"/>
      <c r="Z258" s="16">
        <f t="shared" si="291"/>
        <v>0</v>
      </c>
      <c r="AA258" s="16"/>
      <c r="AB258" s="16">
        <v>2</v>
      </c>
      <c r="AC258" s="16"/>
      <c r="AD258" s="16">
        <f t="shared" si="292"/>
        <v>2</v>
      </c>
      <c r="AE258" s="16"/>
      <c r="AF258" s="16"/>
      <c r="AG258" s="16"/>
      <c r="AH258" s="16">
        <v>2</v>
      </c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>
        <f t="shared" si="293"/>
        <v>2</v>
      </c>
      <c r="AU258" s="136">
        <f t="shared" si="294"/>
        <v>0</v>
      </c>
      <c r="AV258" s="5"/>
      <c r="AW258" s="136">
        <f t="shared" si="295"/>
        <v>0</v>
      </c>
      <c r="AX258" s="136">
        <f t="shared" si="296"/>
        <v>0</v>
      </c>
      <c r="AY258" s="136">
        <f t="shared" si="297"/>
        <v>0</v>
      </c>
      <c r="AZ258" s="136">
        <f t="shared" si="298"/>
        <v>2</v>
      </c>
      <c r="BA258" s="136">
        <f t="shared" si="299"/>
        <v>2</v>
      </c>
      <c r="BB258" s="136">
        <f t="shared" si="300"/>
        <v>2</v>
      </c>
      <c r="BC258" s="136">
        <f t="shared" si="301"/>
        <v>2</v>
      </c>
      <c r="BD258" s="136">
        <f t="shared" si="302"/>
        <v>2</v>
      </c>
      <c r="BE258" s="136"/>
      <c r="BF258" s="136"/>
      <c r="BG258" s="136"/>
      <c r="BH258" s="136"/>
      <c r="BI258" s="136"/>
      <c r="BJ258" s="136"/>
      <c r="BK258" s="136"/>
    </row>
    <row r="259" spans="1:63" s="100" customFormat="1" ht="16" customHeight="1">
      <c r="A259" s="135" t="s">
        <v>625</v>
      </c>
      <c r="B259" s="16" t="s">
        <v>652</v>
      </c>
      <c r="C259" s="16" t="s">
        <v>653</v>
      </c>
      <c r="D259" s="16"/>
      <c r="E259" s="16"/>
      <c r="F259" s="16"/>
      <c r="G259" s="16"/>
      <c r="H259" s="16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16"/>
      <c r="T259" s="16"/>
      <c r="U259" s="16"/>
      <c r="V259" s="16"/>
      <c r="W259" s="16"/>
      <c r="X259" s="16"/>
      <c r="Y259" s="16"/>
      <c r="Z259" s="16">
        <f t="shared" si="291"/>
        <v>0</v>
      </c>
      <c r="AA259" s="16"/>
      <c r="AB259" s="16">
        <v>10</v>
      </c>
      <c r="AC259" s="16"/>
      <c r="AD259" s="16">
        <f t="shared" si="292"/>
        <v>10</v>
      </c>
      <c r="AE259" s="16"/>
      <c r="AF259" s="16"/>
      <c r="AG259" s="16">
        <v>10</v>
      </c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>
        <f t="shared" si="293"/>
        <v>10</v>
      </c>
      <c r="AU259" s="136">
        <f t="shared" si="294"/>
        <v>0</v>
      </c>
      <c r="AV259" s="5"/>
      <c r="AW259" s="136">
        <f t="shared" si="295"/>
        <v>0</v>
      </c>
      <c r="AX259" s="136">
        <f t="shared" si="296"/>
        <v>0</v>
      </c>
      <c r="AY259" s="136">
        <f t="shared" si="297"/>
        <v>10</v>
      </c>
      <c r="AZ259" s="136">
        <f t="shared" si="298"/>
        <v>10</v>
      </c>
      <c r="BA259" s="136">
        <f t="shared" si="299"/>
        <v>10</v>
      </c>
      <c r="BB259" s="136">
        <f t="shared" si="300"/>
        <v>10</v>
      </c>
      <c r="BC259" s="136">
        <f t="shared" si="301"/>
        <v>10</v>
      </c>
      <c r="BD259" s="136">
        <f t="shared" si="302"/>
        <v>10</v>
      </c>
      <c r="BE259" s="136"/>
      <c r="BF259" s="136"/>
      <c r="BG259" s="136"/>
      <c r="BH259" s="136"/>
      <c r="BI259" s="136"/>
      <c r="BJ259" s="136"/>
      <c r="BK259" s="136"/>
    </row>
    <row r="260" spans="1:63" s="100" customFormat="1" ht="16" customHeight="1">
      <c r="A260" s="135" t="s">
        <v>625</v>
      </c>
      <c r="B260" s="16" t="s">
        <v>654</v>
      </c>
      <c r="C260" s="16" t="s">
        <v>655</v>
      </c>
      <c r="D260" s="16"/>
      <c r="E260" s="16"/>
      <c r="F260" s="16"/>
      <c r="G260" s="16"/>
      <c r="H260" s="16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16"/>
      <c r="T260" s="16"/>
      <c r="U260" s="16"/>
      <c r="V260" s="16"/>
      <c r="W260" s="16"/>
      <c r="X260" s="16"/>
      <c r="Y260" s="16"/>
      <c r="Z260" s="16">
        <f t="shared" si="291"/>
        <v>0</v>
      </c>
      <c r="AA260" s="16"/>
      <c r="AB260" s="16">
        <v>10</v>
      </c>
      <c r="AC260" s="16"/>
      <c r="AD260" s="16">
        <f t="shared" si="292"/>
        <v>10</v>
      </c>
      <c r="AE260" s="16"/>
      <c r="AF260" s="16"/>
      <c r="AG260" s="16">
        <v>10</v>
      </c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>
        <f t="shared" si="293"/>
        <v>10</v>
      </c>
      <c r="AU260" s="136">
        <f t="shared" si="294"/>
        <v>0</v>
      </c>
      <c r="AV260" s="5"/>
      <c r="AW260" s="136">
        <f t="shared" si="295"/>
        <v>0</v>
      </c>
      <c r="AX260" s="136">
        <f t="shared" si="296"/>
        <v>0</v>
      </c>
      <c r="AY260" s="136">
        <f t="shared" si="297"/>
        <v>10</v>
      </c>
      <c r="AZ260" s="136">
        <f t="shared" si="298"/>
        <v>10</v>
      </c>
      <c r="BA260" s="136">
        <f t="shared" si="299"/>
        <v>10</v>
      </c>
      <c r="BB260" s="136">
        <f t="shared" si="300"/>
        <v>10</v>
      </c>
      <c r="BC260" s="136">
        <f t="shared" si="301"/>
        <v>10</v>
      </c>
      <c r="BD260" s="136">
        <f t="shared" si="302"/>
        <v>10</v>
      </c>
      <c r="BE260" s="136"/>
      <c r="BF260" s="136"/>
      <c r="BG260" s="136"/>
      <c r="BH260" s="136"/>
      <c r="BI260" s="136"/>
      <c r="BJ260" s="136"/>
      <c r="BK260" s="136"/>
    </row>
    <row r="261" spans="1:63" s="100" customFormat="1" ht="16" customHeight="1">
      <c r="A261" s="135" t="s">
        <v>625</v>
      </c>
      <c r="B261" s="16" t="s">
        <v>656</v>
      </c>
      <c r="C261" s="16" t="s">
        <v>657</v>
      </c>
      <c r="D261" s="16"/>
      <c r="E261" s="16"/>
      <c r="F261" s="16"/>
      <c r="G261" s="16"/>
      <c r="H261" s="16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16"/>
      <c r="T261" s="16"/>
      <c r="U261" s="16"/>
      <c r="V261" s="16"/>
      <c r="W261" s="16"/>
      <c r="X261" s="16"/>
      <c r="Y261" s="16"/>
      <c r="Z261" s="16">
        <f t="shared" si="291"/>
        <v>0</v>
      </c>
      <c r="AA261" s="16"/>
      <c r="AB261" s="16">
        <v>1</v>
      </c>
      <c r="AC261" s="16"/>
      <c r="AD261" s="16">
        <f t="shared" si="292"/>
        <v>1</v>
      </c>
      <c r="AE261" s="16"/>
      <c r="AF261" s="16"/>
      <c r="AG261" s="16">
        <v>1</v>
      </c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>
        <f t="shared" si="293"/>
        <v>1</v>
      </c>
      <c r="AU261" s="136">
        <f t="shared" si="294"/>
        <v>0</v>
      </c>
      <c r="AV261" s="5"/>
      <c r="AW261" s="136">
        <f t="shared" si="295"/>
        <v>0</v>
      </c>
      <c r="AX261" s="136">
        <f t="shared" si="296"/>
        <v>0</v>
      </c>
      <c r="AY261" s="136">
        <f t="shared" si="297"/>
        <v>1</v>
      </c>
      <c r="AZ261" s="136">
        <f t="shared" si="298"/>
        <v>1</v>
      </c>
      <c r="BA261" s="136">
        <f t="shared" si="299"/>
        <v>1</v>
      </c>
      <c r="BB261" s="136">
        <f t="shared" si="300"/>
        <v>1</v>
      </c>
      <c r="BC261" s="136">
        <f t="shared" si="301"/>
        <v>1</v>
      </c>
      <c r="BD261" s="136">
        <f t="shared" si="302"/>
        <v>1</v>
      </c>
      <c r="BE261" s="136"/>
      <c r="BF261" s="136"/>
      <c r="BG261" s="136"/>
      <c r="BH261" s="136"/>
      <c r="BI261" s="136"/>
      <c r="BJ261" s="136"/>
      <c r="BK261" s="136"/>
    </row>
    <row r="262" spans="1:63" s="100" customFormat="1" ht="16" customHeight="1">
      <c r="A262" s="135" t="s">
        <v>625</v>
      </c>
      <c r="B262" s="16" t="s">
        <v>658</v>
      </c>
      <c r="C262" s="16" t="s">
        <v>659</v>
      </c>
      <c r="D262" s="16"/>
      <c r="E262" s="16"/>
      <c r="F262" s="16"/>
      <c r="G262" s="16"/>
      <c r="H262" s="16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16"/>
      <c r="T262" s="16"/>
      <c r="U262" s="16"/>
      <c r="V262" s="16"/>
      <c r="W262" s="16"/>
      <c r="X262" s="16"/>
      <c r="Y262" s="16"/>
      <c r="Z262" s="16">
        <f t="shared" si="291"/>
        <v>0</v>
      </c>
      <c r="AA262" s="16"/>
      <c r="AB262" s="16">
        <v>1</v>
      </c>
      <c r="AC262" s="16"/>
      <c r="AD262" s="16">
        <f t="shared" si="292"/>
        <v>1</v>
      </c>
      <c r="AE262" s="16"/>
      <c r="AF262" s="16"/>
      <c r="AG262" s="16">
        <v>1</v>
      </c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>
        <f t="shared" si="293"/>
        <v>1</v>
      </c>
      <c r="AU262" s="136">
        <f t="shared" si="294"/>
        <v>0</v>
      </c>
      <c r="AV262" s="5"/>
      <c r="AW262" s="136">
        <f t="shared" si="295"/>
        <v>0</v>
      </c>
      <c r="AX262" s="136">
        <f t="shared" si="296"/>
        <v>0</v>
      </c>
      <c r="AY262" s="136">
        <f t="shared" si="297"/>
        <v>1</v>
      </c>
      <c r="AZ262" s="136">
        <f t="shared" si="298"/>
        <v>1</v>
      </c>
      <c r="BA262" s="136">
        <f t="shared" si="299"/>
        <v>1</v>
      </c>
      <c r="BB262" s="136">
        <f t="shared" si="300"/>
        <v>1</v>
      </c>
      <c r="BC262" s="136">
        <f t="shared" si="301"/>
        <v>1</v>
      </c>
      <c r="BD262" s="136">
        <f t="shared" si="302"/>
        <v>1</v>
      </c>
      <c r="BE262" s="136"/>
      <c r="BF262" s="136"/>
      <c r="BG262" s="136"/>
      <c r="BH262" s="136"/>
      <c r="BI262" s="136"/>
      <c r="BJ262" s="136"/>
      <c r="BK262" s="136"/>
    </row>
    <row r="263" spans="1:63" s="100" customFormat="1" ht="16" hidden="1" customHeight="1">
      <c r="A263" s="137" t="s">
        <v>30</v>
      </c>
      <c r="B263" s="20" t="s">
        <v>660</v>
      </c>
      <c r="C263" s="20" t="s">
        <v>661</v>
      </c>
      <c r="D263" s="20" t="s">
        <v>529</v>
      </c>
      <c r="E263" s="20" t="s">
        <v>662</v>
      </c>
      <c r="F263" s="20" t="s">
        <v>36</v>
      </c>
      <c r="G263" s="20" t="s">
        <v>37</v>
      </c>
      <c r="H263" s="20" t="s">
        <v>38</v>
      </c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138"/>
      <c r="Y263" s="138"/>
      <c r="Z263" s="139">
        <f t="shared" ref="Z263:Z268" si="303">X263-Y263+AC263</f>
        <v>0</v>
      </c>
      <c r="AA263" s="20"/>
      <c r="AB263" s="20"/>
      <c r="AC263" s="20"/>
      <c r="AD263" s="139">
        <f t="shared" si="292"/>
        <v>0</v>
      </c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0"/>
      <c r="AQ263" s="20"/>
      <c r="AR263" s="20"/>
      <c r="AS263" s="20"/>
      <c r="AT263" s="20">
        <f>SUM(AE263:AR263)</f>
        <v>0</v>
      </c>
      <c r="AU263" s="20">
        <f t="shared" si="294"/>
        <v>0</v>
      </c>
      <c r="AV263" s="5"/>
      <c r="AW263" s="21">
        <f t="shared" si="295"/>
        <v>0</v>
      </c>
      <c r="AX263" s="140">
        <f t="shared" ref="AX263:BG263" si="304">AW263+AF263-J263</f>
        <v>0</v>
      </c>
      <c r="AY263" s="140">
        <f t="shared" si="304"/>
        <v>0</v>
      </c>
      <c r="AZ263" s="140">
        <f t="shared" si="304"/>
        <v>0</v>
      </c>
      <c r="BA263" s="140">
        <f t="shared" si="304"/>
        <v>0</v>
      </c>
      <c r="BB263" s="140">
        <f t="shared" si="304"/>
        <v>0</v>
      </c>
      <c r="BC263" s="140">
        <f t="shared" si="304"/>
        <v>0</v>
      </c>
      <c r="BD263" s="140">
        <f t="shared" si="304"/>
        <v>0</v>
      </c>
      <c r="BE263" s="140">
        <f t="shared" si="304"/>
        <v>0</v>
      </c>
      <c r="BF263" s="140">
        <f t="shared" si="304"/>
        <v>0</v>
      </c>
      <c r="BG263" s="140">
        <f t="shared" si="304"/>
        <v>0</v>
      </c>
      <c r="BH263" s="140">
        <f t="shared" ref="BH263:BH326" si="305">AP263+AJ263-T263</f>
        <v>0</v>
      </c>
      <c r="BI263" s="140">
        <f t="shared" ref="BI263:BI326" si="306">AQ263+AK263-U263</f>
        <v>0</v>
      </c>
      <c r="BJ263" s="140">
        <f t="shared" ref="BJ263:BJ326" si="307">AR263+AL263-V263</f>
        <v>0</v>
      </c>
      <c r="BK263" s="140">
        <f t="shared" ref="BK263:BK326" si="308">AS263+AM263-W263</f>
        <v>0</v>
      </c>
    </row>
    <row r="264" spans="1:63" s="100" customFormat="1" ht="16" hidden="1" customHeight="1">
      <c r="A264" s="137" t="s">
        <v>30</v>
      </c>
      <c r="B264" s="20" t="s">
        <v>663</v>
      </c>
      <c r="C264" s="20" t="s">
        <v>664</v>
      </c>
      <c r="D264" s="20" t="s">
        <v>529</v>
      </c>
      <c r="E264" s="20" t="s">
        <v>665</v>
      </c>
      <c r="F264" s="20" t="s">
        <v>207</v>
      </c>
      <c r="G264" s="20" t="s">
        <v>37</v>
      </c>
      <c r="H264" s="20" t="s">
        <v>45</v>
      </c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138"/>
      <c r="Y264" s="138"/>
      <c r="Z264" s="139">
        <f t="shared" si="303"/>
        <v>0</v>
      </c>
      <c r="AA264" s="20"/>
      <c r="AB264" s="20"/>
      <c r="AC264" s="20"/>
      <c r="AD264" s="139">
        <f t="shared" ref="AD264:AD295" si="309">AB264-Y264+AA264+AC264</f>
        <v>0</v>
      </c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0"/>
      <c r="AQ264" s="20"/>
      <c r="AR264" s="20"/>
      <c r="AS264" s="20"/>
      <c r="AT264" s="20">
        <f t="shared" ref="AT264:AT295" si="310">SUM(AE264:AR264)</f>
        <v>0</v>
      </c>
      <c r="AU264" s="20">
        <f t="shared" ref="AU264:AU295" si="311">AD264-AT264</f>
        <v>0</v>
      </c>
      <c r="AV264" s="5"/>
      <c r="AW264" s="21">
        <f t="shared" ref="AW264:AW295" si="312">AE264+Y264-I264</f>
        <v>0</v>
      </c>
      <c r="AX264" s="140">
        <f t="shared" ref="AX264:BG264" si="313">AW264+AF264-J264</f>
        <v>0</v>
      </c>
      <c r="AY264" s="140">
        <f t="shared" si="313"/>
        <v>0</v>
      </c>
      <c r="AZ264" s="140">
        <f t="shared" si="313"/>
        <v>0</v>
      </c>
      <c r="BA264" s="140">
        <f t="shared" si="313"/>
        <v>0</v>
      </c>
      <c r="BB264" s="140">
        <f t="shared" si="313"/>
        <v>0</v>
      </c>
      <c r="BC264" s="140">
        <f t="shared" si="313"/>
        <v>0</v>
      </c>
      <c r="BD264" s="140">
        <f t="shared" si="313"/>
        <v>0</v>
      </c>
      <c r="BE264" s="140">
        <f t="shared" si="313"/>
        <v>0</v>
      </c>
      <c r="BF264" s="140">
        <f t="shared" si="313"/>
        <v>0</v>
      </c>
      <c r="BG264" s="140">
        <f t="shared" si="313"/>
        <v>0</v>
      </c>
      <c r="BH264" s="140">
        <f t="shared" si="305"/>
        <v>0</v>
      </c>
      <c r="BI264" s="140">
        <f t="shared" si="306"/>
        <v>0</v>
      </c>
      <c r="BJ264" s="140">
        <f t="shared" si="307"/>
        <v>0</v>
      </c>
      <c r="BK264" s="140">
        <f t="shared" si="308"/>
        <v>0</v>
      </c>
    </row>
    <row r="265" spans="1:63" s="100" customFormat="1" ht="16" hidden="1" customHeight="1">
      <c r="A265" s="137" t="s">
        <v>30</v>
      </c>
      <c r="B265" s="20" t="s">
        <v>666</v>
      </c>
      <c r="C265" s="20" t="s">
        <v>667</v>
      </c>
      <c r="D265" s="20" t="s">
        <v>529</v>
      </c>
      <c r="E265" s="20" t="s">
        <v>668</v>
      </c>
      <c r="F265" s="20" t="s">
        <v>273</v>
      </c>
      <c r="G265" s="20" t="s">
        <v>58</v>
      </c>
      <c r="H265" s="20" t="s">
        <v>45</v>
      </c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138"/>
      <c r="Y265" s="138"/>
      <c r="Z265" s="139">
        <f t="shared" si="303"/>
        <v>0</v>
      </c>
      <c r="AA265" s="20"/>
      <c r="AB265" s="20"/>
      <c r="AC265" s="20"/>
      <c r="AD265" s="139">
        <f t="shared" si="309"/>
        <v>0</v>
      </c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0"/>
      <c r="AQ265" s="20"/>
      <c r="AR265" s="20"/>
      <c r="AS265" s="20"/>
      <c r="AT265" s="20">
        <f t="shared" si="310"/>
        <v>0</v>
      </c>
      <c r="AU265" s="20">
        <f t="shared" si="311"/>
        <v>0</v>
      </c>
      <c r="AV265" s="5"/>
      <c r="AW265" s="21">
        <f t="shared" si="312"/>
        <v>0</v>
      </c>
      <c r="AX265" s="140">
        <f t="shared" ref="AX265:BG265" si="314">AW265+AF265-J265</f>
        <v>0</v>
      </c>
      <c r="AY265" s="140">
        <f t="shared" si="314"/>
        <v>0</v>
      </c>
      <c r="AZ265" s="140">
        <f t="shared" si="314"/>
        <v>0</v>
      </c>
      <c r="BA265" s="140">
        <f t="shared" si="314"/>
        <v>0</v>
      </c>
      <c r="BB265" s="140">
        <f t="shared" si="314"/>
        <v>0</v>
      </c>
      <c r="BC265" s="140">
        <f t="shared" si="314"/>
        <v>0</v>
      </c>
      <c r="BD265" s="140">
        <f t="shared" si="314"/>
        <v>0</v>
      </c>
      <c r="BE265" s="140">
        <f t="shared" si="314"/>
        <v>0</v>
      </c>
      <c r="BF265" s="140">
        <f t="shared" si="314"/>
        <v>0</v>
      </c>
      <c r="BG265" s="140">
        <f t="shared" si="314"/>
        <v>0</v>
      </c>
      <c r="BH265" s="140">
        <f t="shared" si="305"/>
        <v>0</v>
      </c>
      <c r="BI265" s="140">
        <f t="shared" si="306"/>
        <v>0</v>
      </c>
      <c r="BJ265" s="140">
        <f t="shared" si="307"/>
        <v>0</v>
      </c>
      <c r="BK265" s="140">
        <f t="shared" si="308"/>
        <v>0</v>
      </c>
    </row>
    <row r="266" spans="1:63" s="100" customFormat="1" ht="16" hidden="1" customHeight="1">
      <c r="A266" s="137" t="s">
        <v>30</v>
      </c>
      <c r="B266" s="20" t="s">
        <v>669</v>
      </c>
      <c r="C266" s="20" t="s">
        <v>670</v>
      </c>
      <c r="D266" s="20" t="s">
        <v>529</v>
      </c>
      <c r="E266" s="20" t="s">
        <v>671</v>
      </c>
      <c r="F266" s="20" t="s">
        <v>273</v>
      </c>
      <c r="G266" s="20" t="s">
        <v>58</v>
      </c>
      <c r="H266" s="20" t="s">
        <v>45</v>
      </c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138"/>
      <c r="Y266" s="138"/>
      <c r="Z266" s="139">
        <f t="shared" si="303"/>
        <v>0</v>
      </c>
      <c r="AA266" s="20"/>
      <c r="AB266" s="20"/>
      <c r="AC266" s="20"/>
      <c r="AD266" s="139">
        <f t="shared" si="309"/>
        <v>0</v>
      </c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0"/>
      <c r="AQ266" s="20"/>
      <c r="AR266" s="20"/>
      <c r="AS266" s="20"/>
      <c r="AT266" s="20">
        <f t="shared" si="310"/>
        <v>0</v>
      </c>
      <c r="AU266" s="20">
        <f t="shared" si="311"/>
        <v>0</v>
      </c>
      <c r="AV266" s="5"/>
      <c r="AW266" s="21">
        <f t="shared" si="312"/>
        <v>0</v>
      </c>
      <c r="AX266" s="140">
        <f t="shared" ref="AX266:BG266" si="315">AW266+AF266-J266</f>
        <v>0</v>
      </c>
      <c r="AY266" s="140">
        <f t="shared" si="315"/>
        <v>0</v>
      </c>
      <c r="AZ266" s="140">
        <f t="shared" si="315"/>
        <v>0</v>
      </c>
      <c r="BA266" s="140">
        <f t="shared" si="315"/>
        <v>0</v>
      </c>
      <c r="BB266" s="140">
        <f t="shared" si="315"/>
        <v>0</v>
      </c>
      <c r="BC266" s="140">
        <f t="shared" si="315"/>
        <v>0</v>
      </c>
      <c r="BD266" s="140">
        <f t="shared" si="315"/>
        <v>0</v>
      </c>
      <c r="BE266" s="140">
        <f t="shared" si="315"/>
        <v>0</v>
      </c>
      <c r="BF266" s="140">
        <f t="shared" si="315"/>
        <v>0</v>
      </c>
      <c r="BG266" s="140">
        <f t="shared" si="315"/>
        <v>0</v>
      </c>
      <c r="BH266" s="140">
        <f t="shared" si="305"/>
        <v>0</v>
      </c>
      <c r="BI266" s="140">
        <f t="shared" si="306"/>
        <v>0</v>
      </c>
      <c r="BJ266" s="140">
        <f t="shared" si="307"/>
        <v>0</v>
      </c>
      <c r="BK266" s="140">
        <f t="shared" si="308"/>
        <v>0</v>
      </c>
    </row>
    <row r="267" spans="1:63" s="100" customFormat="1" ht="16" hidden="1" customHeight="1">
      <c r="A267" s="137" t="s">
        <v>30</v>
      </c>
      <c r="B267" s="20" t="s">
        <v>672</v>
      </c>
      <c r="C267" s="20" t="s">
        <v>673</v>
      </c>
      <c r="D267" s="20" t="s">
        <v>529</v>
      </c>
      <c r="E267" s="20" t="s">
        <v>674</v>
      </c>
      <c r="F267" s="20" t="s">
        <v>36</v>
      </c>
      <c r="G267" s="20" t="s">
        <v>37</v>
      </c>
      <c r="H267" s="20" t="s">
        <v>38</v>
      </c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138"/>
      <c r="Y267" s="138"/>
      <c r="Z267" s="139">
        <f t="shared" si="303"/>
        <v>0</v>
      </c>
      <c r="AA267" s="20"/>
      <c r="AB267" s="20"/>
      <c r="AC267" s="20"/>
      <c r="AD267" s="139">
        <f t="shared" si="309"/>
        <v>0</v>
      </c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0"/>
      <c r="AQ267" s="20"/>
      <c r="AR267" s="20"/>
      <c r="AS267" s="20"/>
      <c r="AT267" s="20">
        <f t="shared" si="310"/>
        <v>0</v>
      </c>
      <c r="AU267" s="20">
        <f t="shared" si="311"/>
        <v>0</v>
      </c>
      <c r="AV267" s="5"/>
      <c r="AW267" s="21">
        <f t="shared" si="312"/>
        <v>0</v>
      </c>
      <c r="AX267" s="140">
        <f t="shared" ref="AX267:AX330" si="316">AW267+AF267-J267</f>
        <v>0</v>
      </c>
      <c r="AY267" s="140">
        <f t="shared" ref="AY267:AY330" si="317">AX267+AG267-K267</f>
        <v>0</v>
      </c>
      <c r="AZ267" s="140">
        <f t="shared" ref="AZ267:AZ330" si="318">AY267+AH267-L267</f>
        <v>0</v>
      </c>
      <c r="BA267" s="140">
        <f t="shared" ref="BA267:BA330" si="319">AZ267+AI267-M267</f>
        <v>0</v>
      </c>
      <c r="BB267" s="140">
        <f t="shared" ref="BB267:BB330" si="320">BA267+AJ267-N267</f>
        <v>0</v>
      </c>
      <c r="BC267" s="140">
        <f t="shared" ref="BC267:BC330" si="321">BB267+AK267-O267</f>
        <v>0</v>
      </c>
      <c r="BD267" s="140">
        <f t="shared" ref="BD267:BD330" si="322">BC267+AL267-P267</f>
        <v>0</v>
      </c>
      <c r="BE267" s="140">
        <f t="shared" ref="BE267:BE330" si="323">BD267+AM267-Q267</f>
        <v>0</v>
      </c>
      <c r="BF267" s="140">
        <f t="shared" ref="BF267:BF330" si="324">BE267+AN267-R267</f>
        <v>0</v>
      </c>
      <c r="BG267" s="140">
        <f t="shared" ref="BG267:BG330" si="325">BF267+AO267-S267</f>
        <v>0</v>
      </c>
      <c r="BH267" s="140">
        <f t="shared" si="305"/>
        <v>0</v>
      </c>
      <c r="BI267" s="140">
        <f t="shared" si="306"/>
        <v>0</v>
      </c>
      <c r="BJ267" s="140">
        <f t="shared" si="307"/>
        <v>0</v>
      </c>
      <c r="BK267" s="140">
        <f t="shared" si="308"/>
        <v>0</v>
      </c>
    </row>
    <row r="268" spans="1:63" s="100" customFormat="1" ht="16" hidden="1" customHeight="1">
      <c r="A268" s="137" t="s">
        <v>30</v>
      </c>
      <c r="B268" s="20" t="s">
        <v>675</v>
      </c>
      <c r="C268" s="20" t="s">
        <v>676</v>
      </c>
      <c r="D268" s="20" t="s">
        <v>529</v>
      </c>
      <c r="E268" s="20" t="s">
        <v>677</v>
      </c>
      <c r="F268" s="20" t="s">
        <v>266</v>
      </c>
      <c r="G268" s="20" t="s">
        <v>58</v>
      </c>
      <c r="H268" s="20" t="s">
        <v>45</v>
      </c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138"/>
      <c r="Y268" s="138"/>
      <c r="Z268" s="139">
        <f t="shared" si="303"/>
        <v>0</v>
      </c>
      <c r="AA268" s="20"/>
      <c r="AB268" s="20"/>
      <c r="AC268" s="20"/>
      <c r="AD268" s="139">
        <f t="shared" si="309"/>
        <v>0</v>
      </c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0"/>
      <c r="AQ268" s="20"/>
      <c r="AR268" s="20"/>
      <c r="AS268" s="20"/>
      <c r="AT268" s="20">
        <f t="shared" si="310"/>
        <v>0</v>
      </c>
      <c r="AU268" s="20">
        <f t="shared" si="311"/>
        <v>0</v>
      </c>
      <c r="AV268" s="5"/>
      <c r="AW268" s="21">
        <f t="shared" si="312"/>
        <v>0</v>
      </c>
      <c r="AX268" s="140">
        <f t="shared" si="316"/>
        <v>0</v>
      </c>
      <c r="AY268" s="140">
        <f t="shared" si="317"/>
        <v>0</v>
      </c>
      <c r="AZ268" s="140">
        <f t="shared" si="318"/>
        <v>0</v>
      </c>
      <c r="BA268" s="140">
        <f t="shared" si="319"/>
        <v>0</v>
      </c>
      <c r="BB268" s="140">
        <f t="shared" si="320"/>
        <v>0</v>
      </c>
      <c r="BC268" s="140">
        <f t="shared" si="321"/>
        <v>0</v>
      </c>
      <c r="BD268" s="140">
        <f t="shared" si="322"/>
        <v>0</v>
      </c>
      <c r="BE268" s="140">
        <f t="shared" si="323"/>
        <v>0</v>
      </c>
      <c r="BF268" s="140">
        <f t="shared" si="324"/>
        <v>0</v>
      </c>
      <c r="BG268" s="140">
        <f t="shared" si="325"/>
        <v>0</v>
      </c>
      <c r="BH268" s="140">
        <f t="shared" si="305"/>
        <v>0</v>
      </c>
      <c r="BI268" s="140">
        <f t="shared" si="306"/>
        <v>0</v>
      </c>
      <c r="BJ268" s="140">
        <f t="shared" si="307"/>
        <v>0</v>
      </c>
      <c r="BK268" s="140">
        <f t="shared" si="308"/>
        <v>0</v>
      </c>
    </row>
    <row r="269" spans="1:63" s="100" customFormat="1" ht="16" hidden="1" customHeight="1">
      <c r="A269" s="137" t="s">
        <v>30</v>
      </c>
      <c r="B269" s="20" t="s">
        <v>678</v>
      </c>
      <c r="C269" s="20" t="s">
        <v>679</v>
      </c>
      <c r="D269" s="20" t="s">
        <v>529</v>
      </c>
      <c r="E269" s="20" t="s">
        <v>680</v>
      </c>
      <c r="F269" s="20" t="s">
        <v>36</v>
      </c>
      <c r="G269" s="20" t="s">
        <v>37</v>
      </c>
      <c r="H269" s="20" t="s">
        <v>38</v>
      </c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138"/>
      <c r="Y269" s="138"/>
      <c r="Z269" s="139">
        <f t="shared" ref="Z269:Z289" si="326">X269-Y269+AC269</f>
        <v>0</v>
      </c>
      <c r="AA269" s="20"/>
      <c r="AB269" s="20"/>
      <c r="AC269" s="20"/>
      <c r="AD269" s="139">
        <f t="shared" si="309"/>
        <v>0</v>
      </c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0"/>
      <c r="AQ269" s="20"/>
      <c r="AR269" s="20"/>
      <c r="AS269" s="20"/>
      <c r="AT269" s="20">
        <f t="shared" si="310"/>
        <v>0</v>
      </c>
      <c r="AU269" s="20">
        <f t="shared" si="311"/>
        <v>0</v>
      </c>
      <c r="AV269" s="5"/>
      <c r="AW269" s="21">
        <f t="shared" si="312"/>
        <v>0</v>
      </c>
      <c r="AX269" s="140">
        <f t="shared" si="316"/>
        <v>0</v>
      </c>
      <c r="AY269" s="140">
        <f t="shared" si="317"/>
        <v>0</v>
      </c>
      <c r="AZ269" s="140">
        <f t="shared" si="318"/>
        <v>0</v>
      </c>
      <c r="BA269" s="140">
        <f t="shared" si="319"/>
        <v>0</v>
      </c>
      <c r="BB269" s="140">
        <f t="shared" si="320"/>
        <v>0</v>
      </c>
      <c r="BC269" s="140">
        <f t="shared" si="321"/>
        <v>0</v>
      </c>
      <c r="BD269" s="140">
        <f t="shared" si="322"/>
        <v>0</v>
      </c>
      <c r="BE269" s="140">
        <f t="shared" si="323"/>
        <v>0</v>
      </c>
      <c r="BF269" s="140">
        <f t="shared" si="324"/>
        <v>0</v>
      </c>
      <c r="BG269" s="140">
        <f t="shared" si="325"/>
        <v>0</v>
      </c>
      <c r="BH269" s="140">
        <f t="shared" si="305"/>
        <v>0</v>
      </c>
      <c r="BI269" s="140">
        <f t="shared" si="306"/>
        <v>0</v>
      </c>
      <c r="BJ269" s="140">
        <f t="shared" si="307"/>
        <v>0</v>
      </c>
      <c r="BK269" s="140">
        <f t="shared" si="308"/>
        <v>0</v>
      </c>
    </row>
    <row r="270" spans="1:63" s="100" customFormat="1" ht="16" hidden="1" customHeight="1">
      <c r="A270" s="137" t="s">
        <v>30</v>
      </c>
      <c r="B270" s="20" t="s">
        <v>681</v>
      </c>
      <c r="C270" s="20" t="s">
        <v>682</v>
      </c>
      <c r="D270" s="20" t="s">
        <v>529</v>
      </c>
      <c r="E270" s="20" t="s">
        <v>683</v>
      </c>
      <c r="F270" s="20" t="s">
        <v>273</v>
      </c>
      <c r="G270" s="20" t="s">
        <v>58</v>
      </c>
      <c r="H270" s="20" t="s">
        <v>45</v>
      </c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138"/>
      <c r="Y270" s="138"/>
      <c r="Z270" s="139">
        <f t="shared" si="326"/>
        <v>0</v>
      </c>
      <c r="AA270" s="20"/>
      <c r="AB270" s="20"/>
      <c r="AC270" s="20"/>
      <c r="AD270" s="139">
        <f t="shared" si="309"/>
        <v>0</v>
      </c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0"/>
      <c r="AQ270" s="20"/>
      <c r="AR270" s="20"/>
      <c r="AS270" s="20"/>
      <c r="AT270" s="20">
        <f t="shared" si="310"/>
        <v>0</v>
      </c>
      <c r="AU270" s="20">
        <f t="shared" si="311"/>
        <v>0</v>
      </c>
      <c r="AV270" s="5"/>
      <c r="AW270" s="21">
        <f t="shared" si="312"/>
        <v>0</v>
      </c>
      <c r="AX270" s="140">
        <f t="shared" si="316"/>
        <v>0</v>
      </c>
      <c r="AY270" s="140">
        <f t="shared" si="317"/>
        <v>0</v>
      </c>
      <c r="AZ270" s="140">
        <f t="shared" si="318"/>
        <v>0</v>
      </c>
      <c r="BA270" s="140">
        <f t="shared" si="319"/>
        <v>0</v>
      </c>
      <c r="BB270" s="140">
        <f t="shared" si="320"/>
        <v>0</v>
      </c>
      <c r="BC270" s="140">
        <f t="shared" si="321"/>
        <v>0</v>
      </c>
      <c r="BD270" s="140">
        <f t="shared" si="322"/>
        <v>0</v>
      </c>
      <c r="BE270" s="140">
        <f t="shared" si="323"/>
        <v>0</v>
      </c>
      <c r="BF270" s="140">
        <f t="shared" si="324"/>
        <v>0</v>
      </c>
      <c r="BG270" s="140">
        <f t="shared" si="325"/>
        <v>0</v>
      </c>
      <c r="BH270" s="140">
        <f t="shared" si="305"/>
        <v>0</v>
      </c>
      <c r="BI270" s="140">
        <f t="shared" si="306"/>
        <v>0</v>
      </c>
      <c r="BJ270" s="140">
        <f t="shared" si="307"/>
        <v>0</v>
      </c>
      <c r="BK270" s="140">
        <f t="shared" si="308"/>
        <v>0</v>
      </c>
    </row>
    <row r="271" spans="1:63" s="100" customFormat="1" ht="16" hidden="1" customHeight="1">
      <c r="A271" s="137" t="s">
        <v>30</v>
      </c>
      <c r="B271" s="21" t="s">
        <v>684</v>
      </c>
      <c r="C271" s="21" t="s">
        <v>685</v>
      </c>
      <c r="D271" s="20" t="s">
        <v>529</v>
      </c>
      <c r="E271" s="20" t="s">
        <v>686</v>
      </c>
      <c r="F271" s="20" t="s">
        <v>36</v>
      </c>
      <c r="G271" s="20" t="s">
        <v>37</v>
      </c>
      <c r="H271" s="20" t="s">
        <v>38</v>
      </c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138"/>
      <c r="Y271" s="138"/>
      <c r="Z271" s="139">
        <f t="shared" si="326"/>
        <v>0</v>
      </c>
      <c r="AA271" s="20"/>
      <c r="AB271" s="20"/>
      <c r="AC271" s="20"/>
      <c r="AD271" s="139">
        <f t="shared" si="309"/>
        <v>0</v>
      </c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0"/>
      <c r="AQ271" s="20"/>
      <c r="AR271" s="20"/>
      <c r="AS271" s="20"/>
      <c r="AT271" s="20">
        <f t="shared" si="310"/>
        <v>0</v>
      </c>
      <c r="AU271" s="20">
        <f t="shared" si="311"/>
        <v>0</v>
      </c>
      <c r="AV271" s="5"/>
      <c r="AW271" s="21">
        <f t="shared" si="312"/>
        <v>0</v>
      </c>
      <c r="AX271" s="140">
        <f t="shared" si="316"/>
        <v>0</v>
      </c>
      <c r="AY271" s="140">
        <f t="shared" si="317"/>
        <v>0</v>
      </c>
      <c r="AZ271" s="140">
        <f t="shared" si="318"/>
        <v>0</v>
      </c>
      <c r="BA271" s="140">
        <f t="shared" si="319"/>
        <v>0</v>
      </c>
      <c r="BB271" s="140">
        <f t="shared" si="320"/>
        <v>0</v>
      </c>
      <c r="BC271" s="140">
        <f t="shared" si="321"/>
        <v>0</v>
      </c>
      <c r="BD271" s="140">
        <f t="shared" si="322"/>
        <v>0</v>
      </c>
      <c r="BE271" s="140">
        <f t="shared" si="323"/>
        <v>0</v>
      </c>
      <c r="BF271" s="140">
        <f t="shared" si="324"/>
        <v>0</v>
      </c>
      <c r="BG271" s="140">
        <f t="shared" si="325"/>
        <v>0</v>
      </c>
      <c r="BH271" s="140">
        <f t="shared" si="305"/>
        <v>0</v>
      </c>
      <c r="BI271" s="140">
        <f t="shared" si="306"/>
        <v>0</v>
      </c>
      <c r="BJ271" s="140">
        <f t="shared" si="307"/>
        <v>0</v>
      </c>
      <c r="BK271" s="140">
        <f t="shared" si="308"/>
        <v>0</v>
      </c>
    </row>
    <row r="272" spans="1:63" s="100" customFormat="1" ht="16" hidden="1" customHeight="1">
      <c r="A272" s="137" t="s">
        <v>30</v>
      </c>
      <c r="B272" s="21" t="s">
        <v>687</v>
      </c>
      <c r="C272" s="21" t="s">
        <v>688</v>
      </c>
      <c r="D272" s="20" t="s">
        <v>529</v>
      </c>
      <c r="E272" s="20" t="s">
        <v>689</v>
      </c>
      <c r="F272" s="20" t="s">
        <v>207</v>
      </c>
      <c r="G272" s="20" t="s">
        <v>37</v>
      </c>
      <c r="H272" s="20" t="s">
        <v>45</v>
      </c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138"/>
      <c r="Y272" s="138"/>
      <c r="Z272" s="139">
        <f t="shared" si="326"/>
        <v>0</v>
      </c>
      <c r="AA272" s="20"/>
      <c r="AB272" s="20"/>
      <c r="AC272" s="20"/>
      <c r="AD272" s="139">
        <f t="shared" si="309"/>
        <v>0</v>
      </c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0"/>
      <c r="AQ272" s="20"/>
      <c r="AR272" s="20"/>
      <c r="AS272" s="20"/>
      <c r="AT272" s="20">
        <f t="shared" si="310"/>
        <v>0</v>
      </c>
      <c r="AU272" s="20">
        <f t="shared" si="311"/>
        <v>0</v>
      </c>
      <c r="AV272" s="5"/>
      <c r="AW272" s="21">
        <f t="shared" si="312"/>
        <v>0</v>
      </c>
      <c r="AX272" s="140">
        <f t="shared" si="316"/>
        <v>0</v>
      </c>
      <c r="AY272" s="140">
        <f t="shared" si="317"/>
        <v>0</v>
      </c>
      <c r="AZ272" s="140">
        <f t="shared" si="318"/>
        <v>0</v>
      </c>
      <c r="BA272" s="140">
        <f t="shared" si="319"/>
        <v>0</v>
      </c>
      <c r="BB272" s="140">
        <f t="shared" si="320"/>
        <v>0</v>
      </c>
      <c r="BC272" s="140">
        <f t="shared" si="321"/>
        <v>0</v>
      </c>
      <c r="BD272" s="140">
        <f t="shared" si="322"/>
        <v>0</v>
      </c>
      <c r="BE272" s="140">
        <f t="shared" si="323"/>
        <v>0</v>
      </c>
      <c r="BF272" s="140">
        <f t="shared" si="324"/>
        <v>0</v>
      </c>
      <c r="BG272" s="140">
        <f t="shared" si="325"/>
        <v>0</v>
      </c>
      <c r="BH272" s="140">
        <f t="shared" si="305"/>
        <v>0</v>
      </c>
      <c r="BI272" s="140">
        <f t="shared" si="306"/>
        <v>0</v>
      </c>
      <c r="BJ272" s="140">
        <f t="shared" si="307"/>
        <v>0</v>
      </c>
      <c r="BK272" s="140">
        <f t="shared" si="308"/>
        <v>0</v>
      </c>
    </row>
    <row r="273" spans="1:63" s="100" customFormat="1" ht="16" hidden="1" customHeight="1">
      <c r="A273" s="137" t="s">
        <v>30</v>
      </c>
      <c r="B273" s="21" t="s">
        <v>690</v>
      </c>
      <c r="C273" s="21" t="s">
        <v>691</v>
      </c>
      <c r="D273" s="20" t="s">
        <v>529</v>
      </c>
      <c r="E273" s="20" t="s">
        <v>692</v>
      </c>
      <c r="F273" s="20" t="s">
        <v>273</v>
      </c>
      <c r="G273" s="20" t="s">
        <v>58</v>
      </c>
      <c r="H273" s="20" t="s">
        <v>45</v>
      </c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138"/>
      <c r="Y273" s="138"/>
      <c r="Z273" s="139">
        <f t="shared" si="326"/>
        <v>0</v>
      </c>
      <c r="AA273" s="20"/>
      <c r="AB273" s="20"/>
      <c r="AC273" s="20"/>
      <c r="AD273" s="139">
        <f t="shared" si="309"/>
        <v>0</v>
      </c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0"/>
      <c r="AQ273" s="20"/>
      <c r="AR273" s="20"/>
      <c r="AS273" s="20"/>
      <c r="AT273" s="20">
        <f t="shared" si="310"/>
        <v>0</v>
      </c>
      <c r="AU273" s="20">
        <f t="shared" si="311"/>
        <v>0</v>
      </c>
      <c r="AV273" s="5"/>
      <c r="AW273" s="21">
        <f t="shared" si="312"/>
        <v>0</v>
      </c>
      <c r="AX273" s="140">
        <f t="shared" si="316"/>
        <v>0</v>
      </c>
      <c r="AY273" s="140">
        <f t="shared" si="317"/>
        <v>0</v>
      </c>
      <c r="AZ273" s="140">
        <f t="shared" si="318"/>
        <v>0</v>
      </c>
      <c r="BA273" s="140">
        <f t="shared" si="319"/>
        <v>0</v>
      </c>
      <c r="BB273" s="140">
        <f t="shared" si="320"/>
        <v>0</v>
      </c>
      <c r="BC273" s="140">
        <f t="shared" si="321"/>
        <v>0</v>
      </c>
      <c r="BD273" s="140">
        <f t="shared" si="322"/>
        <v>0</v>
      </c>
      <c r="BE273" s="140">
        <f t="shared" si="323"/>
        <v>0</v>
      </c>
      <c r="BF273" s="140">
        <f t="shared" si="324"/>
        <v>0</v>
      </c>
      <c r="BG273" s="140">
        <f t="shared" si="325"/>
        <v>0</v>
      </c>
      <c r="BH273" s="140">
        <f t="shared" si="305"/>
        <v>0</v>
      </c>
      <c r="BI273" s="140">
        <f t="shared" si="306"/>
        <v>0</v>
      </c>
      <c r="BJ273" s="140">
        <f t="shared" si="307"/>
        <v>0</v>
      </c>
      <c r="BK273" s="140">
        <f t="shared" si="308"/>
        <v>0</v>
      </c>
    </row>
    <row r="274" spans="1:63" s="100" customFormat="1" ht="16" hidden="1" customHeight="1">
      <c r="A274" s="137" t="s">
        <v>30</v>
      </c>
      <c r="B274" s="21" t="s">
        <v>693</v>
      </c>
      <c r="C274" s="21" t="s">
        <v>694</v>
      </c>
      <c r="D274" s="20" t="s">
        <v>529</v>
      </c>
      <c r="E274" s="20" t="s">
        <v>695</v>
      </c>
      <c r="F274" s="20" t="s">
        <v>36</v>
      </c>
      <c r="G274" s="20" t="s">
        <v>37</v>
      </c>
      <c r="H274" s="20" t="s">
        <v>45</v>
      </c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138"/>
      <c r="Y274" s="138"/>
      <c r="Z274" s="139">
        <f t="shared" si="326"/>
        <v>0</v>
      </c>
      <c r="AA274" s="20"/>
      <c r="AB274" s="20"/>
      <c r="AC274" s="20"/>
      <c r="AD274" s="139">
        <f t="shared" si="309"/>
        <v>0</v>
      </c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0"/>
      <c r="AQ274" s="20"/>
      <c r="AR274" s="20"/>
      <c r="AS274" s="20"/>
      <c r="AT274" s="20">
        <f t="shared" si="310"/>
        <v>0</v>
      </c>
      <c r="AU274" s="20">
        <f t="shared" si="311"/>
        <v>0</v>
      </c>
      <c r="AV274" s="5"/>
      <c r="AW274" s="21">
        <f t="shared" si="312"/>
        <v>0</v>
      </c>
      <c r="AX274" s="140">
        <f t="shared" si="316"/>
        <v>0</v>
      </c>
      <c r="AY274" s="140">
        <f t="shared" si="317"/>
        <v>0</v>
      </c>
      <c r="AZ274" s="140">
        <f t="shared" si="318"/>
        <v>0</v>
      </c>
      <c r="BA274" s="140">
        <f t="shared" si="319"/>
        <v>0</v>
      </c>
      <c r="BB274" s="140">
        <f t="shared" si="320"/>
        <v>0</v>
      </c>
      <c r="BC274" s="140">
        <f t="shared" si="321"/>
        <v>0</v>
      </c>
      <c r="BD274" s="140">
        <f t="shared" si="322"/>
        <v>0</v>
      </c>
      <c r="BE274" s="140">
        <f t="shared" si="323"/>
        <v>0</v>
      </c>
      <c r="BF274" s="140">
        <f t="shared" si="324"/>
        <v>0</v>
      </c>
      <c r="BG274" s="140">
        <f t="shared" si="325"/>
        <v>0</v>
      </c>
      <c r="BH274" s="140">
        <f t="shared" si="305"/>
        <v>0</v>
      </c>
      <c r="BI274" s="140">
        <f t="shared" si="306"/>
        <v>0</v>
      </c>
      <c r="BJ274" s="140">
        <f t="shared" si="307"/>
        <v>0</v>
      </c>
      <c r="BK274" s="140">
        <f t="shared" si="308"/>
        <v>0</v>
      </c>
    </row>
    <row r="275" spans="1:63" s="100" customFormat="1" ht="16" hidden="1" customHeight="1">
      <c r="A275" s="137" t="s">
        <v>30</v>
      </c>
      <c r="B275" s="21" t="s">
        <v>696</v>
      </c>
      <c r="C275" s="21" t="s">
        <v>697</v>
      </c>
      <c r="D275" s="20" t="s">
        <v>529</v>
      </c>
      <c r="E275" s="20" t="s">
        <v>698</v>
      </c>
      <c r="F275" s="20" t="s">
        <v>699</v>
      </c>
      <c r="G275" s="20" t="s">
        <v>58</v>
      </c>
      <c r="H275" s="20" t="s">
        <v>45</v>
      </c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138"/>
      <c r="Y275" s="138"/>
      <c r="Z275" s="139">
        <f t="shared" si="326"/>
        <v>0</v>
      </c>
      <c r="AA275" s="20"/>
      <c r="AB275" s="20"/>
      <c r="AC275" s="20"/>
      <c r="AD275" s="139">
        <f t="shared" si="309"/>
        <v>0</v>
      </c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0"/>
      <c r="AQ275" s="20"/>
      <c r="AR275" s="20"/>
      <c r="AS275" s="20"/>
      <c r="AT275" s="20">
        <f t="shared" si="310"/>
        <v>0</v>
      </c>
      <c r="AU275" s="20">
        <f t="shared" si="311"/>
        <v>0</v>
      </c>
      <c r="AV275" s="5"/>
      <c r="AW275" s="21">
        <f t="shared" si="312"/>
        <v>0</v>
      </c>
      <c r="AX275" s="140">
        <f t="shared" si="316"/>
        <v>0</v>
      </c>
      <c r="AY275" s="140">
        <f t="shared" si="317"/>
        <v>0</v>
      </c>
      <c r="AZ275" s="140">
        <f t="shared" si="318"/>
        <v>0</v>
      </c>
      <c r="BA275" s="140">
        <f t="shared" si="319"/>
        <v>0</v>
      </c>
      <c r="BB275" s="140">
        <f t="shared" si="320"/>
        <v>0</v>
      </c>
      <c r="BC275" s="140">
        <f t="shared" si="321"/>
        <v>0</v>
      </c>
      <c r="BD275" s="140">
        <f t="shared" si="322"/>
        <v>0</v>
      </c>
      <c r="BE275" s="140">
        <f t="shared" si="323"/>
        <v>0</v>
      </c>
      <c r="BF275" s="140">
        <f t="shared" si="324"/>
        <v>0</v>
      </c>
      <c r="BG275" s="140">
        <f t="shared" si="325"/>
        <v>0</v>
      </c>
      <c r="BH275" s="140">
        <f t="shared" si="305"/>
        <v>0</v>
      </c>
      <c r="BI275" s="140">
        <f t="shared" si="306"/>
        <v>0</v>
      </c>
      <c r="BJ275" s="140">
        <f t="shared" si="307"/>
        <v>0</v>
      </c>
      <c r="BK275" s="140">
        <f t="shared" si="308"/>
        <v>0</v>
      </c>
    </row>
    <row r="276" spans="1:63" s="100" customFormat="1" ht="16" hidden="1" customHeight="1">
      <c r="A276" s="137" t="s">
        <v>30</v>
      </c>
      <c r="B276" s="21" t="s">
        <v>700</v>
      </c>
      <c r="C276" s="21" t="s">
        <v>701</v>
      </c>
      <c r="D276" s="20" t="s">
        <v>30</v>
      </c>
      <c r="E276" s="20" t="s">
        <v>702</v>
      </c>
      <c r="F276" s="20" t="s">
        <v>36</v>
      </c>
      <c r="G276" s="20" t="s">
        <v>37</v>
      </c>
      <c r="H276" s="20" t="s">
        <v>38</v>
      </c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138"/>
      <c r="Y276" s="138"/>
      <c r="Z276" s="139">
        <f t="shared" si="326"/>
        <v>0</v>
      </c>
      <c r="AA276" s="20"/>
      <c r="AB276" s="20"/>
      <c r="AC276" s="20"/>
      <c r="AD276" s="139">
        <f t="shared" si="309"/>
        <v>0</v>
      </c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0"/>
      <c r="AQ276" s="20"/>
      <c r="AR276" s="20"/>
      <c r="AS276" s="20"/>
      <c r="AT276" s="20">
        <f t="shared" si="310"/>
        <v>0</v>
      </c>
      <c r="AU276" s="20">
        <f t="shared" si="311"/>
        <v>0</v>
      </c>
      <c r="AV276" s="5"/>
      <c r="AW276" s="21">
        <f t="shared" si="312"/>
        <v>0</v>
      </c>
      <c r="AX276" s="140">
        <f t="shared" si="316"/>
        <v>0</v>
      </c>
      <c r="AY276" s="140">
        <f t="shared" si="317"/>
        <v>0</v>
      </c>
      <c r="AZ276" s="140">
        <f t="shared" si="318"/>
        <v>0</v>
      </c>
      <c r="BA276" s="140">
        <f t="shared" si="319"/>
        <v>0</v>
      </c>
      <c r="BB276" s="140">
        <f t="shared" si="320"/>
        <v>0</v>
      </c>
      <c r="BC276" s="140">
        <f t="shared" si="321"/>
        <v>0</v>
      </c>
      <c r="BD276" s="140">
        <f t="shared" si="322"/>
        <v>0</v>
      </c>
      <c r="BE276" s="140">
        <f t="shared" si="323"/>
        <v>0</v>
      </c>
      <c r="BF276" s="140">
        <f t="shared" si="324"/>
        <v>0</v>
      </c>
      <c r="BG276" s="140">
        <f t="shared" si="325"/>
        <v>0</v>
      </c>
      <c r="BH276" s="140">
        <f t="shared" si="305"/>
        <v>0</v>
      </c>
      <c r="BI276" s="140">
        <f t="shared" si="306"/>
        <v>0</v>
      </c>
      <c r="BJ276" s="140">
        <f t="shared" si="307"/>
        <v>0</v>
      </c>
      <c r="BK276" s="140">
        <f t="shared" si="308"/>
        <v>0</v>
      </c>
    </row>
    <row r="277" spans="1:63" s="100" customFormat="1" ht="16" hidden="1" customHeight="1">
      <c r="A277" s="137" t="s">
        <v>30</v>
      </c>
      <c r="B277" s="21" t="s">
        <v>703</v>
      </c>
      <c r="C277" s="21" t="s">
        <v>704</v>
      </c>
      <c r="D277" s="20" t="s">
        <v>30</v>
      </c>
      <c r="E277" s="20" t="s">
        <v>705</v>
      </c>
      <c r="F277" s="20" t="s">
        <v>36</v>
      </c>
      <c r="G277" s="20" t="s">
        <v>37</v>
      </c>
      <c r="H277" s="20" t="s">
        <v>38</v>
      </c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138"/>
      <c r="Y277" s="138"/>
      <c r="Z277" s="139">
        <f t="shared" si="326"/>
        <v>0</v>
      </c>
      <c r="AA277" s="20"/>
      <c r="AB277" s="20"/>
      <c r="AC277" s="20"/>
      <c r="AD277" s="139">
        <f t="shared" si="309"/>
        <v>0</v>
      </c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0"/>
      <c r="AQ277" s="20"/>
      <c r="AR277" s="20"/>
      <c r="AS277" s="20"/>
      <c r="AT277" s="20">
        <f t="shared" si="310"/>
        <v>0</v>
      </c>
      <c r="AU277" s="20">
        <f t="shared" si="311"/>
        <v>0</v>
      </c>
      <c r="AV277" s="5"/>
      <c r="AW277" s="21">
        <f t="shared" si="312"/>
        <v>0</v>
      </c>
      <c r="AX277" s="140">
        <f t="shared" si="316"/>
        <v>0</v>
      </c>
      <c r="AY277" s="140">
        <f t="shared" si="317"/>
        <v>0</v>
      </c>
      <c r="AZ277" s="140">
        <f t="shared" si="318"/>
        <v>0</v>
      </c>
      <c r="BA277" s="140">
        <f t="shared" si="319"/>
        <v>0</v>
      </c>
      <c r="BB277" s="140">
        <f t="shared" si="320"/>
        <v>0</v>
      </c>
      <c r="BC277" s="140">
        <f t="shared" si="321"/>
        <v>0</v>
      </c>
      <c r="BD277" s="140">
        <f t="shared" si="322"/>
        <v>0</v>
      </c>
      <c r="BE277" s="140">
        <f t="shared" si="323"/>
        <v>0</v>
      </c>
      <c r="BF277" s="140">
        <f t="shared" si="324"/>
        <v>0</v>
      </c>
      <c r="BG277" s="140">
        <f t="shared" si="325"/>
        <v>0</v>
      </c>
      <c r="BH277" s="140">
        <f t="shared" si="305"/>
        <v>0</v>
      </c>
      <c r="BI277" s="140">
        <f t="shared" si="306"/>
        <v>0</v>
      </c>
      <c r="BJ277" s="140">
        <f t="shared" si="307"/>
        <v>0</v>
      </c>
      <c r="BK277" s="140">
        <f t="shared" si="308"/>
        <v>0</v>
      </c>
    </row>
    <row r="278" spans="1:63" s="100" customFormat="1" ht="16" hidden="1" customHeight="1">
      <c r="A278" s="137" t="s">
        <v>30</v>
      </c>
      <c r="B278" s="21" t="s">
        <v>706</v>
      </c>
      <c r="C278" s="21" t="s">
        <v>707</v>
      </c>
      <c r="D278" s="20" t="s">
        <v>30</v>
      </c>
      <c r="E278" s="20" t="s">
        <v>708</v>
      </c>
      <c r="F278" s="20" t="s">
        <v>709</v>
      </c>
      <c r="G278" s="20" t="s">
        <v>58</v>
      </c>
      <c r="H278" s="20" t="s">
        <v>45</v>
      </c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138"/>
      <c r="Y278" s="138"/>
      <c r="Z278" s="139">
        <f t="shared" si="326"/>
        <v>0</v>
      </c>
      <c r="AA278" s="20"/>
      <c r="AB278" s="20"/>
      <c r="AC278" s="20"/>
      <c r="AD278" s="139">
        <f t="shared" si="309"/>
        <v>0</v>
      </c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0"/>
      <c r="AQ278" s="20"/>
      <c r="AR278" s="20"/>
      <c r="AS278" s="20"/>
      <c r="AT278" s="20">
        <f t="shared" si="310"/>
        <v>0</v>
      </c>
      <c r="AU278" s="20">
        <f t="shared" si="311"/>
        <v>0</v>
      </c>
      <c r="AV278" s="5"/>
      <c r="AW278" s="21">
        <f t="shared" si="312"/>
        <v>0</v>
      </c>
      <c r="AX278" s="140">
        <f t="shared" si="316"/>
        <v>0</v>
      </c>
      <c r="AY278" s="140">
        <f t="shared" si="317"/>
        <v>0</v>
      </c>
      <c r="AZ278" s="140">
        <f t="shared" si="318"/>
        <v>0</v>
      </c>
      <c r="BA278" s="140">
        <f t="shared" si="319"/>
        <v>0</v>
      </c>
      <c r="BB278" s="140">
        <f t="shared" si="320"/>
        <v>0</v>
      </c>
      <c r="BC278" s="140">
        <f t="shared" si="321"/>
        <v>0</v>
      </c>
      <c r="BD278" s="140">
        <f t="shared" si="322"/>
        <v>0</v>
      </c>
      <c r="BE278" s="140">
        <f t="shared" si="323"/>
        <v>0</v>
      </c>
      <c r="BF278" s="140">
        <f t="shared" si="324"/>
        <v>0</v>
      </c>
      <c r="BG278" s="140">
        <f t="shared" si="325"/>
        <v>0</v>
      </c>
      <c r="BH278" s="140">
        <f t="shared" si="305"/>
        <v>0</v>
      </c>
      <c r="BI278" s="140">
        <f t="shared" si="306"/>
        <v>0</v>
      </c>
      <c r="BJ278" s="140">
        <f t="shared" si="307"/>
        <v>0</v>
      </c>
      <c r="BK278" s="140">
        <f t="shared" si="308"/>
        <v>0</v>
      </c>
    </row>
    <row r="279" spans="1:63" s="100" customFormat="1" ht="16" hidden="1" customHeight="1">
      <c r="A279" s="137" t="s">
        <v>30</v>
      </c>
      <c r="B279" s="21" t="s">
        <v>710</v>
      </c>
      <c r="C279" s="21" t="s">
        <v>711</v>
      </c>
      <c r="D279" s="20" t="s">
        <v>30</v>
      </c>
      <c r="E279" s="20" t="s">
        <v>712</v>
      </c>
      <c r="F279" s="20" t="s">
        <v>36</v>
      </c>
      <c r="G279" s="20" t="s">
        <v>37</v>
      </c>
      <c r="H279" s="20" t="s">
        <v>38</v>
      </c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138"/>
      <c r="Y279" s="138"/>
      <c r="Z279" s="139">
        <f t="shared" si="326"/>
        <v>0</v>
      </c>
      <c r="AA279" s="20"/>
      <c r="AB279" s="20"/>
      <c r="AC279" s="20"/>
      <c r="AD279" s="139">
        <f t="shared" si="309"/>
        <v>0</v>
      </c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0"/>
      <c r="AQ279" s="20"/>
      <c r="AR279" s="20"/>
      <c r="AS279" s="20"/>
      <c r="AT279" s="20">
        <f t="shared" si="310"/>
        <v>0</v>
      </c>
      <c r="AU279" s="20">
        <f t="shared" si="311"/>
        <v>0</v>
      </c>
      <c r="AV279" s="5"/>
      <c r="AW279" s="21">
        <f t="shared" si="312"/>
        <v>0</v>
      </c>
      <c r="AX279" s="140">
        <f t="shared" si="316"/>
        <v>0</v>
      </c>
      <c r="AY279" s="140">
        <f t="shared" si="317"/>
        <v>0</v>
      </c>
      <c r="AZ279" s="140">
        <f t="shared" si="318"/>
        <v>0</v>
      </c>
      <c r="BA279" s="140">
        <f t="shared" si="319"/>
        <v>0</v>
      </c>
      <c r="BB279" s="140">
        <f t="shared" si="320"/>
        <v>0</v>
      </c>
      <c r="BC279" s="140">
        <f t="shared" si="321"/>
        <v>0</v>
      </c>
      <c r="BD279" s="140">
        <f t="shared" si="322"/>
        <v>0</v>
      </c>
      <c r="BE279" s="140">
        <f t="shared" si="323"/>
        <v>0</v>
      </c>
      <c r="BF279" s="140">
        <f t="shared" si="324"/>
        <v>0</v>
      </c>
      <c r="BG279" s="140">
        <f t="shared" si="325"/>
        <v>0</v>
      </c>
      <c r="BH279" s="140">
        <f t="shared" si="305"/>
        <v>0</v>
      </c>
      <c r="BI279" s="140">
        <f t="shared" si="306"/>
        <v>0</v>
      </c>
      <c r="BJ279" s="140">
        <f t="shared" si="307"/>
        <v>0</v>
      </c>
      <c r="BK279" s="140">
        <f t="shared" si="308"/>
        <v>0</v>
      </c>
    </row>
    <row r="280" spans="1:63" s="100" customFormat="1" ht="16" hidden="1" customHeight="1">
      <c r="A280" s="137" t="s">
        <v>30</v>
      </c>
      <c r="B280" s="21" t="s">
        <v>713</v>
      </c>
      <c r="C280" s="21" t="s">
        <v>714</v>
      </c>
      <c r="D280" s="20" t="s">
        <v>30</v>
      </c>
      <c r="E280" s="20" t="s">
        <v>715</v>
      </c>
      <c r="F280" s="20" t="s">
        <v>709</v>
      </c>
      <c r="G280" s="20" t="s">
        <v>58</v>
      </c>
      <c r="H280" s="20" t="s">
        <v>38</v>
      </c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138"/>
      <c r="Y280" s="138"/>
      <c r="Z280" s="139">
        <f t="shared" si="326"/>
        <v>0</v>
      </c>
      <c r="AA280" s="20"/>
      <c r="AB280" s="20"/>
      <c r="AC280" s="20"/>
      <c r="AD280" s="139">
        <f t="shared" si="309"/>
        <v>0</v>
      </c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0"/>
      <c r="AQ280" s="20"/>
      <c r="AR280" s="20"/>
      <c r="AS280" s="20"/>
      <c r="AT280" s="20">
        <f t="shared" si="310"/>
        <v>0</v>
      </c>
      <c r="AU280" s="20">
        <f t="shared" si="311"/>
        <v>0</v>
      </c>
      <c r="AV280" s="5"/>
      <c r="AW280" s="21">
        <f t="shared" si="312"/>
        <v>0</v>
      </c>
      <c r="AX280" s="140">
        <f t="shared" si="316"/>
        <v>0</v>
      </c>
      <c r="AY280" s="140">
        <f t="shared" si="317"/>
        <v>0</v>
      </c>
      <c r="AZ280" s="140">
        <f t="shared" si="318"/>
        <v>0</v>
      </c>
      <c r="BA280" s="140">
        <f t="shared" si="319"/>
        <v>0</v>
      </c>
      <c r="BB280" s="140">
        <f t="shared" si="320"/>
        <v>0</v>
      </c>
      <c r="BC280" s="140">
        <f t="shared" si="321"/>
        <v>0</v>
      </c>
      <c r="BD280" s="140">
        <f t="shared" si="322"/>
        <v>0</v>
      </c>
      <c r="BE280" s="140">
        <f t="shared" si="323"/>
        <v>0</v>
      </c>
      <c r="BF280" s="140">
        <f t="shared" si="324"/>
        <v>0</v>
      </c>
      <c r="BG280" s="140">
        <f t="shared" si="325"/>
        <v>0</v>
      </c>
      <c r="BH280" s="140">
        <f t="shared" si="305"/>
        <v>0</v>
      </c>
      <c r="BI280" s="140">
        <f t="shared" si="306"/>
        <v>0</v>
      </c>
      <c r="BJ280" s="140">
        <f t="shared" si="307"/>
        <v>0</v>
      </c>
      <c r="BK280" s="140">
        <f t="shared" si="308"/>
        <v>0</v>
      </c>
    </row>
    <row r="281" spans="1:63" s="100" customFormat="1" ht="16" hidden="1" customHeight="1">
      <c r="A281" s="137" t="s">
        <v>30</v>
      </c>
      <c r="B281" s="21" t="s">
        <v>716</v>
      </c>
      <c r="C281" s="21" t="s">
        <v>717</v>
      </c>
      <c r="D281" s="20" t="s">
        <v>30</v>
      </c>
      <c r="E281" s="20" t="s">
        <v>718</v>
      </c>
      <c r="F281" s="20" t="s">
        <v>709</v>
      </c>
      <c r="G281" s="20" t="s">
        <v>58</v>
      </c>
      <c r="H281" s="20" t="s">
        <v>45</v>
      </c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138"/>
      <c r="Y281" s="138"/>
      <c r="Z281" s="139">
        <f t="shared" si="326"/>
        <v>0</v>
      </c>
      <c r="AA281" s="20"/>
      <c r="AB281" s="20"/>
      <c r="AC281" s="20"/>
      <c r="AD281" s="139">
        <f t="shared" si="309"/>
        <v>0</v>
      </c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0"/>
      <c r="AQ281" s="20"/>
      <c r="AR281" s="20"/>
      <c r="AS281" s="20"/>
      <c r="AT281" s="20">
        <f t="shared" si="310"/>
        <v>0</v>
      </c>
      <c r="AU281" s="20">
        <f t="shared" si="311"/>
        <v>0</v>
      </c>
      <c r="AV281" s="5"/>
      <c r="AW281" s="21">
        <f t="shared" si="312"/>
        <v>0</v>
      </c>
      <c r="AX281" s="140">
        <f t="shared" si="316"/>
        <v>0</v>
      </c>
      <c r="AY281" s="140">
        <f t="shared" si="317"/>
        <v>0</v>
      </c>
      <c r="AZ281" s="140">
        <f t="shared" si="318"/>
        <v>0</v>
      </c>
      <c r="BA281" s="140">
        <f t="shared" si="319"/>
        <v>0</v>
      </c>
      <c r="BB281" s="140">
        <f t="shared" si="320"/>
        <v>0</v>
      </c>
      <c r="BC281" s="140">
        <f t="shared" si="321"/>
        <v>0</v>
      </c>
      <c r="BD281" s="140">
        <f t="shared" si="322"/>
        <v>0</v>
      </c>
      <c r="BE281" s="140">
        <f t="shared" si="323"/>
        <v>0</v>
      </c>
      <c r="BF281" s="140">
        <f t="shared" si="324"/>
        <v>0</v>
      </c>
      <c r="BG281" s="140">
        <f t="shared" si="325"/>
        <v>0</v>
      </c>
      <c r="BH281" s="140">
        <f t="shared" si="305"/>
        <v>0</v>
      </c>
      <c r="BI281" s="140">
        <f t="shared" si="306"/>
        <v>0</v>
      </c>
      <c r="BJ281" s="140">
        <f t="shared" si="307"/>
        <v>0</v>
      </c>
      <c r="BK281" s="140">
        <f t="shared" si="308"/>
        <v>0</v>
      </c>
    </row>
    <row r="282" spans="1:63" s="100" customFormat="1" ht="16" hidden="1" customHeight="1">
      <c r="A282" s="137" t="s">
        <v>30</v>
      </c>
      <c r="B282" s="21" t="s">
        <v>719</v>
      </c>
      <c r="C282" s="21" t="s">
        <v>720</v>
      </c>
      <c r="D282" s="20" t="s">
        <v>30</v>
      </c>
      <c r="E282" s="20" t="s">
        <v>702</v>
      </c>
      <c r="F282" s="20" t="s">
        <v>36</v>
      </c>
      <c r="G282" s="20" t="s">
        <v>37</v>
      </c>
      <c r="H282" s="20" t="s">
        <v>38</v>
      </c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138"/>
      <c r="Y282" s="138"/>
      <c r="Z282" s="139">
        <f t="shared" si="326"/>
        <v>0</v>
      </c>
      <c r="AA282" s="20"/>
      <c r="AB282" s="20"/>
      <c r="AC282" s="20"/>
      <c r="AD282" s="139">
        <f t="shared" si="309"/>
        <v>0</v>
      </c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0"/>
      <c r="AQ282" s="20"/>
      <c r="AR282" s="20"/>
      <c r="AS282" s="20"/>
      <c r="AT282" s="20">
        <f t="shared" si="310"/>
        <v>0</v>
      </c>
      <c r="AU282" s="20">
        <f t="shared" si="311"/>
        <v>0</v>
      </c>
      <c r="AV282" s="5"/>
      <c r="AW282" s="21">
        <f t="shared" si="312"/>
        <v>0</v>
      </c>
      <c r="AX282" s="140">
        <f t="shared" si="316"/>
        <v>0</v>
      </c>
      <c r="AY282" s="140">
        <f t="shared" si="317"/>
        <v>0</v>
      </c>
      <c r="AZ282" s="140">
        <f t="shared" si="318"/>
        <v>0</v>
      </c>
      <c r="BA282" s="140">
        <f t="shared" si="319"/>
        <v>0</v>
      </c>
      <c r="BB282" s="140">
        <f t="shared" si="320"/>
        <v>0</v>
      </c>
      <c r="BC282" s="140">
        <f t="shared" si="321"/>
        <v>0</v>
      </c>
      <c r="BD282" s="140">
        <f t="shared" si="322"/>
        <v>0</v>
      </c>
      <c r="BE282" s="140">
        <f t="shared" si="323"/>
        <v>0</v>
      </c>
      <c r="BF282" s="140">
        <f t="shared" si="324"/>
        <v>0</v>
      </c>
      <c r="BG282" s="140">
        <f t="shared" si="325"/>
        <v>0</v>
      </c>
      <c r="BH282" s="140">
        <f t="shared" si="305"/>
        <v>0</v>
      </c>
      <c r="BI282" s="140">
        <f t="shared" si="306"/>
        <v>0</v>
      </c>
      <c r="BJ282" s="140">
        <f t="shared" si="307"/>
        <v>0</v>
      </c>
      <c r="BK282" s="140">
        <f t="shared" si="308"/>
        <v>0</v>
      </c>
    </row>
    <row r="283" spans="1:63" s="100" customFormat="1" ht="16" hidden="1" customHeight="1">
      <c r="A283" s="137" t="s">
        <v>30</v>
      </c>
      <c r="B283" s="21" t="s">
        <v>721</v>
      </c>
      <c r="C283" s="21" t="s">
        <v>722</v>
      </c>
      <c r="D283" s="20" t="s">
        <v>30</v>
      </c>
      <c r="E283" s="20" t="s">
        <v>723</v>
      </c>
      <c r="F283" s="20" t="s">
        <v>36</v>
      </c>
      <c r="G283" s="20" t="s">
        <v>37</v>
      </c>
      <c r="H283" s="20" t="s">
        <v>38</v>
      </c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138"/>
      <c r="Y283" s="138"/>
      <c r="Z283" s="139">
        <f t="shared" si="326"/>
        <v>0</v>
      </c>
      <c r="AA283" s="20"/>
      <c r="AB283" s="20"/>
      <c r="AC283" s="20"/>
      <c r="AD283" s="139">
        <f t="shared" si="309"/>
        <v>0</v>
      </c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0"/>
      <c r="AQ283" s="20"/>
      <c r="AR283" s="20"/>
      <c r="AS283" s="20"/>
      <c r="AT283" s="20">
        <f t="shared" si="310"/>
        <v>0</v>
      </c>
      <c r="AU283" s="20">
        <f t="shared" si="311"/>
        <v>0</v>
      </c>
      <c r="AV283" s="5"/>
      <c r="AW283" s="21">
        <f t="shared" si="312"/>
        <v>0</v>
      </c>
      <c r="AX283" s="140">
        <f t="shared" si="316"/>
        <v>0</v>
      </c>
      <c r="AY283" s="140">
        <f t="shared" si="317"/>
        <v>0</v>
      </c>
      <c r="AZ283" s="140">
        <f t="shared" si="318"/>
        <v>0</v>
      </c>
      <c r="BA283" s="140">
        <f t="shared" si="319"/>
        <v>0</v>
      </c>
      <c r="BB283" s="140">
        <f t="shared" si="320"/>
        <v>0</v>
      </c>
      <c r="BC283" s="140">
        <f t="shared" si="321"/>
        <v>0</v>
      </c>
      <c r="BD283" s="140">
        <f t="shared" si="322"/>
        <v>0</v>
      </c>
      <c r="BE283" s="140">
        <f t="shared" si="323"/>
        <v>0</v>
      </c>
      <c r="BF283" s="140">
        <f t="shared" si="324"/>
        <v>0</v>
      </c>
      <c r="BG283" s="140">
        <f t="shared" si="325"/>
        <v>0</v>
      </c>
      <c r="BH283" s="140">
        <f t="shared" si="305"/>
        <v>0</v>
      </c>
      <c r="BI283" s="140">
        <f t="shared" si="306"/>
        <v>0</v>
      </c>
      <c r="BJ283" s="140">
        <f t="shared" si="307"/>
        <v>0</v>
      </c>
      <c r="BK283" s="140">
        <f t="shared" si="308"/>
        <v>0</v>
      </c>
    </row>
    <row r="284" spans="1:63" s="100" customFormat="1" ht="16" hidden="1" customHeight="1">
      <c r="A284" s="137" t="s">
        <v>30</v>
      </c>
      <c r="B284" s="21" t="s">
        <v>724</v>
      </c>
      <c r="C284" s="21" t="s">
        <v>725</v>
      </c>
      <c r="D284" s="20" t="s">
        <v>30</v>
      </c>
      <c r="E284" s="20" t="s">
        <v>726</v>
      </c>
      <c r="F284" s="20" t="s">
        <v>709</v>
      </c>
      <c r="G284" s="20" t="s">
        <v>58</v>
      </c>
      <c r="H284" s="20" t="s">
        <v>45</v>
      </c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138"/>
      <c r="Y284" s="138"/>
      <c r="Z284" s="139">
        <f t="shared" si="326"/>
        <v>0</v>
      </c>
      <c r="AA284" s="20"/>
      <c r="AB284" s="20"/>
      <c r="AC284" s="20"/>
      <c r="AD284" s="139">
        <f t="shared" si="309"/>
        <v>0</v>
      </c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0"/>
      <c r="AQ284" s="20"/>
      <c r="AR284" s="20"/>
      <c r="AS284" s="20"/>
      <c r="AT284" s="20">
        <f t="shared" si="310"/>
        <v>0</v>
      </c>
      <c r="AU284" s="20">
        <f t="shared" si="311"/>
        <v>0</v>
      </c>
      <c r="AV284" s="5"/>
      <c r="AW284" s="21">
        <f t="shared" si="312"/>
        <v>0</v>
      </c>
      <c r="AX284" s="140">
        <f t="shared" si="316"/>
        <v>0</v>
      </c>
      <c r="AY284" s="140">
        <f t="shared" si="317"/>
        <v>0</v>
      </c>
      <c r="AZ284" s="140">
        <f t="shared" si="318"/>
        <v>0</v>
      </c>
      <c r="BA284" s="140">
        <f t="shared" si="319"/>
        <v>0</v>
      </c>
      <c r="BB284" s="140">
        <f t="shared" si="320"/>
        <v>0</v>
      </c>
      <c r="BC284" s="140">
        <f t="shared" si="321"/>
        <v>0</v>
      </c>
      <c r="BD284" s="140">
        <f t="shared" si="322"/>
        <v>0</v>
      </c>
      <c r="BE284" s="140">
        <f t="shared" si="323"/>
        <v>0</v>
      </c>
      <c r="BF284" s="140">
        <f t="shared" si="324"/>
        <v>0</v>
      </c>
      <c r="BG284" s="140">
        <f t="shared" si="325"/>
        <v>0</v>
      </c>
      <c r="BH284" s="140">
        <f t="shared" si="305"/>
        <v>0</v>
      </c>
      <c r="BI284" s="140">
        <f t="shared" si="306"/>
        <v>0</v>
      </c>
      <c r="BJ284" s="140">
        <f t="shared" si="307"/>
        <v>0</v>
      </c>
      <c r="BK284" s="140">
        <f t="shared" si="308"/>
        <v>0</v>
      </c>
    </row>
    <row r="285" spans="1:63" s="100" customFormat="1" ht="16" hidden="1" customHeight="1">
      <c r="A285" s="137" t="s">
        <v>30</v>
      </c>
      <c r="B285" s="21" t="s">
        <v>727</v>
      </c>
      <c r="C285" s="21" t="s">
        <v>728</v>
      </c>
      <c r="D285" s="20" t="s">
        <v>30</v>
      </c>
      <c r="E285" s="20" t="s">
        <v>712</v>
      </c>
      <c r="F285" s="20" t="s">
        <v>36</v>
      </c>
      <c r="G285" s="20" t="s">
        <v>37</v>
      </c>
      <c r="H285" s="20" t="s">
        <v>38</v>
      </c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138"/>
      <c r="Y285" s="138"/>
      <c r="Z285" s="139">
        <f t="shared" si="326"/>
        <v>0</v>
      </c>
      <c r="AA285" s="20"/>
      <c r="AB285" s="20"/>
      <c r="AC285" s="20"/>
      <c r="AD285" s="139">
        <f t="shared" si="309"/>
        <v>0</v>
      </c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0"/>
      <c r="AQ285" s="20"/>
      <c r="AR285" s="20"/>
      <c r="AS285" s="20"/>
      <c r="AT285" s="20">
        <f t="shared" si="310"/>
        <v>0</v>
      </c>
      <c r="AU285" s="20">
        <f t="shared" si="311"/>
        <v>0</v>
      </c>
      <c r="AV285" s="5"/>
      <c r="AW285" s="21">
        <f t="shared" si="312"/>
        <v>0</v>
      </c>
      <c r="AX285" s="140">
        <f t="shared" si="316"/>
        <v>0</v>
      </c>
      <c r="AY285" s="140">
        <f t="shared" si="317"/>
        <v>0</v>
      </c>
      <c r="AZ285" s="140">
        <f t="shared" si="318"/>
        <v>0</v>
      </c>
      <c r="BA285" s="140">
        <f t="shared" si="319"/>
        <v>0</v>
      </c>
      <c r="BB285" s="140">
        <f t="shared" si="320"/>
        <v>0</v>
      </c>
      <c r="BC285" s="140">
        <f t="shared" si="321"/>
        <v>0</v>
      </c>
      <c r="BD285" s="140">
        <f t="shared" si="322"/>
        <v>0</v>
      </c>
      <c r="BE285" s="140">
        <f t="shared" si="323"/>
        <v>0</v>
      </c>
      <c r="BF285" s="140">
        <f t="shared" si="324"/>
        <v>0</v>
      </c>
      <c r="BG285" s="140">
        <f t="shared" si="325"/>
        <v>0</v>
      </c>
      <c r="BH285" s="140">
        <f t="shared" si="305"/>
        <v>0</v>
      </c>
      <c r="BI285" s="140">
        <f t="shared" si="306"/>
        <v>0</v>
      </c>
      <c r="BJ285" s="140">
        <f t="shared" si="307"/>
        <v>0</v>
      </c>
      <c r="BK285" s="140">
        <f t="shared" si="308"/>
        <v>0</v>
      </c>
    </row>
    <row r="286" spans="1:63" s="100" customFormat="1" ht="16" hidden="1" customHeight="1">
      <c r="A286" s="137" t="s">
        <v>30</v>
      </c>
      <c r="B286" s="21" t="s">
        <v>729</v>
      </c>
      <c r="C286" s="21" t="s">
        <v>730</v>
      </c>
      <c r="D286" s="20" t="s">
        <v>30</v>
      </c>
      <c r="E286" s="20" t="s">
        <v>723</v>
      </c>
      <c r="F286" s="20" t="s">
        <v>36</v>
      </c>
      <c r="G286" s="20" t="s">
        <v>37</v>
      </c>
      <c r="H286" s="20" t="s">
        <v>38</v>
      </c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138"/>
      <c r="Y286" s="138"/>
      <c r="Z286" s="139">
        <f t="shared" si="326"/>
        <v>0</v>
      </c>
      <c r="AA286" s="20"/>
      <c r="AB286" s="20"/>
      <c r="AC286" s="20"/>
      <c r="AD286" s="139">
        <f t="shared" si="309"/>
        <v>0</v>
      </c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0"/>
      <c r="AQ286" s="20"/>
      <c r="AR286" s="20"/>
      <c r="AS286" s="20"/>
      <c r="AT286" s="20">
        <f t="shared" si="310"/>
        <v>0</v>
      </c>
      <c r="AU286" s="20">
        <f t="shared" si="311"/>
        <v>0</v>
      </c>
      <c r="AV286" s="5"/>
      <c r="AW286" s="21">
        <f t="shared" si="312"/>
        <v>0</v>
      </c>
      <c r="AX286" s="140">
        <f t="shared" si="316"/>
        <v>0</v>
      </c>
      <c r="AY286" s="140">
        <f t="shared" si="317"/>
        <v>0</v>
      </c>
      <c r="AZ286" s="140">
        <f t="shared" si="318"/>
        <v>0</v>
      </c>
      <c r="BA286" s="140">
        <f t="shared" si="319"/>
        <v>0</v>
      </c>
      <c r="BB286" s="140">
        <f t="shared" si="320"/>
        <v>0</v>
      </c>
      <c r="BC286" s="140">
        <f t="shared" si="321"/>
        <v>0</v>
      </c>
      <c r="BD286" s="140">
        <f t="shared" si="322"/>
        <v>0</v>
      </c>
      <c r="BE286" s="140">
        <f t="shared" si="323"/>
        <v>0</v>
      </c>
      <c r="BF286" s="140">
        <f t="shared" si="324"/>
        <v>0</v>
      </c>
      <c r="BG286" s="140">
        <f t="shared" si="325"/>
        <v>0</v>
      </c>
      <c r="BH286" s="140">
        <f t="shared" si="305"/>
        <v>0</v>
      </c>
      <c r="BI286" s="140">
        <f t="shared" si="306"/>
        <v>0</v>
      </c>
      <c r="BJ286" s="140">
        <f t="shared" si="307"/>
        <v>0</v>
      </c>
      <c r="BK286" s="140">
        <f t="shared" si="308"/>
        <v>0</v>
      </c>
    </row>
    <row r="287" spans="1:63" s="100" customFormat="1" ht="16" hidden="1" customHeight="1">
      <c r="A287" s="137" t="s">
        <v>30</v>
      </c>
      <c r="B287" s="21" t="s">
        <v>731</v>
      </c>
      <c r="C287" s="21" t="s">
        <v>732</v>
      </c>
      <c r="D287" s="20" t="s">
        <v>30</v>
      </c>
      <c r="E287" s="20" t="s">
        <v>733</v>
      </c>
      <c r="F287" s="20" t="s">
        <v>36</v>
      </c>
      <c r="G287" s="20" t="s">
        <v>37</v>
      </c>
      <c r="H287" s="20" t="s">
        <v>38</v>
      </c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138"/>
      <c r="Y287" s="138"/>
      <c r="Z287" s="139">
        <f t="shared" si="326"/>
        <v>0</v>
      </c>
      <c r="AA287" s="20"/>
      <c r="AB287" s="20"/>
      <c r="AC287" s="20"/>
      <c r="AD287" s="139">
        <f t="shared" si="309"/>
        <v>0</v>
      </c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0"/>
      <c r="AQ287" s="20"/>
      <c r="AR287" s="20"/>
      <c r="AS287" s="20"/>
      <c r="AT287" s="20">
        <f t="shared" si="310"/>
        <v>0</v>
      </c>
      <c r="AU287" s="20">
        <f t="shared" si="311"/>
        <v>0</v>
      </c>
      <c r="AV287" s="5"/>
      <c r="AW287" s="21">
        <f t="shared" si="312"/>
        <v>0</v>
      </c>
      <c r="AX287" s="140">
        <f t="shared" si="316"/>
        <v>0</v>
      </c>
      <c r="AY287" s="140">
        <f t="shared" si="317"/>
        <v>0</v>
      </c>
      <c r="AZ287" s="140">
        <f t="shared" si="318"/>
        <v>0</v>
      </c>
      <c r="BA287" s="140">
        <f t="shared" si="319"/>
        <v>0</v>
      </c>
      <c r="BB287" s="140">
        <f t="shared" si="320"/>
        <v>0</v>
      </c>
      <c r="BC287" s="140">
        <f t="shared" si="321"/>
        <v>0</v>
      </c>
      <c r="BD287" s="140">
        <f t="shared" si="322"/>
        <v>0</v>
      </c>
      <c r="BE287" s="140">
        <f t="shared" si="323"/>
        <v>0</v>
      </c>
      <c r="BF287" s="140">
        <f t="shared" si="324"/>
        <v>0</v>
      </c>
      <c r="BG287" s="140">
        <f t="shared" si="325"/>
        <v>0</v>
      </c>
      <c r="BH287" s="140">
        <f t="shared" si="305"/>
        <v>0</v>
      </c>
      <c r="BI287" s="140">
        <f t="shared" si="306"/>
        <v>0</v>
      </c>
      <c r="BJ287" s="140">
        <f t="shared" si="307"/>
        <v>0</v>
      </c>
      <c r="BK287" s="140">
        <f t="shared" si="308"/>
        <v>0</v>
      </c>
    </row>
    <row r="288" spans="1:63" s="100" customFormat="1" ht="16" hidden="1" customHeight="1">
      <c r="A288" s="137" t="s">
        <v>30</v>
      </c>
      <c r="B288" s="21" t="s">
        <v>734</v>
      </c>
      <c r="C288" s="21" t="s">
        <v>735</v>
      </c>
      <c r="D288" s="20" t="s">
        <v>30</v>
      </c>
      <c r="E288" s="20" t="s">
        <v>736</v>
      </c>
      <c r="F288" s="20" t="s">
        <v>737</v>
      </c>
      <c r="G288" s="20" t="s">
        <v>37</v>
      </c>
      <c r="H288" s="20" t="s">
        <v>45</v>
      </c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138"/>
      <c r="Y288" s="138"/>
      <c r="Z288" s="139">
        <f t="shared" si="326"/>
        <v>0</v>
      </c>
      <c r="AA288" s="20"/>
      <c r="AB288" s="20"/>
      <c r="AC288" s="20"/>
      <c r="AD288" s="139">
        <f t="shared" si="309"/>
        <v>0</v>
      </c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0"/>
      <c r="AQ288" s="20"/>
      <c r="AR288" s="20"/>
      <c r="AS288" s="20"/>
      <c r="AT288" s="20">
        <f t="shared" si="310"/>
        <v>0</v>
      </c>
      <c r="AU288" s="20">
        <f t="shared" si="311"/>
        <v>0</v>
      </c>
      <c r="AV288" s="5"/>
      <c r="AW288" s="21">
        <f t="shared" si="312"/>
        <v>0</v>
      </c>
      <c r="AX288" s="140">
        <f t="shared" si="316"/>
        <v>0</v>
      </c>
      <c r="AY288" s="140">
        <f t="shared" si="317"/>
        <v>0</v>
      </c>
      <c r="AZ288" s="140">
        <f t="shared" si="318"/>
        <v>0</v>
      </c>
      <c r="BA288" s="140">
        <f t="shared" si="319"/>
        <v>0</v>
      </c>
      <c r="BB288" s="140">
        <f t="shared" si="320"/>
        <v>0</v>
      </c>
      <c r="BC288" s="140">
        <f t="shared" si="321"/>
        <v>0</v>
      </c>
      <c r="BD288" s="140">
        <f t="shared" si="322"/>
        <v>0</v>
      </c>
      <c r="BE288" s="140">
        <f t="shared" si="323"/>
        <v>0</v>
      </c>
      <c r="BF288" s="140">
        <f t="shared" si="324"/>
        <v>0</v>
      </c>
      <c r="BG288" s="140">
        <f t="shared" si="325"/>
        <v>0</v>
      </c>
      <c r="BH288" s="140">
        <f t="shared" si="305"/>
        <v>0</v>
      </c>
      <c r="BI288" s="140">
        <f t="shared" si="306"/>
        <v>0</v>
      </c>
      <c r="BJ288" s="140">
        <f t="shared" si="307"/>
        <v>0</v>
      </c>
      <c r="BK288" s="140">
        <f t="shared" si="308"/>
        <v>0</v>
      </c>
    </row>
    <row r="289" spans="1:63" s="100" customFormat="1" ht="16" hidden="1" customHeight="1">
      <c r="A289" s="137" t="s">
        <v>30</v>
      </c>
      <c r="B289" s="21" t="s">
        <v>738</v>
      </c>
      <c r="C289" s="21" t="s">
        <v>739</v>
      </c>
      <c r="D289" s="20" t="s">
        <v>30</v>
      </c>
      <c r="E289" s="20" t="s">
        <v>736</v>
      </c>
      <c r="F289" s="20" t="s">
        <v>740</v>
      </c>
      <c r="G289" s="20" t="s">
        <v>37</v>
      </c>
      <c r="H289" s="20" t="s">
        <v>45</v>
      </c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138"/>
      <c r="Y289" s="138"/>
      <c r="Z289" s="139">
        <f t="shared" si="326"/>
        <v>0</v>
      </c>
      <c r="AA289" s="20"/>
      <c r="AB289" s="20"/>
      <c r="AC289" s="20"/>
      <c r="AD289" s="139">
        <f t="shared" si="309"/>
        <v>0</v>
      </c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0"/>
      <c r="AQ289" s="20"/>
      <c r="AR289" s="20"/>
      <c r="AS289" s="20"/>
      <c r="AT289" s="20">
        <f t="shared" si="310"/>
        <v>0</v>
      </c>
      <c r="AU289" s="20">
        <f t="shared" si="311"/>
        <v>0</v>
      </c>
      <c r="AV289" s="5"/>
      <c r="AW289" s="21">
        <f t="shared" si="312"/>
        <v>0</v>
      </c>
      <c r="AX289" s="140">
        <f t="shared" si="316"/>
        <v>0</v>
      </c>
      <c r="AY289" s="140">
        <f t="shared" si="317"/>
        <v>0</v>
      </c>
      <c r="AZ289" s="140">
        <f t="shared" si="318"/>
        <v>0</v>
      </c>
      <c r="BA289" s="140">
        <f t="shared" si="319"/>
        <v>0</v>
      </c>
      <c r="BB289" s="140">
        <f t="shared" si="320"/>
        <v>0</v>
      </c>
      <c r="BC289" s="140">
        <f t="shared" si="321"/>
        <v>0</v>
      </c>
      <c r="BD289" s="140">
        <f t="shared" si="322"/>
        <v>0</v>
      </c>
      <c r="BE289" s="140">
        <f t="shared" si="323"/>
        <v>0</v>
      </c>
      <c r="BF289" s="140">
        <f t="shared" si="324"/>
        <v>0</v>
      </c>
      <c r="BG289" s="140">
        <f t="shared" si="325"/>
        <v>0</v>
      </c>
      <c r="BH289" s="140">
        <f t="shared" si="305"/>
        <v>0</v>
      </c>
      <c r="BI289" s="140">
        <f t="shared" si="306"/>
        <v>0</v>
      </c>
      <c r="BJ289" s="140">
        <f t="shared" si="307"/>
        <v>0</v>
      </c>
      <c r="BK289" s="140">
        <f t="shared" si="308"/>
        <v>0</v>
      </c>
    </row>
    <row r="290" spans="1:63" s="100" customFormat="1" ht="16" hidden="1" customHeight="1">
      <c r="A290" s="137" t="s">
        <v>30</v>
      </c>
      <c r="B290" s="20" t="s">
        <v>741</v>
      </c>
      <c r="C290" s="20" t="s">
        <v>742</v>
      </c>
      <c r="D290" s="20" t="s">
        <v>30</v>
      </c>
      <c r="E290" s="20" t="s">
        <v>743</v>
      </c>
      <c r="F290" s="20" t="s">
        <v>36</v>
      </c>
      <c r="G290" s="20" t="s">
        <v>37</v>
      </c>
      <c r="H290" s="20" t="s">
        <v>38</v>
      </c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138"/>
      <c r="Y290" s="138"/>
      <c r="Z290" s="139">
        <f t="shared" ref="Z290:Z311" si="327">X290-Y290+AC290</f>
        <v>0</v>
      </c>
      <c r="AA290" s="20"/>
      <c r="AB290" s="20"/>
      <c r="AC290" s="20"/>
      <c r="AD290" s="139">
        <f t="shared" si="309"/>
        <v>0</v>
      </c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0"/>
      <c r="AQ290" s="20"/>
      <c r="AR290" s="20"/>
      <c r="AS290" s="20"/>
      <c r="AT290" s="20">
        <f t="shared" si="310"/>
        <v>0</v>
      </c>
      <c r="AU290" s="20">
        <f t="shared" si="311"/>
        <v>0</v>
      </c>
      <c r="AV290" s="5"/>
      <c r="AW290" s="21">
        <f t="shared" si="312"/>
        <v>0</v>
      </c>
      <c r="AX290" s="140">
        <f t="shared" si="316"/>
        <v>0</v>
      </c>
      <c r="AY290" s="140">
        <f t="shared" si="317"/>
        <v>0</v>
      </c>
      <c r="AZ290" s="140">
        <f t="shared" si="318"/>
        <v>0</v>
      </c>
      <c r="BA290" s="140">
        <f t="shared" si="319"/>
        <v>0</v>
      </c>
      <c r="BB290" s="140">
        <f t="shared" si="320"/>
        <v>0</v>
      </c>
      <c r="BC290" s="140">
        <f t="shared" si="321"/>
        <v>0</v>
      </c>
      <c r="BD290" s="140">
        <f t="shared" si="322"/>
        <v>0</v>
      </c>
      <c r="BE290" s="140">
        <f t="shared" si="323"/>
        <v>0</v>
      </c>
      <c r="BF290" s="140">
        <f t="shared" si="324"/>
        <v>0</v>
      </c>
      <c r="BG290" s="140">
        <f t="shared" si="325"/>
        <v>0</v>
      </c>
      <c r="BH290" s="140">
        <f t="shared" si="305"/>
        <v>0</v>
      </c>
      <c r="BI290" s="140">
        <f t="shared" si="306"/>
        <v>0</v>
      </c>
      <c r="BJ290" s="140">
        <f t="shared" si="307"/>
        <v>0</v>
      </c>
      <c r="BK290" s="140">
        <f t="shared" si="308"/>
        <v>0</v>
      </c>
    </row>
    <row r="291" spans="1:63" s="100" customFormat="1" ht="16" hidden="1" customHeight="1">
      <c r="A291" s="137" t="s">
        <v>30</v>
      </c>
      <c r="B291" s="20" t="s">
        <v>744</v>
      </c>
      <c r="C291" s="20" t="s">
        <v>745</v>
      </c>
      <c r="D291" s="20" t="s">
        <v>30</v>
      </c>
      <c r="E291" s="20" t="s">
        <v>746</v>
      </c>
      <c r="F291" s="20" t="s">
        <v>36</v>
      </c>
      <c r="G291" s="20" t="s">
        <v>37</v>
      </c>
      <c r="H291" s="20" t="s">
        <v>45</v>
      </c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138"/>
      <c r="Y291" s="138"/>
      <c r="Z291" s="139">
        <f t="shared" si="327"/>
        <v>0</v>
      </c>
      <c r="AA291" s="20"/>
      <c r="AB291" s="20"/>
      <c r="AC291" s="20"/>
      <c r="AD291" s="139">
        <f t="shared" si="309"/>
        <v>0</v>
      </c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0"/>
      <c r="AQ291" s="20"/>
      <c r="AR291" s="20"/>
      <c r="AS291" s="20"/>
      <c r="AT291" s="20">
        <f t="shared" si="310"/>
        <v>0</v>
      </c>
      <c r="AU291" s="20">
        <f t="shared" si="311"/>
        <v>0</v>
      </c>
      <c r="AV291" s="5"/>
      <c r="AW291" s="21">
        <f t="shared" si="312"/>
        <v>0</v>
      </c>
      <c r="AX291" s="140">
        <f t="shared" si="316"/>
        <v>0</v>
      </c>
      <c r="AY291" s="140">
        <f t="shared" si="317"/>
        <v>0</v>
      </c>
      <c r="AZ291" s="140">
        <f t="shared" si="318"/>
        <v>0</v>
      </c>
      <c r="BA291" s="140">
        <f t="shared" si="319"/>
        <v>0</v>
      </c>
      <c r="BB291" s="140">
        <f t="shared" si="320"/>
        <v>0</v>
      </c>
      <c r="BC291" s="140">
        <f t="shared" si="321"/>
        <v>0</v>
      </c>
      <c r="BD291" s="140">
        <f t="shared" si="322"/>
        <v>0</v>
      </c>
      <c r="BE291" s="140">
        <f t="shared" si="323"/>
        <v>0</v>
      </c>
      <c r="BF291" s="140">
        <f t="shared" si="324"/>
        <v>0</v>
      </c>
      <c r="BG291" s="140">
        <f t="shared" si="325"/>
        <v>0</v>
      </c>
      <c r="BH291" s="140">
        <f t="shared" si="305"/>
        <v>0</v>
      </c>
      <c r="BI291" s="140">
        <f t="shared" si="306"/>
        <v>0</v>
      </c>
      <c r="BJ291" s="140">
        <f t="shared" si="307"/>
        <v>0</v>
      </c>
      <c r="BK291" s="140">
        <f t="shared" si="308"/>
        <v>0</v>
      </c>
    </row>
    <row r="292" spans="1:63" s="100" customFormat="1" ht="16" hidden="1" customHeight="1">
      <c r="A292" s="137" t="s">
        <v>30</v>
      </c>
      <c r="B292" s="20" t="s">
        <v>747</v>
      </c>
      <c r="C292" s="20" t="s">
        <v>748</v>
      </c>
      <c r="D292" s="20" t="s">
        <v>30</v>
      </c>
      <c r="E292" s="20" t="s">
        <v>749</v>
      </c>
      <c r="F292" s="20" t="s">
        <v>709</v>
      </c>
      <c r="G292" s="20" t="s">
        <v>58</v>
      </c>
      <c r="H292" s="20" t="s">
        <v>45</v>
      </c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138"/>
      <c r="Y292" s="138"/>
      <c r="Z292" s="139">
        <f t="shared" si="327"/>
        <v>0</v>
      </c>
      <c r="AA292" s="20"/>
      <c r="AB292" s="20"/>
      <c r="AC292" s="20"/>
      <c r="AD292" s="139">
        <f t="shared" si="309"/>
        <v>0</v>
      </c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0"/>
      <c r="AQ292" s="20"/>
      <c r="AR292" s="20"/>
      <c r="AS292" s="20"/>
      <c r="AT292" s="20">
        <f t="shared" si="310"/>
        <v>0</v>
      </c>
      <c r="AU292" s="20">
        <f t="shared" si="311"/>
        <v>0</v>
      </c>
      <c r="AV292" s="5"/>
      <c r="AW292" s="21">
        <f t="shared" si="312"/>
        <v>0</v>
      </c>
      <c r="AX292" s="140">
        <f t="shared" si="316"/>
        <v>0</v>
      </c>
      <c r="AY292" s="140">
        <f t="shared" si="317"/>
        <v>0</v>
      </c>
      <c r="AZ292" s="140">
        <f t="shared" si="318"/>
        <v>0</v>
      </c>
      <c r="BA292" s="140">
        <f t="shared" si="319"/>
        <v>0</v>
      </c>
      <c r="BB292" s="140">
        <f t="shared" si="320"/>
        <v>0</v>
      </c>
      <c r="BC292" s="140">
        <f t="shared" si="321"/>
        <v>0</v>
      </c>
      <c r="BD292" s="140">
        <f t="shared" si="322"/>
        <v>0</v>
      </c>
      <c r="BE292" s="140">
        <f t="shared" si="323"/>
        <v>0</v>
      </c>
      <c r="BF292" s="140">
        <f t="shared" si="324"/>
        <v>0</v>
      </c>
      <c r="BG292" s="140">
        <f t="shared" si="325"/>
        <v>0</v>
      </c>
      <c r="BH292" s="140">
        <f t="shared" si="305"/>
        <v>0</v>
      </c>
      <c r="BI292" s="140">
        <f t="shared" si="306"/>
        <v>0</v>
      </c>
      <c r="BJ292" s="140">
        <f t="shared" si="307"/>
        <v>0</v>
      </c>
      <c r="BK292" s="140">
        <f t="shared" si="308"/>
        <v>0</v>
      </c>
    </row>
    <row r="293" spans="1:63" s="100" customFormat="1" ht="16" hidden="1" customHeight="1">
      <c r="A293" s="137" t="s">
        <v>30</v>
      </c>
      <c r="B293" s="20" t="s">
        <v>750</v>
      </c>
      <c r="C293" s="20" t="s">
        <v>751</v>
      </c>
      <c r="D293" s="20" t="s">
        <v>30</v>
      </c>
      <c r="E293" s="20" t="s">
        <v>752</v>
      </c>
      <c r="F293" s="20" t="s">
        <v>36</v>
      </c>
      <c r="G293" s="20" t="s">
        <v>37</v>
      </c>
      <c r="H293" s="20" t="s">
        <v>38</v>
      </c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138"/>
      <c r="Y293" s="138"/>
      <c r="Z293" s="139">
        <f t="shared" si="327"/>
        <v>0</v>
      </c>
      <c r="AA293" s="20"/>
      <c r="AB293" s="20"/>
      <c r="AC293" s="20"/>
      <c r="AD293" s="139">
        <f t="shared" si="309"/>
        <v>0</v>
      </c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0"/>
      <c r="AQ293" s="20"/>
      <c r="AR293" s="20"/>
      <c r="AS293" s="20"/>
      <c r="AT293" s="20">
        <f t="shared" si="310"/>
        <v>0</v>
      </c>
      <c r="AU293" s="20">
        <f t="shared" si="311"/>
        <v>0</v>
      </c>
      <c r="AV293" s="5"/>
      <c r="AW293" s="21">
        <f t="shared" si="312"/>
        <v>0</v>
      </c>
      <c r="AX293" s="140">
        <f t="shared" si="316"/>
        <v>0</v>
      </c>
      <c r="AY293" s="140">
        <f t="shared" si="317"/>
        <v>0</v>
      </c>
      <c r="AZ293" s="140">
        <f t="shared" si="318"/>
        <v>0</v>
      </c>
      <c r="BA293" s="140">
        <f t="shared" si="319"/>
        <v>0</v>
      </c>
      <c r="BB293" s="140">
        <f t="shared" si="320"/>
        <v>0</v>
      </c>
      <c r="BC293" s="140">
        <f t="shared" si="321"/>
        <v>0</v>
      </c>
      <c r="BD293" s="140">
        <f t="shared" si="322"/>
        <v>0</v>
      </c>
      <c r="BE293" s="140">
        <f t="shared" si="323"/>
        <v>0</v>
      </c>
      <c r="BF293" s="140">
        <f t="shared" si="324"/>
        <v>0</v>
      </c>
      <c r="BG293" s="140">
        <f t="shared" si="325"/>
        <v>0</v>
      </c>
      <c r="BH293" s="140">
        <f t="shared" si="305"/>
        <v>0</v>
      </c>
      <c r="BI293" s="140">
        <f t="shared" si="306"/>
        <v>0</v>
      </c>
      <c r="BJ293" s="140">
        <f t="shared" si="307"/>
        <v>0</v>
      </c>
      <c r="BK293" s="140">
        <f t="shared" si="308"/>
        <v>0</v>
      </c>
    </row>
    <row r="294" spans="1:63" s="100" customFormat="1" ht="16" hidden="1" customHeight="1">
      <c r="A294" s="137" t="s">
        <v>30</v>
      </c>
      <c r="B294" s="20" t="s">
        <v>753</v>
      </c>
      <c r="C294" s="20" t="s">
        <v>754</v>
      </c>
      <c r="D294" s="20" t="s">
        <v>30</v>
      </c>
      <c r="E294" s="20" t="s">
        <v>755</v>
      </c>
      <c r="F294" s="20" t="s">
        <v>709</v>
      </c>
      <c r="G294" s="20" t="s">
        <v>58</v>
      </c>
      <c r="H294" s="20" t="s">
        <v>45</v>
      </c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138"/>
      <c r="Y294" s="138"/>
      <c r="Z294" s="139">
        <f t="shared" si="327"/>
        <v>0</v>
      </c>
      <c r="AA294" s="20"/>
      <c r="AB294" s="20"/>
      <c r="AC294" s="20"/>
      <c r="AD294" s="139">
        <f t="shared" si="309"/>
        <v>0</v>
      </c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0"/>
      <c r="AQ294" s="20"/>
      <c r="AR294" s="20"/>
      <c r="AS294" s="20"/>
      <c r="AT294" s="20">
        <f t="shared" si="310"/>
        <v>0</v>
      </c>
      <c r="AU294" s="20">
        <f t="shared" si="311"/>
        <v>0</v>
      </c>
      <c r="AV294" s="5"/>
      <c r="AW294" s="21">
        <f t="shared" si="312"/>
        <v>0</v>
      </c>
      <c r="AX294" s="140">
        <f t="shared" si="316"/>
        <v>0</v>
      </c>
      <c r="AY294" s="140">
        <f t="shared" si="317"/>
        <v>0</v>
      </c>
      <c r="AZ294" s="140">
        <f t="shared" si="318"/>
        <v>0</v>
      </c>
      <c r="BA294" s="140">
        <f t="shared" si="319"/>
        <v>0</v>
      </c>
      <c r="BB294" s="140">
        <f t="shared" si="320"/>
        <v>0</v>
      </c>
      <c r="BC294" s="140">
        <f t="shared" si="321"/>
        <v>0</v>
      </c>
      <c r="BD294" s="140">
        <f t="shared" si="322"/>
        <v>0</v>
      </c>
      <c r="BE294" s="140">
        <f t="shared" si="323"/>
        <v>0</v>
      </c>
      <c r="BF294" s="140">
        <f t="shared" si="324"/>
        <v>0</v>
      </c>
      <c r="BG294" s="140">
        <f t="shared" si="325"/>
        <v>0</v>
      </c>
      <c r="BH294" s="140">
        <f t="shared" si="305"/>
        <v>0</v>
      </c>
      <c r="BI294" s="140">
        <f t="shared" si="306"/>
        <v>0</v>
      </c>
      <c r="BJ294" s="140">
        <f t="shared" si="307"/>
        <v>0</v>
      </c>
      <c r="BK294" s="140">
        <f t="shared" si="308"/>
        <v>0</v>
      </c>
    </row>
    <row r="295" spans="1:63" s="100" customFormat="1" ht="16" hidden="1" customHeight="1">
      <c r="A295" s="137" t="s">
        <v>30</v>
      </c>
      <c r="B295" s="20" t="s">
        <v>756</v>
      </c>
      <c r="C295" s="20" t="s">
        <v>757</v>
      </c>
      <c r="D295" s="20" t="s">
        <v>30</v>
      </c>
      <c r="E295" s="20" t="s">
        <v>758</v>
      </c>
      <c r="F295" s="20" t="s">
        <v>36</v>
      </c>
      <c r="G295" s="20" t="s">
        <v>37</v>
      </c>
      <c r="H295" s="20" t="s">
        <v>38</v>
      </c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138"/>
      <c r="Y295" s="138"/>
      <c r="Z295" s="139">
        <f t="shared" si="327"/>
        <v>0</v>
      </c>
      <c r="AA295" s="20"/>
      <c r="AB295" s="20"/>
      <c r="AC295" s="20"/>
      <c r="AD295" s="139">
        <f t="shared" si="309"/>
        <v>0</v>
      </c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0"/>
      <c r="AQ295" s="20"/>
      <c r="AR295" s="20"/>
      <c r="AS295" s="20"/>
      <c r="AT295" s="20">
        <f t="shared" si="310"/>
        <v>0</v>
      </c>
      <c r="AU295" s="20">
        <f t="shared" si="311"/>
        <v>0</v>
      </c>
      <c r="AV295" s="5"/>
      <c r="AW295" s="21">
        <f t="shared" si="312"/>
        <v>0</v>
      </c>
      <c r="AX295" s="140">
        <f t="shared" si="316"/>
        <v>0</v>
      </c>
      <c r="AY295" s="140">
        <f t="shared" si="317"/>
        <v>0</v>
      </c>
      <c r="AZ295" s="140">
        <f t="shared" si="318"/>
        <v>0</v>
      </c>
      <c r="BA295" s="140">
        <f t="shared" si="319"/>
        <v>0</v>
      </c>
      <c r="BB295" s="140">
        <f t="shared" si="320"/>
        <v>0</v>
      </c>
      <c r="BC295" s="140">
        <f t="shared" si="321"/>
        <v>0</v>
      </c>
      <c r="BD295" s="140">
        <f t="shared" si="322"/>
        <v>0</v>
      </c>
      <c r="BE295" s="140">
        <f t="shared" si="323"/>
        <v>0</v>
      </c>
      <c r="BF295" s="140">
        <f t="shared" si="324"/>
        <v>0</v>
      </c>
      <c r="BG295" s="140">
        <f t="shared" si="325"/>
        <v>0</v>
      </c>
      <c r="BH295" s="140">
        <f t="shared" si="305"/>
        <v>0</v>
      </c>
      <c r="BI295" s="140">
        <f t="shared" si="306"/>
        <v>0</v>
      </c>
      <c r="BJ295" s="140">
        <f t="shared" si="307"/>
        <v>0</v>
      </c>
      <c r="BK295" s="140">
        <f t="shared" si="308"/>
        <v>0</v>
      </c>
    </row>
    <row r="296" spans="1:63" s="100" customFormat="1" ht="16" hidden="1" customHeight="1">
      <c r="A296" s="137" t="s">
        <v>30</v>
      </c>
      <c r="B296" s="20" t="s">
        <v>759</v>
      </c>
      <c r="C296" s="20" t="s">
        <v>760</v>
      </c>
      <c r="D296" s="20" t="s">
        <v>30</v>
      </c>
      <c r="E296" s="20" t="s">
        <v>761</v>
      </c>
      <c r="F296" s="20" t="s">
        <v>36</v>
      </c>
      <c r="G296" s="20" t="s">
        <v>37</v>
      </c>
      <c r="H296" s="20" t="s">
        <v>45</v>
      </c>
      <c r="I296" s="7"/>
      <c r="J296" s="7"/>
      <c r="K296" s="7"/>
      <c r="L296" s="7"/>
      <c r="M296" s="7"/>
      <c r="N296" s="7"/>
      <c r="O296" s="20"/>
      <c r="P296" s="20"/>
      <c r="Q296" s="20"/>
      <c r="R296" s="20"/>
      <c r="S296" s="7"/>
      <c r="T296" s="7"/>
      <c r="U296" s="7"/>
      <c r="V296" s="7"/>
      <c r="W296" s="7"/>
      <c r="X296" s="138"/>
      <c r="Y296" s="138"/>
      <c r="Z296" s="139">
        <f t="shared" si="327"/>
        <v>0</v>
      </c>
      <c r="AA296" s="20"/>
      <c r="AB296" s="20"/>
      <c r="AC296" s="20"/>
      <c r="AD296" s="139">
        <f t="shared" ref="AD296:AD327" si="328">AB296-Y296+AA296+AC296</f>
        <v>0</v>
      </c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0"/>
      <c r="AQ296" s="20"/>
      <c r="AR296" s="20"/>
      <c r="AS296" s="20"/>
      <c r="AT296" s="20">
        <f t="shared" ref="AT296:AT327" si="329">SUM(AE296:AR296)</f>
        <v>0</v>
      </c>
      <c r="AU296" s="20">
        <f t="shared" ref="AU296:AU327" si="330">AD296-AT296</f>
        <v>0</v>
      </c>
      <c r="AV296" s="5"/>
      <c r="AW296" s="21">
        <f t="shared" ref="AW296:AW327" si="331">AE296+Y296-I296</f>
        <v>0</v>
      </c>
      <c r="AX296" s="140">
        <f t="shared" si="316"/>
        <v>0</v>
      </c>
      <c r="AY296" s="140">
        <f t="shared" si="317"/>
        <v>0</v>
      </c>
      <c r="AZ296" s="140">
        <f t="shared" si="318"/>
        <v>0</v>
      </c>
      <c r="BA296" s="140">
        <f t="shared" si="319"/>
        <v>0</v>
      </c>
      <c r="BB296" s="140">
        <f t="shared" si="320"/>
        <v>0</v>
      </c>
      <c r="BC296" s="140">
        <f t="shared" si="321"/>
        <v>0</v>
      </c>
      <c r="BD296" s="140">
        <f t="shared" si="322"/>
        <v>0</v>
      </c>
      <c r="BE296" s="140">
        <f t="shared" si="323"/>
        <v>0</v>
      </c>
      <c r="BF296" s="140">
        <f t="shared" si="324"/>
        <v>0</v>
      </c>
      <c r="BG296" s="140">
        <f t="shared" si="325"/>
        <v>0</v>
      </c>
      <c r="BH296" s="140">
        <f t="shared" si="305"/>
        <v>0</v>
      </c>
      <c r="BI296" s="140">
        <f t="shared" si="306"/>
        <v>0</v>
      </c>
      <c r="BJ296" s="140">
        <f t="shared" si="307"/>
        <v>0</v>
      </c>
      <c r="BK296" s="140">
        <f t="shared" si="308"/>
        <v>0</v>
      </c>
    </row>
    <row r="297" spans="1:63" s="100" customFormat="1" ht="16" hidden="1" customHeight="1">
      <c r="A297" s="137" t="s">
        <v>30</v>
      </c>
      <c r="B297" s="20" t="s">
        <v>762</v>
      </c>
      <c r="C297" s="20" t="s">
        <v>763</v>
      </c>
      <c r="D297" s="20" t="s">
        <v>30</v>
      </c>
      <c r="E297" s="20" t="s">
        <v>758</v>
      </c>
      <c r="F297" s="20" t="s">
        <v>36</v>
      </c>
      <c r="G297" s="20" t="s">
        <v>37</v>
      </c>
      <c r="H297" s="20" t="s">
        <v>38</v>
      </c>
      <c r="I297" s="7"/>
      <c r="J297" s="7"/>
      <c r="K297" s="7"/>
      <c r="L297" s="7"/>
      <c r="M297" s="7"/>
      <c r="N297" s="7"/>
      <c r="O297" s="20"/>
      <c r="P297" s="20"/>
      <c r="Q297" s="20"/>
      <c r="R297" s="20"/>
      <c r="S297" s="7"/>
      <c r="T297" s="7"/>
      <c r="U297" s="7"/>
      <c r="V297" s="7"/>
      <c r="W297" s="7"/>
      <c r="X297" s="138"/>
      <c r="Y297" s="138"/>
      <c r="Z297" s="139">
        <f t="shared" si="327"/>
        <v>0</v>
      </c>
      <c r="AA297" s="20"/>
      <c r="AB297" s="20"/>
      <c r="AC297" s="20"/>
      <c r="AD297" s="139">
        <f t="shared" si="328"/>
        <v>0</v>
      </c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0"/>
      <c r="AQ297" s="20"/>
      <c r="AR297" s="20"/>
      <c r="AS297" s="20"/>
      <c r="AT297" s="20">
        <f t="shared" si="329"/>
        <v>0</v>
      </c>
      <c r="AU297" s="20">
        <f t="shared" si="330"/>
        <v>0</v>
      </c>
      <c r="AV297" s="5"/>
      <c r="AW297" s="21">
        <f t="shared" si="331"/>
        <v>0</v>
      </c>
      <c r="AX297" s="140">
        <f t="shared" si="316"/>
        <v>0</v>
      </c>
      <c r="AY297" s="140">
        <f t="shared" si="317"/>
        <v>0</v>
      </c>
      <c r="AZ297" s="140">
        <f t="shared" si="318"/>
        <v>0</v>
      </c>
      <c r="BA297" s="140">
        <f t="shared" si="319"/>
        <v>0</v>
      </c>
      <c r="BB297" s="140">
        <f t="shared" si="320"/>
        <v>0</v>
      </c>
      <c r="BC297" s="140">
        <f t="shared" si="321"/>
        <v>0</v>
      </c>
      <c r="BD297" s="140">
        <f t="shared" si="322"/>
        <v>0</v>
      </c>
      <c r="BE297" s="140">
        <f t="shared" si="323"/>
        <v>0</v>
      </c>
      <c r="BF297" s="140">
        <f t="shared" si="324"/>
        <v>0</v>
      </c>
      <c r="BG297" s="140">
        <f t="shared" si="325"/>
        <v>0</v>
      </c>
      <c r="BH297" s="140">
        <f t="shared" si="305"/>
        <v>0</v>
      </c>
      <c r="BI297" s="140">
        <f t="shared" si="306"/>
        <v>0</v>
      </c>
      <c r="BJ297" s="140">
        <f t="shared" si="307"/>
        <v>0</v>
      </c>
      <c r="BK297" s="140">
        <f t="shared" si="308"/>
        <v>0</v>
      </c>
    </row>
    <row r="298" spans="1:63" s="100" customFormat="1" ht="16" hidden="1" customHeight="1">
      <c r="A298" s="137" t="s">
        <v>30</v>
      </c>
      <c r="B298" s="20" t="s">
        <v>764</v>
      </c>
      <c r="C298" s="20" t="s">
        <v>765</v>
      </c>
      <c r="D298" s="20" t="s">
        <v>30</v>
      </c>
      <c r="E298" s="20" t="s">
        <v>766</v>
      </c>
      <c r="F298" s="20" t="s">
        <v>36</v>
      </c>
      <c r="G298" s="20" t="s">
        <v>37</v>
      </c>
      <c r="H298" s="20" t="s">
        <v>45</v>
      </c>
      <c r="I298" s="7"/>
      <c r="J298" s="7"/>
      <c r="K298" s="7"/>
      <c r="L298" s="7"/>
      <c r="M298" s="7"/>
      <c r="N298" s="7"/>
      <c r="O298" s="20"/>
      <c r="P298" s="20"/>
      <c r="Q298" s="20"/>
      <c r="R298" s="20"/>
      <c r="S298" s="7"/>
      <c r="T298" s="7"/>
      <c r="U298" s="7"/>
      <c r="V298" s="7"/>
      <c r="W298" s="7"/>
      <c r="X298" s="138"/>
      <c r="Y298" s="138"/>
      <c r="Z298" s="139">
        <f t="shared" si="327"/>
        <v>0</v>
      </c>
      <c r="AA298" s="20"/>
      <c r="AB298" s="20"/>
      <c r="AC298" s="20"/>
      <c r="AD298" s="139">
        <f t="shared" si="328"/>
        <v>0</v>
      </c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0"/>
      <c r="AQ298" s="20"/>
      <c r="AR298" s="20"/>
      <c r="AS298" s="20"/>
      <c r="AT298" s="20">
        <f t="shared" si="329"/>
        <v>0</v>
      </c>
      <c r="AU298" s="20">
        <f t="shared" si="330"/>
        <v>0</v>
      </c>
      <c r="AV298" s="5"/>
      <c r="AW298" s="21">
        <f t="shared" si="331"/>
        <v>0</v>
      </c>
      <c r="AX298" s="140">
        <f t="shared" si="316"/>
        <v>0</v>
      </c>
      <c r="AY298" s="140">
        <f t="shared" si="317"/>
        <v>0</v>
      </c>
      <c r="AZ298" s="140">
        <f t="shared" si="318"/>
        <v>0</v>
      </c>
      <c r="BA298" s="140">
        <f t="shared" si="319"/>
        <v>0</v>
      </c>
      <c r="BB298" s="140">
        <f t="shared" si="320"/>
        <v>0</v>
      </c>
      <c r="BC298" s="140">
        <f t="shared" si="321"/>
        <v>0</v>
      </c>
      <c r="BD298" s="140">
        <f t="shared" si="322"/>
        <v>0</v>
      </c>
      <c r="BE298" s="140">
        <f t="shared" si="323"/>
        <v>0</v>
      </c>
      <c r="BF298" s="140">
        <f t="shared" si="324"/>
        <v>0</v>
      </c>
      <c r="BG298" s="140">
        <f t="shared" si="325"/>
        <v>0</v>
      </c>
      <c r="BH298" s="140">
        <f t="shared" si="305"/>
        <v>0</v>
      </c>
      <c r="BI298" s="140">
        <f t="shared" si="306"/>
        <v>0</v>
      </c>
      <c r="BJ298" s="140">
        <f t="shared" si="307"/>
        <v>0</v>
      </c>
      <c r="BK298" s="140">
        <f t="shared" si="308"/>
        <v>0</v>
      </c>
    </row>
    <row r="299" spans="1:63" s="100" customFormat="1" ht="16" hidden="1" customHeight="1">
      <c r="A299" s="137" t="s">
        <v>30</v>
      </c>
      <c r="B299" s="20" t="s">
        <v>767</v>
      </c>
      <c r="C299" s="20" t="s">
        <v>768</v>
      </c>
      <c r="D299" s="20" t="s">
        <v>30</v>
      </c>
      <c r="E299" s="20" t="s">
        <v>761</v>
      </c>
      <c r="F299" s="20" t="s">
        <v>36</v>
      </c>
      <c r="G299" s="20" t="s">
        <v>37</v>
      </c>
      <c r="H299" s="20" t="s">
        <v>45</v>
      </c>
      <c r="I299" s="7"/>
      <c r="J299" s="7"/>
      <c r="K299" s="7"/>
      <c r="L299" s="7"/>
      <c r="M299" s="7"/>
      <c r="N299" s="7"/>
      <c r="O299" s="20"/>
      <c r="P299" s="20"/>
      <c r="Q299" s="20"/>
      <c r="R299" s="20"/>
      <c r="S299" s="7"/>
      <c r="T299" s="7"/>
      <c r="U299" s="7"/>
      <c r="V299" s="7"/>
      <c r="W299" s="7"/>
      <c r="X299" s="138"/>
      <c r="Y299" s="138"/>
      <c r="Z299" s="139">
        <f t="shared" si="327"/>
        <v>0</v>
      </c>
      <c r="AA299" s="20"/>
      <c r="AB299" s="20"/>
      <c r="AC299" s="20"/>
      <c r="AD299" s="139">
        <f t="shared" si="328"/>
        <v>0</v>
      </c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0"/>
      <c r="AQ299" s="20"/>
      <c r="AR299" s="20"/>
      <c r="AS299" s="20"/>
      <c r="AT299" s="20">
        <f t="shared" si="329"/>
        <v>0</v>
      </c>
      <c r="AU299" s="20">
        <f t="shared" si="330"/>
        <v>0</v>
      </c>
      <c r="AV299" s="5"/>
      <c r="AW299" s="21">
        <f t="shared" si="331"/>
        <v>0</v>
      </c>
      <c r="AX299" s="140">
        <f t="shared" si="316"/>
        <v>0</v>
      </c>
      <c r="AY299" s="140">
        <f t="shared" si="317"/>
        <v>0</v>
      </c>
      <c r="AZ299" s="140">
        <f t="shared" si="318"/>
        <v>0</v>
      </c>
      <c r="BA299" s="140">
        <f t="shared" si="319"/>
        <v>0</v>
      </c>
      <c r="BB299" s="140">
        <f t="shared" si="320"/>
        <v>0</v>
      </c>
      <c r="BC299" s="140">
        <f t="shared" si="321"/>
        <v>0</v>
      </c>
      <c r="BD299" s="140">
        <f t="shared" si="322"/>
        <v>0</v>
      </c>
      <c r="BE299" s="140">
        <f t="shared" si="323"/>
        <v>0</v>
      </c>
      <c r="BF299" s="140">
        <f t="shared" si="324"/>
        <v>0</v>
      </c>
      <c r="BG299" s="140">
        <f t="shared" si="325"/>
        <v>0</v>
      </c>
      <c r="BH299" s="140">
        <f t="shared" si="305"/>
        <v>0</v>
      </c>
      <c r="BI299" s="140">
        <f t="shared" si="306"/>
        <v>0</v>
      </c>
      <c r="BJ299" s="140">
        <f t="shared" si="307"/>
        <v>0</v>
      </c>
      <c r="BK299" s="140">
        <f t="shared" si="308"/>
        <v>0</v>
      </c>
    </row>
    <row r="300" spans="1:63" s="100" customFormat="1" ht="16" hidden="1" customHeight="1">
      <c r="A300" s="137" t="s">
        <v>30</v>
      </c>
      <c r="B300" s="20" t="s">
        <v>769</v>
      </c>
      <c r="C300" s="20" t="s">
        <v>770</v>
      </c>
      <c r="D300" s="20" t="s">
        <v>30</v>
      </c>
      <c r="E300" s="20" t="s">
        <v>771</v>
      </c>
      <c r="F300" s="20" t="s">
        <v>36</v>
      </c>
      <c r="G300" s="20" t="s">
        <v>37</v>
      </c>
      <c r="H300" s="20" t="s">
        <v>45</v>
      </c>
      <c r="I300" s="7"/>
      <c r="J300" s="7"/>
      <c r="K300" s="7"/>
      <c r="L300" s="7"/>
      <c r="M300" s="7"/>
      <c r="N300" s="7"/>
      <c r="O300" s="20"/>
      <c r="P300" s="20"/>
      <c r="Q300" s="20"/>
      <c r="R300" s="20"/>
      <c r="S300" s="7"/>
      <c r="T300" s="7"/>
      <c r="U300" s="7"/>
      <c r="V300" s="7"/>
      <c r="W300" s="7"/>
      <c r="X300" s="138"/>
      <c r="Y300" s="138"/>
      <c r="Z300" s="139">
        <f t="shared" si="327"/>
        <v>0</v>
      </c>
      <c r="AA300" s="20"/>
      <c r="AB300" s="20"/>
      <c r="AC300" s="20"/>
      <c r="AD300" s="139">
        <f t="shared" si="328"/>
        <v>0</v>
      </c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0"/>
      <c r="AQ300" s="20"/>
      <c r="AR300" s="20"/>
      <c r="AS300" s="20"/>
      <c r="AT300" s="20">
        <f t="shared" si="329"/>
        <v>0</v>
      </c>
      <c r="AU300" s="20">
        <f t="shared" si="330"/>
        <v>0</v>
      </c>
      <c r="AV300" s="5"/>
      <c r="AW300" s="21">
        <f t="shared" si="331"/>
        <v>0</v>
      </c>
      <c r="AX300" s="140">
        <f t="shared" si="316"/>
        <v>0</v>
      </c>
      <c r="AY300" s="140">
        <f t="shared" si="317"/>
        <v>0</v>
      </c>
      <c r="AZ300" s="140">
        <f t="shared" si="318"/>
        <v>0</v>
      </c>
      <c r="BA300" s="140">
        <f t="shared" si="319"/>
        <v>0</v>
      </c>
      <c r="BB300" s="140">
        <f t="shared" si="320"/>
        <v>0</v>
      </c>
      <c r="BC300" s="140">
        <f t="shared" si="321"/>
        <v>0</v>
      </c>
      <c r="BD300" s="140">
        <f t="shared" si="322"/>
        <v>0</v>
      </c>
      <c r="BE300" s="140">
        <f t="shared" si="323"/>
        <v>0</v>
      </c>
      <c r="BF300" s="140">
        <f t="shared" si="324"/>
        <v>0</v>
      </c>
      <c r="BG300" s="140">
        <f t="shared" si="325"/>
        <v>0</v>
      </c>
      <c r="BH300" s="140">
        <f t="shared" si="305"/>
        <v>0</v>
      </c>
      <c r="BI300" s="140">
        <f t="shared" si="306"/>
        <v>0</v>
      </c>
      <c r="BJ300" s="140">
        <f t="shared" si="307"/>
        <v>0</v>
      </c>
      <c r="BK300" s="140">
        <f t="shared" si="308"/>
        <v>0</v>
      </c>
    </row>
    <row r="301" spans="1:63" s="100" customFormat="1" ht="16" hidden="1" customHeight="1">
      <c r="A301" s="137" t="s">
        <v>30</v>
      </c>
      <c r="B301" s="20" t="s">
        <v>772</v>
      </c>
      <c r="C301" s="20" t="s">
        <v>773</v>
      </c>
      <c r="D301" s="20" t="s">
        <v>30</v>
      </c>
      <c r="E301" s="20" t="s">
        <v>743</v>
      </c>
      <c r="F301" s="20" t="s">
        <v>36</v>
      </c>
      <c r="G301" s="20" t="s">
        <v>37</v>
      </c>
      <c r="H301" s="20" t="s">
        <v>38</v>
      </c>
      <c r="I301" s="7"/>
      <c r="J301" s="7"/>
      <c r="K301" s="7"/>
      <c r="L301" s="7"/>
      <c r="M301" s="7"/>
      <c r="N301" s="7"/>
      <c r="O301" s="20"/>
      <c r="P301" s="20"/>
      <c r="Q301" s="20"/>
      <c r="R301" s="20"/>
      <c r="S301" s="7"/>
      <c r="T301" s="7"/>
      <c r="U301" s="7"/>
      <c r="V301" s="7"/>
      <c r="W301" s="7"/>
      <c r="X301" s="138"/>
      <c r="Y301" s="138"/>
      <c r="Z301" s="139">
        <f t="shared" si="327"/>
        <v>0</v>
      </c>
      <c r="AA301" s="20"/>
      <c r="AB301" s="20"/>
      <c r="AC301" s="20"/>
      <c r="AD301" s="139">
        <f t="shared" si="328"/>
        <v>0</v>
      </c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0"/>
      <c r="AQ301" s="20"/>
      <c r="AR301" s="20"/>
      <c r="AS301" s="20"/>
      <c r="AT301" s="20">
        <f t="shared" si="329"/>
        <v>0</v>
      </c>
      <c r="AU301" s="20">
        <f t="shared" si="330"/>
        <v>0</v>
      </c>
      <c r="AV301" s="5"/>
      <c r="AW301" s="21">
        <f t="shared" si="331"/>
        <v>0</v>
      </c>
      <c r="AX301" s="140">
        <f t="shared" si="316"/>
        <v>0</v>
      </c>
      <c r="AY301" s="140">
        <f t="shared" si="317"/>
        <v>0</v>
      </c>
      <c r="AZ301" s="140">
        <f t="shared" si="318"/>
        <v>0</v>
      </c>
      <c r="BA301" s="140">
        <f t="shared" si="319"/>
        <v>0</v>
      </c>
      <c r="BB301" s="140">
        <f t="shared" si="320"/>
        <v>0</v>
      </c>
      <c r="BC301" s="140">
        <f t="shared" si="321"/>
        <v>0</v>
      </c>
      <c r="BD301" s="140">
        <f t="shared" si="322"/>
        <v>0</v>
      </c>
      <c r="BE301" s="140">
        <f t="shared" si="323"/>
        <v>0</v>
      </c>
      <c r="BF301" s="140">
        <f t="shared" si="324"/>
        <v>0</v>
      </c>
      <c r="BG301" s="140">
        <f t="shared" si="325"/>
        <v>0</v>
      </c>
      <c r="BH301" s="140">
        <f t="shared" si="305"/>
        <v>0</v>
      </c>
      <c r="BI301" s="140">
        <f t="shared" si="306"/>
        <v>0</v>
      </c>
      <c r="BJ301" s="140">
        <f t="shared" si="307"/>
        <v>0</v>
      </c>
      <c r="BK301" s="140">
        <f t="shared" si="308"/>
        <v>0</v>
      </c>
    </row>
    <row r="302" spans="1:63" s="100" customFormat="1" ht="16" hidden="1" customHeight="1">
      <c r="A302" s="137" t="s">
        <v>30</v>
      </c>
      <c r="B302" s="20" t="s">
        <v>774</v>
      </c>
      <c r="C302" s="20" t="s">
        <v>775</v>
      </c>
      <c r="D302" s="20" t="s">
        <v>30</v>
      </c>
      <c r="E302" s="20" t="s">
        <v>743</v>
      </c>
      <c r="F302" s="20" t="s">
        <v>36</v>
      </c>
      <c r="G302" s="20" t="s">
        <v>37</v>
      </c>
      <c r="H302" s="20" t="s">
        <v>38</v>
      </c>
      <c r="I302" s="7"/>
      <c r="J302" s="7"/>
      <c r="K302" s="7"/>
      <c r="L302" s="7"/>
      <c r="M302" s="7"/>
      <c r="N302" s="7"/>
      <c r="O302" s="20"/>
      <c r="P302" s="20"/>
      <c r="Q302" s="20"/>
      <c r="R302" s="20"/>
      <c r="S302" s="7"/>
      <c r="T302" s="7"/>
      <c r="U302" s="7"/>
      <c r="V302" s="7"/>
      <c r="W302" s="7"/>
      <c r="X302" s="138"/>
      <c r="Y302" s="138"/>
      <c r="Z302" s="139">
        <f t="shared" si="327"/>
        <v>0</v>
      </c>
      <c r="AA302" s="20"/>
      <c r="AB302" s="20"/>
      <c r="AC302" s="20"/>
      <c r="AD302" s="139">
        <f t="shared" si="328"/>
        <v>0</v>
      </c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0"/>
      <c r="AQ302" s="20"/>
      <c r="AR302" s="20"/>
      <c r="AS302" s="20"/>
      <c r="AT302" s="20">
        <f t="shared" si="329"/>
        <v>0</v>
      </c>
      <c r="AU302" s="20">
        <f t="shared" si="330"/>
        <v>0</v>
      </c>
      <c r="AV302" s="5"/>
      <c r="AW302" s="21">
        <f t="shared" si="331"/>
        <v>0</v>
      </c>
      <c r="AX302" s="140">
        <f t="shared" si="316"/>
        <v>0</v>
      </c>
      <c r="AY302" s="140">
        <f t="shared" si="317"/>
        <v>0</v>
      </c>
      <c r="AZ302" s="140">
        <f t="shared" si="318"/>
        <v>0</v>
      </c>
      <c r="BA302" s="140">
        <f t="shared" si="319"/>
        <v>0</v>
      </c>
      <c r="BB302" s="140">
        <f t="shared" si="320"/>
        <v>0</v>
      </c>
      <c r="BC302" s="140">
        <f t="shared" si="321"/>
        <v>0</v>
      </c>
      <c r="BD302" s="140">
        <f t="shared" si="322"/>
        <v>0</v>
      </c>
      <c r="BE302" s="140">
        <f t="shared" si="323"/>
        <v>0</v>
      </c>
      <c r="BF302" s="140">
        <f t="shared" si="324"/>
        <v>0</v>
      </c>
      <c r="BG302" s="140">
        <f t="shared" si="325"/>
        <v>0</v>
      </c>
      <c r="BH302" s="140">
        <f t="shared" si="305"/>
        <v>0</v>
      </c>
      <c r="BI302" s="140">
        <f t="shared" si="306"/>
        <v>0</v>
      </c>
      <c r="BJ302" s="140">
        <f t="shared" si="307"/>
        <v>0</v>
      </c>
      <c r="BK302" s="140">
        <f t="shared" si="308"/>
        <v>0</v>
      </c>
    </row>
    <row r="303" spans="1:63" s="100" customFormat="1" ht="16" hidden="1" customHeight="1">
      <c r="A303" s="137" t="s">
        <v>30</v>
      </c>
      <c r="B303" s="20" t="s">
        <v>776</v>
      </c>
      <c r="C303" s="20" t="s">
        <v>777</v>
      </c>
      <c r="D303" s="20" t="s">
        <v>30</v>
      </c>
      <c r="E303" s="20" t="s">
        <v>778</v>
      </c>
      <c r="F303" s="20" t="s">
        <v>36</v>
      </c>
      <c r="G303" s="20" t="s">
        <v>37</v>
      </c>
      <c r="H303" s="20" t="s">
        <v>45</v>
      </c>
      <c r="I303" s="7"/>
      <c r="J303" s="7"/>
      <c r="K303" s="7"/>
      <c r="L303" s="7"/>
      <c r="M303" s="7"/>
      <c r="N303" s="7"/>
      <c r="O303" s="20"/>
      <c r="P303" s="20"/>
      <c r="Q303" s="20"/>
      <c r="R303" s="20"/>
      <c r="S303" s="7"/>
      <c r="T303" s="7"/>
      <c r="U303" s="7"/>
      <c r="V303" s="7"/>
      <c r="W303" s="7"/>
      <c r="X303" s="138"/>
      <c r="Y303" s="138"/>
      <c r="Z303" s="139">
        <f t="shared" si="327"/>
        <v>0</v>
      </c>
      <c r="AA303" s="20"/>
      <c r="AB303" s="20"/>
      <c r="AC303" s="20"/>
      <c r="AD303" s="139">
        <f t="shared" si="328"/>
        <v>0</v>
      </c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0"/>
      <c r="AQ303" s="20"/>
      <c r="AR303" s="20"/>
      <c r="AS303" s="20"/>
      <c r="AT303" s="20">
        <f t="shared" si="329"/>
        <v>0</v>
      </c>
      <c r="AU303" s="20">
        <f t="shared" si="330"/>
        <v>0</v>
      </c>
      <c r="AV303" s="5"/>
      <c r="AW303" s="21">
        <f t="shared" si="331"/>
        <v>0</v>
      </c>
      <c r="AX303" s="140">
        <f t="shared" si="316"/>
        <v>0</v>
      </c>
      <c r="AY303" s="140">
        <f t="shared" si="317"/>
        <v>0</v>
      </c>
      <c r="AZ303" s="140">
        <f t="shared" si="318"/>
        <v>0</v>
      </c>
      <c r="BA303" s="140">
        <f t="shared" si="319"/>
        <v>0</v>
      </c>
      <c r="BB303" s="140">
        <f t="shared" si="320"/>
        <v>0</v>
      </c>
      <c r="BC303" s="140">
        <f t="shared" si="321"/>
        <v>0</v>
      </c>
      <c r="BD303" s="140">
        <f t="shared" si="322"/>
        <v>0</v>
      </c>
      <c r="BE303" s="140">
        <f t="shared" si="323"/>
        <v>0</v>
      </c>
      <c r="BF303" s="140">
        <f t="shared" si="324"/>
        <v>0</v>
      </c>
      <c r="BG303" s="140">
        <f t="shared" si="325"/>
        <v>0</v>
      </c>
      <c r="BH303" s="140">
        <f t="shared" si="305"/>
        <v>0</v>
      </c>
      <c r="BI303" s="140">
        <f t="shared" si="306"/>
        <v>0</v>
      </c>
      <c r="BJ303" s="140">
        <f t="shared" si="307"/>
        <v>0</v>
      </c>
      <c r="BK303" s="140">
        <f t="shared" si="308"/>
        <v>0</v>
      </c>
    </row>
    <row r="304" spans="1:63" s="100" customFormat="1" ht="16" hidden="1" customHeight="1">
      <c r="A304" s="137" t="s">
        <v>30</v>
      </c>
      <c r="B304" s="20" t="s">
        <v>779</v>
      </c>
      <c r="C304" s="20" t="s">
        <v>780</v>
      </c>
      <c r="D304" s="20" t="s">
        <v>30</v>
      </c>
      <c r="E304" s="20" t="s">
        <v>752</v>
      </c>
      <c r="F304" s="20" t="s">
        <v>207</v>
      </c>
      <c r="G304" s="20" t="s">
        <v>37</v>
      </c>
      <c r="H304" s="20" t="s">
        <v>38</v>
      </c>
      <c r="I304" s="7"/>
      <c r="J304" s="7"/>
      <c r="K304" s="7"/>
      <c r="L304" s="7"/>
      <c r="M304" s="7"/>
      <c r="N304" s="7"/>
      <c r="O304" s="20"/>
      <c r="P304" s="20"/>
      <c r="Q304" s="20"/>
      <c r="R304" s="20"/>
      <c r="S304" s="7"/>
      <c r="T304" s="7"/>
      <c r="U304" s="7"/>
      <c r="V304" s="7"/>
      <c r="W304" s="7"/>
      <c r="X304" s="138"/>
      <c r="Y304" s="138"/>
      <c r="Z304" s="139">
        <f t="shared" si="327"/>
        <v>0</v>
      </c>
      <c r="AA304" s="20"/>
      <c r="AB304" s="20"/>
      <c r="AC304" s="20"/>
      <c r="AD304" s="139">
        <f t="shared" si="328"/>
        <v>0</v>
      </c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0"/>
      <c r="AQ304" s="20"/>
      <c r="AR304" s="20"/>
      <c r="AS304" s="20"/>
      <c r="AT304" s="20">
        <f t="shared" si="329"/>
        <v>0</v>
      </c>
      <c r="AU304" s="20">
        <f t="shared" si="330"/>
        <v>0</v>
      </c>
      <c r="AV304" s="5"/>
      <c r="AW304" s="21">
        <f t="shared" si="331"/>
        <v>0</v>
      </c>
      <c r="AX304" s="140">
        <f t="shared" si="316"/>
        <v>0</v>
      </c>
      <c r="AY304" s="140">
        <f t="shared" si="317"/>
        <v>0</v>
      </c>
      <c r="AZ304" s="140">
        <f t="shared" si="318"/>
        <v>0</v>
      </c>
      <c r="BA304" s="140">
        <f t="shared" si="319"/>
        <v>0</v>
      </c>
      <c r="BB304" s="140">
        <f t="shared" si="320"/>
        <v>0</v>
      </c>
      <c r="BC304" s="140">
        <f t="shared" si="321"/>
        <v>0</v>
      </c>
      <c r="BD304" s="140">
        <f t="shared" si="322"/>
        <v>0</v>
      </c>
      <c r="BE304" s="140">
        <f t="shared" si="323"/>
        <v>0</v>
      </c>
      <c r="BF304" s="140">
        <f t="shared" si="324"/>
        <v>0</v>
      </c>
      <c r="BG304" s="140">
        <f t="shared" si="325"/>
        <v>0</v>
      </c>
      <c r="BH304" s="140">
        <f t="shared" si="305"/>
        <v>0</v>
      </c>
      <c r="BI304" s="140">
        <f t="shared" si="306"/>
        <v>0</v>
      </c>
      <c r="BJ304" s="140">
        <f t="shared" si="307"/>
        <v>0</v>
      </c>
      <c r="BK304" s="140">
        <f t="shared" si="308"/>
        <v>0</v>
      </c>
    </row>
    <row r="305" spans="1:63" s="100" customFormat="1" ht="16" hidden="1" customHeight="1">
      <c r="A305" s="137" t="s">
        <v>30</v>
      </c>
      <c r="B305" s="20" t="s">
        <v>781</v>
      </c>
      <c r="C305" s="20" t="s">
        <v>782</v>
      </c>
      <c r="D305" s="20" t="s">
        <v>30</v>
      </c>
      <c r="E305" s="20" t="s">
        <v>752</v>
      </c>
      <c r="F305" s="20" t="s">
        <v>207</v>
      </c>
      <c r="G305" s="20" t="s">
        <v>37</v>
      </c>
      <c r="H305" s="20" t="s">
        <v>38</v>
      </c>
      <c r="I305" s="7"/>
      <c r="J305" s="7"/>
      <c r="K305" s="7"/>
      <c r="L305" s="7"/>
      <c r="M305" s="7"/>
      <c r="N305" s="7"/>
      <c r="O305" s="20"/>
      <c r="P305" s="20"/>
      <c r="Q305" s="20"/>
      <c r="R305" s="20"/>
      <c r="S305" s="7"/>
      <c r="T305" s="7"/>
      <c r="U305" s="7"/>
      <c r="V305" s="7"/>
      <c r="W305" s="7"/>
      <c r="X305" s="138"/>
      <c r="Y305" s="138"/>
      <c r="Z305" s="139">
        <f t="shared" si="327"/>
        <v>0</v>
      </c>
      <c r="AA305" s="20"/>
      <c r="AB305" s="20"/>
      <c r="AC305" s="20"/>
      <c r="AD305" s="139">
        <f t="shared" si="328"/>
        <v>0</v>
      </c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0"/>
      <c r="AQ305" s="20"/>
      <c r="AR305" s="20"/>
      <c r="AS305" s="20"/>
      <c r="AT305" s="20">
        <f t="shared" si="329"/>
        <v>0</v>
      </c>
      <c r="AU305" s="20">
        <f t="shared" si="330"/>
        <v>0</v>
      </c>
      <c r="AV305" s="5"/>
      <c r="AW305" s="21">
        <f t="shared" si="331"/>
        <v>0</v>
      </c>
      <c r="AX305" s="140">
        <f t="shared" si="316"/>
        <v>0</v>
      </c>
      <c r="AY305" s="140">
        <f t="shared" si="317"/>
        <v>0</v>
      </c>
      <c r="AZ305" s="140">
        <f t="shared" si="318"/>
        <v>0</v>
      </c>
      <c r="BA305" s="140">
        <f t="shared" si="319"/>
        <v>0</v>
      </c>
      <c r="BB305" s="140">
        <f t="shared" si="320"/>
        <v>0</v>
      </c>
      <c r="BC305" s="140">
        <f t="shared" si="321"/>
        <v>0</v>
      </c>
      <c r="BD305" s="140">
        <f t="shared" si="322"/>
        <v>0</v>
      </c>
      <c r="BE305" s="140">
        <f t="shared" si="323"/>
        <v>0</v>
      </c>
      <c r="BF305" s="140">
        <f t="shared" si="324"/>
        <v>0</v>
      </c>
      <c r="BG305" s="140">
        <f t="shared" si="325"/>
        <v>0</v>
      </c>
      <c r="BH305" s="140">
        <f t="shared" si="305"/>
        <v>0</v>
      </c>
      <c r="BI305" s="140">
        <f t="shared" si="306"/>
        <v>0</v>
      </c>
      <c r="BJ305" s="140">
        <f t="shared" si="307"/>
        <v>0</v>
      </c>
      <c r="BK305" s="140">
        <f t="shared" si="308"/>
        <v>0</v>
      </c>
    </row>
    <row r="306" spans="1:63" s="100" customFormat="1" ht="16" hidden="1" customHeight="1">
      <c r="A306" s="137" t="s">
        <v>30</v>
      </c>
      <c r="B306" s="20" t="s">
        <v>783</v>
      </c>
      <c r="C306" s="20" t="s">
        <v>784</v>
      </c>
      <c r="D306" s="20" t="s">
        <v>30</v>
      </c>
      <c r="E306" s="20" t="s">
        <v>752</v>
      </c>
      <c r="F306" s="20" t="s">
        <v>709</v>
      </c>
      <c r="G306" s="20" t="s">
        <v>37</v>
      </c>
      <c r="H306" s="20" t="s">
        <v>38</v>
      </c>
      <c r="I306" s="7"/>
      <c r="J306" s="7"/>
      <c r="K306" s="7"/>
      <c r="L306" s="7"/>
      <c r="M306" s="7"/>
      <c r="N306" s="7"/>
      <c r="O306" s="20"/>
      <c r="P306" s="20"/>
      <c r="Q306" s="20"/>
      <c r="R306" s="20"/>
      <c r="S306" s="7"/>
      <c r="T306" s="7"/>
      <c r="U306" s="7"/>
      <c r="V306" s="7"/>
      <c r="W306" s="7"/>
      <c r="X306" s="138"/>
      <c r="Y306" s="138"/>
      <c r="Z306" s="139">
        <f t="shared" si="327"/>
        <v>0</v>
      </c>
      <c r="AA306" s="20"/>
      <c r="AB306" s="20"/>
      <c r="AC306" s="20"/>
      <c r="AD306" s="139">
        <f t="shared" si="328"/>
        <v>0</v>
      </c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0"/>
      <c r="AQ306" s="20"/>
      <c r="AR306" s="20"/>
      <c r="AS306" s="20"/>
      <c r="AT306" s="20">
        <f t="shared" si="329"/>
        <v>0</v>
      </c>
      <c r="AU306" s="20">
        <f t="shared" si="330"/>
        <v>0</v>
      </c>
      <c r="AV306" s="5"/>
      <c r="AW306" s="21">
        <f t="shared" si="331"/>
        <v>0</v>
      </c>
      <c r="AX306" s="140">
        <f t="shared" si="316"/>
        <v>0</v>
      </c>
      <c r="AY306" s="140">
        <f t="shared" si="317"/>
        <v>0</v>
      </c>
      <c r="AZ306" s="140">
        <f t="shared" si="318"/>
        <v>0</v>
      </c>
      <c r="BA306" s="140">
        <f t="shared" si="319"/>
        <v>0</v>
      </c>
      <c r="BB306" s="140">
        <f t="shared" si="320"/>
        <v>0</v>
      </c>
      <c r="BC306" s="140">
        <f t="shared" si="321"/>
        <v>0</v>
      </c>
      <c r="BD306" s="140">
        <f t="shared" si="322"/>
        <v>0</v>
      </c>
      <c r="BE306" s="140">
        <f t="shared" si="323"/>
        <v>0</v>
      </c>
      <c r="BF306" s="140">
        <f t="shared" si="324"/>
        <v>0</v>
      </c>
      <c r="BG306" s="140">
        <f t="shared" si="325"/>
        <v>0</v>
      </c>
      <c r="BH306" s="140">
        <f t="shared" si="305"/>
        <v>0</v>
      </c>
      <c r="BI306" s="140">
        <f t="shared" si="306"/>
        <v>0</v>
      </c>
      <c r="BJ306" s="140">
        <f t="shared" si="307"/>
        <v>0</v>
      </c>
      <c r="BK306" s="140">
        <f t="shared" si="308"/>
        <v>0</v>
      </c>
    </row>
    <row r="307" spans="1:63" s="100" customFormat="1" ht="16" hidden="1" customHeight="1">
      <c r="A307" s="137" t="s">
        <v>30</v>
      </c>
      <c r="B307" s="20" t="s">
        <v>785</v>
      </c>
      <c r="C307" s="20" t="s">
        <v>786</v>
      </c>
      <c r="D307" s="20" t="s">
        <v>30</v>
      </c>
      <c r="E307" s="20" t="s">
        <v>752</v>
      </c>
      <c r="F307" s="20" t="s">
        <v>36</v>
      </c>
      <c r="G307" s="20" t="s">
        <v>37</v>
      </c>
      <c r="H307" s="20" t="s">
        <v>38</v>
      </c>
      <c r="I307" s="7"/>
      <c r="J307" s="7"/>
      <c r="K307" s="7"/>
      <c r="L307" s="7"/>
      <c r="M307" s="7"/>
      <c r="N307" s="7"/>
      <c r="O307" s="20"/>
      <c r="P307" s="20"/>
      <c r="Q307" s="20"/>
      <c r="R307" s="20"/>
      <c r="S307" s="7"/>
      <c r="T307" s="7"/>
      <c r="U307" s="7"/>
      <c r="V307" s="7"/>
      <c r="W307" s="7"/>
      <c r="X307" s="138"/>
      <c r="Y307" s="138"/>
      <c r="Z307" s="139">
        <f t="shared" si="327"/>
        <v>0</v>
      </c>
      <c r="AA307" s="20"/>
      <c r="AB307" s="20"/>
      <c r="AC307" s="20"/>
      <c r="AD307" s="139">
        <f t="shared" si="328"/>
        <v>0</v>
      </c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0"/>
      <c r="AQ307" s="20"/>
      <c r="AR307" s="20"/>
      <c r="AS307" s="20"/>
      <c r="AT307" s="20">
        <f t="shared" si="329"/>
        <v>0</v>
      </c>
      <c r="AU307" s="20">
        <f t="shared" si="330"/>
        <v>0</v>
      </c>
      <c r="AV307" s="5"/>
      <c r="AW307" s="21">
        <f t="shared" si="331"/>
        <v>0</v>
      </c>
      <c r="AX307" s="140">
        <f t="shared" si="316"/>
        <v>0</v>
      </c>
      <c r="AY307" s="140">
        <f t="shared" si="317"/>
        <v>0</v>
      </c>
      <c r="AZ307" s="140">
        <f t="shared" si="318"/>
        <v>0</v>
      </c>
      <c r="BA307" s="140">
        <f t="shared" si="319"/>
        <v>0</v>
      </c>
      <c r="BB307" s="140">
        <f t="shared" si="320"/>
        <v>0</v>
      </c>
      <c r="BC307" s="140">
        <f t="shared" si="321"/>
        <v>0</v>
      </c>
      <c r="BD307" s="140">
        <f t="shared" si="322"/>
        <v>0</v>
      </c>
      <c r="BE307" s="140">
        <f t="shared" si="323"/>
        <v>0</v>
      </c>
      <c r="BF307" s="140">
        <f t="shared" si="324"/>
        <v>0</v>
      </c>
      <c r="BG307" s="140">
        <f t="shared" si="325"/>
        <v>0</v>
      </c>
      <c r="BH307" s="140">
        <f t="shared" si="305"/>
        <v>0</v>
      </c>
      <c r="BI307" s="140">
        <f t="shared" si="306"/>
        <v>0</v>
      </c>
      <c r="BJ307" s="140">
        <f t="shared" si="307"/>
        <v>0</v>
      </c>
      <c r="BK307" s="140">
        <f t="shared" si="308"/>
        <v>0</v>
      </c>
    </row>
    <row r="308" spans="1:63" s="100" customFormat="1" ht="16" hidden="1" customHeight="1">
      <c r="A308" s="137" t="s">
        <v>30</v>
      </c>
      <c r="B308" s="20" t="s">
        <v>787</v>
      </c>
      <c r="C308" s="20" t="s">
        <v>788</v>
      </c>
      <c r="D308" s="20" t="s">
        <v>30</v>
      </c>
      <c r="E308" s="20" t="s">
        <v>752</v>
      </c>
      <c r="F308" s="20" t="s">
        <v>36</v>
      </c>
      <c r="G308" s="20" t="s">
        <v>37</v>
      </c>
      <c r="H308" s="20" t="s">
        <v>38</v>
      </c>
      <c r="I308" s="7"/>
      <c r="J308" s="7"/>
      <c r="K308" s="7"/>
      <c r="L308" s="7"/>
      <c r="M308" s="7"/>
      <c r="N308" s="7"/>
      <c r="O308" s="20"/>
      <c r="P308" s="20"/>
      <c r="Q308" s="20"/>
      <c r="R308" s="20"/>
      <c r="S308" s="7"/>
      <c r="T308" s="7"/>
      <c r="U308" s="7"/>
      <c r="V308" s="7"/>
      <c r="W308" s="7"/>
      <c r="X308" s="138"/>
      <c r="Y308" s="138"/>
      <c r="Z308" s="139">
        <f t="shared" si="327"/>
        <v>0</v>
      </c>
      <c r="AA308" s="20"/>
      <c r="AB308" s="20"/>
      <c r="AC308" s="20"/>
      <c r="AD308" s="139">
        <f t="shared" si="328"/>
        <v>0</v>
      </c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0"/>
      <c r="AQ308" s="20"/>
      <c r="AR308" s="20"/>
      <c r="AS308" s="20"/>
      <c r="AT308" s="20">
        <f t="shared" si="329"/>
        <v>0</v>
      </c>
      <c r="AU308" s="20">
        <f t="shared" si="330"/>
        <v>0</v>
      </c>
      <c r="AV308" s="5"/>
      <c r="AW308" s="21">
        <f t="shared" si="331"/>
        <v>0</v>
      </c>
      <c r="AX308" s="140">
        <f t="shared" si="316"/>
        <v>0</v>
      </c>
      <c r="AY308" s="140">
        <f t="shared" si="317"/>
        <v>0</v>
      </c>
      <c r="AZ308" s="140">
        <f t="shared" si="318"/>
        <v>0</v>
      </c>
      <c r="BA308" s="140">
        <f t="shared" si="319"/>
        <v>0</v>
      </c>
      <c r="BB308" s="140">
        <f t="shared" si="320"/>
        <v>0</v>
      </c>
      <c r="BC308" s="140">
        <f t="shared" si="321"/>
        <v>0</v>
      </c>
      <c r="BD308" s="140">
        <f t="shared" si="322"/>
        <v>0</v>
      </c>
      <c r="BE308" s="140">
        <f t="shared" si="323"/>
        <v>0</v>
      </c>
      <c r="BF308" s="140">
        <f t="shared" si="324"/>
        <v>0</v>
      </c>
      <c r="BG308" s="140">
        <f t="shared" si="325"/>
        <v>0</v>
      </c>
      <c r="BH308" s="140">
        <f t="shared" si="305"/>
        <v>0</v>
      </c>
      <c r="BI308" s="140">
        <f t="shared" si="306"/>
        <v>0</v>
      </c>
      <c r="BJ308" s="140">
        <f t="shared" si="307"/>
        <v>0</v>
      </c>
      <c r="BK308" s="140">
        <f t="shared" si="308"/>
        <v>0</v>
      </c>
    </row>
    <row r="309" spans="1:63" s="100" customFormat="1" ht="16" hidden="1" customHeight="1">
      <c r="A309" s="137" t="s">
        <v>30</v>
      </c>
      <c r="B309" s="20" t="s">
        <v>789</v>
      </c>
      <c r="C309" s="20" t="s">
        <v>790</v>
      </c>
      <c r="D309" s="20" t="s">
        <v>30</v>
      </c>
      <c r="E309" s="20" t="s">
        <v>791</v>
      </c>
      <c r="F309" s="20" t="s">
        <v>36</v>
      </c>
      <c r="G309" s="20" t="s">
        <v>37</v>
      </c>
      <c r="H309" s="20" t="s">
        <v>38</v>
      </c>
      <c r="I309" s="7"/>
      <c r="J309" s="7"/>
      <c r="K309" s="7"/>
      <c r="L309" s="7"/>
      <c r="M309" s="7"/>
      <c r="N309" s="7"/>
      <c r="O309" s="20"/>
      <c r="P309" s="20"/>
      <c r="Q309" s="20"/>
      <c r="R309" s="20"/>
      <c r="S309" s="7"/>
      <c r="T309" s="7"/>
      <c r="U309" s="7"/>
      <c r="V309" s="7"/>
      <c r="W309" s="7"/>
      <c r="X309" s="138"/>
      <c r="Y309" s="138"/>
      <c r="Z309" s="139">
        <f t="shared" si="327"/>
        <v>0</v>
      </c>
      <c r="AA309" s="20"/>
      <c r="AB309" s="20"/>
      <c r="AC309" s="20"/>
      <c r="AD309" s="139">
        <f t="shared" si="328"/>
        <v>0</v>
      </c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0"/>
      <c r="AQ309" s="20"/>
      <c r="AR309" s="20"/>
      <c r="AS309" s="20"/>
      <c r="AT309" s="20">
        <f t="shared" si="329"/>
        <v>0</v>
      </c>
      <c r="AU309" s="20">
        <f t="shared" si="330"/>
        <v>0</v>
      </c>
      <c r="AV309" s="5"/>
      <c r="AW309" s="21">
        <f t="shared" si="331"/>
        <v>0</v>
      </c>
      <c r="AX309" s="140">
        <f t="shared" si="316"/>
        <v>0</v>
      </c>
      <c r="AY309" s="140">
        <f t="shared" si="317"/>
        <v>0</v>
      </c>
      <c r="AZ309" s="140">
        <f t="shared" si="318"/>
        <v>0</v>
      </c>
      <c r="BA309" s="140">
        <f t="shared" si="319"/>
        <v>0</v>
      </c>
      <c r="BB309" s="140">
        <f t="shared" si="320"/>
        <v>0</v>
      </c>
      <c r="BC309" s="140">
        <f t="shared" si="321"/>
        <v>0</v>
      </c>
      <c r="BD309" s="140">
        <f t="shared" si="322"/>
        <v>0</v>
      </c>
      <c r="BE309" s="140">
        <f t="shared" si="323"/>
        <v>0</v>
      </c>
      <c r="BF309" s="140">
        <f t="shared" si="324"/>
        <v>0</v>
      </c>
      <c r="BG309" s="140">
        <f t="shared" si="325"/>
        <v>0</v>
      </c>
      <c r="BH309" s="140">
        <f t="shared" si="305"/>
        <v>0</v>
      </c>
      <c r="BI309" s="140">
        <f t="shared" si="306"/>
        <v>0</v>
      </c>
      <c r="BJ309" s="140">
        <f t="shared" si="307"/>
        <v>0</v>
      </c>
      <c r="BK309" s="140">
        <f t="shared" si="308"/>
        <v>0</v>
      </c>
    </row>
    <row r="310" spans="1:63" s="100" customFormat="1" ht="16" hidden="1" customHeight="1">
      <c r="A310" s="137" t="s">
        <v>30</v>
      </c>
      <c r="B310" s="20" t="s">
        <v>792</v>
      </c>
      <c r="C310" s="20" t="s">
        <v>793</v>
      </c>
      <c r="D310" s="20" t="s">
        <v>30</v>
      </c>
      <c r="E310" s="20" t="s">
        <v>791</v>
      </c>
      <c r="F310" s="20" t="s">
        <v>36</v>
      </c>
      <c r="G310" s="20" t="s">
        <v>37</v>
      </c>
      <c r="H310" s="20" t="s">
        <v>38</v>
      </c>
      <c r="I310" s="7"/>
      <c r="J310" s="7"/>
      <c r="K310" s="7"/>
      <c r="L310" s="7"/>
      <c r="M310" s="7"/>
      <c r="N310" s="7"/>
      <c r="O310" s="20"/>
      <c r="P310" s="20"/>
      <c r="Q310" s="20"/>
      <c r="R310" s="20"/>
      <c r="S310" s="7"/>
      <c r="T310" s="7"/>
      <c r="U310" s="7"/>
      <c r="V310" s="7"/>
      <c r="W310" s="7"/>
      <c r="X310" s="138"/>
      <c r="Y310" s="138"/>
      <c r="Z310" s="139">
        <f t="shared" si="327"/>
        <v>0</v>
      </c>
      <c r="AA310" s="20"/>
      <c r="AB310" s="20"/>
      <c r="AC310" s="20"/>
      <c r="AD310" s="139">
        <f t="shared" si="328"/>
        <v>0</v>
      </c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0"/>
      <c r="AQ310" s="20"/>
      <c r="AR310" s="20"/>
      <c r="AS310" s="20"/>
      <c r="AT310" s="20">
        <f t="shared" si="329"/>
        <v>0</v>
      </c>
      <c r="AU310" s="20">
        <f t="shared" si="330"/>
        <v>0</v>
      </c>
      <c r="AV310" s="5"/>
      <c r="AW310" s="21">
        <f t="shared" si="331"/>
        <v>0</v>
      </c>
      <c r="AX310" s="140">
        <f t="shared" si="316"/>
        <v>0</v>
      </c>
      <c r="AY310" s="140">
        <f t="shared" si="317"/>
        <v>0</v>
      </c>
      <c r="AZ310" s="140">
        <f t="shared" si="318"/>
        <v>0</v>
      </c>
      <c r="BA310" s="140">
        <f t="shared" si="319"/>
        <v>0</v>
      </c>
      <c r="BB310" s="140">
        <f t="shared" si="320"/>
        <v>0</v>
      </c>
      <c r="BC310" s="140">
        <f t="shared" si="321"/>
        <v>0</v>
      </c>
      <c r="BD310" s="140">
        <f t="shared" si="322"/>
        <v>0</v>
      </c>
      <c r="BE310" s="140">
        <f t="shared" si="323"/>
        <v>0</v>
      </c>
      <c r="BF310" s="140">
        <f t="shared" si="324"/>
        <v>0</v>
      </c>
      <c r="BG310" s="140">
        <f t="shared" si="325"/>
        <v>0</v>
      </c>
      <c r="BH310" s="140">
        <f t="shared" si="305"/>
        <v>0</v>
      </c>
      <c r="BI310" s="140">
        <f t="shared" si="306"/>
        <v>0</v>
      </c>
      <c r="BJ310" s="140">
        <f t="shared" si="307"/>
        <v>0</v>
      </c>
      <c r="BK310" s="140">
        <f t="shared" si="308"/>
        <v>0</v>
      </c>
    </row>
    <row r="311" spans="1:63" s="100" customFormat="1" ht="16" hidden="1" customHeight="1">
      <c r="A311" s="137" t="s">
        <v>30</v>
      </c>
      <c r="B311" s="20" t="s">
        <v>794</v>
      </c>
      <c r="C311" s="20" t="s">
        <v>795</v>
      </c>
      <c r="D311" s="20" t="s">
        <v>30</v>
      </c>
      <c r="E311" s="20" t="s">
        <v>796</v>
      </c>
      <c r="F311" s="20" t="s">
        <v>36</v>
      </c>
      <c r="G311" s="20" t="s">
        <v>58</v>
      </c>
      <c r="H311" s="20" t="s">
        <v>45</v>
      </c>
      <c r="I311" s="7"/>
      <c r="J311" s="7"/>
      <c r="K311" s="7"/>
      <c r="L311" s="7"/>
      <c r="M311" s="7"/>
      <c r="N311" s="7"/>
      <c r="O311" s="20"/>
      <c r="P311" s="20"/>
      <c r="Q311" s="20"/>
      <c r="R311" s="20"/>
      <c r="S311" s="7"/>
      <c r="T311" s="7"/>
      <c r="U311" s="7"/>
      <c r="V311" s="7"/>
      <c r="W311" s="7"/>
      <c r="X311" s="138"/>
      <c r="Y311" s="138"/>
      <c r="Z311" s="139">
        <f t="shared" si="327"/>
        <v>0</v>
      </c>
      <c r="AA311" s="20"/>
      <c r="AB311" s="20"/>
      <c r="AC311" s="20"/>
      <c r="AD311" s="139">
        <f t="shared" si="328"/>
        <v>0</v>
      </c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0"/>
      <c r="AQ311" s="20"/>
      <c r="AR311" s="20"/>
      <c r="AS311" s="20"/>
      <c r="AT311" s="20">
        <f t="shared" si="329"/>
        <v>0</v>
      </c>
      <c r="AU311" s="20">
        <f t="shared" si="330"/>
        <v>0</v>
      </c>
      <c r="AV311" s="5"/>
      <c r="AW311" s="21">
        <f t="shared" si="331"/>
        <v>0</v>
      </c>
      <c r="AX311" s="140">
        <f t="shared" si="316"/>
        <v>0</v>
      </c>
      <c r="AY311" s="140">
        <f t="shared" si="317"/>
        <v>0</v>
      </c>
      <c r="AZ311" s="140">
        <f t="shared" si="318"/>
        <v>0</v>
      </c>
      <c r="BA311" s="140">
        <f t="shared" si="319"/>
        <v>0</v>
      </c>
      <c r="BB311" s="140">
        <f t="shared" si="320"/>
        <v>0</v>
      </c>
      <c r="BC311" s="140">
        <f t="shared" si="321"/>
        <v>0</v>
      </c>
      <c r="BD311" s="140">
        <f t="shared" si="322"/>
        <v>0</v>
      </c>
      <c r="BE311" s="140">
        <f t="shared" si="323"/>
        <v>0</v>
      </c>
      <c r="BF311" s="140">
        <f t="shared" si="324"/>
        <v>0</v>
      </c>
      <c r="BG311" s="140">
        <f t="shared" si="325"/>
        <v>0</v>
      </c>
      <c r="BH311" s="140">
        <f t="shared" si="305"/>
        <v>0</v>
      </c>
      <c r="BI311" s="140">
        <f t="shared" si="306"/>
        <v>0</v>
      </c>
      <c r="BJ311" s="140">
        <f t="shared" si="307"/>
        <v>0</v>
      </c>
      <c r="BK311" s="140">
        <f t="shared" si="308"/>
        <v>0</v>
      </c>
    </row>
    <row r="312" spans="1:63" s="100" customFormat="1" ht="16" hidden="1" customHeight="1">
      <c r="A312" s="137" t="s">
        <v>30</v>
      </c>
      <c r="B312" s="20" t="s">
        <v>797</v>
      </c>
      <c r="C312" s="20" t="s">
        <v>798</v>
      </c>
      <c r="D312" s="20" t="s">
        <v>30</v>
      </c>
      <c r="E312" s="20" t="s">
        <v>799</v>
      </c>
      <c r="F312" s="20" t="s">
        <v>207</v>
      </c>
      <c r="G312" s="20" t="s">
        <v>37</v>
      </c>
      <c r="H312" s="20" t="s">
        <v>38</v>
      </c>
      <c r="I312" s="7"/>
      <c r="J312" s="7"/>
      <c r="K312" s="7"/>
      <c r="L312" s="7"/>
      <c r="M312" s="7"/>
      <c r="N312" s="7"/>
      <c r="O312" s="20"/>
      <c r="P312" s="20"/>
      <c r="Q312" s="20"/>
      <c r="R312" s="20"/>
      <c r="S312" s="7"/>
      <c r="T312" s="7"/>
      <c r="U312" s="7"/>
      <c r="V312" s="7"/>
      <c r="W312" s="7"/>
      <c r="X312" s="138"/>
      <c r="Y312" s="138"/>
      <c r="Z312" s="139">
        <f t="shared" ref="Z312:Z327" si="332">X312-Y312+AC312</f>
        <v>0</v>
      </c>
      <c r="AA312" s="20"/>
      <c r="AB312" s="20"/>
      <c r="AC312" s="20"/>
      <c r="AD312" s="139">
        <f t="shared" si="328"/>
        <v>0</v>
      </c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0"/>
      <c r="AQ312" s="20"/>
      <c r="AR312" s="20"/>
      <c r="AS312" s="20"/>
      <c r="AT312" s="20">
        <f t="shared" si="329"/>
        <v>0</v>
      </c>
      <c r="AU312" s="20">
        <f t="shared" si="330"/>
        <v>0</v>
      </c>
      <c r="AV312" s="5"/>
      <c r="AW312" s="21">
        <f t="shared" si="331"/>
        <v>0</v>
      </c>
      <c r="AX312" s="140">
        <f t="shared" si="316"/>
        <v>0</v>
      </c>
      <c r="AY312" s="140">
        <f t="shared" si="317"/>
        <v>0</v>
      </c>
      <c r="AZ312" s="140">
        <f t="shared" si="318"/>
        <v>0</v>
      </c>
      <c r="BA312" s="140">
        <f t="shared" si="319"/>
        <v>0</v>
      </c>
      <c r="BB312" s="140">
        <f t="shared" si="320"/>
        <v>0</v>
      </c>
      <c r="BC312" s="140">
        <f t="shared" si="321"/>
        <v>0</v>
      </c>
      <c r="BD312" s="140">
        <f t="shared" si="322"/>
        <v>0</v>
      </c>
      <c r="BE312" s="140">
        <f t="shared" si="323"/>
        <v>0</v>
      </c>
      <c r="BF312" s="140">
        <f t="shared" si="324"/>
        <v>0</v>
      </c>
      <c r="BG312" s="140">
        <f t="shared" si="325"/>
        <v>0</v>
      </c>
      <c r="BH312" s="140">
        <f t="shared" si="305"/>
        <v>0</v>
      </c>
      <c r="BI312" s="140">
        <f t="shared" si="306"/>
        <v>0</v>
      </c>
      <c r="BJ312" s="140">
        <f t="shared" si="307"/>
        <v>0</v>
      </c>
      <c r="BK312" s="140">
        <f t="shared" si="308"/>
        <v>0</v>
      </c>
    </row>
    <row r="313" spans="1:63" s="100" customFormat="1" ht="16" hidden="1" customHeight="1">
      <c r="A313" s="137" t="s">
        <v>30</v>
      </c>
      <c r="B313" s="20" t="s">
        <v>800</v>
      </c>
      <c r="C313" s="20" t="s">
        <v>801</v>
      </c>
      <c r="D313" s="20" t="s">
        <v>30</v>
      </c>
      <c r="E313" s="20" t="s">
        <v>799</v>
      </c>
      <c r="F313" s="20" t="s">
        <v>207</v>
      </c>
      <c r="G313" s="20" t="s">
        <v>37</v>
      </c>
      <c r="H313" s="20" t="s">
        <v>38</v>
      </c>
      <c r="I313" s="7"/>
      <c r="J313" s="7"/>
      <c r="K313" s="7"/>
      <c r="L313" s="7"/>
      <c r="M313" s="7"/>
      <c r="N313" s="7"/>
      <c r="O313" s="20"/>
      <c r="P313" s="20"/>
      <c r="Q313" s="20"/>
      <c r="R313" s="20"/>
      <c r="S313" s="7"/>
      <c r="T313" s="7"/>
      <c r="U313" s="7"/>
      <c r="V313" s="7"/>
      <c r="W313" s="7"/>
      <c r="X313" s="138"/>
      <c r="Y313" s="138"/>
      <c r="Z313" s="139">
        <f t="shared" si="332"/>
        <v>0</v>
      </c>
      <c r="AA313" s="20"/>
      <c r="AB313" s="20"/>
      <c r="AC313" s="20"/>
      <c r="AD313" s="139">
        <f t="shared" si="328"/>
        <v>0</v>
      </c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0"/>
      <c r="AQ313" s="20"/>
      <c r="AR313" s="20"/>
      <c r="AS313" s="20"/>
      <c r="AT313" s="20">
        <f t="shared" si="329"/>
        <v>0</v>
      </c>
      <c r="AU313" s="20">
        <f t="shared" si="330"/>
        <v>0</v>
      </c>
      <c r="AV313" s="5"/>
      <c r="AW313" s="21">
        <f t="shared" si="331"/>
        <v>0</v>
      </c>
      <c r="AX313" s="140">
        <f t="shared" si="316"/>
        <v>0</v>
      </c>
      <c r="AY313" s="140">
        <f t="shared" si="317"/>
        <v>0</v>
      </c>
      <c r="AZ313" s="140">
        <f t="shared" si="318"/>
        <v>0</v>
      </c>
      <c r="BA313" s="140">
        <f t="shared" si="319"/>
        <v>0</v>
      </c>
      <c r="BB313" s="140">
        <f t="shared" si="320"/>
        <v>0</v>
      </c>
      <c r="BC313" s="140">
        <f t="shared" si="321"/>
        <v>0</v>
      </c>
      <c r="BD313" s="140">
        <f t="shared" si="322"/>
        <v>0</v>
      </c>
      <c r="BE313" s="140">
        <f t="shared" si="323"/>
        <v>0</v>
      </c>
      <c r="BF313" s="140">
        <f t="shared" si="324"/>
        <v>0</v>
      </c>
      <c r="BG313" s="140">
        <f t="shared" si="325"/>
        <v>0</v>
      </c>
      <c r="BH313" s="140">
        <f t="shared" si="305"/>
        <v>0</v>
      </c>
      <c r="BI313" s="140">
        <f t="shared" si="306"/>
        <v>0</v>
      </c>
      <c r="BJ313" s="140">
        <f t="shared" si="307"/>
        <v>0</v>
      </c>
      <c r="BK313" s="140">
        <f t="shared" si="308"/>
        <v>0</v>
      </c>
    </row>
    <row r="314" spans="1:63" s="100" customFormat="1" ht="16" hidden="1" customHeight="1">
      <c r="A314" s="137" t="s">
        <v>30</v>
      </c>
      <c r="B314" s="20" t="s">
        <v>802</v>
      </c>
      <c r="C314" s="20" t="s">
        <v>803</v>
      </c>
      <c r="D314" s="20" t="s">
        <v>30</v>
      </c>
      <c r="E314" s="20" t="s">
        <v>804</v>
      </c>
      <c r="F314" s="20" t="s">
        <v>207</v>
      </c>
      <c r="G314" s="20" t="s">
        <v>37</v>
      </c>
      <c r="H314" s="20" t="s">
        <v>45</v>
      </c>
      <c r="I314" s="7"/>
      <c r="J314" s="7"/>
      <c r="K314" s="7"/>
      <c r="L314" s="7"/>
      <c r="M314" s="7"/>
      <c r="N314" s="7"/>
      <c r="O314" s="20"/>
      <c r="P314" s="20"/>
      <c r="Q314" s="20"/>
      <c r="R314" s="20"/>
      <c r="S314" s="7"/>
      <c r="T314" s="7"/>
      <c r="U314" s="7"/>
      <c r="V314" s="7"/>
      <c r="W314" s="7"/>
      <c r="X314" s="138"/>
      <c r="Y314" s="138"/>
      <c r="Z314" s="139">
        <f t="shared" si="332"/>
        <v>0</v>
      </c>
      <c r="AA314" s="20"/>
      <c r="AB314" s="20"/>
      <c r="AC314" s="20"/>
      <c r="AD314" s="139">
        <f t="shared" si="328"/>
        <v>0</v>
      </c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0"/>
      <c r="AQ314" s="20"/>
      <c r="AR314" s="20"/>
      <c r="AS314" s="20"/>
      <c r="AT314" s="20">
        <f t="shared" si="329"/>
        <v>0</v>
      </c>
      <c r="AU314" s="20">
        <f t="shared" si="330"/>
        <v>0</v>
      </c>
      <c r="AV314" s="5"/>
      <c r="AW314" s="21">
        <f t="shared" si="331"/>
        <v>0</v>
      </c>
      <c r="AX314" s="140">
        <f t="shared" si="316"/>
        <v>0</v>
      </c>
      <c r="AY314" s="140">
        <f t="shared" si="317"/>
        <v>0</v>
      </c>
      <c r="AZ314" s="140">
        <f t="shared" si="318"/>
        <v>0</v>
      </c>
      <c r="BA314" s="140">
        <f t="shared" si="319"/>
        <v>0</v>
      </c>
      <c r="BB314" s="140">
        <f t="shared" si="320"/>
        <v>0</v>
      </c>
      <c r="BC314" s="140">
        <f t="shared" si="321"/>
        <v>0</v>
      </c>
      <c r="BD314" s="140">
        <f t="shared" si="322"/>
        <v>0</v>
      </c>
      <c r="BE314" s="140">
        <f t="shared" si="323"/>
        <v>0</v>
      </c>
      <c r="BF314" s="140">
        <f t="shared" si="324"/>
        <v>0</v>
      </c>
      <c r="BG314" s="140">
        <f t="shared" si="325"/>
        <v>0</v>
      </c>
      <c r="BH314" s="140">
        <f t="shared" si="305"/>
        <v>0</v>
      </c>
      <c r="BI314" s="140">
        <f t="shared" si="306"/>
        <v>0</v>
      </c>
      <c r="BJ314" s="140">
        <f t="shared" si="307"/>
        <v>0</v>
      </c>
      <c r="BK314" s="140">
        <f t="shared" si="308"/>
        <v>0</v>
      </c>
    </row>
    <row r="315" spans="1:63" s="100" customFormat="1" ht="16" hidden="1" customHeight="1">
      <c r="A315" s="137" t="s">
        <v>30</v>
      </c>
      <c r="B315" s="20" t="s">
        <v>805</v>
      </c>
      <c r="C315" s="20" t="s">
        <v>806</v>
      </c>
      <c r="D315" s="20" t="s">
        <v>30</v>
      </c>
      <c r="E315" s="20" t="s">
        <v>807</v>
      </c>
      <c r="F315" s="20" t="s">
        <v>207</v>
      </c>
      <c r="G315" s="20" t="s">
        <v>37</v>
      </c>
      <c r="H315" s="20" t="s">
        <v>45</v>
      </c>
      <c r="I315" s="7"/>
      <c r="J315" s="7"/>
      <c r="K315" s="7"/>
      <c r="L315" s="7"/>
      <c r="M315" s="7"/>
      <c r="N315" s="7"/>
      <c r="O315" s="20"/>
      <c r="P315" s="20"/>
      <c r="Q315" s="20"/>
      <c r="R315" s="20"/>
      <c r="S315" s="7"/>
      <c r="T315" s="7"/>
      <c r="U315" s="7"/>
      <c r="V315" s="7"/>
      <c r="W315" s="7"/>
      <c r="X315" s="138"/>
      <c r="Y315" s="138"/>
      <c r="Z315" s="139">
        <f t="shared" si="332"/>
        <v>0</v>
      </c>
      <c r="AA315" s="20"/>
      <c r="AB315" s="20"/>
      <c r="AC315" s="20"/>
      <c r="AD315" s="139">
        <f t="shared" si="328"/>
        <v>0</v>
      </c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0"/>
      <c r="AQ315" s="20"/>
      <c r="AR315" s="20"/>
      <c r="AS315" s="20"/>
      <c r="AT315" s="20">
        <f t="shared" si="329"/>
        <v>0</v>
      </c>
      <c r="AU315" s="20">
        <f t="shared" si="330"/>
        <v>0</v>
      </c>
      <c r="AV315" s="5"/>
      <c r="AW315" s="21">
        <f t="shared" si="331"/>
        <v>0</v>
      </c>
      <c r="AX315" s="140">
        <f t="shared" si="316"/>
        <v>0</v>
      </c>
      <c r="AY315" s="140">
        <f t="shared" si="317"/>
        <v>0</v>
      </c>
      <c r="AZ315" s="140">
        <f t="shared" si="318"/>
        <v>0</v>
      </c>
      <c r="BA315" s="140">
        <f t="shared" si="319"/>
        <v>0</v>
      </c>
      <c r="BB315" s="140">
        <f t="shared" si="320"/>
        <v>0</v>
      </c>
      <c r="BC315" s="140">
        <f t="shared" si="321"/>
        <v>0</v>
      </c>
      <c r="BD315" s="140">
        <f t="shared" si="322"/>
        <v>0</v>
      </c>
      <c r="BE315" s="140">
        <f t="shared" si="323"/>
        <v>0</v>
      </c>
      <c r="BF315" s="140">
        <f t="shared" si="324"/>
        <v>0</v>
      </c>
      <c r="BG315" s="140">
        <f t="shared" si="325"/>
        <v>0</v>
      </c>
      <c r="BH315" s="140">
        <f t="shared" si="305"/>
        <v>0</v>
      </c>
      <c r="BI315" s="140">
        <f t="shared" si="306"/>
        <v>0</v>
      </c>
      <c r="BJ315" s="140">
        <f t="shared" si="307"/>
        <v>0</v>
      </c>
      <c r="BK315" s="140">
        <f t="shared" si="308"/>
        <v>0</v>
      </c>
    </row>
    <row r="316" spans="1:63" s="100" customFormat="1" ht="16" hidden="1" customHeight="1">
      <c r="A316" s="137" t="s">
        <v>30</v>
      </c>
      <c r="B316" s="20" t="s">
        <v>808</v>
      </c>
      <c r="C316" s="20" t="s">
        <v>809</v>
      </c>
      <c r="D316" s="20" t="s">
        <v>30</v>
      </c>
      <c r="E316" s="20" t="s">
        <v>799</v>
      </c>
      <c r="F316" s="20" t="s">
        <v>207</v>
      </c>
      <c r="G316" s="20" t="s">
        <v>37</v>
      </c>
      <c r="H316" s="20" t="s">
        <v>38</v>
      </c>
      <c r="I316" s="7"/>
      <c r="J316" s="7"/>
      <c r="K316" s="7"/>
      <c r="L316" s="7"/>
      <c r="M316" s="7"/>
      <c r="N316" s="7"/>
      <c r="O316" s="20"/>
      <c r="P316" s="20"/>
      <c r="Q316" s="20"/>
      <c r="R316" s="20"/>
      <c r="S316" s="7"/>
      <c r="T316" s="7"/>
      <c r="U316" s="7"/>
      <c r="V316" s="7"/>
      <c r="W316" s="7"/>
      <c r="X316" s="138"/>
      <c r="Y316" s="138"/>
      <c r="Z316" s="139">
        <f t="shared" si="332"/>
        <v>0</v>
      </c>
      <c r="AA316" s="20"/>
      <c r="AB316" s="20"/>
      <c r="AC316" s="20"/>
      <c r="AD316" s="139">
        <f t="shared" si="328"/>
        <v>0</v>
      </c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0"/>
      <c r="AQ316" s="20"/>
      <c r="AR316" s="20"/>
      <c r="AS316" s="20"/>
      <c r="AT316" s="20">
        <f t="shared" si="329"/>
        <v>0</v>
      </c>
      <c r="AU316" s="20">
        <f t="shared" si="330"/>
        <v>0</v>
      </c>
      <c r="AV316" s="5"/>
      <c r="AW316" s="21">
        <f t="shared" si="331"/>
        <v>0</v>
      </c>
      <c r="AX316" s="140">
        <f t="shared" si="316"/>
        <v>0</v>
      </c>
      <c r="AY316" s="140">
        <f t="shared" si="317"/>
        <v>0</v>
      </c>
      <c r="AZ316" s="140">
        <f t="shared" si="318"/>
        <v>0</v>
      </c>
      <c r="BA316" s="140">
        <f t="shared" si="319"/>
        <v>0</v>
      </c>
      <c r="BB316" s="140">
        <f t="shared" si="320"/>
        <v>0</v>
      </c>
      <c r="BC316" s="140">
        <f t="shared" si="321"/>
        <v>0</v>
      </c>
      <c r="BD316" s="140">
        <f t="shared" si="322"/>
        <v>0</v>
      </c>
      <c r="BE316" s="140">
        <f t="shared" si="323"/>
        <v>0</v>
      </c>
      <c r="BF316" s="140">
        <f t="shared" si="324"/>
        <v>0</v>
      </c>
      <c r="BG316" s="140">
        <f t="shared" si="325"/>
        <v>0</v>
      </c>
      <c r="BH316" s="140">
        <f t="shared" si="305"/>
        <v>0</v>
      </c>
      <c r="BI316" s="140">
        <f t="shared" si="306"/>
        <v>0</v>
      </c>
      <c r="BJ316" s="140">
        <f t="shared" si="307"/>
        <v>0</v>
      </c>
      <c r="BK316" s="140">
        <f t="shared" si="308"/>
        <v>0</v>
      </c>
    </row>
    <row r="317" spans="1:63" s="100" customFormat="1" ht="16" hidden="1" customHeight="1">
      <c r="A317" s="137" t="s">
        <v>30</v>
      </c>
      <c r="B317" s="20" t="s">
        <v>810</v>
      </c>
      <c r="C317" s="20" t="s">
        <v>811</v>
      </c>
      <c r="D317" s="20" t="s">
        <v>30</v>
      </c>
      <c r="E317" s="20" t="s">
        <v>812</v>
      </c>
      <c r="F317" s="20" t="s">
        <v>709</v>
      </c>
      <c r="G317" s="20" t="s">
        <v>37</v>
      </c>
      <c r="H317" s="20" t="s">
        <v>38</v>
      </c>
      <c r="I317" s="7"/>
      <c r="J317" s="7"/>
      <c r="K317" s="7"/>
      <c r="L317" s="7"/>
      <c r="M317" s="7"/>
      <c r="N317" s="7"/>
      <c r="O317" s="20"/>
      <c r="P317" s="20"/>
      <c r="Q317" s="20"/>
      <c r="R317" s="20"/>
      <c r="S317" s="7"/>
      <c r="T317" s="7"/>
      <c r="U317" s="7"/>
      <c r="V317" s="7"/>
      <c r="W317" s="7"/>
      <c r="X317" s="138"/>
      <c r="Y317" s="138"/>
      <c r="Z317" s="139">
        <f t="shared" si="332"/>
        <v>0</v>
      </c>
      <c r="AA317" s="20"/>
      <c r="AB317" s="20"/>
      <c r="AC317" s="20"/>
      <c r="AD317" s="139">
        <f t="shared" si="328"/>
        <v>0</v>
      </c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0"/>
      <c r="AQ317" s="20"/>
      <c r="AR317" s="20"/>
      <c r="AS317" s="20"/>
      <c r="AT317" s="20">
        <f t="shared" si="329"/>
        <v>0</v>
      </c>
      <c r="AU317" s="20">
        <f t="shared" si="330"/>
        <v>0</v>
      </c>
      <c r="AV317" s="5"/>
      <c r="AW317" s="21">
        <f t="shared" si="331"/>
        <v>0</v>
      </c>
      <c r="AX317" s="140">
        <f t="shared" si="316"/>
        <v>0</v>
      </c>
      <c r="AY317" s="140">
        <f t="shared" si="317"/>
        <v>0</v>
      </c>
      <c r="AZ317" s="140">
        <f t="shared" si="318"/>
        <v>0</v>
      </c>
      <c r="BA317" s="140">
        <f t="shared" si="319"/>
        <v>0</v>
      </c>
      <c r="BB317" s="140">
        <f t="shared" si="320"/>
        <v>0</v>
      </c>
      <c r="BC317" s="140">
        <f t="shared" si="321"/>
        <v>0</v>
      </c>
      <c r="BD317" s="140">
        <f t="shared" si="322"/>
        <v>0</v>
      </c>
      <c r="BE317" s="140">
        <f t="shared" si="323"/>
        <v>0</v>
      </c>
      <c r="BF317" s="140">
        <f t="shared" si="324"/>
        <v>0</v>
      </c>
      <c r="BG317" s="140">
        <f t="shared" si="325"/>
        <v>0</v>
      </c>
      <c r="BH317" s="140">
        <f t="shared" si="305"/>
        <v>0</v>
      </c>
      <c r="BI317" s="140">
        <f t="shared" si="306"/>
        <v>0</v>
      </c>
      <c r="BJ317" s="140">
        <f t="shared" si="307"/>
        <v>0</v>
      </c>
      <c r="BK317" s="140">
        <f t="shared" si="308"/>
        <v>0</v>
      </c>
    </row>
    <row r="318" spans="1:63" s="100" customFormat="1" ht="16" hidden="1" customHeight="1">
      <c r="A318" s="137" t="s">
        <v>30</v>
      </c>
      <c r="B318" s="20" t="s">
        <v>813</v>
      </c>
      <c r="C318" s="20" t="s">
        <v>814</v>
      </c>
      <c r="D318" s="138" t="s">
        <v>30</v>
      </c>
      <c r="E318" s="20" t="s">
        <v>815</v>
      </c>
      <c r="F318" s="138" t="s">
        <v>207</v>
      </c>
      <c r="G318" s="20" t="s">
        <v>58</v>
      </c>
      <c r="H318" s="20" t="s">
        <v>38</v>
      </c>
      <c r="I318" s="7"/>
      <c r="J318" s="7"/>
      <c r="K318" s="7"/>
      <c r="L318" s="7"/>
      <c r="M318" s="7"/>
      <c r="N318" s="7"/>
      <c r="O318" s="20"/>
      <c r="P318" s="20"/>
      <c r="Q318" s="20"/>
      <c r="R318" s="20"/>
      <c r="S318" s="7"/>
      <c r="T318" s="7"/>
      <c r="U318" s="7"/>
      <c r="V318" s="7"/>
      <c r="W318" s="7"/>
      <c r="X318" s="138"/>
      <c r="Y318" s="138"/>
      <c r="Z318" s="139">
        <f t="shared" si="332"/>
        <v>0</v>
      </c>
      <c r="AA318" s="138"/>
      <c r="AB318" s="20"/>
      <c r="AC318" s="20"/>
      <c r="AD318" s="139">
        <f t="shared" si="328"/>
        <v>0</v>
      </c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0"/>
      <c r="AQ318" s="20"/>
      <c r="AR318" s="20"/>
      <c r="AS318" s="20"/>
      <c r="AT318" s="20">
        <f t="shared" si="329"/>
        <v>0</v>
      </c>
      <c r="AU318" s="20">
        <f t="shared" si="330"/>
        <v>0</v>
      </c>
      <c r="AV318" s="5"/>
      <c r="AW318" s="21">
        <f t="shared" si="331"/>
        <v>0</v>
      </c>
      <c r="AX318" s="140">
        <f t="shared" si="316"/>
        <v>0</v>
      </c>
      <c r="AY318" s="140">
        <f t="shared" si="317"/>
        <v>0</v>
      </c>
      <c r="AZ318" s="140">
        <f t="shared" si="318"/>
        <v>0</v>
      </c>
      <c r="BA318" s="140">
        <f t="shared" si="319"/>
        <v>0</v>
      </c>
      <c r="BB318" s="140">
        <f t="shared" si="320"/>
        <v>0</v>
      </c>
      <c r="BC318" s="140">
        <f t="shared" si="321"/>
        <v>0</v>
      </c>
      <c r="BD318" s="140">
        <f t="shared" si="322"/>
        <v>0</v>
      </c>
      <c r="BE318" s="140">
        <f t="shared" si="323"/>
        <v>0</v>
      </c>
      <c r="BF318" s="140">
        <f t="shared" si="324"/>
        <v>0</v>
      </c>
      <c r="BG318" s="140">
        <f t="shared" si="325"/>
        <v>0</v>
      </c>
      <c r="BH318" s="140">
        <f t="shared" si="305"/>
        <v>0</v>
      </c>
      <c r="BI318" s="140">
        <f t="shared" si="306"/>
        <v>0</v>
      </c>
      <c r="BJ318" s="140">
        <f t="shared" si="307"/>
        <v>0</v>
      </c>
      <c r="BK318" s="140">
        <f t="shared" si="308"/>
        <v>0</v>
      </c>
    </row>
    <row r="319" spans="1:63" s="100" customFormat="1" ht="16" hidden="1" customHeight="1">
      <c r="A319" s="137" t="s">
        <v>30</v>
      </c>
      <c r="B319" s="20" t="s">
        <v>816</v>
      </c>
      <c r="C319" s="20" t="s">
        <v>817</v>
      </c>
      <c r="D319" s="20" t="s">
        <v>30</v>
      </c>
      <c r="E319" s="20" t="s">
        <v>799</v>
      </c>
      <c r="F319" s="20" t="s">
        <v>207</v>
      </c>
      <c r="G319" s="20" t="s">
        <v>37</v>
      </c>
      <c r="H319" s="20" t="s">
        <v>38</v>
      </c>
      <c r="I319" s="7"/>
      <c r="J319" s="7"/>
      <c r="K319" s="7"/>
      <c r="L319" s="7"/>
      <c r="M319" s="7"/>
      <c r="N319" s="7"/>
      <c r="O319" s="20"/>
      <c r="P319" s="20"/>
      <c r="Q319" s="20"/>
      <c r="R319" s="20"/>
      <c r="S319" s="7"/>
      <c r="T319" s="7"/>
      <c r="U319" s="7"/>
      <c r="V319" s="7"/>
      <c r="W319" s="7"/>
      <c r="X319" s="138"/>
      <c r="Y319" s="138"/>
      <c r="Z319" s="139">
        <f t="shared" si="332"/>
        <v>0</v>
      </c>
      <c r="AA319" s="20"/>
      <c r="AB319" s="20"/>
      <c r="AC319" s="20"/>
      <c r="AD319" s="139">
        <f t="shared" si="328"/>
        <v>0</v>
      </c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0"/>
      <c r="AQ319" s="20"/>
      <c r="AR319" s="20"/>
      <c r="AS319" s="20"/>
      <c r="AT319" s="20">
        <f t="shared" si="329"/>
        <v>0</v>
      </c>
      <c r="AU319" s="20">
        <f t="shared" si="330"/>
        <v>0</v>
      </c>
      <c r="AV319" s="5"/>
      <c r="AW319" s="21">
        <f t="shared" si="331"/>
        <v>0</v>
      </c>
      <c r="AX319" s="140">
        <f t="shared" si="316"/>
        <v>0</v>
      </c>
      <c r="AY319" s="140">
        <f t="shared" si="317"/>
        <v>0</v>
      </c>
      <c r="AZ319" s="140">
        <f t="shared" si="318"/>
        <v>0</v>
      </c>
      <c r="BA319" s="140">
        <f t="shared" si="319"/>
        <v>0</v>
      </c>
      <c r="BB319" s="140">
        <f t="shared" si="320"/>
        <v>0</v>
      </c>
      <c r="BC319" s="140">
        <f t="shared" si="321"/>
        <v>0</v>
      </c>
      <c r="BD319" s="140">
        <f t="shared" si="322"/>
        <v>0</v>
      </c>
      <c r="BE319" s="140">
        <f t="shared" si="323"/>
        <v>0</v>
      </c>
      <c r="BF319" s="140">
        <f t="shared" si="324"/>
        <v>0</v>
      </c>
      <c r="BG319" s="140">
        <f t="shared" si="325"/>
        <v>0</v>
      </c>
      <c r="BH319" s="140">
        <f t="shared" si="305"/>
        <v>0</v>
      </c>
      <c r="BI319" s="140">
        <f t="shared" si="306"/>
        <v>0</v>
      </c>
      <c r="BJ319" s="140">
        <f t="shared" si="307"/>
        <v>0</v>
      </c>
      <c r="BK319" s="140">
        <f t="shared" si="308"/>
        <v>0</v>
      </c>
    </row>
    <row r="320" spans="1:63" s="100" customFormat="1" ht="16" hidden="1" customHeight="1">
      <c r="A320" s="137" t="s">
        <v>30</v>
      </c>
      <c r="B320" s="20" t="s">
        <v>818</v>
      </c>
      <c r="C320" s="20" t="s">
        <v>819</v>
      </c>
      <c r="D320" s="20" t="s">
        <v>30</v>
      </c>
      <c r="E320" s="20" t="s">
        <v>799</v>
      </c>
      <c r="F320" s="20" t="s">
        <v>207</v>
      </c>
      <c r="G320" s="20" t="s">
        <v>37</v>
      </c>
      <c r="H320" s="20" t="s">
        <v>38</v>
      </c>
      <c r="I320" s="7"/>
      <c r="J320" s="7"/>
      <c r="K320" s="7"/>
      <c r="L320" s="7"/>
      <c r="M320" s="7"/>
      <c r="N320" s="7"/>
      <c r="O320" s="20"/>
      <c r="P320" s="20"/>
      <c r="Q320" s="20"/>
      <c r="R320" s="20"/>
      <c r="S320" s="7"/>
      <c r="T320" s="7"/>
      <c r="U320" s="7"/>
      <c r="V320" s="7"/>
      <c r="W320" s="7"/>
      <c r="X320" s="138"/>
      <c r="Y320" s="138"/>
      <c r="Z320" s="139">
        <f t="shared" si="332"/>
        <v>0</v>
      </c>
      <c r="AA320" s="20"/>
      <c r="AB320" s="20"/>
      <c r="AC320" s="20"/>
      <c r="AD320" s="139">
        <f t="shared" si="328"/>
        <v>0</v>
      </c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0"/>
      <c r="AQ320" s="20"/>
      <c r="AR320" s="20"/>
      <c r="AS320" s="20"/>
      <c r="AT320" s="20">
        <f t="shared" si="329"/>
        <v>0</v>
      </c>
      <c r="AU320" s="20">
        <f t="shared" si="330"/>
        <v>0</v>
      </c>
      <c r="AV320" s="5"/>
      <c r="AW320" s="21">
        <f t="shared" si="331"/>
        <v>0</v>
      </c>
      <c r="AX320" s="140">
        <f t="shared" si="316"/>
        <v>0</v>
      </c>
      <c r="AY320" s="140">
        <f t="shared" si="317"/>
        <v>0</v>
      </c>
      <c r="AZ320" s="140">
        <f t="shared" si="318"/>
        <v>0</v>
      </c>
      <c r="BA320" s="140">
        <f t="shared" si="319"/>
        <v>0</v>
      </c>
      <c r="BB320" s="140">
        <f t="shared" si="320"/>
        <v>0</v>
      </c>
      <c r="BC320" s="140">
        <f t="shared" si="321"/>
        <v>0</v>
      </c>
      <c r="BD320" s="140">
        <f t="shared" si="322"/>
        <v>0</v>
      </c>
      <c r="BE320" s="140">
        <f t="shared" si="323"/>
        <v>0</v>
      </c>
      <c r="BF320" s="140">
        <f t="shared" si="324"/>
        <v>0</v>
      </c>
      <c r="BG320" s="140">
        <f t="shared" si="325"/>
        <v>0</v>
      </c>
      <c r="BH320" s="140">
        <f t="shared" si="305"/>
        <v>0</v>
      </c>
      <c r="BI320" s="140">
        <f t="shared" si="306"/>
        <v>0</v>
      </c>
      <c r="BJ320" s="140">
        <f t="shared" si="307"/>
        <v>0</v>
      </c>
      <c r="BK320" s="140">
        <f t="shared" si="308"/>
        <v>0</v>
      </c>
    </row>
    <row r="321" spans="1:63" s="100" customFormat="1" ht="16" hidden="1" customHeight="1">
      <c r="A321" s="137" t="s">
        <v>30</v>
      </c>
      <c r="B321" s="20" t="s">
        <v>820</v>
      </c>
      <c r="C321" s="20" t="s">
        <v>821</v>
      </c>
      <c r="D321" s="20" t="s">
        <v>30</v>
      </c>
      <c r="E321" s="20" t="s">
        <v>822</v>
      </c>
      <c r="F321" s="20" t="s">
        <v>207</v>
      </c>
      <c r="G321" s="20" t="s">
        <v>58</v>
      </c>
      <c r="H321" s="20" t="s">
        <v>38</v>
      </c>
      <c r="I321" s="7"/>
      <c r="J321" s="7"/>
      <c r="K321" s="7"/>
      <c r="L321" s="7"/>
      <c r="M321" s="7"/>
      <c r="N321" s="7"/>
      <c r="O321" s="20"/>
      <c r="P321" s="20"/>
      <c r="Q321" s="20"/>
      <c r="R321" s="20"/>
      <c r="S321" s="7"/>
      <c r="T321" s="7"/>
      <c r="U321" s="7"/>
      <c r="V321" s="7"/>
      <c r="W321" s="7"/>
      <c r="X321" s="138"/>
      <c r="Y321" s="138"/>
      <c r="Z321" s="139">
        <f t="shared" si="332"/>
        <v>0</v>
      </c>
      <c r="AA321" s="20"/>
      <c r="AB321" s="20"/>
      <c r="AC321" s="20"/>
      <c r="AD321" s="139">
        <f t="shared" si="328"/>
        <v>0</v>
      </c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0"/>
      <c r="AQ321" s="20"/>
      <c r="AR321" s="20"/>
      <c r="AS321" s="20"/>
      <c r="AT321" s="20">
        <f t="shared" si="329"/>
        <v>0</v>
      </c>
      <c r="AU321" s="20">
        <f t="shared" si="330"/>
        <v>0</v>
      </c>
      <c r="AV321" s="5"/>
      <c r="AW321" s="21">
        <f t="shared" si="331"/>
        <v>0</v>
      </c>
      <c r="AX321" s="140">
        <f t="shared" si="316"/>
        <v>0</v>
      </c>
      <c r="AY321" s="140">
        <f t="shared" si="317"/>
        <v>0</v>
      </c>
      <c r="AZ321" s="140">
        <f t="shared" si="318"/>
        <v>0</v>
      </c>
      <c r="BA321" s="140">
        <f t="shared" si="319"/>
        <v>0</v>
      </c>
      <c r="BB321" s="140">
        <f t="shared" si="320"/>
        <v>0</v>
      </c>
      <c r="BC321" s="140">
        <f t="shared" si="321"/>
        <v>0</v>
      </c>
      <c r="BD321" s="140">
        <f t="shared" si="322"/>
        <v>0</v>
      </c>
      <c r="BE321" s="140">
        <f t="shared" si="323"/>
        <v>0</v>
      </c>
      <c r="BF321" s="140">
        <f t="shared" si="324"/>
        <v>0</v>
      </c>
      <c r="BG321" s="140">
        <f t="shared" si="325"/>
        <v>0</v>
      </c>
      <c r="BH321" s="140">
        <f t="shared" si="305"/>
        <v>0</v>
      </c>
      <c r="BI321" s="140">
        <f t="shared" si="306"/>
        <v>0</v>
      </c>
      <c r="BJ321" s="140">
        <f t="shared" si="307"/>
        <v>0</v>
      </c>
      <c r="BK321" s="140">
        <f t="shared" si="308"/>
        <v>0</v>
      </c>
    </row>
    <row r="322" spans="1:63" s="100" customFormat="1" ht="16" hidden="1" customHeight="1">
      <c r="A322" s="137" t="s">
        <v>30</v>
      </c>
      <c r="B322" s="20" t="s">
        <v>823</v>
      </c>
      <c r="C322" s="20" t="s">
        <v>824</v>
      </c>
      <c r="D322" s="20" t="s">
        <v>30</v>
      </c>
      <c r="E322" s="20" t="s">
        <v>825</v>
      </c>
      <c r="F322" s="20" t="s">
        <v>207</v>
      </c>
      <c r="G322" s="20" t="s">
        <v>58</v>
      </c>
      <c r="H322" s="20" t="s">
        <v>38</v>
      </c>
      <c r="I322" s="7"/>
      <c r="J322" s="7"/>
      <c r="K322" s="7"/>
      <c r="L322" s="7"/>
      <c r="M322" s="7"/>
      <c r="N322" s="7"/>
      <c r="O322" s="20"/>
      <c r="P322" s="20"/>
      <c r="Q322" s="20"/>
      <c r="R322" s="20"/>
      <c r="S322" s="7"/>
      <c r="T322" s="7"/>
      <c r="U322" s="7"/>
      <c r="V322" s="7"/>
      <c r="W322" s="7"/>
      <c r="X322" s="138"/>
      <c r="Y322" s="138"/>
      <c r="Z322" s="139">
        <f t="shared" si="332"/>
        <v>0</v>
      </c>
      <c r="AA322" s="20"/>
      <c r="AB322" s="20"/>
      <c r="AC322" s="20"/>
      <c r="AD322" s="139">
        <f t="shared" si="328"/>
        <v>0</v>
      </c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0"/>
      <c r="AQ322" s="20"/>
      <c r="AR322" s="20"/>
      <c r="AS322" s="20"/>
      <c r="AT322" s="20">
        <f t="shared" si="329"/>
        <v>0</v>
      </c>
      <c r="AU322" s="20">
        <f t="shared" si="330"/>
        <v>0</v>
      </c>
      <c r="AV322" s="5"/>
      <c r="AW322" s="21">
        <f t="shared" si="331"/>
        <v>0</v>
      </c>
      <c r="AX322" s="140">
        <f t="shared" si="316"/>
        <v>0</v>
      </c>
      <c r="AY322" s="140">
        <f t="shared" si="317"/>
        <v>0</v>
      </c>
      <c r="AZ322" s="140">
        <f t="shared" si="318"/>
        <v>0</v>
      </c>
      <c r="BA322" s="140">
        <f t="shared" si="319"/>
        <v>0</v>
      </c>
      <c r="BB322" s="140">
        <f t="shared" si="320"/>
        <v>0</v>
      </c>
      <c r="BC322" s="140">
        <f t="shared" si="321"/>
        <v>0</v>
      </c>
      <c r="BD322" s="140">
        <f t="shared" si="322"/>
        <v>0</v>
      </c>
      <c r="BE322" s="140">
        <f t="shared" si="323"/>
        <v>0</v>
      </c>
      <c r="BF322" s="140">
        <f t="shared" si="324"/>
        <v>0</v>
      </c>
      <c r="BG322" s="140">
        <f t="shared" si="325"/>
        <v>0</v>
      </c>
      <c r="BH322" s="140">
        <f t="shared" si="305"/>
        <v>0</v>
      </c>
      <c r="BI322" s="140">
        <f t="shared" si="306"/>
        <v>0</v>
      </c>
      <c r="BJ322" s="140">
        <f t="shared" si="307"/>
        <v>0</v>
      </c>
      <c r="BK322" s="140">
        <f t="shared" si="308"/>
        <v>0</v>
      </c>
    </row>
    <row r="323" spans="1:63" s="100" customFormat="1" ht="16" hidden="1" customHeight="1">
      <c r="A323" s="137" t="s">
        <v>30</v>
      </c>
      <c r="B323" s="20" t="s">
        <v>826</v>
      </c>
      <c r="C323" s="20" t="s">
        <v>827</v>
      </c>
      <c r="D323" s="20" t="s">
        <v>30</v>
      </c>
      <c r="E323" s="20" t="s">
        <v>825</v>
      </c>
      <c r="F323" s="20" t="s">
        <v>320</v>
      </c>
      <c r="G323" s="20" t="s">
        <v>58</v>
      </c>
      <c r="H323" s="20" t="s">
        <v>38</v>
      </c>
      <c r="I323" s="7"/>
      <c r="J323" s="7"/>
      <c r="K323" s="7"/>
      <c r="L323" s="7"/>
      <c r="M323" s="7"/>
      <c r="N323" s="7"/>
      <c r="O323" s="20"/>
      <c r="P323" s="20"/>
      <c r="Q323" s="20"/>
      <c r="R323" s="20"/>
      <c r="S323" s="7"/>
      <c r="T323" s="7"/>
      <c r="U323" s="7"/>
      <c r="V323" s="7"/>
      <c r="W323" s="7"/>
      <c r="X323" s="138"/>
      <c r="Y323" s="138"/>
      <c r="Z323" s="139">
        <f t="shared" si="332"/>
        <v>0</v>
      </c>
      <c r="AA323" s="20"/>
      <c r="AB323" s="20"/>
      <c r="AC323" s="20"/>
      <c r="AD323" s="139">
        <f t="shared" si="328"/>
        <v>0</v>
      </c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0"/>
      <c r="AQ323" s="20"/>
      <c r="AR323" s="20"/>
      <c r="AS323" s="20"/>
      <c r="AT323" s="20">
        <f t="shared" si="329"/>
        <v>0</v>
      </c>
      <c r="AU323" s="20">
        <f t="shared" si="330"/>
        <v>0</v>
      </c>
      <c r="AV323" s="5"/>
      <c r="AW323" s="21">
        <f t="shared" si="331"/>
        <v>0</v>
      </c>
      <c r="AX323" s="140">
        <f t="shared" si="316"/>
        <v>0</v>
      </c>
      <c r="AY323" s="140">
        <f t="shared" si="317"/>
        <v>0</v>
      </c>
      <c r="AZ323" s="140">
        <f t="shared" si="318"/>
        <v>0</v>
      </c>
      <c r="BA323" s="140">
        <f t="shared" si="319"/>
        <v>0</v>
      </c>
      <c r="BB323" s="140">
        <f t="shared" si="320"/>
        <v>0</v>
      </c>
      <c r="BC323" s="140">
        <f t="shared" si="321"/>
        <v>0</v>
      </c>
      <c r="BD323" s="140">
        <f t="shared" si="322"/>
        <v>0</v>
      </c>
      <c r="BE323" s="140">
        <f t="shared" si="323"/>
        <v>0</v>
      </c>
      <c r="BF323" s="140">
        <f t="shared" si="324"/>
        <v>0</v>
      </c>
      <c r="BG323" s="140">
        <f t="shared" si="325"/>
        <v>0</v>
      </c>
      <c r="BH323" s="140">
        <f t="shared" si="305"/>
        <v>0</v>
      </c>
      <c r="BI323" s="140">
        <f t="shared" si="306"/>
        <v>0</v>
      </c>
      <c r="BJ323" s="140">
        <f t="shared" si="307"/>
        <v>0</v>
      </c>
      <c r="BK323" s="140">
        <f t="shared" si="308"/>
        <v>0</v>
      </c>
    </row>
    <row r="324" spans="1:63" s="100" customFormat="1" ht="16" hidden="1" customHeight="1">
      <c r="A324" s="137" t="s">
        <v>30</v>
      </c>
      <c r="B324" s="20" t="s">
        <v>828</v>
      </c>
      <c r="C324" s="20" t="s">
        <v>829</v>
      </c>
      <c r="D324" s="20" t="s">
        <v>30</v>
      </c>
      <c r="E324" s="20" t="s">
        <v>830</v>
      </c>
      <c r="F324" s="20" t="s">
        <v>273</v>
      </c>
      <c r="G324" s="20" t="s">
        <v>58</v>
      </c>
      <c r="H324" s="20" t="s">
        <v>38</v>
      </c>
      <c r="I324" s="7"/>
      <c r="J324" s="7"/>
      <c r="K324" s="7"/>
      <c r="L324" s="7"/>
      <c r="M324" s="7"/>
      <c r="N324" s="7"/>
      <c r="O324" s="20"/>
      <c r="P324" s="20"/>
      <c r="Q324" s="20"/>
      <c r="R324" s="20"/>
      <c r="S324" s="7"/>
      <c r="T324" s="7"/>
      <c r="U324" s="7"/>
      <c r="V324" s="7"/>
      <c r="W324" s="7"/>
      <c r="X324" s="138"/>
      <c r="Y324" s="138"/>
      <c r="Z324" s="139">
        <f t="shared" si="332"/>
        <v>0</v>
      </c>
      <c r="AA324" s="20"/>
      <c r="AB324" s="20"/>
      <c r="AC324" s="20"/>
      <c r="AD324" s="139">
        <f t="shared" si="328"/>
        <v>0</v>
      </c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0"/>
      <c r="AQ324" s="20"/>
      <c r="AR324" s="20"/>
      <c r="AS324" s="20"/>
      <c r="AT324" s="20">
        <f t="shared" si="329"/>
        <v>0</v>
      </c>
      <c r="AU324" s="20">
        <f t="shared" si="330"/>
        <v>0</v>
      </c>
      <c r="AV324" s="5"/>
      <c r="AW324" s="21">
        <f t="shared" si="331"/>
        <v>0</v>
      </c>
      <c r="AX324" s="140">
        <f t="shared" si="316"/>
        <v>0</v>
      </c>
      <c r="AY324" s="140">
        <f t="shared" si="317"/>
        <v>0</v>
      </c>
      <c r="AZ324" s="140">
        <f t="shared" si="318"/>
        <v>0</v>
      </c>
      <c r="BA324" s="140">
        <f t="shared" si="319"/>
        <v>0</v>
      </c>
      <c r="BB324" s="140">
        <f t="shared" si="320"/>
        <v>0</v>
      </c>
      <c r="BC324" s="140">
        <f t="shared" si="321"/>
        <v>0</v>
      </c>
      <c r="BD324" s="140">
        <f t="shared" si="322"/>
        <v>0</v>
      </c>
      <c r="BE324" s="140">
        <f t="shared" si="323"/>
        <v>0</v>
      </c>
      <c r="BF324" s="140">
        <f t="shared" si="324"/>
        <v>0</v>
      </c>
      <c r="BG324" s="140">
        <f t="shared" si="325"/>
        <v>0</v>
      </c>
      <c r="BH324" s="140">
        <f t="shared" si="305"/>
        <v>0</v>
      </c>
      <c r="BI324" s="140">
        <f t="shared" si="306"/>
        <v>0</v>
      </c>
      <c r="BJ324" s="140">
        <f t="shared" si="307"/>
        <v>0</v>
      </c>
      <c r="BK324" s="140">
        <f t="shared" si="308"/>
        <v>0</v>
      </c>
    </row>
    <row r="325" spans="1:63" s="100" customFormat="1" ht="16" hidden="1" customHeight="1">
      <c r="A325" s="138" t="s">
        <v>30</v>
      </c>
      <c r="B325" s="20" t="s">
        <v>831</v>
      </c>
      <c r="C325" s="20" t="s">
        <v>832</v>
      </c>
      <c r="D325" s="20" t="s">
        <v>30</v>
      </c>
      <c r="E325" s="20" t="s">
        <v>807</v>
      </c>
      <c r="F325" s="20" t="s">
        <v>273</v>
      </c>
      <c r="G325" s="20" t="s">
        <v>37</v>
      </c>
      <c r="H325" s="20" t="s">
        <v>38</v>
      </c>
      <c r="I325" s="7"/>
      <c r="J325" s="7"/>
      <c r="K325" s="7"/>
      <c r="L325" s="7"/>
      <c r="M325" s="7"/>
      <c r="N325" s="7"/>
      <c r="O325" s="20"/>
      <c r="P325" s="20"/>
      <c r="Q325" s="20"/>
      <c r="R325" s="20"/>
      <c r="S325" s="7"/>
      <c r="T325" s="7"/>
      <c r="U325" s="7"/>
      <c r="V325" s="7"/>
      <c r="W325" s="7"/>
      <c r="X325" s="138"/>
      <c r="Y325" s="138"/>
      <c r="Z325" s="139">
        <f t="shared" si="332"/>
        <v>0</v>
      </c>
      <c r="AA325" s="20"/>
      <c r="AB325" s="20"/>
      <c r="AC325" s="20"/>
      <c r="AD325" s="139">
        <f t="shared" si="328"/>
        <v>0</v>
      </c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0"/>
      <c r="AQ325" s="20"/>
      <c r="AR325" s="20"/>
      <c r="AS325" s="20"/>
      <c r="AT325" s="20">
        <f t="shared" si="329"/>
        <v>0</v>
      </c>
      <c r="AU325" s="20">
        <f t="shared" si="330"/>
        <v>0</v>
      </c>
      <c r="AV325" s="5"/>
      <c r="AW325" s="21">
        <f t="shared" si="331"/>
        <v>0</v>
      </c>
      <c r="AX325" s="140">
        <f t="shared" si="316"/>
        <v>0</v>
      </c>
      <c r="AY325" s="140">
        <f t="shared" si="317"/>
        <v>0</v>
      </c>
      <c r="AZ325" s="140">
        <f t="shared" si="318"/>
        <v>0</v>
      </c>
      <c r="BA325" s="140">
        <f t="shared" si="319"/>
        <v>0</v>
      </c>
      <c r="BB325" s="140">
        <f t="shared" si="320"/>
        <v>0</v>
      </c>
      <c r="BC325" s="140">
        <f t="shared" si="321"/>
        <v>0</v>
      </c>
      <c r="BD325" s="140">
        <f t="shared" si="322"/>
        <v>0</v>
      </c>
      <c r="BE325" s="140">
        <f t="shared" si="323"/>
        <v>0</v>
      </c>
      <c r="BF325" s="140">
        <f t="shared" si="324"/>
        <v>0</v>
      </c>
      <c r="BG325" s="140">
        <f t="shared" si="325"/>
        <v>0</v>
      </c>
      <c r="BH325" s="140">
        <f t="shared" si="305"/>
        <v>0</v>
      </c>
      <c r="BI325" s="140">
        <f t="shared" si="306"/>
        <v>0</v>
      </c>
      <c r="BJ325" s="140">
        <f t="shared" si="307"/>
        <v>0</v>
      </c>
      <c r="BK325" s="140">
        <f t="shared" si="308"/>
        <v>0</v>
      </c>
    </row>
    <row r="326" spans="1:63" s="100" customFormat="1" ht="16" hidden="1" customHeight="1">
      <c r="A326" s="137" t="s">
        <v>30</v>
      </c>
      <c r="B326" s="20" t="s">
        <v>833</v>
      </c>
      <c r="C326" s="20" t="s">
        <v>834</v>
      </c>
      <c r="D326" s="20" t="s">
        <v>30</v>
      </c>
      <c r="E326" s="20" t="s">
        <v>804</v>
      </c>
      <c r="F326" s="20" t="s">
        <v>320</v>
      </c>
      <c r="G326" s="20" t="s">
        <v>37</v>
      </c>
      <c r="H326" s="20" t="s">
        <v>38</v>
      </c>
      <c r="I326" s="7"/>
      <c r="J326" s="7"/>
      <c r="K326" s="7"/>
      <c r="L326" s="7"/>
      <c r="M326" s="7"/>
      <c r="N326" s="7"/>
      <c r="O326" s="20"/>
      <c r="P326" s="20"/>
      <c r="Q326" s="20"/>
      <c r="R326" s="20"/>
      <c r="S326" s="7"/>
      <c r="T326" s="7"/>
      <c r="U326" s="7"/>
      <c r="V326" s="7"/>
      <c r="W326" s="7"/>
      <c r="X326" s="138"/>
      <c r="Y326" s="138"/>
      <c r="Z326" s="139">
        <f t="shared" si="332"/>
        <v>0</v>
      </c>
      <c r="AA326" s="20"/>
      <c r="AB326" s="20"/>
      <c r="AC326" s="20"/>
      <c r="AD326" s="139">
        <f t="shared" si="328"/>
        <v>0</v>
      </c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0"/>
      <c r="AQ326" s="20"/>
      <c r="AR326" s="20"/>
      <c r="AS326" s="20"/>
      <c r="AT326" s="20">
        <f t="shared" si="329"/>
        <v>0</v>
      </c>
      <c r="AU326" s="20">
        <f t="shared" si="330"/>
        <v>0</v>
      </c>
      <c r="AV326" s="5"/>
      <c r="AW326" s="21">
        <f t="shared" si="331"/>
        <v>0</v>
      </c>
      <c r="AX326" s="140">
        <f t="shared" si="316"/>
        <v>0</v>
      </c>
      <c r="AY326" s="140">
        <f t="shared" si="317"/>
        <v>0</v>
      </c>
      <c r="AZ326" s="140">
        <f t="shared" si="318"/>
        <v>0</v>
      </c>
      <c r="BA326" s="140">
        <f t="shared" si="319"/>
        <v>0</v>
      </c>
      <c r="BB326" s="140">
        <f t="shared" si="320"/>
        <v>0</v>
      </c>
      <c r="BC326" s="140">
        <f t="shared" si="321"/>
        <v>0</v>
      </c>
      <c r="BD326" s="140">
        <f t="shared" si="322"/>
        <v>0</v>
      </c>
      <c r="BE326" s="140">
        <f t="shared" si="323"/>
        <v>0</v>
      </c>
      <c r="BF326" s="140">
        <f t="shared" si="324"/>
        <v>0</v>
      </c>
      <c r="BG326" s="140">
        <f t="shared" si="325"/>
        <v>0</v>
      </c>
      <c r="BH326" s="140">
        <f t="shared" si="305"/>
        <v>0</v>
      </c>
      <c r="BI326" s="140">
        <f t="shared" si="306"/>
        <v>0</v>
      </c>
      <c r="BJ326" s="140">
        <f t="shared" si="307"/>
        <v>0</v>
      </c>
      <c r="BK326" s="140">
        <f t="shared" si="308"/>
        <v>0</v>
      </c>
    </row>
    <row r="327" spans="1:63" s="100" customFormat="1" ht="16" hidden="1" customHeight="1">
      <c r="A327" s="137" t="s">
        <v>30</v>
      </c>
      <c r="B327" s="20" t="s">
        <v>835</v>
      </c>
      <c r="C327" s="20" t="s">
        <v>836</v>
      </c>
      <c r="D327" s="20" t="s">
        <v>30</v>
      </c>
      <c r="E327" s="20" t="s">
        <v>799</v>
      </c>
      <c r="F327" s="20" t="s">
        <v>207</v>
      </c>
      <c r="G327" s="20" t="s">
        <v>37</v>
      </c>
      <c r="H327" s="20" t="s">
        <v>38</v>
      </c>
      <c r="I327" s="7"/>
      <c r="J327" s="7"/>
      <c r="K327" s="7"/>
      <c r="L327" s="7"/>
      <c r="M327" s="7"/>
      <c r="N327" s="7"/>
      <c r="O327" s="20"/>
      <c r="P327" s="20"/>
      <c r="Q327" s="20"/>
      <c r="R327" s="20"/>
      <c r="S327" s="7"/>
      <c r="T327" s="7"/>
      <c r="U327" s="7"/>
      <c r="V327" s="7"/>
      <c r="W327" s="7"/>
      <c r="X327" s="138"/>
      <c r="Y327" s="138"/>
      <c r="Z327" s="139">
        <f t="shared" si="332"/>
        <v>0</v>
      </c>
      <c r="AA327" s="20"/>
      <c r="AB327" s="20"/>
      <c r="AC327" s="20"/>
      <c r="AD327" s="139">
        <f t="shared" si="328"/>
        <v>0</v>
      </c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0"/>
      <c r="AQ327" s="20"/>
      <c r="AR327" s="20"/>
      <c r="AS327" s="20"/>
      <c r="AT327" s="20">
        <f t="shared" si="329"/>
        <v>0</v>
      </c>
      <c r="AU327" s="20">
        <f t="shared" si="330"/>
        <v>0</v>
      </c>
      <c r="AV327" s="5"/>
      <c r="AW327" s="21">
        <f t="shared" si="331"/>
        <v>0</v>
      </c>
      <c r="AX327" s="140">
        <f t="shared" si="316"/>
        <v>0</v>
      </c>
      <c r="AY327" s="140">
        <f t="shared" si="317"/>
        <v>0</v>
      </c>
      <c r="AZ327" s="140">
        <f t="shared" si="318"/>
        <v>0</v>
      </c>
      <c r="BA327" s="140">
        <f t="shared" si="319"/>
        <v>0</v>
      </c>
      <c r="BB327" s="140">
        <f t="shared" si="320"/>
        <v>0</v>
      </c>
      <c r="BC327" s="140">
        <f t="shared" si="321"/>
        <v>0</v>
      </c>
      <c r="BD327" s="140">
        <f t="shared" si="322"/>
        <v>0</v>
      </c>
      <c r="BE327" s="140">
        <f t="shared" si="323"/>
        <v>0</v>
      </c>
      <c r="BF327" s="140">
        <f t="shared" si="324"/>
        <v>0</v>
      </c>
      <c r="BG327" s="140">
        <f t="shared" si="325"/>
        <v>0</v>
      </c>
      <c r="BH327" s="140">
        <f t="shared" ref="BH327:BH390" si="333">AP327+AJ327-T327</f>
        <v>0</v>
      </c>
      <c r="BI327" s="140">
        <f t="shared" ref="BI327:BI390" si="334">AQ327+AK327-U327</f>
        <v>0</v>
      </c>
      <c r="BJ327" s="140">
        <f t="shared" ref="BJ327:BJ390" si="335">AR327+AL327-V327</f>
        <v>0</v>
      </c>
      <c r="BK327" s="140">
        <f t="shared" ref="BK327:BK390" si="336">AS327+AM327-W327</f>
        <v>0</v>
      </c>
    </row>
    <row r="328" spans="1:63" s="100" customFormat="1" ht="16" hidden="1" customHeight="1">
      <c r="A328" s="137" t="s">
        <v>30</v>
      </c>
      <c r="B328" s="20" t="s">
        <v>837</v>
      </c>
      <c r="C328" s="20" t="s">
        <v>838</v>
      </c>
      <c r="D328" s="20" t="s">
        <v>30</v>
      </c>
      <c r="E328" s="20" t="s">
        <v>812</v>
      </c>
      <c r="F328" s="20" t="s">
        <v>273</v>
      </c>
      <c r="G328" s="20" t="s">
        <v>37</v>
      </c>
      <c r="H328" s="20" t="s">
        <v>38</v>
      </c>
      <c r="I328" s="7"/>
      <c r="J328" s="7"/>
      <c r="K328" s="7"/>
      <c r="L328" s="7"/>
      <c r="M328" s="7"/>
      <c r="N328" s="7"/>
      <c r="O328" s="20"/>
      <c r="P328" s="20"/>
      <c r="Q328" s="20"/>
      <c r="R328" s="20"/>
      <c r="S328" s="7"/>
      <c r="T328" s="7"/>
      <c r="U328" s="7"/>
      <c r="V328" s="7"/>
      <c r="W328" s="7"/>
      <c r="X328" s="138"/>
      <c r="Y328" s="138"/>
      <c r="Z328" s="139">
        <f t="shared" ref="Z328:Z346" si="337">X328-Y328+AC328</f>
        <v>0</v>
      </c>
      <c r="AA328" s="20"/>
      <c r="AB328" s="20"/>
      <c r="AC328" s="20"/>
      <c r="AD328" s="139">
        <f t="shared" ref="AD328:AD356" si="338">AB328-Y328+AA328+AC328</f>
        <v>0</v>
      </c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0"/>
      <c r="AQ328" s="20"/>
      <c r="AR328" s="20"/>
      <c r="AS328" s="20"/>
      <c r="AT328" s="20">
        <f t="shared" ref="AT328:AT356" si="339">SUM(AE328:AR328)</f>
        <v>0</v>
      </c>
      <c r="AU328" s="20">
        <f t="shared" ref="AU328:AU356" si="340">AD328-AT328</f>
        <v>0</v>
      </c>
      <c r="AV328" s="5"/>
      <c r="AW328" s="21">
        <f t="shared" ref="AW328:AW356" si="341">AE328+Y328-I328</f>
        <v>0</v>
      </c>
      <c r="AX328" s="140">
        <f t="shared" si="316"/>
        <v>0</v>
      </c>
      <c r="AY328" s="140">
        <f t="shared" si="317"/>
        <v>0</v>
      </c>
      <c r="AZ328" s="140">
        <f t="shared" si="318"/>
        <v>0</v>
      </c>
      <c r="BA328" s="140">
        <f t="shared" si="319"/>
        <v>0</v>
      </c>
      <c r="BB328" s="140">
        <f t="shared" si="320"/>
        <v>0</v>
      </c>
      <c r="BC328" s="140">
        <f t="shared" si="321"/>
        <v>0</v>
      </c>
      <c r="BD328" s="140">
        <f t="shared" si="322"/>
        <v>0</v>
      </c>
      <c r="BE328" s="140">
        <f t="shared" si="323"/>
        <v>0</v>
      </c>
      <c r="BF328" s="140">
        <f t="shared" si="324"/>
        <v>0</v>
      </c>
      <c r="BG328" s="140">
        <f t="shared" si="325"/>
        <v>0</v>
      </c>
      <c r="BH328" s="140">
        <f t="shared" si="333"/>
        <v>0</v>
      </c>
      <c r="BI328" s="140">
        <f t="shared" si="334"/>
        <v>0</v>
      </c>
      <c r="BJ328" s="140">
        <f t="shared" si="335"/>
        <v>0</v>
      </c>
      <c r="BK328" s="140">
        <f t="shared" si="336"/>
        <v>0</v>
      </c>
    </row>
    <row r="329" spans="1:63" s="100" customFormat="1" ht="16" hidden="1" customHeight="1">
      <c r="A329" s="137" t="s">
        <v>30</v>
      </c>
      <c r="B329" s="20" t="s">
        <v>839</v>
      </c>
      <c r="C329" s="20" t="s">
        <v>840</v>
      </c>
      <c r="D329" s="20" t="s">
        <v>30</v>
      </c>
      <c r="E329" s="20" t="s">
        <v>841</v>
      </c>
      <c r="F329" s="20" t="s">
        <v>273</v>
      </c>
      <c r="G329" s="20" t="s">
        <v>37</v>
      </c>
      <c r="H329" s="20" t="s">
        <v>38</v>
      </c>
      <c r="I329" s="7"/>
      <c r="J329" s="7"/>
      <c r="K329" s="7"/>
      <c r="L329" s="7"/>
      <c r="M329" s="7"/>
      <c r="N329" s="7"/>
      <c r="O329" s="20"/>
      <c r="P329" s="20"/>
      <c r="Q329" s="20"/>
      <c r="R329" s="20"/>
      <c r="S329" s="7"/>
      <c r="T329" s="7"/>
      <c r="U329" s="7"/>
      <c r="V329" s="7"/>
      <c r="W329" s="7"/>
      <c r="X329" s="138"/>
      <c r="Y329" s="138"/>
      <c r="Z329" s="139">
        <f t="shared" si="337"/>
        <v>0</v>
      </c>
      <c r="AA329" s="20"/>
      <c r="AB329" s="20"/>
      <c r="AC329" s="20"/>
      <c r="AD329" s="139">
        <f t="shared" si="338"/>
        <v>0</v>
      </c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0"/>
      <c r="AQ329" s="20"/>
      <c r="AR329" s="20"/>
      <c r="AS329" s="20"/>
      <c r="AT329" s="20">
        <f t="shared" si="339"/>
        <v>0</v>
      </c>
      <c r="AU329" s="20">
        <f t="shared" si="340"/>
        <v>0</v>
      </c>
      <c r="AV329" s="5"/>
      <c r="AW329" s="21">
        <f t="shared" si="341"/>
        <v>0</v>
      </c>
      <c r="AX329" s="140">
        <f t="shared" si="316"/>
        <v>0</v>
      </c>
      <c r="AY329" s="140">
        <f t="shared" si="317"/>
        <v>0</v>
      </c>
      <c r="AZ329" s="140">
        <f t="shared" si="318"/>
        <v>0</v>
      </c>
      <c r="BA329" s="140">
        <f t="shared" si="319"/>
        <v>0</v>
      </c>
      <c r="BB329" s="140">
        <f t="shared" si="320"/>
        <v>0</v>
      </c>
      <c r="BC329" s="140">
        <f t="shared" si="321"/>
        <v>0</v>
      </c>
      <c r="BD329" s="140">
        <f t="shared" si="322"/>
        <v>0</v>
      </c>
      <c r="BE329" s="140">
        <f t="shared" si="323"/>
        <v>0</v>
      </c>
      <c r="BF329" s="140">
        <f t="shared" si="324"/>
        <v>0</v>
      </c>
      <c r="BG329" s="140">
        <f t="shared" si="325"/>
        <v>0</v>
      </c>
      <c r="BH329" s="140">
        <f t="shared" si="333"/>
        <v>0</v>
      </c>
      <c r="BI329" s="140">
        <f t="shared" si="334"/>
        <v>0</v>
      </c>
      <c r="BJ329" s="140">
        <f t="shared" si="335"/>
        <v>0</v>
      </c>
      <c r="BK329" s="140">
        <f t="shared" si="336"/>
        <v>0</v>
      </c>
    </row>
    <row r="330" spans="1:63" s="100" customFormat="1" ht="16" hidden="1" customHeight="1">
      <c r="A330" s="137" t="s">
        <v>30</v>
      </c>
      <c r="B330" s="20" t="s">
        <v>842</v>
      </c>
      <c r="C330" s="20" t="s">
        <v>843</v>
      </c>
      <c r="D330" s="20" t="s">
        <v>30</v>
      </c>
      <c r="E330" s="20" t="s">
        <v>844</v>
      </c>
      <c r="F330" s="20" t="s">
        <v>207</v>
      </c>
      <c r="G330" s="20" t="s">
        <v>58</v>
      </c>
      <c r="H330" s="20" t="s">
        <v>45</v>
      </c>
      <c r="I330" s="7"/>
      <c r="J330" s="7"/>
      <c r="K330" s="7"/>
      <c r="L330" s="7"/>
      <c r="M330" s="7"/>
      <c r="N330" s="7"/>
      <c r="O330" s="20"/>
      <c r="P330" s="20"/>
      <c r="Q330" s="20"/>
      <c r="R330" s="20"/>
      <c r="S330" s="7"/>
      <c r="T330" s="7"/>
      <c r="U330" s="7"/>
      <c r="V330" s="7"/>
      <c r="W330" s="7"/>
      <c r="X330" s="138"/>
      <c r="Y330" s="138"/>
      <c r="Z330" s="139">
        <f t="shared" si="337"/>
        <v>0</v>
      </c>
      <c r="AA330" s="20"/>
      <c r="AB330" s="20"/>
      <c r="AC330" s="20"/>
      <c r="AD330" s="139">
        <f t="shared" si="338"/>
        <v>0</v>
      </c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0"/>
      <c r="AQ330" s="20"/>
      <c r="AR330" s="20"/>
      <c r="AS330" s="20"/>
      <c r="AT330" s="20">
        <f t="shared" si="339"/>
        <v>0</v>
      </c>
      <c r="AU330" s="20">
        <f t="shared" si="340"/>
        <v>0</v>
      </c>
      <c r="AV330" s="5"/>
      <c r="AW330" s="21">
        <f t="shared" si="341"/>
        <v>0</v>
      </c>
      <c r="AX330" s="140">
        <f t="shared" si="316"/>
        <v>0</v>
      </c>
      <c r="AY330" s="140">
        <f t="shared" si="317"/>
        <v>0</v>
      </c>
      <c r="AZ330" s="140">
        <f t="shared" si="318"/>
        <v>0</v>
      </c>
      <c r="BA330" s="140">
        <f t="shared" si="319"/>
        <v>0</v>
      </c>
      <c r="BB330" s="140">
        <f t="shared" si="320"/>
        <v>0</v>
      </c>
      <c r="BC330" s="140">
        <f t="shared" si="321"/>
        <v>0</v>
      </c>
      <c r="BD330" s="140">
        <f t="shared" si="322"/>
        <v>0</v>
      </c>
      <c r="BE330" s="140">
        <f t="shared" si="323"/>
        <v>0</v>
      </c>
      <c r="BF330" s="140">
        <f t="shared" si="324"/>
        <v>0</v>
      </c>
      <c r="BG330" s="140">
        <f t="shared" si="325"/>
        <v>0</v>
      </c>
      <c r="BH330" s="140">
        <f t="shared" si="333"/>
        <v>0</v>
      </c>
      <c r="BI330" s="140">
        <f t="shared" si="334"/>
        <v>0</v>
      </c>
      <c r="BJ330" s="140">
        <f t="shared" si="335"/>
        <v>0</v>
      </c>
      <c r="BK330" s="140">
        <f t="shared" si="336"/>
        <v>0</v>
      </c>
    </row>
    <row r="331" spans="1:63" s="100" customFormat="1" ht="16" hidden="1" customHeight="1">
      <c r="A331" s="137" t="s">
        <v>30</v>
      </c>
      <c r="B331" s="20" t="s">
        <v>845</v>
      </c>
      <c r="C331" s="20" t="s">
        <v>846</v>
      </c>
      <c r="D331" s="20" t="s">
        <v>30</v>
      </c>
      <c r="E331" s="20" t="s">
        <v>847</v>
      </c>
      <c r="F331" s="20" t="s">
        <v>207</v>
      </c>
      <c r="G331" s="20" t="s">
        <v>58</v>
      </c>
      <c r="H331" s="20" t="s">
        <v>45</v>
      </c>
      <c r="I331" s="7"/>
      <c r="J331" s="7"/>
      <c r="K331" s="7"/>
      <c r="L331" s="7"/>
      <c r="M331" s="7"/>
      <c r="N331" s="7"/>
      <c r="O331" s="20"/>
      <c r="P331" s="20"/>
      <c r="Q331" s="20"/>
      <c r="R331" s="20"/>
      <c r="S331" s="7"/>
      <c r="T331" s="7"/>
      <c r="U331" s="7"/>
      <c r="V331" s="7"/>
      <c r="W331" s="7"/>
      <c r="X331" s="138"/>
      <c r="Y331" s="138"/>
      <c r="Z331" s="139">
        <f t="shared" si="337"/>
        <v>0</v>
      </c>
      <c r="AA331" s="20"/>
      <c r="AB331" s="20"/>
      <c r="AC331" s="20"/>
      <c r="AD331" s="139">
        <f t="shared" si="338"/>
        <v>0</v>
      </c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0"/>
      <c r="AQ331" s="20"/>
      <c r="AR331" s="20"/>
      <c r="AS331" s="20"/>
      <c r="AT331" s="20">
        <f t="shared" si="339"/>
        <v>0</v>
      </c>
      <c r="AU331" s="20">
        <f t="shared" si="340"/>
        <v>0</v>
      </c>
      <c r="AV331" s="5"/>
      <c r="AW331" s="21">
        <f t="shared" si="341"/>
        <v>0</v>
      </c>
      <c r="AX331" s="140">
        <f t="shared" ref="AX331:AX394" si="342">AW331+AF331-J331</f>
        <v>0</v>
      </c>
      <c r="AY331" s="140">
        <f t="shared" ref="AY331:AY394" si="343">AX331+AG331-K331</f>
        <v>0</v>
      </c>
      <c r="AZ331" s="140">
        <f t="shared" ref="AZ331:AZ394" si="344">AY331+AH331-L331</f>
        <v>0</v>
      </c>
      <c r="BA331" s="140">
        <f t="shared" ref="BA331:BA394" si="345">AZ331+AI331-M331</f>
        <v>0</v>
      </c>
      <c r="BB331" s="140">
        <f t="shared" ref="BB331:BB394" si="346">BA331+AJ331-N331</f>
        <v>0</v>
      </c>
      <c r="BC331" s="140">
        <f t="shared" ref="BC331:BC394" si="347">BB331+AK331-O331</f>
        <v>0</v>
      </c>
      <c r="BD331" s="140">
        <f t="shared" ref="BD331:BD394" si="348">BC331+AL331-P331</f>
        <v>0</v>
      </c>
      <c r="BE331" s="140">
        <f t="shared" ref="BE331:BE394" si="349">BD331+AM331-Q331</f>
        <v>0</v>
      </c>
      <c r="BF331" s="140">
        <f t="shared" ref="BF331:BF394" si="350">BE331+AN331-R331</f>
        <v>0</v>
      </c>
      <c r="BG331" s="140">
        <f t="shared" ref="BG331:BG394" si="351">BF331+AO331-S331</f>
        <v>0</v>
      </c>
      <c r="BH331" s="140">
        <f t="shared" si="333"/>
        <v>0</v>
      </c>
      <c r="BI331" s="140">
        <f t="shared" si="334"/>
        <v>0</v>
      </c>
      <c r="BJ331" s="140">
        <f t="shared" si="335"/>
        <v>0</v>
      </c>
      <c r="BK331" s="140">
        <f t="shared" si="336"/>
        <v>0</v>
      </c>
    </row>
    <row r="332" spans="1:63" s="100" customFormat="1" ht="16" hidden="1" customHeight="1">
      <c r="A332" s="137" t="s">
        <v>30</v>
      </c>
      <c r="B332" s="20" t="s">
        <v>848</v>
      </c>
      <c r="C332" s="20" t="s">
        <v>849</v>
      </c>
      <c r="D332" s="20" t="s">
        <v>30</v>
      </c>
      <c r="E332" s="20" t="s">
        <v>844</v>
      </c>
      <c r="F332" s="20" t="s">
        <v>207</v>
      </c>
      <c r="G332" s="20" t="s">
        <v>58</v>
      </c>
      <c r="H332" s="20" t="s">
        <v>45</v>
      </c>
      <c r="I332" s="7"/>
      <c r="J332" s="7"/>
      <c r="K332" s="7"/>
      <c r="L332" s="7"/>
      <c r="M332" s="7"/>
      <c r="N332" s="7"/>
      <c r="O332" s="20"/>
      <c r="P332" s="20"/>
      <c r="Q332" s="20"/>
      <c r="R332" s="20"/>
      <c r="S332" s="7"/>
      <c r="T332" s="7"/>
      <c r="U332" s="7"/>
      <c r="V332" s="7"/>
      <c r="W332" s="7"/>
      <c r="X332" s="138"/>
      <c r="Y332" s="138"/>
      <c r="Z332" s="139">
        <f t="shared" si="337"/>
        <v>0</v>
      </c>
      <c r="AA332" s="20"/>
      <c r="AB332" s="20"/>
      <c r="AC332" s="20"/>
      <c r="AD332" s="139">
        <f t="shared" si="338"/>
        <v>0</v>
      </c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0"/>
      <c r="AQ332" s="20"/>
      <c r="AR332" s="20"/>
      <c r="AS332" s="20"/>
      <c r="AT332" s="20">
        <f t="shared" si="339"/>
        <v>0</v>
      </c>
      <c r="AU332" s="20">
        <f t="shared" si="340"/>
        <v>0</v>
      </c>
      <c r="AV332" s="5"/>
      <c r="AW332" s="21">
        <f t="shared" si="341"/>
        <v>0</v>
      </c>
      <c r="AX332" s="140">
        <f t="shared" si="342"/>
        <v>0</v>
      </c>
      <c r="AY332" s="140">
        <f t="shared" si="343"/>
        <v>0</v>
      </c>
      <c r="AZ332" s="140">
        <f t="shared" si="344"/>
        <v>0</v>
      </c>
      <c r="BA332" s="140">
        <f t="shared" si="345"/>
        <v>0</v>
      </c>
      <c r="BB332" s="140">
        <f t="shared" si="346"/>
        <v>0</v>
      </c>
      <c r="BC332" s="140">
        <f t="shared" si="347"/>
        <v>0</v>
      </c>
      <c r="BD332" s="140">
        <f t="shared" si="348"/>
        <v>0</v>
      </c>
      <c r="BE332" s="140">
        <f t="shared" si="349"/>
        <v>0</v>
      </c>
      <c r="BF332" s="140">
        <f t="shared" si="350"/>
        <v>0</v>
      </c>
      <c r="BG332" s="140">
        <f t="shared" si="351"/>
        <v>0</v>
      </c>
      <c r="BH332" s="140">
        <f t="shared" si="333"/>
        <v>0</v>
      </c>
      <c r="BI332" s="140">
        <f t="shared" si="334"/>
        <v>0</v>
      </c>
      <c r="BJ332" s="140">
        <f t="shared" si="335"/>
        <v>0</v>
      </c>
      <c r="BK332" s="140">
        <f t="shared" si="336"/>
        <v>0</v>
      </c>
    </row>
    <row r="333" spans="1:63" s="100" customFormat="1" ht="16" hidden="1" customHeight="1">
      <c r="A333" s="137" t="s">
        <v>30</v>
      </c>
      <c r="B333" s="20" t="s">
        <v>850</v>
      </c>
      <c r="C333" s="20" t="s">
        <v>851</v>
      </c>
      <c r="D333" s="20" t="s">
        <v>30</v>
      </c>
      <c r="E333" s="20" t="s">
        <v>852</v>
      </c>
      <c r="F333" s="20" t="s">
        <v>320</v>
      </c>
      <c r="G333" s="20" t="s">
        <v>58</v>
      </c>
      <c r="H333" s="20" t="s">
        <v>38</v>
      </c>
      <c r="I333" s="7"/>
      <c r="J333" s="7"/>
      <c r="K333" s="7"/>
      <c r="L333" s="7"/>
      <c r="M333" s="7"/>
      <c r="N333" s="7"/>
      <c r="O333" s="20"/>
      <c r="P333" s="20"/>
      <c r="Q333" s="20"/>
      <c r="R333" s="20"/>
      <c r="S333" s="7"/>
      <c r="T333" s="7"/>
      <c r="U333" s="7"/>
      <c r="V333" s="7"/>
      <c r="W333" s="7"/>
      <c r="X333" s="138"/>
      <c r="Y333" s="138"/>
      <c r="Z333" s="139">
        <f t="shared" si="337"/>
        <v>0</v>
      </c>
      <c r="AA333" s="20"/>
      <c r="AB333" s="20"/>
      <c r="AC333" s="20"/>
      <c r="AD333" s="139">
        <f t="shared" si="338"/>
        <v>0</v>
      </c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0"/>
      <c r="AQ333" s="20"/>
      <c r="AR333" s="20"/>
      <c r="AS333" s="20"/>
      <c r="AT333" s="20">
        <f t="shared" si="339"/>
        <v>0</v>
      </c>
      <c r="AU333" s="20">
        <f t="shared" si="340"/>
        <v>0</v>
      </c>
      <c r="AV333" s="5"/>
      <c r="AW333" s="21">
        <f t="shared" si="341"/>
        <v>0</v>
      </c>
      <c r="AX333" s="140">
        <f t="shared" si="342"/>
        <v>0</v>
      </c>
      <c r="AY333" s="140">
        <f t="shared" si="343"/>
        <v>0</v>
      </c>
      <c r="AZ333" s="140">
        <f t="shared" si="344"/>
        <v>0</v>
      </c>
      <c r="BA333" s="140">
        <f t="shared" si="345"/>
        <v>0</v>
      </c>
      <c r="BB333" s="140">
        <f t="shared" si="346"/>
        <v>0</v>
      </c>
      <c r="BC333" s="140">
        <f t="shared" si="347"/>
        <v>0</v>
      </c>
      <c r="BD333" s="140">
        <f t="shared" si="348"/>
        <v>0</v>
      </c>
      <c r="BE333" s="140">
        <f t="shared" si="349"/>
        <v>0</v>
      </c>
      <c r="BF333" s="140">
        <f t="shared" si="350"/>
        <v>0</v>
      </c>
      <c r="BG333" s="140">
        <f t="shared" si="351"/>
        <v>0</v>
      </c>
      <c r="BH333" s="140">
        <f t="shared" si="333"/>
        <v>0</v>
      </c>
      <c r="BI333" s="140">
        <f t="shared" si="334"/>
        <v>0</v>
      </c>
      <c r="BJ333" s="140">
        <f t="shared" si="335"/>
        <v>0</v>
      </c>
      <c r="BK333" s="140">
        <f t="shared" si="336"/>
        <v>0</v>
      </c>
    </row>
    <row r="334" spans="1:63" s="100" customFormat="1" ht="16" hidden="1" customHeight="1">
      <c r="A334" s="137" t="s">
        <v>30</v>
      </c>
      <c r="B334" s="20" t="s">
        <v>853</v>
      </c>
      <c r="C334" s="20" t="s">
        <v>854</v>
      </c>
      <c r="D334" s="20" t="s">
        <v>30</v>
      </c>
      <c r="E334" s="20" t="s">
        <v>855</v>
      </c>
      <c r="F334" s="20" t="s">
        <v>320</v>
      </c>
      <c r="G334" s="20" t="s">
        <v>58</v>
      </c>
      <c r="H334" s="20" t="s">
        <v>38</v>
      </c>
      <c r="I334" s="7"/>
      <c r="J334" s="7"/>
      <c r="K334" s="7"/>
      <c r="L334" s="7"/>
      <c r="M334" s="7"/>
      <c r="N334" s="7"/>
      <c r="O334" s="20"/>
      <c r="P334" s="20"/>
      <c r="Q334" s="20"/>
      <c r="R334" s="20"/>
      <c r="S334" s="7"/>
      <c r="T334" s="7"/>
      <c r="U334" s="7"/>
      <c r="V334" s="7"/>
      <c r="W334" s="7"/>
      <c r="X334" s="138"/>
      <c r="Y334" s="138"/>
      <c r="Z334" s="139">
        <f t="shared" si="337"/>
        <v>0</v>
      </c>
      <c r="AA334" s="20"/>
      <c r="AB334" s="20"/>
      <c r="AC334" s="20"/>
      <c r="AD334" s="139">
        <f t="shared" si="338"/>
        <v>0</v>
      </c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0"/>
      <c r="AQ334" s="20"/>
      <c r="AR334" s="20"/>
      <c r="AS334" s="20"/>
      <c r="AT334" s="20">
        <f t="shared" si="339"/>
        <v>0</v>
      </c>
      <c r="AU334" s="20">
        <f t="shared" si="340"/>
        <v>0</v>
      </c>
      <c r="AV334" s="5"/>
      <c r="AW334" s="21">
        <f t="shared" si="341"/>
        <v>0</v>
      </c>
      <c r="AX334" s="140">
        <f t="shared" si="342"/>
        <v>0</v>
      </c>
      <c r="AY334" s="140">
        <f t="shared" si="343"/>
        <v>0</v>
      </c>
      <c r="AZ334" s="140">
        <f t="shared" si="344"/>
        <v>0</v>
      </c>
      <c r="BA334" s="140">
        <f t="shared" si="345"/>
        <v>0</v>
      </c>
      <c r="BB334" s="140">
        <f t="shared" si="346"/>
        <v>0</v>
      </c>
      <c r="BC334" s="140">
        <f t="shared" si="347"/>
        <v>0</v>
      </c>
      <c r="BD334" s="140">
        <f t="shared" si="348"/>
        <v>0</v>
      </c>
      <c r="BE334" s="140">
        <f t="shared" si="349"/>
        <v>0</v>
      </c>
      <c r="BF334" s="140">
        <f t="shared" si="350"/>
        <v>0</v>
      </c>
      <c r="BG334" s="140">
        <f t="shared" si="351"/>
        <v>0</v>
      </c>
      <c r="BH334" s="140">
        <f t="shared" si="333"/>
        <v>0</v>
      </c>
      <c r="BI334" s="140">
        <f t="shared" si="334"/>
        <v>0</v>
      </c>
      <c r="BJ334" s="140">
        <f t="shared" si="335"/>
        <v>0</v>
      </c>
      <c r="BK334" s="140">
        <f t="shared" si="336"/>
        <v>0</v>
      </c>
    </row>
    <row r="335" spans="1:63" s="100" customFormat="1" ht="16" hidden="1" customHeight="1">
      <c r="A335" s="137" t="s">
        <v>30</v>
      </c>
      <c r="B335" s="20" t="s">
        <v>856</v>
      </c>
      <c r="C335" s="20" t="s">
        <v>857</v>
      </c>
      <c r="D335" s="20" t="s">
        <v>30</v>
      </c>
      <c r="E335" s="20" t="s">
        <v>858</v>
      </c>
      <c r="F335" s="20" t="s">
        <v>273</v>
      </c>
      <c r="G335" s="20" t="s">
        <v>58</v>
      </c>
      <c r="H335" s="20" t="s">
        <v>38</v>
      </c>
      <c r="I335" s="7"/>
      <c r="J335" s="7"/>
      <c r="K335" s="7"/>
      <c r="L335" s="7"/>
      <c r="M335" s="7"/>
      <c r="N335" s="7"/>
      <c r="O335" s="20"/>
      <c r="P335" s="20"/>
      <c r="Q335" s="20"/>
      <c r="R335" s="20"/>
      <c r="S335" s="7"/>
      <c r="T335" s="7"/>
      <c r="U335" s="7"/>
      <c r="V335" s="7"/>
      <c r="W335" s="7"/>
      <c r="X335" s="138"/>
      <c r="Y335" s="138"/>
      <c r="Z335" s="139">
        <f t="shared" si="337"/>
        <v>0</v>
      </c>
      <c r="AA335" s="20"/>
      <c r="AB335" s="20"/>
      <c r="AC335" s="20"/>
      <c r="AD335" s="139">
        <f t="shared" si="338"/>
        <v>0</v>
      </c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0"/>
      <c r="AQ335" s="20"/>
      <c r="AR335" s="20"/>
      <c r="AS335" s="20"/>
      <c r="AT335" s="20">
        <f t="shared" si="339"/>
        <v>0</v>
      </c>
      <c r="AU335" s="20">
        <f t="shared" si="340"/>
        <v>0</v>
      </c>
      <c r="AV335" s="5"/>
      <c r="AW335" s="21">
        <f t="shared" si="341"/>
        <v>0</v>
      </c>
      <c r="AX335" s="140">
        <f t="shared" si="342"/>
        <v>0</v>
      </c>
      <c r="AY335" s="140">
        <f t="shared" si="343"/>
        <v>0</v>
      </c>
      <c r="AZ335" s="140">
        <f t="shared" si="344"/>
        <v>0</v>
      </c>
      <c r="BA335" s="140">
        <f t="shared" si="345"/>
        <v>0</v>
      </c>
      <c r="BB335" s="140">
        <f t="shared" si="346"/>
        <v>0</v>
      </c>
      <c r="BC335" s="140">
        <f t="shared" si="347"/>
        <v>0</v>
      </c>
      <c r="BD335" s="140">
        <f t="shared" si="348"/>
        <v>0</v>
      </c>
      <c r="BE335" s="140">
        <f t="shared" si="349"/>
        <v>0</v>
      </c>
      <c r="BF335" s="140">
        <f t="shared" si="350"/>
        <v>0</v>
      </c>
      <c r="BG335" s="140">
        <f t="shared" si="351"/>
        <v>0</v>
      </c>
      <c r="BH335" s="140">
        <f t="shared" si="333"/>
        <v>0</v>
      </c>
      <c r="BI335" s="140">
        <f t="shared" si="334"/>
        <v>0</v>
      </c>
      <c r="BJ335" s="140">
        <f t="shared" si="335"/>
        <v>0</v>
      </c>
      <c r="BK335" s="140">
        <f t="shared" si="336"/>
        <v>0</v>
      </c>
    </row>
    <row r="336" spans="1:63" s="100" customFormat="1" ht="16" hidden="1" customHeight="1">
      <c r="A336" s="137" t="s">
        <v>30</v>
      </c>
      <c r="B336" s="20" t="s">
        <v>859</v>
      </c>
      <c r="C336" s="20" t="s">
        <v>860</v>
      </c>
      <c r="D336" s="20" t="s">
        <v>30</v>
      </c>
      <c r="E336" s="20" t="s">
        <v>858</v>
      </c>
      <c r="F336" s="20" t="s">
        <v>273</v>
      </c>
      <c r="G336" s="20" t="s">
        <v>58</v>
      </c>
      <c r="H336" s="20" t="s">
        <v>38</v>
      </c>
      <c r="I336" s="7"/>
      <c r="J336" s="7"/>
      <c r="K336" s="7"/>
      <c r="L336" s="7"/>
      <c r="M336" s="7"/>
      <c r="N336" s="7"/>
      <c r="O336" s="20"/>
      <c r="P336" s="20"/>
      <c r="Q336" s="20"/>
      <c r="R336" s="20"/>
      <c r="S336" s="7"/>
      <c r="T336" s="7"/>
      <c r="U336" s="7"/>
      <c r="V336" s="7"/>
      <c r="W336" s="7"/>
      <c r="X336" s="138"/>
      <c r="Y336" s="138"/>
      <c r="Z336" s="139">
        <f t="shared" si="337"/>
        <v>0</v>
      </c>
      <c r="AA336" s="20"/>
      <c r="AB336" s="20"/>
      <c r="AC336" s="20"/>
      <c r="AD336" s="139">
        <f t="shared" si="338"/>
        <v>0</v>
      </c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0"/>
      <c r="AQ336" s="20"/>
      <c r="AR336" s="20"/>
      <c r="AS336" s="20"/>
      <c r="AT336" s="20">
        <f t="shared" si="339"/>
        <v>0</v>
      </c>
      <c r="AU336" s="20">
        <f t="shared" si="340"/>
        <v>0</v>
      </c>
      <c r="AV336" s="5"/>
      <c r="AW336" s="21">
        <f t="shared" si="341"/>
        <v>0</v>
      </c>
      <c r="AX336" s="140">
        <f t="shared" si="342"/>
        <v>0</v>
      </c>
      <c r="AY336" s="140">
        <f t="shared" si="343"/>
        <v>0</v>
      </c>
      <c r="AZ336" s="140">
        <f t="shared" si="344"/>
        <v>0</v>
      </c>
      <c r="BA336" s="140">
        <f t="shared" si="345"/>
        <v>0</v>
      </c>
      <c r="BB336" s="140">
        <f t="shared" si="346"/>
        <v>0</v>
      </c>
      <c r="BC336" s="140">
        <f t="shared" si="347"/>
        <v>0</v>
      </c>
      <c r="BD336" s="140">
        <f t="shared" si="348"/>
        <v>0</v>
      </c>
      <c r="BE336" s="140">
        <f t="shared" si="349"/>
        <v>0</v>
      </c>
      <c r="BF336" s="140">
        <f t="shared" si="350"/>
        <v>0</v>
      </c>
      <c r="BG336" s="140">
        <f t="shared" si="351"/>
        <v>0</v>
      </c>
      <c r="BH336" s="140">
        <f t="shared" si="333"/>
        <v>0</v>
      </c>
      <c r="BI336" s="140">
        <f t="shared" si="334"/>
        <v>0</v>
      </c>
      <c r="BJ336" s="140">
        <f t="shared" si="335"/>
        <v>0</v>
      </c>
      <c r="BK336" s="140">
        <f t="shared" si="336"/>
        <v>0</v>
      </c>
    </row>
    <row r="337" spans="1:63" s="100" customFormat="1" ht="16" hidden="1" customHeight="1">
      <c r="A337" s="137" t="s">
        <v>30</v>
      </c>
      <c r="B337" s="20" t="s">
        <v>861</v>
      </c>
      <c r="C337" s="20" t="s">
        <v>862</v>
      </c>
      <c r="D337" s="20" t="s">
        <v>30</v>
      </c>
      <c r="E337" s="20" t="s">
        <v>863</v>
      </c>
      <c r="F337" s="20" t="s">
        <v>36</v>
      </c>
      <c r="G337" s="20" t="s">
        <v>58</v>
      </c>
      <c r="H337" s="20" t="s">
        <v>38</v>
      </c>
      <c r="I337" s="7"/>
      <c r="J337" s="7"/>
      <c r="K337" s="7"/>
      <c r="L337" s="7"/>
      <c r="M337" s="7"/>
      <c r="N337" s="7"/>
      <c r="O337" s="20"/>
      <c r="P337" s="20"/>
      <c r="Q337" s="20"/>
      <c r="R337" s="20"/>
      <c r="S337" s="7"/>
      <c r="T337" s="7"/>
      <c r="U337" s="7"/>
      <c r="V337" s="7"/>
      <c r="W337" s="7"/>
      <c r="X337" s="138"/>
      <c r="Y337" s="138"/>
      <c r="Z337" s="139">
        <f t="shared" si="337"/>
        <v>0</v>
      </c>
      <c r="AA337" s="20"/>
      <c r="AB337" s="20"/>
      <c r="AC337" s="20"/>
      <c r="AD337" s="139">
        <f t="shared" si="338"/>
        <v>0</v>
      </c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0"/>
      <c r="AQ337" s="20"/>
      <c r="AR337" s="20"/>
      <c r="AS337" s="20"/>
      <c r="AT337" s="20">
        <f t="shared" si="339"/>
        <v>0</v>
      </c>
      <c r="AU337" s="20">
        <f t="shared" si="340"/>
        <v>0</v>
      </c>
      <c r="AV337" s="5"/>
      <c r="AW337" s="21">
        <f t="shared" si="341"/>
        <v>0</v>
      </c>
      <c r="AX337" s="140">
        <f t="shared" si="342"/>
        <v>0</v>
      </c>
      <c r="AY337" s="140">
        <f t="shared" si="343"/>
        <v>0</v>
      </c>
      <c r="AZ337" s="140">
        <f t="shared" si="344"/>
        <v>0</v>
      </c>
      <c r="BA337" s="140">
        <f t="shared" si="345"/>
        <v>0</v>
      </c>
      <c r="BB337" s="140">
        <f t="shared" si="346"/>
        <v>0</v>
      </c>
      <c r="BC337" s="140">
        <f t="shared" si="347"/>
        <v>0</v>
      </c>
      <c r="BD337" s="140">
        <f t="shared" si="348"/>
        <v>0</v>
      </c>
      <c r="BE337" s="140">
        <f t="shared" si="349"/>
        <v>0</v>
      </c>
      <c r="BF337" s="140">
        <f t="shared" si="350"/>
        <v>0</v>
      </c>
      <c r="BG337" s="140">
        <f t="shared" si="351"/>
        <v>0</v>
      </c>
      <c r="BH337" s="140">
        <f t="shared" si="333"/>
        <v>0</v>
      </c>
      <c r="BI337" s="140">
        <f t="shared" si="334"/>
        <v>0</v>
      </c>
      <c r="BJ337" s="140">
        <f t="shared" si="335"/>
        <v>0</v>
      </c>
      <c r="BK337" s="140">
        <f t="shared" si="336"/>
        <v>0</v>
      </c>
    </row>
    <row r="338" spans="1:63" s="100" customFormat="1" ht="16" hidden="1" customHeight="1">
      <c r="A338" s="137" t="s">
        <v>30</v>
      </c>
      <c r="B338" s="20" t="s">
        <v>864</v>
      </c>
      <c r="C338" s="20" t="s">
        <v>865</v>
      </c>
      <c r="D338" s="20" t="s">
        <v>30</v>
      </c>
      <c r="E338" s="20" t="s">
        <v>866</v>
      </c>
      <c r="F338" s="20" t="s">
        <v>273</v>
      </c>
      <c r="G338" s="20" t="s">
        <v>58</v>
      </c>
      <c r="H338" s="20" t="s">
        <v>38</v>
      </c>
      <c r="I338" s="7"/>
      <c r="J338" s="7"/>
      <c r="K338" s="7"/>
      <c r="L338" s="7"/>
      <c r="M338" s="7"/>
      <c r="N338" s="7"/>
      <c r="O338" s="20"/>
      <c r="P338" s="20"/>
      <c r="Q338" s="20"/>
      <c r="R338" s="20"/>
      <c r="S338" s="7"/>
      <c r="T338" s="7"/>
      <c r="U338" s="7"/>
      <c r="V338" s="7"/>
      <c r="W338" s="7"/>
      <c r="X338" s="138"/>
      <c r="Y338" s="138"/>
      <c r="Z338" s="139">
        <f t="shared" si="337"/>
        <v>0</v>
      </c>
      <c r="AA338" s="20"/>
      <c r="AB338" s="20"/>
      <c r="AC338" s="20"/>
      <c r="AD338" s="139">
        <f t="shared" si="338"/>
        <v>0</v>
      </c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0"/>
      <c r="AQ338" s="20"/>
      <c r="AR338" s="20"/>
      <c r="AS338" s="20"/>
      <c r="AT338" s="20">
        <f t="shared" si="339"/>
        <v>0</v>
      </c>
      <c r="AU338" s="20">
        <f t="shared" si="340"/>
        <v>0</v>
      </c>
      <c r="AV338" s="5"/>
      <c r="AW338" s="21">
        <f t="shared" si="341"/>
        <v>0</v>
      </c>
      <c r="AX338" s="140">
        <f t="shared" si="342"/>
        <v>0</v>
      </c>
      <c r="AY338" s="140">
        <f t="shared" si="343"/>
        <v>0</v>
      </c>
      <c r="AZ338" s="140">
        <f t="shared" si="344"/>
        <v>0</v>
      </c>
      <c r="BA338" s="140">
        <f t="shared" si="345"/>
        <v>0</v>
      </c>
      <c r="BB338" s="140">
        <f t="shared" si="346"/>
        <v>0</v>
      </c>
      <c r="BC338" s="140">
        <f t="shared" si="347"/>
        <v>0</v>
      </c>
      <c r="BD338" s="140">
        <f t="shared" si="348"/>
        <v>0</v>
      </c>
      <c r="BE338" s="140">
        <f t="shared" si="349"/>
        <v>0</v>
      </c>
      <c r="BF338" s="140">
        <f t="shared" si="350"/>
        <v>0</v>
      </c>
      <c r="BG338" s="140">
        <f t="shared" si="351"/>
        <v>0</v>
      </c>
      <c r="BH338" s="140">
        <f t="shared" si="333"/>
        <v>0</v>
      </c>
      <c r="BI338" s="140">
        <f t="shared" si="334"/>
        <v>0</v>
      </c>
      <c r="BJ338" s="140">
        <f t="shared" si="335"/>
        <v>0</v>
      </c>
      <c r="BK338" s="140">
        <f t="shared" si="336"/>
        <v>0</v>
      </c>
    </row>
    <row r="339" spans="1:63" s="100" customFormat="1" ht="16" hidden="1" customHeight="1">
      <c r="A339" s="137" t="s">
        <v>30</v>
      </c>
      <c r="B339" s="20" t="s">
        <v>867</v>
      </c>
      <c r="C339" s="20" t="s">
        <v>868</v>
      </c>
      <c r="D339" s="20" t="s">
        <v>30</v>
      </c>
      <c r="E339" s="20" t="s">
        <v>869</v>
      </c>
      <c r="F339" s="20" t="s">
        <v>273</v>
      </c>
      <c r="G339" s="20" t="s">
        <v>58</v>
      </c>
      <c r="H339" s="20" t="s">
        <v>38</v>
      </c>
      <c r="I339" s="7"/>
      <c r="J339" s="7"/>
      <c r="K339" s="7"/>
      <c r="L339" s="7"/>
      <c r="M339" s="7"/>
      <c r="N339" s="7"/>
      <c r="O339" s="20"/>
      <c r="P339" s="20"/>
      <c r="Q339" s="20"/>
      <c r="R339" s="20"/>
      <c r="S339" s="7"/>
      <c r="T339" s="7"/>
      <c r="U339" s="7"/>
      <c r="V339" s="7"/>
      <c r="W339" s="7"/>
      <c r="X339" s="138"/>
      <c r="Y339" s="138"/>
      <c r="Z339" s="139">
        <f t="shared" si="337"/>
        <v>0</v>
      </c>
      <c r="AA339" s="20"/>
      <c r="AB339" s="20"/>
      <c r="AC339" s="20"/>
      <c r="AD339" s="139">
        <f t="shared" si="338"/>
        <v>0</v>
      </c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0"/>
      <c r="AQ339" s="20"/>
      <c r="AR339" s="20"/>
      <c r="AS339" s="20"/>
      <c r="AT339" s="20">
        <f t="shared" si="339"/>
        <v>0</v>
      </c>
      <c r="AU339" s="20">
        <f t="shared" si="340"/>
        <v>0</v>
      </c>
      <c r="AV339" s="5"/>
      <c r="AW339" s="21">
        <f t="shared" si="341"/>
        <v>0</v>
      </c>
      <c r="AX339" s="140">
        <f t="shared" si="342"/>
        <v>0</v>
      </c>
      <c r="AY339" s="140">
        <f t="shared" si="343"/>
        <v>0</v>
      </c>
      <c r="AZ339" s="140">
        <f t="shared" si="344"/>
        <v>0</v>
      </c>
      <c r="BA339" s="140">
        <f t="shared" si="345"/>
        <v>0</v>
      </c>
      <c r="BB339" s="140">
        <f t="shared" si="346"/>
        <v>0</v>
      </c>
      <c r="BC339" s="140">
        <f t="shared" si="347"/>
        <v>0</v>
      </c>
      <c r="BD339" s="140">
        <f t="shared" si="348"/>
        <v>0</v>
      </c>
      <c r="BE339" s="140">
        <f t="shared" si="349"/>
        <v>0</v>
      </c>
      <c r="BF339" s="140">
        <f t="shared" si="350"/>
        <v>0</v>
      </c>
      <c r="BG339" s="140">
        <f t="shared" si="351"/>
        <v>0</v>
      </c>
      <c r="BH339" s="140">
        <f t="shared" si="333"/>
        <v>0</v>
      </c>
      <c r="BI339" s="140">
        <f t="shared" si="334"/>
        <v>0</v>
      </c>
      <c r="BJ339" s="140">
        <f t="shared" si="335"/>
        <v>0</v>
      </c>
      <c r="BK339" s="140">
        <f t="shared" si="336"/>
        <v>0</v>
      </c>
    </row>
    <row r="340" spans="1:63" s="100" customFormat="1" ht="16" hidden="1" customHeight="1">
      <c r="A340" s="137" t="s">
        <v>30</v>
      </c>
      <c r="B340" s="20" t="s">
        <v>870</v>
      </c>
      <c r="C340" s="20" t="s">
        <v>871</v>
      </c>
      <c r="D340" s="20" t="s">
        <v>30</v>
      </c>
      <c r="E340" s="20" t="s">
        <v>869</v>
      </c>
      <c r="F340" s="20" t="s">
        <v>273</v>
      </c>
      <c r="G340" s="20" t="s">
        <v>58</v>
      </c>
      <c r="H340" s="20" t="s">
        <v>38</v>
      </c>
      <c r="I340" s="7"/>
      <c r="J340" s="7"/>
      <c r="K340" s="7"/>
      <c r="L340" s="7"/>
      <c r="M340" s="7"/>
      <c r="N340" s="7"/>
      <c r="O340" s="20"/>
      <c r="P340" s="20"/>
      <c r="Q340" s="20"/>
      <c r="R340" s="20"/>
      <c r="S340" s="7"/>
      <c r="T340" s="7"/>
      <c r="U340" s="7"/>
      <c r="V340" s="7"/>
      <c r="W340" s="7"/>
      <c r="X340" s="138"/>
      <c r="Y340" s="138"/>
      <c r="Z340" s="139">
        <f t="shared" si="337"/>
        <v>0</v>
      </c>
      <c r="AA340" s="20"/>
      <c r="AB340" s="20"/>
      <c r="AC340" s="20"/>
      <c r="AD340" s="139">
        <f t="shared" si="338"/>
        <v>0</v>
      </c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0"/>
      <c r="AQ340" s="20"/>
      <c r="AR340" s="20"/>
      <c r="AS340" s="20"/>
      <c r="AT340" s="20">
        <f t="shared" si="339"/>
        <v>0</v>
      </c>
      <c r="AU340" s="20">
        <f t="shared" si="340"/>
        <v>0</v>
      </c>
      <c r="AV340" s="5"/>
      <c r="AW340" s="21">
        <f t="shared" si="341"/>
        <v>0</v>
      </c>
      <c r="AX340" s="140">
        <f t="shared" si="342"/>
        <v>0</v>
      </c>
      <c r="AY340" s="140">
        <f t="shared" si="343"/>
        <v>0</v>
      </c>
      <c r="AZ340" s="140">
        <f t="shared" si="344"/>
        <v>0</v>
      </c>
      <c r="BA340" s="140">
        <f t="shared" si="345"/>
        <v>0</v>
      </c>
      <c r="BB340" s="140">
        <f t="shared" si="346"/>
        <v>0</v>
      </c>
      <c r="BC340" s="140">
        <f t="shared" si="347"/>
        <v>0</v>
      </c>
      <c r="BD340" s="140">
        <f t="shared" si="348"/>
        <v>0</v>
      </c>
      <c r="BE340" s="140">
        <f t="shared" si="349"/>
        <v>0</v>
      </c>
      <c r="BF340" s="140">
        <f t="shared" si="350"/>
        <v>0</v>
      </c>
      <c r="BG340" s="140">
        <f t="shared" si="351"/>
        <v>0</v>
      </c>
      <c r="BH340" s="140">
        <f t="shared" si="333"/>
        <v>0</v>
      </c>
      <c r="BI340" s="140">
        <f t="shared" si="334"/>
        <v>0</v>
      </c>
      <c r="BJ340" s="140">
        <f t="shared" si="335"/>
        <v>0</v>
      </c>
      <c r="BK340" s="140">
        <f t="shared" si="336"/>
        <v>0</v>
      </c>
    </row>
    <row r="341" spans="1:63" s="100" customFormat="1" ht="16" hidden="1" customHeight="1">
      <c r="A341" s="137" t="s">
        <v>30</v>
      </c>
      <c r="B341" s="20" t="s">
        <v>872</v>
      </c>
      <c r="C341" s="20" t="s">
        <v>873</v>
      </c>
      <c r="D341" s="20" t="s">
        <v>30</v>
      </c>
      <c r="E341" s="20" t="s">
        <v>869</v>
      </c>
      <c r="F341" s="20" t="s">
        <v>273</v>
      </c>
      <c r="G341" s="20" t="s">
        <v>58</v>
      </c>
      <c r="H341" s="20" t="s">
        <v>38</v>
      </c>
      <c r="I341" s="7"/>
      <c r="J341" s="7"/>
      <c r="K341" s="7"/>
      <c r="L341" s="7"/>
      <c r="M341" s="7"/>
      <c r="N341" s="7"/>
      <c r="O341" s="20"/>
      <c r="P341" s="20"/>
      <c r="Q341" s="20"/>
      <c r="R341" s="20"/>
      <c r="S341" s="7"/>
      <c r="T341" s="7"/>
      <c r="U341" s="7"/>
      <c r="V341" s="7"/>
      <c r="W341" s="7"/>
      <c r="X341" s="138"/>
      <c r="Y341" s="138"/>
      <c r="Z341" s="139">
        <f t="shared" si="337"/>
        <v>0</v>
      </c>
      <c r="AA341" s="20"/>
      <c r="AB341" s="20"/>
      <c r="AC341" s="20"/>
      <c r="AD341" s="139">
        <f t="shared" si="338"/>
        <v>0</v>
      </c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0"/>
      <c r="AQ341" s="20"/>
      <c r="AR341" s="20"/>
      <c r="AS341" s="20"/>
      <c r="AT341" s="20">
        <f t="shared" si="339"/>
        <v>0</v>
      </c>
      <c r="AU341" s="20">
        <f t="shared" si="340"/>
        <v>0</v>
      </c>
      <c r="AV341" s="5"/>
      <c r="AW341" s="21">
        <f t="shared" si="341"/>
        <v>0</v>
      </c>
      <c r="AX341" s="140">
        <f t="shared" si="342"/>
        <v>0</v>
      </c>
      <c r="AY341" s="140">
        <f t="shared" si="343"/>
        <v>0</v>
      </c>
      <c r="AZ341" s="140">
        <f t="shared" si="344"/>
        <v>0</v>
      </c>
      <c r="BA341" s="140">
        <f t="shared" si="345"/>
        <v>0</v>
      </c>
      <c r="BB341" s="140">
        <f t="shared" si="346"/>
        <v>0</v>
      </c>
      <c r="BC341" s="140">
        <f t="shared" si="347"/>
        <v>0</v>
      </c>
      <c r="BD341" s="140">
        <f t="shared" si="348"/>
        <v>0</v>
      </c>
      <c r="BE341" s="140">
        <f t="shared" si="349"/>
        <v>0</v>
      </c>
      <c r="BF341" s="140">
        <f t="shared" si="350"/>
        <v>0</v>
      </c>
      <c r="BG341" s="140">
        <f t="shared" si="351"/>
        <v>0</v>
      </c>
      <c r="BH341" s="140">
        <f t="shared" si="333"/>
        <v>0</v>
      </c>
      <c r="BI341" s="140">
        <f t="shared" si="334"/>
        <v>0</v>
      </c>
      <c r="BJ341" s="140">
        <f t="shared" si="335"/>
        <v>0</v>
      </c>
      <c r="BK341" s="140">
        <f t="shared" si="336"/>
        <v>0</v>
      </c>
    </row>
    <row r="342" spans="1:63" s="100" customFormat="1" ht="16" hidden="1" customHeight="1">
      <c r="A342" s="137" t="s">
        <v>30</v>
      </c>
      <c r="B342" s="20" t="s">
        <v>874</v>
      </c>
      <c r="C342" s="20" t="s">
        <v>875</v>
      </c>
      <c r="D342" s="20" t="s">
        <v>30</v>
      </c>
      <c r="E342" s="20" t="s">
        <v>876</v>
      </c>
      <c r="F342" s="20" t="s">
        <v>273</v>
      </c>
      <c r="G342" s="20" t="s">
        <v>58</v>
      </c>
      <c r="H342" s="20" t="s">
        <v>38</v>
      </c>
      <c r="I342" s="7"/>
      <c r="J342" s="7"/>
      <c r="K342" s="7"/>
      <c r="L342" s="7"/>
      <c r="M342" s="7"/>
      <c r="N342" s="7"/>
      <c r="O342" s="20"/>
      <c r="P342" s="20"/>
      <c r="Q342" s="20"/>
      <c r="R342" s="20"/>
      <c r="S342" s="7"/>
      <c r="T342" s="7"/>
      <c r="U342" s="7"/>
      <c r="V342" s="7"/>
      <c r="W342" s="7"/>
      <c r="X342" s="138"/>
      <c r="Y342" s="138"/>
      <c r="Z342" s="139">
        <f t="shared" si="337"/>
        <v>0</v>
      </c>
      <c r="AA342" s="20"/>
      <c r="AB342" s="20"/>
      <c r="AC342" s="20"/>
      <c r="AD342" s="139">
        <f t="shared" si="338"/>
        <v>0</v>
      </c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0"/>
      <c r="AQ342" s="20"/>
      <c r="AR342" s="20"/>
      <c r="AS342" s="20"/>
      <c r="AT342" s="20">
        <f t="shared" si="339"/>
        <v>0</v>
      </c>
      <c r="AU342" s="20">
        <f t="shared" si="340"/>
        <v>0</v>
      </c>
      <c r="AV342" s="5"/>
      <c r="AW342" s="21">
        <f t="shared" si="341"/>
        <v>0</v>
      </c>
      <c r="AX342" s="140">
        <f t="shared" si="342"/>
        <v>0</v>
      </c>
      <c r="AY342" s="140">
        <f t="shared" si="343"/>
        <v>0</v>
      </c>
      <c r="AZ342" s="140">
        <f t="shared" si="344"/>
        <v>0</v>
      </c>
      <c r="BA342" s="140">
        <f t="shared" si="345"/>
        <v>0</v>
      </c>
      <c r="BB342" s="140">
        <f t="shared" si="346"/>
        <v>0</v>
      </c>
      <c r="BC342" s="140">
        <f t="shared" si="347"/>
        <v>0</v>
      </c>
      <c r="BD342" s="140">
        <f t="shared" si="348"/>
        <v>0</v>
      </c>
      <c r="BE342" s="140">
        <f t="shared" si="349"/>
        <v>0</v>
      </c>
      <c r="BF342" s="140">
        <f t="shared" si="350"/>
        <v>0</v>
      </c>
      <c r="BG342" s="140">
        <f t="shared" si="351"/>
        <v>0</v>
      </c>
      <c r="BH342" s="140">
        <f t="shared" si="333"/>
        <v>0</v>
      </c>
      <c r="BI342" s="140">
        <f t="shared" si="334"/>
        <v>0</v>
      </c>
      <c r="BJ342" s="140">
        <f t="shared" si="335"/>
        <v>0</v>
      </c>
      <c r="BK342" s="140">
        <f t="shared" si="336"/>
        <v>0</v>
      </c>
    </row>
    <row r="343" spans="1:63" s="100" customFormat="1" ht="16" hidden="1" customHeight="1">
      <c r="A343" s="137" t="s">
        <v>30</v>
      </c>
      <c r="B343" s="20" t="s">
        <v>877</v>
      </c>
      <c r="C343" s="20" t="s">
        <v>878</v>
      </c>
      <c r="D343" s="20" t="s">
        <v>30</v>
      </c>
      <c r="E343" s="20" t="s">
        <v>855</v>
      </c>
      <c r="F343" s="20" t="s">
        <v>266</v>
      </c>
      <c r="G343" s="20" t="s">
        <v>58</v>
      </c>
      <c r="H343" s="20" t="s">
        <v>38</v>
      </c>
      <c r="I343" s="7"/>
      <c r="J343" s="7"/>
      <c r="K343" s="7"/>
      <c r="L343" s="7"/>
      <c r="M343" s="7"/>
      <c r="N343" s="7"/>
      <c r="O343" s="20"/>
      <c r="P343" s="20"/>
      <c r="Q343" s="20"/>
      <c r="R343" s="20"/>
      <c r="S343" s="7"/>
      <c r="T343" s="7"/>
      <c r="U343" s="7"/>
      <c r="V343" s="7"/>
      <c r="W343" s="7"/>
      <c r="X343" s="138"/>
      <c r="Y343" s="138"/>
      <c r="Z343" s="139">
        <f t="shared" si="337"/>
        <v>0</v>
      </c>
      <c r="AA343" s="20"/>
      <c r="AB343" s="20"/>
      <c r="AC343" s="20"/>
      <c r="AD343" s="139">
        <f t="shared" si="338"/>
        <v>0</v>
      </c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0"/>
      <c r="AQ343" s="20"/>
      <c r="AR343" s="20"/>
      <c r="AS343" s="20"/>
      <c r="AT343" s="20">
        <f t="shared" si="339"/>
        <v>0</v>
      </c>
      <c r="AU343" s="20">
        <f t="shared" si="340"/>
        <v>0</v>
      </c>
      <c r="AV343" s="5"/>
      <c r="AW343" s="21">
        <f t="shared" si="341"/>
        <v>0</v>
      </c>
      <c r="AX343" s="140">
        <f t="shared" si="342"/>
        <v>0</v>
      </c>
      <c r="AY343" s="140">
        <f t="shared" si="343"/>
        <v>0</v>
      </c>
      <c r="AZ343" s="140">
        <f t="shared" si="344"/>
        <v>0</v>
      </c>
      <c r="BA343" s="140">
        <f t="shared" si="345"/>
        <v>0</v>
      </c>
      <c r="BB343" s="140">
        <f t="shared" si="346"/>
        <v>0</v>
      </c>
      <c r="BC343" s="140">
        <f t="shared" si="347"/>
        <v>0</v>
      </c>
      <c r="BD343" s="140">
        <f t="shared" si="348"/>
        <v>0</v>
      </c>
      <c r="BE343" s="140">
        <f t="shared" si="349"/>
        <v>0</v>
      </c>
      <c r="BF343" s="140">
        <f t="shared" si="350"/>
        <v>0</v>
      </c>
      <c r="BG343" s="140">
        <f t="shared" si="351"/>
        <v>0</v>
      </c>
      <c r="BH343" s="140">
        <f t="shared" si="333"/>
        <v>0</v>
      </c>
      <c r="BI343" s="140">
        <f t="shared" si="334"/>
        <v>0</v>
      </c>
      <c r="BJ343" s="140">
        <f t="shared" si="335"/>
        <v>0</v>
      </c>
      <c r="BK343" s="140">
        <f t="shared" si="336"/>
        <v>0</v>
      </c>
    </row>
    <row r="344" spans="1:63" s="100" customFormat="1" ht="16" hidden="1" customHeight="1">
      <c r="A344" s="137" t="s">
        <v>30</v>
      </c>
      <c r="B344" s="20" t="s">
        <v>879</v>
      </c>
      <c r="C344" s="20" t="s">
        <v>880</v>
      </c>
      <c r="D344" s="20" t="s">
        <v>30</v>
      </c>
      <c r="E344" s="20" t="s">
        <v>881</v>
      </c>
      <c r="F344" s="20" t="s">
        <v>207</v>
      </c>
      <c r="G344" s="20" t="s">
        <v>58</v>
      </c>
      <c r="H344" s="20" t="s">
        <v>38</v>
      </c>
      <c r="I344" s="7"/>
      <c r="J344" s="7"/>
      <c r="K344" s="7"/>
      <c r="L344" s="7"/>
      <c r="M344" s="7"/>
      <c r="N344" s="7"/>
      <c r="O344" s="20"/>
      <c r="P344" s="20"/>
      <c r="Q344" s="20"/>
      <c r="R344" s="20"/>
      <c r="S344" s="7"/>
      <c r="T344" s="7"/>
      <c r="U344" s="7"/>
      <c r="V344" s="7"/>
      <c r="W344" s="7"/>
      <c r="X344" s="138"/>
      <c r="Y344" s="138"/>
      <c r="Z344" s="139">
        <f t="shared" si="337"/>
        <v>0</v>
      </c>
      <c r="AA344" s="20"/>
      <c r="AB344" s="20"/>
      <c r="AC344" s="20"/>
      <c r="AD344" s="139">
        <f t="shared" si="338"/>
        <v>0</v>
      </c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0"/>
      <c r="AQ344" s="20"/>
      <c r="AR344" s="20"/>
      <c r="AS344" s="20"/>
      <c r="AT344" s="20">
        <f t="shared" si="339"/>
        <v>0</v>
      </c>
      <c r="AU344" s="20">
        <f t="shared" si="340"/>
        <v>0</v>
      </c>
      <c r="AV344" s="5"/>
      <c r="AW344" s="21">
        <f t="shared" si="341"/>
        <v>0</v>
      </c>
      <c r="AX344" s="140">
        <f t="shared" si="342"/>
        <v>0</v>
      </c>
      <c r="AY344" s="140">
        <f t="shared" si="343"/>
        <v>0</v>
      </c>
      <c r="AZ344" s="140">
        <f t="shared" si="344"/>
        <v>0</v>
      </c>
      <c r="BA344" s="140">
        <f t="shared" si="345"/>
        <v>0</v>
      </c>
      <c r="BB344" s="140">
        <f t="shared" si="346"/>
        <v>0</v>
      </c>
      <c r="BC344" s="140">
        <f t="shared" si="347"/>
        <v>0</v>
      </c>
      <c r="BD344" s="140">
        <f t="shared" si="348"/>
        <v>0</v>
      </c>
      <c r="BE344" s="140">
        <f t="shared" si="349"/>
        <v>0</v>
      </c>
      <c r="BF344" s="140">
        <f t="shared" si="350"/>
        <v>0</v>
      </c>
      <c r="BG344" s="140">
        <f t="shared" si="351"/>
        <v>0</v>
      </c>
      <c r="BH344" s="140">
        <f t="shared" si="333"/>
        <v>0</v>
      </c>
      <c r="BI344" s="140">
        <f t="shared" si="334"/>
        <v>0</v>
      </c>
      <c r="BJ344" s="140">
        <f t="shared" si="335"/>
        <v>0</v>
      </c>
      <c r="BK344" s="140">
        <f t="shared" si="336"/>
        <v>0</v>
      </c>
    </row>
    <row r="345" spans="1:63" s="100" customFormat="1" ht="16" hidden="1" customHeight="1">
      <c r="A345" s="137" t="s">
        <v>30</v>
      </c>
      <c r="B345" s="20" t="s">
        <v>882</v>
      </c>
      <c r="C345" s="20" t="s">
        <v>883</v>
      </c>
      <c r="D345" s="20" t="s">
        <v>30</v>
      </c>
      <c r="E345" s="20" t="s">
        <v>884</v>
      </c>
      <c r="F345" s="20" t="s">
        <v>273</v>
      </c>
      <c r="G345" s="20" t="s">
        <v>58</v>
      </c>
      <c r="H345" s="20" t="s">
        <v>38</v>
      </c>
      <c r="I345" s="7"/>
      <c r="J345" s="7"/>
      <c r="K345" s="7"/>
      <c r="L345" s="7"/>
      <c r="M345" s="7"/>
      <c r="N345" s="7"/>
      <c r="O345" s="20"/>
      <c r="P345" s="20"/>
      <c r="Q345" s="20"/>
      <c r="R345" s="20"/>
      <c r="S345" s="7"/>
      <c r="T345" s="7"/>
      <c r="U345" s="7"/>
      <c r="V345" s="7"/>
      <c r="W345" s="7"/>
      <c r="X345" s="138"/>
      <c r="Y345" s="138"/>
      <c r="Z345" s="139">
        <f t="shared" si="337"/>
        <v>0</v>
      </c>
      <c r="AA345" s="20"/>
      <c r="AB345" s="20"/>
      <c r="AC345" s="20"/>
      <c r="AD345" s="139">
        <f t="shared" si="338"/>
        <v>0</v>
      </c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0"/>
      <c r="AQ345" s="20"/>
      <c r="AR345" s="20"/>
      <c r="AS345" s="20"/>
      <c r="AT345" s="20">
        <f t="shared" si="339"/>
        <v>0</v>
      </c>
      <c r="AU345" s="20">
        <f t="shared" si="340"/>
        <v>0</v>
      </c>
      <c r="AV345" s="5"/>
      <c r="AW345" s="21">
        <f t="shared" si="341"/>
        <v>0</v>
      </c>
      <c r="AX345" s="140">
        <f t="shared" si="342"/>
        <v>0</v>
      </c>
      <c r="AY345" s="140">
        <f t="shared" si="343"/>
        <v>0</v>
      </c>
      <c r="AZ345" s="140">
        <f t="shared" si="344"/>
        <v>0</v>
      </c>
      <c r="BA345" s="140">
        <f t="shared" si="345"/>
        <v>0</v>
      </c>
      <c r="BB345" s="140">
        <f t="shared" si="346"/>
        <v>0</v>
      </c>
      <c r="BC345" s="140">
        <f t="shared" si="347"/>
        <v>0</v>
      </c>
      <c r="BD345" s="140">
        <f t="shared" si="348"/>
        <v>0</v>
      </c>
      <c r="BE345" s="140">
        <f t="shared" si="349"/>
        <v>0</v>
      </c>
      <c r="BF345" s="140">
        <f t="shared" si="350"/>
        <v>0</v>
      </c>
      <c r="BG345" s="140">
        <f t="shared" si="351"/>
        <v>0</v>
      </c>
      <c r="BH345" s="140">
        <f t="shared" si="333"/>
        <v>0</v>
      </c>
      <c r="BI345" s="140">
        <f t="shared" si="334"/>
        <v>0</v>
      </c>
      <c r="BJ345" s="140">
        <f t="shared" si="335"/>
        <v>0</v>
      </c>
      <c r="BK345" s="140">
        <f t="shared" si="336"/>
        <v>0</v>
      </c>
    </row>
    <row r="346" spans="1:63" s="100" customFormat="1" ht="16" hidden="1" customHeight="1">
      <c r="A346" s="137" t="s">
        <v>30</v>
      </c>
      <c r="B346" s="20" t="s">
        <v>885</v>
      </c>
      <c r="C346" s="20" t="s">
        <v>886</v>
      </c>
      <c r="D346" s="20" t="s">
        <v>30</v>
      </c>
      <c r="E346" s="20" t="s">
        <v>881</v>
      </c>
      <c r="F346" s="20" t="s">
        <v>273</v>
      </c>
      <c r="G346" s="20" t="s">
        <v>58</v>
      </c>
      <c r="H346" s="20" t="s">
        <v>38</v>
      </c>
      <c r="I346" s="7"/>
      <c r="J346" s="7"/>
      <c r="K346" s="7"/>
      <c r="L346" s="7"/>
      <c r="M346" s="7"/>
      <c r="N346" s="7"/>
      <c r="O346" s="20"/>
      <c r="P346" s="20"/>
      <c r="Q346" s="20"/>
      <c r="R346" s="20"/>
      <c r="S346" s="7"/>
      <c r="T346" s="7"/>
      <c r="U346" s="7"/>
      <c r="V346" s="7"/>
      <c r="W346" s="7"/>
      <c r="X346" s="138"/>
      <c r="Y346" s="138"/>
      <c r="Z346" s="139">
        <f t="shared" si="337"/>
        <v>0</v>
      </c>
      <c r="AA346" s="20"/>
      <c r="AB346" s="20"/>
      <c r="AC346" s="20"/>
      <c r="AD346" s="139">
        <f t="shared" si="338"/>
        <v>0</v>
      </c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0"/>
      <c r="AQ346" s="20"/>
      <c r="AR346" s="20"/>
      <c r="AS346" s="20"/>
      <c r="AT346" s="20">
        <f t="shared" si="339"/>
        <v>0</v>
      </c>
      <c r="AU346" s="20">
        <f t="shared" si="340"/>
        <v>0</v>
      </c>
      <c r="AV346" s="5"/>
      <c r="AW346" s="21">
        <f t="shared" si="341"/>
        <v>0</v>
      </c>
      <c r="AX346" s="140">
        <f t="shared" si="342"/>
        <v>0</v>
      </c>
      <c r="AY346" s="140">
        <f t="shared" si="343"/>
        <v>0</v>
      </c>
      <c r="AZ346" s="140">
        <f t="shared" si="344"/>
        <v>0</v>
      </c>
      <c r="BA346" s="140">
        <f t="shared" si="345"/>
        <v>0</v>
      </c>
      <c r="BB346" s="140">
        <f t="shared" si="346"/>
        <v>0</v>
      </c>
      <c r="BC346" s="140">
        <f t="shared" si="347"/>
        <v>0</v>
      </c>
      <c r="BD346" s="140">
        <f t="shared" si="348"/>
        <v>0</v>
      </c>
      <c r="BE346" s="140">
        <f t="shared" si="349"/>
        <v>0</v>
      </c>
      <c r="BF346" s="140">
        <f t="shared" si="350"/>
        <v>0</v>
      </c>
      <c r="BG346" s="140">
        <f t="shared" si="351"/>
        <v>0</v>
      </c>
      <c r="BH346" s="140">
        <f t="shared" si="333"/>
        <v>0</v>
      </c>
      <c r="BI346" s="140">
        <f t="shared" si="334"/>
        <v>0</v>
      </c>
      <c r="BJ346" s="140">
        <f t="shared" si="335"/>
        <v>0</v>
      </c>
      <c r="BK346" s="140">
        <f t="shared" si="336"/>
        <v>0</v>
      </c>
    </row>
    <row r="347" spans="1:63" s="100" customFormat="1" ht="16" hidden="1" customHeight="1">
      <c r="A347" s="137" t="s">
        <v>30</v>
      </c>
      <c r="B347" s="20" t="s">
        <v>887</v>
      </c>
      <c r="C347" s="20" t="s">
        <v>888</v>
      </c>
      <c r="D347" s="20" t="s">
        <v>30</v>
      </c>
      <c r="E347" s="20" t="s">
        <v>881</v>
      </c>
      <c r="F347" s="20" t="s">
        <v>266</v>
      </c>
      <c r="G347" s="20" t="s">
        <v>58</v>
      </c>
      <c r="H347" s="20" t="s">
        <v>38</v>
      </c>
      <c r="I347" s="7"/>
      <c r="J347" s="7"/>
      <c r="K347" s="7"/>
      <c r="L347" s="7"/>
      <c r="M347" s="7"/>
      <c r="N347" s="7"/>
      <c r="O347" s="20"/>
      <c r="P347" s="20"/>
      <c r="Q347" s="20"/>
      <c r="R347" s="20"/>
      <c r="S347" s="7"/>
      <c r="T347" s="7"/>
      <c r="U347" s="7"/>
      <c r="V347" s="7"/>
      <c r="W347" s="7"/>
      <c r="X347" s="138"/>
      <c r="Y347" s="138"/>
      <c r="Z347" s="139">
        <f t="shared" ref="Z347:Z363" si="352">X347-Y347+AC347</f>
        <v>0</v>
      </c>
      <c r="AA347" s="20"/>
      <c r="AB347" s="20"/>
      <c r="AC347" s="20"/>
      <c r="AD347" s="139">
        <f t="shared" si="338"/>
        <v>0</v>
      </c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0"/>
      <c r="AQ347" s="20"/>
      <c r="AR347" s="20"/>
      <c r="AS347" s="20"/>
      <c r="AT347" s="20">
        <f t="shared" si="339"/>
        <v>0</v>
      </c>
      <c r="AU347" s="20">
        <f t="shared" si="340"/>
        <v>0</v>
      </c>
      <c r="AV347" s="5"/>
      <c r="AW347" s="21">
        <f t="shared" si="341"/>
        <v>0</v>
      </c>
      <c r="AX347" s="140">
        <f t="shared" si="342"/>
        <v>0</v>
      </c>
      <c r="AY347" s="140">
        <f t="shared" si="343"/>
        <v>0</v>
      </c>
      <c r="AZ347" s="140">
        <f t="shared" si="344"/>
        <v>0</v>
      </c>
      <c r="BA347" s="140">
        <f t="shared" si="345"/>
        <v>0</v>
      </c>
      <c r="BB347" s="140">
        <f t="shared" si="346"/>
        <v>0</v>
      </c>
      <c r="BC347" s="140">
        <f t="shared" si="347"/>
        <v>0</v>
      </c>
      <c r="BD347" s="140">
        <f t="shared" si="348"/>
        <v>0</v>
      </c>
      <c r="BE347" s="140">
        <f t="shared" si="349"/>
        <v>0</v>
      </c>
      <c r="BF347" s="140">
        <f t="shared" si="350"/>
        <v>0</v>
      </c>
      <c r="BG347" s="140">
        <f t="shared" si="351"/>
        <v>0</v>
      </c>
      <c r="BH347" s="140">
        <f t="shared" si="333"/>
        <v>0</v>
      </c>
      <c r="BI347" s="140">
        <f t="shared" si="334"/>
        <v>0</v>
      </c>
      <c r="BJ347" s="140">
        <f t="shared" si="335"/>
        <v>0</v>
      </c>
      <c r="BK347" s="140">
        <f t="shared" si="336"/>
        <v>0</v>
      </c>
    </row>
    <row r="348" spans="1:63" s="100" customFormat="1" ht="16" hidden="1" customHeight="1">
      <c r="A348" s="137" t="s">
        <v>30</v>
      </c>
      <c r="B348" s="20" t="s">
        <v>889</v>
      </c>
      <c r="C348" s="20" t="s">
        <v>890</v>
      </c>
      <c r="D348" s="20" t="s">
        <v>30</v>
      </c>
      <c r="E348" s="20" t="s">
        <v>891</v>
      </c>
      <c r="F348" s="20" t="s">
        <v>273</v>
      </c>
      <c r="G348" s="20" t="s">
        <v>58</v>
      </c>
      <c r="H348" s="20" t="s">
        <v>38</v>
      </c>
      <c r="I348" s="7"/>
      <c r="J348" s="7"/>
      <c r="K348" s="7"/>
      <c r="L348" s="7"/>
      <c r="M348" s="7"/>
      <c r="N348" s="7"/>
      <c r="O348" s="20"/>
      <c r="P348" s="20"/>
      <c r="Q348" s="20"/>
      <c r="R348" s="20"/>
      <c r="S348" s="7"/>
      <c r="T348" s="7"/>
      <c r="U348" s="7"/>
      <c r="V348" s="7"/>
      <c r="W348" s="7"/>
      <c r="X348" s="138"/>
      <c r="Y348" s="138"/>
      <c r="Z348" s="139">
        <f t="shared" si="352"/>
        <v>0</v>
      </c>
      <c r="AA348" s="20"/>
      <c r="AB348" s="20"/>
      <c r="AC348" s="20"/>
      <c r="AD348" s="139">
        <f t="shared" si="338"/>
        <v>0</v>
      </c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0"/>
      <c r="AQ348" s="20"/>
      <c r="AR348" s="20"/>
      <c r="AS348" s="20"/>
      <c r="AT348" s="20">
        <f t="shared" si="339"/>
        <v>0</v>
      </c>
      <c r="AU348" s="20">
        <f t="shared" si="340"/>
        <v>0</v>
      </c>
      <c r="AV348" s="5"/>
      <c r="AW348" s="21">
        <f t="shared" si="341"/>
        <v>0</v>
      </c>
      <c r="AX348" s="140">
        <f t="shared" si="342"/>
        <v>0</v>
      </c>
      <c r="AY348" s="140">
        <f t="shared" si="343"/>
        <v>0</v>
      </c>
      <c r="AZ348" s="140">
        <f t="shared" si="344"/>
        <v>0</v>
      </c>
      <c r="BA348" s="140">
        <f t="shared" si="345"/>
        <v>0</v>
      </c>
      <c r="BB348" s="140">
        <f t="shared" si="346"/>
        <v>0</v>
      </c>
      <c r="BC348" s="140">
        <f t="shared" si="347"/>
        <v>0</v>
      </c>
      <c r="BD348" s="140">
        <f t="shared" si="348"/>
        <v>0</v>
      </c>
      <c r="BE348" s="140">
        <f t="shared" si="349"/>
        <v>0</v>
      </c>
      <c r="BF348" s="140">
        <f t="shared" si="350"/>
        <v>0</v>
      </c>
      <c r="BG348" s="140">
        <f t="shared" si="351"/>
        <v>0</v>
      </c>
      <c r="BH348" s="140">
        <f t="shared" si="333"/>
        <v>0</v>
      </c>
      <c r="BI348" s="140">
        <f t="shared" si="334"/>
        <v>0</v>
      </c>
      <c r="BJ348" s="140">
        <f t="shared" si="335"/>
        <v>0</v>
      </c>
      <c r="BK348" s="140">
        <f t="shared" si="336"/>
        <v>0</v>
      </c>
    </row>
    <row r="349" spans="1:63" s="100" customFormat="1" ht="16" hidden="1" customHeight="1">
      <c r="A349" s="137" t="s">
        <v>30</v>
      </c>
      <c r="B349" s="20" t="s">
        <v>892</v>
      </c>
      <c r="C349" s="20" t="s">
        <v>893</v>
      </c>
      <c r="D349" s="20" t="s">
        <v>30</v>
      </c>
      <c r="E349" s="20" t="s">
        <v>894</v>
      </c>
      <c r="F349" s="20" t="s">
        <v>273</v>
      </c>
      <c r="G349" s="20" t="s">
        <v>58</v>
      </c>
      <c r="H349" s="20" t="s">
        <v>38</v>
      </c>
      <c r="I349" s="7"/>
      <c r="J349" s="7"/>
      <c r="K349" s="7"/>
      <c r="L349" s="7"/>
      <c r="M349" s="7"/>
      <c r="N349" s="7"/>
      <c r="O349" s="20"/>
      <c r="P349" s="20"/>
      <c r="Q349" s="20"/>
      <c r="R349" s="20"/>
      <c r="S349" s="7"/>
      <c r="T349" s="7"/>
      <c r="U349" s="7"/>
      <c r="V349" s="7"/>
      <c r="W349" s="7"/>
      <c r="X349" s="138"/>
      <c r="Y349" s="138"/>
      <c r="Z349" s="139">
        <f t="shared" si="352"/>
        <v>0</v>
      </c>
      <c r="AA349" s="20"/>
      <c r="AB349" s="20"/>
      <c r="AC349" s="20"/>
      <c r="AD349" s="139">
        <f t="shared" si="338"/>
        <v>0</v>
      </c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0"/>
      <c r="AQ349" s="20"/>
      <c r="AR349" s="20"/>
      <c r="AS349" s="20"/>
      <c r="AT349" s="20">
        <f t="shared" si="339"/>
        <v>0</v>
      </c>
      <c r="AU349" s="20">
        <f t="shared" si="340"/>
        <v>0</v>
      </c>
      <c r="AV349" s="5"/>
      <c r="AW349" s="21">
        <f t="shared" si="341"/>
        <v>0</v>
      </c>
      <c r="AX349" s="140">
        <f t="shared" si="342"/>
        <v>0</v>
      </c>
      <c r="AY349" s="140">
        <f t="shared" si="343"/>
        <v>0</v>
      </c>
      <c r="AZ349" s="140">
        <f t="shared" si="344"/>
        <v>0</v>
      </c>
      <c r="BA349" s="140">
        <f t="shared" si="345"/>
        <v>0</v>
      </c>
      <c r="BB349" s="140">
        <f t="shared" si="346"/>
        <v>0</v>
      </c>
      <c r="BC349" s="140">
        <f t="shared" si="347"/>
        <v>0</v>
      </c>
      <c r="BD349" s="140">
        <f t="shared" si="348"/>
        <v>0</v>
      </c>
      <c r="BE349" s="140">
        <f t="shared" si="349"/>
        <v>0</v>
      </c>
      <c r="BF349" s="140">
        <f t="shared" si="350"/>
        <v>0</v>
      </c>
      <c r="BG349" s="140">
        <f t="shared" si="351"/>
        <v>0</v>
      </c>
      <c r="BH349" s="140">
        <f t="shared" si="333"/>
        <v>0</v>
      </c>
      <c r="BI349" s="140">
        <f t="shared" si="334"/>
        <v>0</v>
      </c>
      <c r="BJ349" s="140">
        <f t="shared" si="335"/>
        <v>0</v>
      </c>
      <c r="BK349" s="140">
        <f t="shared" si="336"/>
        <v>0</v>
      </c>
    </row>
    <row r="350" spans="1:63" s="100" customFormat="1" ht="16" hidden="1" customHeight="1">
      <c r="A350" s="137" t="s">
        <v>30</v>
      </c>
      <c r="B350" s="20" t="s">
        <v>895</v>
      </c>
      <c r="C350" s="20" t="s">
        <v>896</v>
      </c>
      <c r="D350" s="20" t="s">
        <v>30</v>
      </c>
      <c r="E350" s="20" t="s">
        <v>897</v>
      </c>
      <c r="F350" s="20" t="s">
        <v>273</v>
      </c>
      <c r="G350" s="20" t="s">
        <v>58</v>
      </c>
      <c r="H350" s="20" t="s">
        <v>38</v>
      </c>
      <c r="I350" s="7"/>
      <c r="J350" s="7"/>
      <c r="K350" s="7"/>
      <c r="L350" s="7"/>
      <c r="M350" s="7"/>
      <c r="N350" s="7"/>
      <c r="O350" s="20"/>
      <c r="P350" s="20"/>
      <c r="Q350" s="20"/>
      <c r="R350" s="20"/>
      <c r="S350" s="7"/>
      <c r="T350" s="7"/>
      <c r="U350" s="7"/>
      <c r="V350" s="7"/>
      <c r="W350" s="7"/>
      <c r="X350" s="138"/>
      <c r="Y350" s="138"/>
      <c r="Z350" s="139">
        <f t="shared" si="352"/>
        <v>0</v>
      </c>
      <c r="AA350" s="20"/>
      <c r="AB350" s="20"/>
      <c r="AC350" s="20"/>
      <c r="AD350" s="139">
        <f t="shared" si="338"/>
        <v>0</v>
      </c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0"/>
      <c r="AQ350" s="20"/>
      <c r="AR350" s="20"/>
      <c r="AS350" s="20"/>
      <c r="AT350" s="20">
        <f t="shared" si="339"/>
        <v>0</v>
      </c>
      <c r="AU350" s="20">
        <f t="shared" si="340"/>
        <v>0</v>
      </c>
      <c r="AV350" s="5"/>
      <c r="AW350" s="21">
        <f t="shared" si="341"/>
        <v>0</v>
      </c>
      <c r="AX350" s="140">
        <f t="shared" si="342"/>
        <v>0</v>
      </c>
      <c r="AY350" s="140">
        <f t="shared" si="343"/>
        <v>0</v>
      </c>
      <c r="AZ350" s="140">
        <f t="shared" si="344"/>
        <v>0</v>
      </c>
      <c r="BA350" s="140">
        <f t="shared" si="345"/>
        <v>0</v>
      </c>
      <c r="BB350" s="140">
        <f t="shared" si="346"/>
        <v>0</v>
      </c>
      <c r="BC350" s="140">
        <f t="shared" si="347"/>
        <v>0</v>
      </c>
      <c r="BD350" s="140">
        <f t="shared" si="348"/>
        <v>0</v>
      </c>
      <c r="BE350" s="140">
        <f t="shared" si="349"/>
        <v>0</v>
      </c>
      <c r="BF350" s="140">
        <f t="shared" si="350"/>
        <v>0</v>
      </c>
      <c r="BG350" s="140">
        <f t="shared" si="351"/>
        <v>0</v>
      </c>
      <c r="BH350" s="140">
        <f t="shared" si="333"/>
        <v>0</v>
      </c>
      <c r="BI350" s="140">
        <f t="shared" si="334"/>
        <v>0</v>
      </c>
      <c r="BJ350" s="140">
        <f t="shared" si="335"/>
        <v>0</v>
      </c>
      <c r="BK350" s="140">
        <f t="shared" si="336"/>
        <v>0</v>
      </c>
    </row>
    <row r="351" spans="1:63" s="100" customFormat="1" ht="16" hidden="1" customHeight="1">
      <c r="A351" s="137" t="s">
        <v>30</v>
      </c>
      <c r="B351" s="20" t="s">
        <v>898</v>
      </c>
      <c r="C351" s="20" t="s">
        <v>899</v>
      </c>
      <c r="D351" s="20" t="s">
        <v>30</v>
      </c>
      <c r="E351" s="20" t="s">
        <v>897</v>
      </c>
      <c r="F351" s="20" t="s">
        <v>273</v>
      </c>
      <c r="G351" s="20" t="s">
        <v>58</v>
      </c>
      <c r="H351" s="20" t="s">
        <v>38</v>
      </c>
      <c r="I351" s="7"/>
      <c r="J351" s="7"/>
      <c r="K351" s="7"/>
      <c r="L351" s="7"/>
      <c r="M351" s="7"/>
      <c r="N351" s="7"/>
      <c r="O351" s="20"/>
      <c r="P351" s="20"/>
      <c r="Q351" s="20"/>
      <c r="R351" s="20"/>
      <c r="S351" s="7"/>
      <c r="T351" s="7"/>
      <c r="U351" s="7"/>
      <c r="V351" s="7"/>
      <c r="W351" s="7"/>
      <c r="X351" s="138"/>
      <c r="Y351" s="138"/>
      <c r="Z351" s="139">
        <f t="shared" si="352"/>
        <v>0</v>
      </c>
      <c r="AA351" s="20"/>
      <c r="AB351" s="20"/>
      <c r="AC351" s="20"/>
      <c r="AD351" s="139">
        <f t="shared" si="338"/>
        <v>0</v>
      </c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0"/>
      <c r="AQ351" s="20"/>
      <c r="AR351" s="20"/>
      <c r="AS351" s="20"/>
      <c r="AT351" s="20">
        <f t="shared" si="339"/>
        <v>0</v>
      </c>
      <c r="AU351" s="20">
        <f t="shared" si="340"/>
        <v>0</v>
      </c>
      <c r="AV351" s="5"/>
      <c r="AW351" s="21">
        <f t="shared" si="341"/>
        <v>0</v>
      </c>
      <c r="AX351" s="140">
        <f t="shared" si="342"/>
        <v>0</v>
      </c>
      <c r="AY351" s="140">
        <f t="shared" si="343"/>
        <v>0</v>
      </c>
      <c r="AZ351" s="140">
        <f t="shared" si="344"/>
        <v>0</v>
      </c>
      <c r="BA351" s="140">
        <f t="shared" si="345"/>
        <v>0</v>
      </c>
      <c r="BB351" s="140">
        <f t="shared" si="346"/>
        <v>0</v>
      </c>
      <c r="BC351" s="140">
        <f t="shared" si="347"/>
        <v>0</v>
      </c>
      <c r="BD351" s="140">
        <f t="shared" si="348"/>
        <v>0</v>
      </c>
      <c r="BE351" s="140">
        <f t="shared" si="349"/>
        <v>0</v>
      </c>
      <c r="BF351" s="140">
        <f t="shared" si="350"/>
        <v>0</v>
      </c>
      <c r="BG351" s="140">
        <f t="shared" si="351"/>
        <v>0</v>
      </c>
      <c r="BH351" s="140">
        <f t="shared" si="333"/>
        <v>0</v>
      </c>
      <c r="BI351" s="140">
        <f t="shared" si="334"/>
        <v>0</v>
      </c>
      <c r="BJ351" s="140">
        <f t="shared" si="335"/>
        <v>0</v>
      </c>
      <c r="BK351" s="140">
        <f t="shared" si="336"/>
        <v>0</v>
      </c>
    </row>
    <row r="352" spans="1:63" s="100" customFormat="1" ht="16" hidden="1" customHeight="1">
      <c r="A352" s="137" t="s">
        <v>30</v>
      </c>
      <c r="B352" s="20" t="s">
        <v>900</v>
      </c>
      <c r="C352" s="20" t="s">
        <v>901</v>
      </c>
      <c r="D352" s="20" t="s">
        <v>30</v>
      </c>
      <c r="E352" s="20" t="s">
        <v>902</v>
      </c>
      <c r="F352" s="20" t="s">
        <v>273</v>
      </c>
      <c r="G352" s="20" t="s">
        <v>58</v>
      </c>
      <c r="H352" s="20" t="s">
        <v>45</v>
      </c>
      <c r="I352" s="7"/>
      <c r="J352" s="7"/>
      <c r="K352" s="7"/>
      <c r="L352" s="7"/>
      <c r="M352" s="7"/>
      <c r="N352" s="7"/>
      <c r="O352" s="20"/>
      <c r="P352" s="20"/>
      <c r="Q352" s="20"/>
      <c r="R352" s="20"/>
      <c r="S352" s="7"/>
      <c r="T352" s="7"/>
      <c r="U352" s="7"/>
      <c r="V352" s="7"/>
      <c r="W352" s="7"/>
      <c r="X352" s="138"/>
      <c r="Y352" s="138"/>
      <c r="Z352" s="139">
        <f t="shared" si="352"/>
        <v>0</v>
      </c>
      <c r="AA352" s="20"/>
      <c r="AB352" s="20"/>
      <c r="AC352" s="20"/>
      <c r="AD352" s="139">
        <f t="shared" si="338"/>
        <v>0</v>
      </c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0"/>
      <c r="AQ352" s="20"/>
      <c r="AR352" s="20"/>
      <c r="AS352" s="20"/>
      <c r="AT352" s="20">
        <f t="shared" si="339"/>
        <v>0</v>
      </c>
      <c r="AU352" s="20">
        <f t="shared" si="340"/>
        <v>0</v>
      </c>
      <c r="AV352" s="5"/>
      <c r="AW352" s="21">
        <f t="shared" si="341"/>
        <v>0</v>
      </c>
      <c r="AX352" s="140">
        <f t="shared" si="342"/>
        <v>0</v>
      </c>
      <c r="AY352" s="140">
        <f t="shared" si="343"/>
        <v>0</v>
      </c>
      <c r="AZ352" s="140">
        <f t="shared" si="344"/>
        <v>0</v>
      </c>
      <c r="BA352" s="140">
        <f t="shared" si="345"/>
        <v>0</v>
      </c>
      <c r="BB352" s="140">
        <f t="shared" si="346"/>
        <v>0</v>
      </c>
      <c r="BC352" s="140">
        <f t="shared" si="347"/>
        <v>0</v>
      </c>
      <c r="BD352" s="140">
        <f t="shared" si="348"/>
        <v>0</v>
      </c>
      <c r="BE352" s="140">
        <f t="shared" si="349"/>
        <v>0</v>
      </c>
      <c r="BF352" s="140">
        <f t="shared" si="350"/>
        <v>0</v>
      </c>
      <c r="BG352" s="140">
        <f t="shared" si="351"/>
        <v>0</v>
      </c>
      <c r="BH352" s="140">
        <f t="shared" si="333"/>
        <v>0</v>
      </c>
      <c r="BI352" s="140">
        <f t="shared" si="334"/>
        <v>0</v>
      </c>
      <c r="BJ352" s="140">
        <f t="shared" si="335"/>
        <v>0</v>
      </c>
      <c r="BK352" s="140">
        <f t="shared" si="336"/>
        <v>0</v>
      </c>
    </row>
    <row r="353" spans="1:63" s="100" customFormat="1" ht="16" hidden="1" customHeight="1">
      <c r="A353" s="137" t="s">
        <v>30</v>
      </c>
      <c r="B353" s="20" t="s">
        <v>903</v>
      </c>
      <c r="C353" s="20" t="s">
        <v>904</v>
      </c>
      <c r="D353" s="20" t="s">
        <v>30</v>
      </c>
      <c r="E353" s="20" t="s">
        <v>905</v>
      </c>
      <c r="F353" s="20" t="s">
        <v>273</v>
      </c>
      <c r="G353" s="20" t="s">
        <v>58</v>
      </c>
      <c r="H353" s="20" t="s">
        <v>45</v>
      </c>
      <c r="I353" s="7"/>
      <c r="J353" s="7"/>
      <c r="K353" s="7"/>
      <c r="L353" s="7"/>
      <c r="M353" s="7"/>
      <c r="N353" s="7"/>
      <c r="O353" s="20"/>
      <c r="P353" s="20"/>
      <c r="Q353" s="20"/>
      <c r="R353" s="20"/>
      <c r="S353" s="7"/>
      <c r="T353" s="7"/>
      <c r="U353" s="7"/>
      <c r="V353" s="7"/>
      <c r="W353" s="7"/>
      <c r="X353" s="138"/>
      <c r="Y353" s="138"/>
      <c r="Z353" s="139">
        <f t="shared" si="352"/>
        <v>0</v>
      </c>
      <c r="AA353" s="20"/>
      <c r="AB353" s="20"/>
      <c r="AC353" s="20"/>
      <c r="AD353" s="139">
        <f t="shared" si="338"/>
        <v>0</v>
      </c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0"/>
      <c r="AQ353" s="20"/>
      <c r="AR353" s="20"/>
      <c r="AS353" s="20"/>
      <c r="AT353" s="20">
        <f t="shared" si="339"/>
        <v>0</v>
      </c>
      <c r="AU353" s="20">
        <f t="shared" si="340"/>
        <v>0</v>
      </c>
      <c r="AV353" s="5"/>
      <c r="AW353" s="21">
        <f t="shared" si="341"/>
        <v>0</v>
      </c>
      <c r="AX353" s="140">
        <f t="shared" si="342"/>
        <v>0</v>
      </c>
      <c r="AY353" s="140">
        <f t="shared" si="343"/>
        <v>0</v>
      </c>
      <c r="AZ353" s="140">
        <f t="shared" si="344"/>
        <v>0</v>
      </c>
      <c r="BA353" s="140">
        <f t="shared" si="345"/>
        <v>0</v>
      </c>
      <c r="BB353" s="140">
        <f t="shared" si="346"/>
        <v>0</v>
      </c>
      <c r="BC353" s="140">
        <f t="shared" si="347"/>
        <v>0</v>
      </c>
      <c r="BD353" s="140">
        <f t="shared" si="348"/>
        <v>0</v>
      </c>
      <c r="BE353" s="140">
        <f t="shared" si="349"/>
        <v>0</v>
      </c>
      <c r="BF353" s="140">
        <f t="shared" si="350"/>
        <v>0</v>
      </c>
      <c r="BG353" s="140">
        <f t="shared" si="351"/>
        <v>0</v>
      </c>
      <c r="BH353" s="140">
        <f t="shared" si="333"/>
        <v>0</v>
      </c>
      <c r="BI353" s="140">
        <f t="shared" si="334"/>
        <v>0</v>
      </c>
      <c r="BJ353" s="140">
        <f t="shared" si="335"/>
        <v>0</v>
      </c>
      <c r="BK353" s="140">
        <f t="shared" si="336"/>
        <v>0</v>
      </c>
    </row>
    <row r="354" spans="1:63" s="100" customFormat="1" ht="16" hidden="1" customHeight="1">
      <c r="A354" s="137" t="s">
        <v>30</v>
      </c>
      <c r="B354" s="20" t="s">
        <v>906</v>
      </c>
      <c r="C354" s="20" t="s">
        <v>907</v>
      </c>
      <c r="D354" s="20" t="s">
        <v>30</v>
      </c>
      <c r="E354" s="20" t="s">
        <v>908</v>
      </c>
      <c r="F354" s="20" t="s">
        <v>273</v>
      </c>
      <c r="G354" s="20" t="s">
        <v>58</v>
      </c>
      <c r="H354" s="20" t="s">
        <v>38</v>
      </c>
      <c r="I354" s="7"/>
      <c r="J354" s="7"/>
      <c r="K354" s="7"/>
      <c r="L354" s="7"/>
      <c r="M354" s="7"/>
      <c r="N354" s="7"/>
      <c r="O354" s="20"/>
      <c r="P354" s="20"/>
      <c r="Q354" s="20"/>
      <c r="R354" s="20"/>
      <c r="S354" s="7"/>
      <c r="T354" s="7"/>
      <c r="U354" s="7"/>
      <c r="V354" s="7"/>
      <c r="W354" s="7"/>
      <c r="X354" s="138"/>
      <c r="Y354" s="138"/>
      <c r="Z354" s="139">
        <f t="shared" si="352"/>
        <v>0</v>
      </c>
      <c r="AA354" s="20"/>
      <c r="AB354" s="20"/>
      <c r="AC354" s="20"/>
      <c r="AD354" s="139">
        <f t="shared" si="338"/>
        <v>0</v>
      </c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0"/>
      <c r="AQ354" s="20"/>
      <c r="AR354" s="20"/>
      <c r="AS354" s="20"/>
      <c r="AT354" s="20">
        <f t="shared" si="339"/>
        <v>0</v>
      </c>
      <c r="AU354" s="20">
        <f t="shared" si="340"/>
        <v>0</v>
      </c>
      <c r="AV354" s="5"/>
      <c r="AW354" s="21">
        <f t="shared" si="341"/>
        <v>0</v>
      </c>
      <c r="AX354" s="140">
        <f t="shared" si="342"/>
        <v>0</v>
      </c>
      <c r="AY354" s="140">
        <f t="shared" si="343"/>
        <v>0</v>
      </c>
      <c r="AZ354" s="140">
        <f t="shared" si="344"/>
        <v>0</v>
      </c>
      <c r="BA354" s="140">
        <f t="shared" si="345"/>
        <v>0</v>
      </c>
      <c r="BB354" s="140">
        <f t="shared" si="346"/>
        <v>0</v>
      </c>
      <c r="BC354" s="140">
        <f t="shared" si="347"/>
        <v>0</v>
      </c>
      <c r="BD354" s="140">
        <f t="shared" si="348"/>
        <v>0</v>
      </c>
      <c r="BE354" s="140">
        <f t="shared" si="349"/>
        <v>0</v>
      </c>
      <c r="BF354" s="140">
        <f t="shared" si="350"/>
        <v>0</v>
      </c>
      <c r="BG354" s="140">
        <f t="shared" si="351"/>
        <v>0</v>
      </c>
      <c r="BH354" s="140">
        <f t="shared" si="333"/>
        <v>0</v>
      </c>
      <c r="BI354" s="140">
        <f t="shared" si="334"/>
        <v>0</v>
      </c>
      <c r="BJ354" s="140">
        <f t="shared" si="335"/>
        <v>0</v>
      </c>
      <c r="BK354" s="140">
        <f t="shared" si="336"/>
        <v>0</v>
      </c>
    </row>
    <row r="355" spans="1:63" s="100" customFormat="1" ht="16" hidden="1" customHeight="1">
      <c r="A355" s="137" t="s">
        <v>30</v>
      </c>
      <c r="B355" s="20" t="s">
        <v>909</v>
      </c>
      <c r="C355" s="20" t="s">
        <v>910</v>
      </c>
      <c r="D355" s="20" t="s">
        <v>30</v>
      </c>
      <c r="E355" s="20" t="s">
        <v>869</v>
      </c>
      <c r="F355" s="20" t="s">
        <v>273</v>
      </c>
      <c r="G355" s="20" t="s">
        <v>58</v>
      </c>
      <c r="H355" s="20" t="s">
        <v>38</v>
      </c>
      <c r="I355" s="7"/>
      <c r="J355" s="7"/>
      <c r="K355" s="7"/>
      <c r="L355" s="7"/>
      <c r="M355" s="7"/>
      <c r="N355" s="7"/>
      <c r="O355" s="20"/>
      <c r="P355" s="20"/>
      <c r="Q355" s="20"/>
      <c r="R355" s="20"/>
      <c r="S355" s="7"/>
      <c r="T355" s="7"/>
      <c r="U355" s="7"/>
      <c r="V355" s="7"/>
      <c r="W355" s="7"/>
      <c r="X355" s="138"/>
      <c r="Y355" s="138"/>
      <c r="Z355" s="139">
        <f t="shared" si="352"/>
        <v>0</v>
      </c>
      <c r="AA355" s="20"/>
      <c r="AB355" s="20"/>
      <c r="AC355" s="20"/>
      <c r="AD355" s="139">
        <f t="shared" si="338"/>
        <v>0</v>
      </c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0"/>
      <c r="AQ355" s="20"/>
      <c r="AR355" s="20"/>
      <c r="AS355" s="20"/>
      <c r="AT355" s="20">
        <f t="shared" si="339"/>
        <v>0</v>
      </c>
      <c r="AU355" s="20">
        <f t="shared" si="340"/>
        <v>0</v>
      </c>
      <c r="AV355" s="5"/>
      <c r="AW355" s="21">
        <f t="shared" si="341"/>
        <v>0</v>
      </c>
      <c r="AX355" s="140">
        <f t="shared" si="342"/>
        <v>0</v>
      </c>
      <c r="AY355" s="140">
        <f t="shared" si="343"/>
        <v>0</v>
      </c>
      <c r="AZ355" s="140">
        <f t="shared" si="344"/>
        <v>0</v>
      </c>
      <c r="BA355" s="140">
        <f t="shared" si="345"/>
        <v>0</v>
      </c>
      <c r="BB355" s="140">
        <f t="shared" si="346"/>
        <v>0</v>
      </c>
      <c r="BC355" s="140">
        <f t="shared" si="347"/>
        <v>0</v>
      </c>
      <c r="BD355" s="140">
        <f t="shared" si="348"/>
        <v>0</v>
      </c>
      <c r="BE355" s="140">
        <f t="shared" si="349"/>
        <v>0</v>
      </c>
      <c r="BF355" s="140">
        <f t="shared" si="350"/>
        <v>0</v>
      </c>
      <c r="BG355" s="140">
        <f t="shared" si="351"/>
        <v>0</v>
      </c>
      <c r="BH355" s="140">
        <f t="shared" si="333"/>
        <v>0</v>
      </c>
      <c r="BI355" s="140">
        <f t="shared" si="334"/>
        <v>0</v>
      </c>
      <c r="BJ355" s="140">
        <f t="shared" si="335"/>
        <v>0</v>
      </c>
      <c r="BK355" s="140">
        <f t="shared" si="336"/>
        <v>0</v>
      </c>
    </row>
    <row r="356" spans="1:63" s="100" customFormat="1" ht="16" hidden="1" customHeight="1">
      <c r="A356" s="137" t="s">
        <v>30</v>
      </c>
      <c r="B356" s="20" t="s">
        <v>911</v>
      </c>
      <c r="C356" s="20" t="s">
        <v>912</v>
      </c>
      <c r="D356" s="20" t="s">
        <v>30</v>
      </c>
      <c r="E356" s="20" t="s">
        <v>902</v>
      </c>
      <c r="F356" s="20" t="s">
        <v>273</v>
      </c>
      <c r="G356" s="20" t="s">
        <v>58</v>
      </c>
      <c r="H356" s="20" t="s">
        <v>45</v>
      </c>
      <c r="I356" s="7"/>
      <c r="J356" s="7"/>
      <c r="K356" s="7"/>
      <c r="L356" s="7"/>
      <c r="M356" s="7"/>
      <c r="N356" s="7"/>
      <c r="O356" s="20"/>
      <c r="P356" s="20"/>
      <c r="Q356" s="20"/>
      <c r="R356" s="20"/>
      <c r="S356" s="7"/>
      <c r="T356" s="7"/>
      <c r="U356" s="7"/>
      <c r="V356" s="7"/>
      <c r="W356" s="7"/>
      <c r="X356" s="138"/>
      <c r="Y356" s="138"/>
      <c r="Z356" s="139">
        <f t="shared" si="352"/>
        <v>0</v>
      </c>
      <c r="AA356" s="20"/>
      <c r="AB356" s="20"/>
      <c r="AC356" s="20"/>
      <c r="AD356" s="139">
        <f t="shared" si="338"/>
        <v>0</v>
      </c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0"/>
      <c r="AQ356" s="20"/>
      <c r="AR356" s="20"/>
      <c r="AS356" s="20"/>
      <c r="AT356" s="20">
        <f t="shared" si="339"/>
        <v>0</v>
      </c>
      <c r="AU356" s="20">
        <f t="shared" si="340"/>
        <v>0</v>
      </c>
      <c r="AV356" s="5"/>
      <c r="AW356" s="21">
        <f t="shared" si="341"/>
        <v>0</v>
      </c>
      <c r="AX356" s="140">
        <f t="shared" si="342"/>
        <v>0</v>
      </c>
      <c r="AY356" s="140">
        <f t="shared" si="343"/>
        <v>0</v>
      </c>
      <c r="AZ356" s="140">
        <f t="shared" si="344"/>
        <v>0</v>
      </c>
      <c r="BA356" s="140">
        <f t="shared" si="345"/>
        <v>0</v>
      </c>
      <c r="BB356" s="140">
        <f t="shared" si="346"/>
        <v>0</v>
      </c>
      <c r="BC356" s="140">
        <f t="shared" si="347"/>
        <v>0</v>
      </c>
      <c r="BD356" s="140">
        <f t="shared" si="348"/>
        <v>0</v>
      </c>
      <c r="BE356" s="140">
        <f t="shared" si="349"/>
        <v>0</v>
      </c>
      <c r="BF356" s="140">
        <f t="shared" si="350"/>
        <v>0</v>
      </c>
      <c r="BG356" s="140">
        <f t="shared" si="351"/>
        <v>0</v>
      </c>
      <c r="BH356" s="140">
        <f t="shared" si="333"/>
        <v>0</v>
      </c>
      <c r="BI356" s="140">
        <f t="shared" si="334"/>
        <v>0</v>
      </c>
      <c r="BJ356" s="140">
        <f t="shared" si="335"/>
        <v>0</v>
      </c>
      <c r="BK356" s="140">
        <f t="shared" si="336"/>
        <v>0</v>
      </c>
    </row>
    <row r="357" spans="1:63" s="100" customFormat="1" ht="16" hidden="1" customHeight="1">
      <c r="A357" s="137" t="s">
        <v>30</v>
      </c>
      <c r="B357" s="20" t="s">
        <v>913</v>
      </c>
      <c r="C357" s="20" t="s">
        <v>914</v>
      </c>
      <c r="D357" s="137" t="s">
        <v>30</v>
      </c>
      <c r="E357" s="20" t="s">
        <v>908</v>
      </c>
      <c r="F357" s="20" t="s">
        <v>273</v>
      </c>
      <c r="G357" s="20" t="s">
        <v>58</v>
      </c>
      <c r="H357" s="20" t="s">
        <v>38</v>
      </c>
      <c r="I357" s="7"/>
      <c r="J357" s="7"/>
      <c r="K357" s="7"/>
      <c r="L357" s="7"/>
      <c r="M357" s="7"/>
      <c r="N357" s="7"/>
      <c r="O357" s="20"/>
      <c r="P357" s="20"/>
      <c r="Q357" s="20"/>
      <c r="R357" s="20"/>
      <c r="S357" s="7"/>
      <c r="T357" s="7"/>
      <c r="U357" s="7"/>
      <c r="V357" s="7"/>
      <c r="W357" s="7"/>
      <c r="X357" s="138"/>
      <c r="Y357" s="138"/>
      <c r="Z357" s="139">
        <f t="shared" si="352"/>
        <v>0</v>
      </c>
      <c r="AA357" s="20"/>
      <c r="AB357" s="20"/>
      <c r="AC357" s="20"/>
      <c r="AD357" s="139">
        <f t="shared" ref="AD357:AD388" si="353">AB357-Y357+AA357+AC357</f>
        <v>0</v>
      </c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0"/>
      <c r="AQ357" s="20"/>
      <c r="AR357" s="20"/>
      <c r="AS357" s="20"/>
      <c r="AT357" s="20">
        <f t="shared" ref="AT357:AT388" si="354">SUM(AE357:AR357)</f>
        <v>0</v>
      </c>
      <c r="AU357" s="20">
        <f t="shared" ref="AU357:AU388" si="355">AD357-AT357</f>
        <v>0</v>
      </c>
      <c r="AV357" s="5"/>
      <c r="AW357" s="21">
        <f t="shared" ref="AW357:AW388" si="356">AE357+Y357-I357</f>
        <v>0</v>
      </c>
      <c r="AX357" s="140">
        <f t="shared" si="342"/>
        <v>0</v>
      </c>
      <c r="AY357" s="140">
        <f t="shared" si="343"/>
        <v>0</v>
      </c>
      <c r="AZ357" s="140">
        <f t="shared" si="344"/>
        <v>0</v>
      </c>
      <c r="BA357" s="140">
        <f t="shared" si="345"/>
        <v>0</v>
      </c>
      <c r="BB357" s="140">
        <f t="shared" si="346"/>
        <v>0</v>
      </c>
      <c r="BC357" s="140">
        <f t="shared" si="347"/>
        <v>0</v>
      </c>
      <c r="BD357" s="140">
        <f t="shared" si="348"/>
        <v>0</v>
      </c>
      <c r="BE357" s="140">
        <f t="shared" si="349"/>
        <v>0</v>
      </c>
      <c r="BF357" s="140">
        <f t="shared" si="350"/>
        <v>0</v>
      </c>
      <c r="BG357" s="140">
        <f t="shared" si="351"/>
        <v>0</v>
      </c>
      <c r="BH357" s="140">
        <f t="shared" si="333"/>
        <v>0</v>
      </c>
      <c r="BI357" s="140">
        <f t="shared" si="334"/>
        <v>0</v>
      </c>
      <c r="BJ357" s="140">
        <f t="shared" si="335"/>
        <v>0</v>
      </c>
      <c r="BK357" s="140">
        <f t="shared" si="336"/>
        <v>0</v>
      </c>
    </row>
    <row r="358" spans="1:63" s="100" customFormat="1" ht="16" hidden="1" customHeight="1">
      <c r="A358" s="137" t="s">
        <v>30</v>
      </c>
      <c r="B358" s="20" t="s">
        <v>915</v>
      </c>
      <c r="C358" s="20" t="s">
        <v>916</v>
      </c>
      <c r="D358" s="137" t="s">
        <v>30</v>
      </c>
      <c r="E358" s="20" t="s">
        <v>917</v>
      </c>
      <c r="F358" s="20" t="s">
        <v>273</v>
      </c>
      <c r="G358" s="20" t="s">
        <v>37</v>
      </c>
      <c r="H358" s="20" t="s">
        <v>45</v>
      </c>
      <c r="I358" s="7"/>
      <c r="J358" s="7"/>
      <c r="K358" s="7"/>
      <c r="L358" s="7"/>
      <c r="M358" s="7"/>
      <c r="N358" s="7"/>
      <c r="O358" s="20"/>
      <c r="P358" s="20"/>
      <c r="Q358" s="20"/>
      <c r="R358" s="20"/>
      <c r="S358" s="7"/>
      <c r="T358" s="7"/>
      <c r="U358" s="7"/>
      <c r="V358" s="7"/>
      <c r="W358" s="7"/>
      <c r="X358" s="138"/>
      <c r="Y358" s="138"/>
      <c r="Z358" s="139">
        <f t="shared" si="352"/>
        <v>0</v>
      </c>
      <c r="AA358" s="20"/>
      <c r="AB358" s="20"/>
      <c r="AC358" s="20"/>
      <c r="AD358" s="139">
        <f t="shared" si="353"/>
        <v>0</v>
      </c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0"/>
      <c r="AQ358" s="20"/>
      <c r="AR358" s="20"/>
      <c r="AS358" s="20"/>
      <c r="AT358" s="20">
        <f t="shared" si="354"/>
        <v>0</v>
      </c>
      <c r="AU358" s="20">
        <f t="shared" si="355"/>
        <v>0</v>
      </c>
      <c r="AV358" s="5"/>
      <c r="AW358" s="21">
        <f t="shared" si="356"/>
        <v>0</v>
      </c>
      <c r="AX358" s="140">
        <f t="shared" si="342"/>
        <v>0</v>
      </c>
      <c r="AY358" s="140">
        <f t="shared" si="343"/>
        <v>0</v>
      </c>
      <c r="AZ358" s="140">
        <f t="shared" si="344"/>
        <v>0</v>
      </c>
      <c r="BA358" s="140">
        <f t="shared" si="345"/>
        <v>0</v>
      </c>
      <c r="BB358" s="140">
        <f t="shared" si="346"/>
        <v>0</v>
      </c>
      <c r="BC358" s="140">
        <f t="shared" si="347"/>
        <v>0</v>
      </c>
      <c r="BD358" s="140">
        <f t="shared" si="348"/>
        <v>0</v>
      </c>
      <c r="BE358" s="140">
        <f t="shared" si="349"/>
        <v>0</v>
      </c>
      <c r="BF358" s="140">
        <f t="shared" si="350"/>
        <v>0</v>
      </c>
      <c r="BG358" s="140">
        <f t="shared" si="351"/>
        <v>0</v>
      </c>
      <c r="BH358" s="140">
        <f t="shared" si="333"/>
        <v>0</v>
      </c>
      <c r="BI358" s="140">
        <f t="shared" si="334"/>
        <v>0</v>
      </c>
      <c r="BJ358" s="140">
        <f t="shared" si="335"/>
        <v>0</v>
      </c>
      <c r="BK358" s="140">
        <f t="shared" si="336"/>
        <v>0</v>
      </c>
    </row>
    <row r="359" spans="1:63" s="100" customFormat="1" ht="16" hidden="1" customHeight="1">
      <c r="A359" s="137" t="s">
        <v>30</v>
      </c>
      <c r="B359" s="21" t="s">
        <v>918</v>
      </c>
      <c r="C359" s="21" t="s">
        <v>919</v>
      </c>
      <c r="D359" s="137" t="s">
        <v>30</v>
      </c>
      <c r="E359" s="20"/>
      <c r="F359" s="20" t="s">
        <v>273</v>
      </c>
      <c r="G359" s="20"/>
      <c r="H359" s="20"/>
      <c r="I359" s="7"/>
      <c r="J359" s="7"/>
      <c r="K359" s="7"/>
      <c r="L359" s="7"/>
      <c r="M359" s="7"/>
      <c r="N359" s="7"/>
      <c r="O359" s="20"/>
      <c r="P359" s="20"/>
      <c r="Q359" s="20"/>
      <c r="R359" s="20"/>
      <c r="S359" s="7"/>
      <c r="T359" s="7"/>
      <c r="U359" s="7"/>
      <c r="V359" s="7"/>
      <c r="W359" s="7"/>
      <c r="X359" s="138"/>
      <c r="Y359" s="138"/>
      <c r="Z359" s="139">
        <f t="shared" si="352"/>
        <v>0</v>
      </c>
      <c r="AA359" s="20"/>
      <c r="AB359" s="20"/>
      <c r="AC359" s="20"/>
      <c r="AD359" s="139">
        <f t="shared" si="353"/>
        <v>0</v>
      </c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0"/>
      <c r="AQ359" s="20"/>
      <c r="AR359" s="20"/>
      <c r="AS359" s="20"/>
      <c r="AT359" s="20">
        <f t="shared" si="354"/>
        <v>0</v>
      </c>
      <c r="AU359" s="20">
        <f t="shared" si="355"/>
        <v>0</v>
      </c>
      <c r="AV359" s="5"/>
      <c r="AW359" s="21">
        <f t="shared" si="356"/>
        <v>0</v>
      </c>
      <c r="AX359" s="140">
        <f t="shared" si="342"/>
        <v>0</v>
      </c>
      <c r="AY359" s="140">
        <f t="shared" si="343"/>
        <v>0</v>
      </c>
      <c r="AZ359" s="140">
        <f t="shared" si="344"/>
        <v>0</v>
      </c>
      <c r="BA359" s="140">
        <f t="shared" si="345"/>
        <v>0</v>
      </c>
      <c r="BB359" s="140">
        <f t="shared" si="346"/>
        <v>0</v>
      </c>
      <c r="BC359" s="140">
        <f t="shared" si="347"/>
        <v>0</v>
      </c>
      <c r="BD359" s="140">
        <f t="shared" si="348"/>
        <v>0</v>
      </c>
      <c r="BE359" s="140">
        <f t="shared" si="349"/>
        <v>0</v>
      </c>
      <c r="BF359" s="140">
        <f t="shared" si="350"/>
        <v>0</v>
      </c>
      <c r="BG359" s="140">
        <f t="shared" si="351"/>
        <v>0</v>
      </c>
      <c r="BH359" s="140">
        <f t="shared" si="333"/>
        <v>0</v>
      </c>
      <c r="BI359" s="140">
        <f t="shared" si="334"/>
        <v>0</v>
      </c>
      <c r="BJ359" s="140">
        <f t="shared" si="335"/>
        <v>0</v>
      </c>
      <c r="BK359" s="140">
        <f t="shared" si="336"/>
        <v>0</v>
      </c>
    </row>
    <row r="360" spans="1:63" s="100" customFormat="1" ht="16" hidden="1" customHeight="1">
      <c r="A360" s="137" t="s">
        <v>30</v>
      </c>
      <c r="B360" s="20" t="s">
        <v>920</v>
      </c>
      <c r="C360" s="20" t="s">
        <v>921</v>
      </c>
      <c r="D360" s="137" t="s">
        <v>30</v>
      </c>
      <c r="E360" s="20" t="s">
        <v>922</v>
      </c>
      <c r="F360" s="20" t="s">
        <v>273</v>
      </c>
      <c r="G360" s="20" t="s">
        <v>58</v>
      </c>
      <c r="H360" s="20" t="s">
        <v>45</v>
      </c>
      <c r="I360" s="7"/>
      <c r="J360" s="7"/>
      <c r="K360" s="7"/>
      <c r="L360" s="7"/>
      <c r="M360" s="7"/>
      <c r="N360" s="7"/>
      <c r="O360" s="20"/>
      <c r="P360" s="20"/>
      <c r="Q360" s="20"/>
      <c r="R360" s="20"/>
      <c r="S360" s="7"/>
      <c r="T360" s="7"/>
      <c r="U360" s="7"/>
      <c r="V360" s="7"/>
      <c r="W360" s="7"/>
      <c r="X360" s="138"/>
      <c r="Y360" s="138"/>
      <c r="Z360" s="139">
        <f t="shared" si="352"/>
        <v>0</v>
      </c>
      <c r="AA360" s="20"/>
      <c r="AB360" s="20"/>
      <c r="AC360" s="20"/>
      <c r="AD360" s="139">
        <f t="shared" si="353"/>
        <v>0</v>
      </c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0"/>
      <c r="AQ360" s="20"/>
      <c r="AR360" s="20"/>
      <c r="AS360" s="20"/>
      <c r="AT360" s="20">
        <f t="shared" si="354"/>
        <v>0</v>
      </c>
      <c r="AU360" s="20">
        <f t="shared" si="355"/>
        <v>0</v>
      </c>
      <c r="AV360" s="5"/>
      <c r="AW360" s="21">
        <f t="shared" si="356"/>
        <v>0</v>
      </c>
      <c r="AX360" s="140">
        <f t="shared" si="342"/>
        <v>0</v>
      </c>
      <c r="AY360" s="140">
        <f t="shared" si="343"/>
        <v>0</v>
      </c>
      <c r="AZ360" s="140">
        <f t="shared" si="344"/>
        <v>0</v>
      </c>
      <c r="BA360" s="140">
        <f t="shared" si="345"/>
        <v>0</v>
      </c>
      <c r="BB360" s="140">
        <f t="shared" si="346"/>
        <v>0</v>
      </c>
      <c r="BC360" s="140">
        <f t="shared" si="347"/>
        <v>0</v>
      </c>
      <c r="BD360" s="140">
        <f t="shared" si="348"/>
        <v>0</v>
      </c>
      <c r="BE360" s="140">
        <f t="shared" si="349"/>
        <v>0</v>
      </c>
      <c r="BF360" s="140">
        <f t="shared" si="350"/>
        <v>0</v>
      </c>
      <c r="BG360" s="140">
        <f t="shared" si="351"/>
        <v>0</v>
      </c>
      <c r="BH360" s="140">
        <f t="shared" si="333"/>
        <v>0</v>
      </c>
      <c r="BI360" s="140">
        <f t="shared" si="334"/>
        <v>0</v>
      </c>
      <c r="BJ360" s="140">
        <f t="shared" si="335"/>
        <v>0</v>
      </c>
      <c r="BK360" s="140">
        <f t="shared" si="336"/>
        <v>0</v>
      </c>
    </row>
    <row r="361" spans="1:63" s="100" customFormat="1" ht="16" hidden="1" customHeight="1">
      <c r="A361" s="137" t="s">
        <v>30</v>
      </c>
      <c r="B361" s="20" t="s">
        <v>923</v>
      </c>
      <c r="C361" s="20" t="s">
        <v>924</v>
      </c>
      <c r="D361" s="20" t="s">
        <v>30</v>
      </c>
      <c r="E361" s="20" t="s">
        <v>925</v>
      </c>
      <c r="F361" s="20" t="s">
        <v>273</v>
      </c>
      <c r="G361" s="20" t="s">
        <v>58</v>
      </c>
      <c r="H361" s="20" t="s">
        <v>38</v>
      </c>
      <c r="I361" s="7"/>
      <c r="J361" s="7"/>
      <c r="K361" s="7"/>
      <c r="L361" s="7"/>
      <c r="M361" s="7"/>
      <c r="N361" s="7"/>
      <c r="O361" s="20"/>
      <c r="P361" s="20"/>
      <c r="Q361" s="20"/>
      <c r="R361" s="20"/>
      <c r="S361" s="7"/>
      <c r="T361" s="7"/>
      <c r="U361" s="7"/>
      <c r="V361" s="7"/>
      <c r="W361" s="7"/>
      <c r="X361" s="138"/>
      <c r="Y361" s="138"/>
      <c r="Z361" s="139">
        <f t="shared" si="352"/>
        <v>0</v>
      </c>
      <c r="AA361" s="20"/>
      <c r="AB361" s="20"/>
      <c r="AC361" s="20"/>
      <c r="AD361" s="139">
        <f t="shared" si="353"/>
        <v>0</v>
      </c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0"/>
      <c r="AQ361" s="20"/>
      <c r="AR361" s="20"/>
      <c r="AS361" s="20"/>
      <c r="AT361" s="20">
        <f t="shared" si="354"/>
        <v>0</v>
      </c>
      <c r="AU361" s="20">
        <f t="shared" si="355"/>
        <v>0</v>
      </c>
      <c r="AV361" s="5"/>
      <c r="AW361" s="21">
        <f t="shared" si="356"/>
        <v>0</v>
      </c>
      <c r="AX361" s="140">
        <f t="shared" si="342"/>
        <v>0</v>
      </c>
      <c r="AY361" s="140">
        <f t="shared" si="343"/>
        <v>0</v>
      </c>
      <c r="AZ361" s="140">
        <f t="shared" si="344"/>
        <v>0</v>
      </c>
      <c r="BA361" s="140">
        <f t="shared" si="345"/>
        <v>0</v>
      </c>
      <c r="BB361" s="140">
        <f t="shared" si="346"/>
        <v>0</v>
      </c>
      <c r="BC361" s="140">
        <f t="shared" si="347"/>
        <v>0</v>
      </c>
      <c r="BD361" s="140">
        <f t="shared" si="348"/>
        <v>0</v>
      </c>
      <c r="BE361" s="140">
        <f t="shared" si="349"/>
        <v>0</v>
      </c>
      <c r="BF361" s="140">
        <f t="shared" si="350"/>
        <v>0</v>
      </c>
      <c r="BG361" s="140">
        <f t="shared" si="351"/>
        <v>0</v>
      </c>
      <c r="BH361" s="140">
        <f t="shared" si="333"/>
        <v>0</v>
      </c>
      <c r="BI361" s="140">
        <f t="shared" si="334"/>
        <v>0</v>
      </c>
      <c r="BJ361" s="140">
        <f t="shared" si="335"/>
        <v>0</v>
      </c>
      <c r="BK361" s="140">
        <f t="shared" si="336"/>
        <v>0</v>
      </c>
    </row>
    <row r="362" spans="1:63" s="100" customFormat="1" ht="16" hidden="1" customHeight="1">
      <c r="A362" s="137" t="s">
        <v>30</v>
      </c>
      <c r="B362" s="20" t="s">
        <v>926</v>
      </c>
      <c r="C362" s="20" t="s">
        <v>927</v>
      </c>
      <c r="D362" s="20" t="s">
        <v>30</v>
      </c>
      <c r="E362" s="20" t="s">
        <v>928</v>
      </c>
      <c r="F362" s="20" t="s">
        <v>273</v>
      </c>
      <c r="G362" s="20" t="s">
        <v>58</v>
      </c>
      <c r="H362" s="20" t="s">
        <v>38</v>
      </c>
      <c r="I362" s="7"/>
      <c r="J362" s="7"/>
      <c r="K362" s="7"/>
      <c r="L362" s="7"/>
      <c r="M362" s="7"/>
      <c r="N362" s="7"/>
      <c r="O362" s="20"/>
      <c r="P362" s="20"/>
      <c r="Q362" s="20"/>
      <c r="R362" s="20"/>
      <c r="S362" s="7"/>
      <c r="T362" s="7"/>
      <c r="U362" s="7"/>
      <c r="V362" s="7"/>
      <c r="W362" s="7"/>
      <c r="X362" s="138"/>
      <c r="Y362" s="138"/>
      <c r="Z362" s="139">
        <f t="shared" si="352"/>
        <v>0</v>
      </c>
      <c r="AA362" s="20"/>
      <c r="AB362" s="20"/>
      <c r="AC362" s="20"/>
      <c r="AD362" s="139">
        <f t="shared" si="353"/>
        <v>0</v>
      </c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0"/>
      <c r="AQ362" s="20"/>
      <c r="AR362" s="20"/>
      <c r="AS362" s="20"/>
      <c r="AT362" s="20">
        <f t="shared" si="354"/>
        <v>0</v>
      </c>
      <c r="AU362" s="20">
        <f t="shared" si="355"/>
        <v>0</v>
      </c>
      <c r="AV362" s="5"/>
      <c r="AW362" s="21">
        <f t="shared" si="356"/>
        <v>0</v>
      </c>
      <c r="AX362" s="140">
        <f t="shared" si="342"/>
        <v>0</v>
      </c>
      <c r="AY362" s="140">
        <f t="shared" si="343"/>
        <v>0</v>
      </c>
      <c r="AZ362" s="140">
        <f t="shared" si="344"/>
        <v>0</v>
      </c>
      <c r="BA362" s="140">
        <f t="shared" si="345"/>
        <v>0</v>
      </c>
      <c r="BB362" s="140">
        <f t="shared" si="346"/>
        <v>0</v>
      </c>
      <c r="BC362" s="140">
        <f t="shared" si="347"/>
        <v>0</v>
      </c>
      <c r="BD362" s="140">
        <f t="shared" si="348"/>
        <v>0</v>
      </c>
      <c r="BE362" s="140">
        <f t="shared" si="349"/>
        <v>0</v>
      </c>
      <c r="BF362" s="140">
        <f t="shared" si="350"/>
        <v>0</v>
      </c>
      <c r="BG362" s="140">
        <f t="shared" si="351"/>
        <v>0</v>
      </c>
      <c r="BH362" s="140">
        <f t="shared" si="333"/>
        <v>0</v>
      </c>
      <c r="BI362" s="140">
        <f t="shared" si="334"/>
        <v>0</v>
      </c>
      <c r="BJ362" s="140">
        <f t="shared" si="335"/>
        <v>0</v>
      </c>
      <c r="BK362" s="140">
        <f t="shared" si="336"/>
        <v>0</v>
      </c>
    </row>
    <row r="363" spans="1:63" s="100" customFormat="1" ht="16" hidden="1" customHeight="1">
      <c r="A363" s="137" t="s">
        <v>30</v>
      </c>
      <c r="B363" s="20" t="s">
        <v>929</v>
      </c>
      <c r="C363" s="20" t="s">
        <v>930</v>
      </c>
      <c r="D363" s="20" t="s">
        <v>30</v>
      </c>
      <c r="E363" s="20" t="s">
        <v>931</v>
      </c>
      <c r="F363" s="20" t="s">
        <v>273</v>
      </c>
      <c r="G363" s="20" t="s">
        <v>58</v>
      </c>
      <c r="H363" s="20" t="s">
        <v>45</v>
      </c>
      <c r="I363" s="7"/>
      <c r="J363" s="7"/>
      <c r="K363" s="7"/>
      <c r="L363" s="7"/>
      <c r="M363" s="7"/>
      <c r="N363" s="7"/>
      <c r="O363" s="20"/>
      <c r="P363" s="20"/>
      <c r="Q363" s="20"/>
      <c r="R363" s="20"/>
      <c r="S363" s="7"/>
      <c r="T363" s="7"/>
      <c r="U363" s="7"/>
      <c r="V363" s="7"/>
      <c r="W363" s="7"/>
      <c r="X363" s="138"/>
      <c r="Y363" s="138"/>
      <c r="Z363" s="139">
        <f t="shared" si="352"/>
        <v>0</v>
      </c>
      <c r="AA363" s="20"/>
      <c r="AB363" s="20"/>
      <c r="AC363" s="20"/>
      <c r="AD363" s="139">
        <f t="shared" si="353"/>
        <v>0</v>
      </c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0"/>
      <c r="AQ363" s="20"/>
      <c r="AR363" s="20"/>
      <c r="AS363" s="20"/>
      <c r="AT363" s="20">
        <f t="shared" si="354"/>
        <v>0</v>
      </c>
      <c r="AU363" s="20">
        <f t="shared" si="355"/>
        <v>0</v>
      </c>
      <c r="AV363" s="5"/>
      <c r="AW363" s="21">
        <f t="shared" si="356"/>
        <v>0</v>
      </c>
      <c r="AX363" s="140">
        <f t="shared" si="342"/>
        <v>0</v>
      </c>
      <c r="AY363" s="140">
        <f t="shared" si="343"/>
        <v>0</v>
      </c>
      <c r="AZ363" s="140">
        <f t="shared" si="344"/>
        <v>0</v>
      </c>
      <c r="BA363" s="140">
        <f t="shared" si="345"/>
        <v>0</v>
      </c>
      <c r="BB363" s="140">
        <f t="shared" si="346"/>
        <v>0</v>
      </c>
      <c r="BC363" s="140">
        <f t="shared" si="347"/>
        <v>0</v>
      </c>
      <c r="BD363" s="140">
        <f t="shared" si="348"/>
        <v>0</v>
      </c>
      <c r="BE363" s="140">
        <f t="shared" si="349"/>
        <v>0</v>
      </c>
      <c r="BF363" s="140">
        <f t="shared" si="350"/>
        <v>0</v>
      </c>
      <c r="BG363" s="140">
        <f t="shared" si="351"/>
        <v>0</v>
      </c>
      <c r="BH363" s="140">
        <f t="shared" si="333"/>
        <v>0</v>
      </c>
      <c r="BI363" s="140">
        <f t="shared" si="334"/>
        <v>0</v>
      </c>
      <c r="BJ363" s="140">
        <f t="shared" si="335"/>
        <v>0</v>
      </c>
      <c r="BK363" s="140">
        <f t="shared" si="336"/>
        <v>0</v>
      </c>
    </row>
    <row r="364" spans="1:63" s="100" customFormat="1" ht="16" hidden="1" customHeight="1">
      <c r="A364" s="137" t="s">
        <v>30</v>
      </c>
      <c r="B364" s="20" t="s">
        <v>932</v>
      </c>
      <c r="C364" s="20" t="s">
        <v>933</v>
      </c>
      <c r="D364" s="20" t="s">
        <v>30</v>
      </c>
      <c r="E364" s="20"/>
      <c r="F364" s="20" t="s">
        <v>934</v>
      </c>
      <c r="G364" s="20"/>
      <c r="H364" s="20" t="s">
        <v>935</v>
      </c>
      <c r="I364" s="7"/>
      <c r="J364" s="7"/>
      <c r="K364" s="7"/>
      <c r="L364" s="7"/>
      <c r="M364" s="7"/>
      <c r="N364" s="7"/>
      <c r="O364" s="20"/>
      <c r="P364" s="20"/>
      <c r="Q364" s="20"/>
      <c r="R364" s="20"/>
      <c r="S364" s="7"/>
      <c r="T364" s="7"/>
      <c r="U364" s="7"/>
      <c r="V364" s="7"/>
      <c r="W364" s="7"/>
      <c r="X364" s="138"/>
      <c r="Y364" s="138"/>
      <c r="Z364" s="139">
        <f t="shared" ref="Z364:Z374" si="357">X364-Y364+AC364</f>
        <v>0</v>
      </c>
      <c r="AA364" s="20"/>
      <c r="AB364" s="20"/>
      <c r="AC364" s="20"/>
      <c r="AD364" s="139">
        <f t="shared" si="353"/>
        <v>0</v>
      </c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0"/>
      <c r="AQ364" s="20"/>
      <c r="AR364" s="20"/>
      <c r="AS364" s="20"/>
      <c r="AT364" s="20">
        <f t="shared" si="354"/>
        <v>0</v>
      </c>
      <c r="AU364" s="20">
        <f t="shared" si="355"/>
        <v>0</v>
      </c>
      <c r="AV364" s="5"/>
      <c r="AW364" s="21">
        <f t="shared" si="356"/>
        <v>0</v>
      </c>
      <c r="AX364" s="140">
        <f t="shared" si="342"/>
        <v>0</v>
      </c>
      <c r="AY364" s="140">
        <f t="shared" si="343"/>
        <v>0</v>
      </c>
      <c r="AZ364" s="140">
        <f t="shared" si="344"/>
        <v>0</v>
      </c>
      <c r="BA364" s="140">
        <f t="shared" si="345"/>
        <v>0</v>
      </c>
      <c r="BB364" s="140">
        <f t="shared" si="346"/>
        <v>0</v>
      </c>
      <c r="BC364" s="140">
        <f t="shared" si="347"/>
        <v>0</v>
      </c>
      <c r="BD364" s="140">
        <f t="shared" si="348"/>
        <v>0</v>
      </c>
      <c r="BE364" s="140">
        <f t="shared" si="349"/>
        <v>0</v>
      </c>
      <c r="BF364" s="140">
        <f t="shared" si="350"/>
        <v>0</v>
      </c>
      <c r="BG364" s="140">
        <f t="shared" si="351"/>
        <v>0</v>
      </c>
      <c r="BH364" s="140">
        <f t="shared" si="333"/>
        <v>0</v>
      </c>
      <c r="BI364" s="140">
        <f t="shared" si="334"/>
        <v>0</v>
      </c>
      <c r="BJ364" s="140">
        <f t="shared" si="335"/>
        <v>0</v>
      </c>
      <c r="BK364" s="140">
        <f t="shared" si="336"/>
        <v>0</v>
      </c>
    </row>
    <row r="365" spans="1:63" s="100" customFormat="1" ht="16" hidden="1" customHeight="1">
      <c r="A365" s="137" t="s">
        <v>30</v>
      </c>
      <c r="B365" s="20" t="s">
        <v>936</v>
      </c>
      <c r="C365" s="20" t="s">
        <v>937</v>
      </c>
      <c r="D365" s="20" t="s">
        <v>30</v>
      </c>
      <c r="E365" s="20"/>
      <c r="F365" s="20" t="s">
        <v>934</v>
      </c>
      <c r="G365" s="20"/>
      <c r="H365" s="20" t="s">
        <v>935</v>
      </c>
      <c r="I365" s="7"/>
      <c r="J365" s="7"/>
      <c r="K365" s="7"/>
      <c r="L365" s="7"/>
      <c r="M365" s="7"/>
      <c r="N365" s="7"/>
      <c r="O365" s="20"/>
      <c r="P365" s="20"/>
      <c r="Q365" s="20"/>
      <c r="R365" s="20"/>
      <c r="S365" s="7"/>
      <c r="T365" s="7"/>
      <c r="U365" s="7"/>
      <c r="V365" s="7"/>
      <c r="W365" s="7"/>
      <c r="X365" s="138"/>
      <c r="Y365" s="138"/>
      <c r="Z365" s="139">
        <f t="shared" si="357"/>
        <v>0</v>
      </c>
      <c r="AA365" s="20"/>
      <c r="AB365" s="20"/>
      <c r="AC365" s="20"/>
      <c r="AD365" s="139">
        <f t="shared" si="353"/>
        <v>0</v>
      </c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0"/>
      <c r="AQ365" s="20"/>
      <c r="AR365" s="20"/>
      <c r="AS365" s="20"/>
      <c r="AT365" s="20">
        <f t="shared" si="354"/>
        <v>0</v>
      </c>
      <c r="AU365" s="20">
        <f t="shared" si="355"/>
        <v>0</v>
      </c>
      <c r="AV365" s="5"/>
      <c r="AW365" s="21">
        <f t="shared" si="356"/>
        <v>0</v>
      </c>
      <c r="AX365" s="140">
        <f t="shared" si="342"/>
        <v>0</v>
      </c>
      <c r="AY365" s="140">
        <f t="shared" si="343"/>
        <v>0</v>
      </c>
      <c r="AZ365" s="140">
        <f t="shared" si="344"/>
        <v>0</v>
      </c>
      <c r="BA365" s="140">
        <f t="shared" si="345"/>
        <v>0</v>
      </c>
      <c r="BB365" s="140">
        <f t="shared" si="346"/>
        <v>0</v>
      </c>
      <c r="BC365" s="140">
        <f t="shared" si="347"/>
        <v>0</v>
      </c>
      <c r="BD365" s="140">
        <f t="shared" si="348"/>
        <v>0</v>
      </c>
      <c r="BE365" s="140">
        <f t="shared" si="349"/>
        <v>0</v>
      </c>
      <c r="BF365" s="140">
        <f t="shared" si="350"/>
        <v>0</v>
      </c>
      <c r="BG365" s="140">
        <f t="shared" si="351"/>
        <v>0</v>
      </c>
      <c r="BH365" s="140">
        <f t="shared" si="333"/>
        <v>0</v>
      </c>
      <c r="BI365" s="140">
        <f t="shared" si="334"/>
        <v>0</v>
      </c>
      <c r="BJ365" s="140">
        <f t="shared" si="335"/>
        <v>0</v>
      </c>
      <c r="BK365" s="140">
        <f t="shared" si="336"/>
        <v>0</v>
      </c>
    </row>
    <row r="366" spans="1:63" s="100" customFormat="1" ht="16" hidden="1" customHeight="1">
      <c r="A366" s="20" t="s">
        <v>30</v>
      </c>
      <c r="B366" s="20" t="s">
        <v>938</v>
      </c>
      <c r="C366" s="20" t="s">
        <v>939</v>
      </c>
      <c r="D366" s="20" t="s">
        <v>30</v>
      </c>
      <c r="E366" s="20"/>
      <c r="F366" s="20" t="s">
        <v>934</v>
      </c>
      <c r="G366" s="20"/>
      <c r="H366" s="20" t="s">
        <v>940</v>
      </c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138"/>
      <c r="Y366" s="138"/>
      <c r="Z366" s="20">
        <f t="shared" si="357"/>
        <v>0</v>
      </c>
      <c r="AA366" s="20"/>
      <c r="AB366" s="20"/>
      <c r="AC366" s="20"/>
      <c r="AD366" s="20">
        <f t="shared" si="353"/>
        <v>0</v>
      </c>
      <c r="AE366" s="20"/>
      <c r="AF366" s="20"/>
      <c r="AG366" s="20"/>
      <c r="AH366" s="20"/>
      <c r="AI366" s="21"/>
      <c r="AJ366" s="21"/>
      <c r="AK366" s="21"/>
      <c r="AL366" s="21"/>
      <c r="AM366" s="21"/>
      <c r="AN366" s="21"/>
      <c r="AO366" s="21"/>
      <c r="AP366" s="20"/>
      <c r="AQ366" s="20"/>
      <c r="AR366" s="20"/>
      <c r="AS366" s="20"/>
      <c r="AT366" s="20">
        <f t="shared" si="354"/>
        <v>0</v>
      </c>
      <c r="AU366" s="20">
        <f t="shared" si="355"/>
        <v>0</v>
      </c>
      <c r="AV366" s="5"/>
      <c r="AW366" s="21">
        <f t="shared" si="356"/>
        <v>0</v>
      </c>
      <c r="AX366" s="140">
        <f t="shared" si="342"/>
        <v>0</v>
      </c>
      <c r="AY366" s="140">
        <f t="shared" si="343"/>
        <v>0</v>
      </c>
      <c r="AZ366" s="140">
        <f t="shared" si="344"/>
        <v>0</v>
      </c>
      <c r="BA366" s="140">
        <f t="shared" si="345"/>
        <v>0</v>
      </c>
      <c r="BB366" s="140">
        <f t="shared" si="346"/>
        <v>0</v>
      </c>
      <c r="BC366" s="140">
        <f t="shared" si="347"/>
        <v>0</v>
      </c>
      <c r="BD366" s="140">
        <f t="shared" si="348"/>
        <v>0</v>
      </c>
      <c r="BE366" s="140">
        <f t="shared" si="349"/>
        <v>0</v>
      </c>
      <c r="BF366" s="140">
        <f t="shared" si="350"/>
        <v>0</v>
      </c>
      <c r="BG366" s="140">
        <f t="shared" si="351"/>
        <v>0</v>
      </c>
      <c r="BH366" s="140">
        <f t="shared" si="333"/>
        <v>0</v>
      </c>
      <c r="BI366" s="140">
        <f t="shared" si="334"/>
        <v>0</v>
      </c>
      <c r="BJ366" s="140">
        <f t="shared" si="335"/>
        <v>0</v>
      </c>
      <c r="BK366" s="140">
        <f t="shared" si="336"/>
        <v>0</v>
      </c>
    </row>
    <row r="367" spans="1:63" s="100" customFormat="1" ht="16" hidden="1" customHeight="1">
      <c r="A367" s="20" t="s">
        <v>30</v>
      </c>
      <c r="B367" s="20" t="s">
        <v>941</v>
      </c>
      <c r="C367" s="20" t="s">
        <v>942</v>
      </c>
      <c r="D367" s="20" t="s">
        <v>30</v>
      </c>
      <c r="E367" s="20"/>
      <c r="F367" s="20" t="s">
        <v>934</v>
      </c>
      <c r="G367" s="20"/>
      <c r="H367" s="20" t="s">
        <v>943</v>
      </c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138"/>
      <c r="Y367" s="138"/>
      <c r="Z367" s="20">
        <f t="shared" si="357"/>
        <v>0</v>
      </c>
      <c r="AA367" s="20"/>
      <c r="AB367" s="20"/>
      <c r="AC367" s="20"/>
      <c r="AD367" s="20">
        <f t="shared" si="353"/>
        <v>0</v>
      </c>
      <c r="AE367" s="20"/>
      <c r="AF367" s="20"/>
      <c r="AG367" s="20"/>
      <c r="AH367" s="20"/>
      <c r="AI367" s="21"/>
      <c r="AJ367" s="21"/>
      <c r="AK367" s="21"/>
      <c r="AL367" s="21"/>
      <c r="AM367" s="21"/>
      <c r="AN367" s="21"/>
      <c r="AO367" s="21"/>
      <c r="AP367" s="20"/>
      <c r="AQ367" s="20"/>
      <c r="AR367" s="20"/>
      <c r="AS367" s="20"/>
      <c r="AT367" s="20">
        <f t="shared" si="354"/>
        <v>0</v>
      </c>
      <c r="AU367" s="20">
        <f t="shared" si="355"/>
        <v>0</v>
      </c>
      <c r="AV367" s="5"/>
      <c r="AW367" s="21">
        <f t="shared" si="356"/>
        <v>0</v>
      </c>
      <c r="AX367" s="140">
        <f t="shared" si="342"/>
        <v>0</v>
      </c>
      <c r="AY367" s="140">
        <f t="shared" si="343"/>
        <v>0</v>
      </c>
      <c r="AZ367" s="140">
        <f t="shared" si="344"/>
        <v>0</v>
      </c>
      <c r="BA367" s="140">
        <f t="shared" si="345"/>
        <v>0</v>
      </c>
      <c r="BB367" s="140">
        <f t="shared" si="346"/>
        <v>0</v>
      </c>
      <c r="BC367" s="140">
        <f t="shared" si="347"/>
        <v>0</v>
      </c>
      <c r="BD367" s="140">
        <f t="shared" si="348"/>
        <v>0</v>
      </c>
      <c r="BE367" s="140">
        <f t="shared" si="349"/>
        <v>0</v>
      </c>
      <c r="BF367" s="140">
        <f t="shared" si="350"/>
        <v>0</v>
      </c>
      <c r="BG367" s="140">
        <f t="shared" si="351"/>
        <v>0</v>
      </c>
      <c r="BH367" s="140">
        <f t="shared" si="333"/>
        <v>0</v>
      </c>
      <c r="BI367" s="140">
        <f t="shared" si="334"/>
        <v>0</v>
      </c>
      <c r="BJ367" s="140">
        <f t="shared" si="335"/>
        <v>0</v>
      </c>
      <c r="BK367" s="140">
        <f t="shared" si="336"/>
        <v>0</v>
      </c>
    </row>
    <row r="368" spans="1:63" s="100" customFormat="1" ht="16" customHeight="1">
      <c r="A368" s="20" t="s">
        <v>30</v>
      </c>
      <c r="B368" s="20" t="s">
        <v>944</v>
      </c>
      <c r="C368" s="20" t="s">
        <v>945</v>
      </c>
      <c r="D368" s="20" t="s">
        <v>30</v>
      </c>
      <c r="E368" s="20"/>
      <c r="F368" s="20" t="s">
        <v>934</v>
      </c>
      <c r="G368" s="20"/>
      <c r="H368" s="20" t="s">
        <v>946</v>
      </c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138"/>
      <c r="Y368" s="138"/>
      <c r="Z368" s="20">
        <f t="shared" si="357"/>
        <v>0</v>
      </c>
      <c r="AA368" s="20"/>
      <c r="AB368" s="20">
        <v>25</v>
      </c>
      <c r="AC368" s="20"/>
      <c r="AD368" s="21">
        <f t="shared" si="353"/>
        <v>25</v>
      </c>
      <c r="AE368" s="20"/>
      <c r="AF368" s="20"/>
      <c r="AG368" s="20"/>
      <c r="AH368" s="20"/>
      <c r="AI368" s="21">
        <v>25</v>
      </c>
      <c r="AJ368" s="21"/>
      <c r="AK368" s="21"/>
      <c r="AL368" s="21"/>
      <c r="AM368" s="21"/>
      <c r="AN368" s="21"/>
      <c r="AO368" s="21"/>
      <c r="AP368" s="20"/>
      <c r="AQ368" s="20"/>
      <c r="AR368" s="20"/>
      <c r="AS368" s="20"/>
      <c r="AT368" s="20">
        <f t="shared" si="354"/>
        <v>25</v>
      </c>
      <c r="AU368" s="20">
        <f t="shared" si="355"/>
        <v>0</v>
      </c>
      <c r="AV368" s="5"/>
      <c r="AW368" s="21">
        <f t="shared" si="356"/>
        <v>0</v>
      </c>
      <c r="AX368" s="140">
        <f t="shared" si="342"/>
        <v>0</v>
      </c>
      <c r="AY368" s="140">
        <f t="shared" si="343"/>
        <v>0</v>
      </c>
      <c r="AZ368" s="140">
        <f t="shared" si="344"/>
        <v>0</v>
      </c>
      <c r="BA368" s="140">
        <f t="shared" si="345"/>
        <v>25</v>
      </c>
      <c r="BB368" s="140">
        <f t="shared" si="346"/>
        <v>25</v>
      </c>
      <c r="BC368" s="140">
        <f t="shared" si="347"/>
        <v>25</v>
      </c>
      <c r="BD368" s="140">
        <f t="shared" si="348"/>
        <v>25</v>
      </c>
      <c r="BE368" s="140">
        <f t="shared" si="349"/>
        <v>25</v>
      </c>
      <c r="BF368" s="140">
        <f t="shared" si="350"/>
        <v>25</v>
      </c>
      <c r="BG368" s="140">
        <f t="shared" si="351"/>
        <v>25</v>
      </c>
      <c r="BH368" s="140">
        <f t="shared" si="333"/>
        <v>0</v>
      </c>
      <c r="BI368" s="140">
        <f t="shared" si="334"/>
        <v>0</v>
      </c>
      <c r="BJ368" s="140">
        <f t="shared" si="335"/>
        <v>0</v>
      </c>
      <c r="BK368" s="140">
        <f t="shared" si="336"/>
        <v>0</v>
      </c>
    </row>
    <row r="369" spans="1:63" s="100" customFormat="1" ht="16" customHeight="1">
      <c r="A369" s="20" t="s">
        <v>30</v>
      </c>
      <c r="B369" s="20" t="s">
        <v>947</v>
      </c>
      <c r="C369" s="20" t="s">
        <v>948</v>
      </c>
      <c r="D369" s="20" t="s">
        <v>30</v>
      </c>
      <c r="E369" s="20"/>
      <c r="F369" s="20" t="s">
        <v>934</v>
      </c>
      <c r="G369" s="20"/>
      <c r="H369" s="20" t="s">
        <v>946</v>
      </c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138"/>
      <c r="Y369" s="138"/>
      <c r="Z369" s="20">
        <f t="shared" si="357"/>
        <v>0</v>
      </c>
      <c r="AA369" s="20"/>
      <c r="AB369" s="20">
        <v>87</v>
      </c>
      <c r="AC369" s="20"/>
      <c r="AD369" s="21">
        <f t="shared" si="353"/>
        <v>87</v>
      </c>
      <c r="AE369" s="20"/>
      <c r="AF369" s="20"/>
      <c r="AG369" s="20"/>
      <c r="AH369" s="20"/>
      <c r="AI369" s="21">
        <v>87</v>
      </c>
      <c r="AJ369" s="21"/>
      <c r="AK369" s="21"/>
      <c r="AL369" s="21"/>
      <c r="AM369" s="21"/>
      <c r="AN369" s="21"/>
      <c r="AO369" s="21"/>
      <c r="AP369" s="20"/>
      <c r="AQ369" s="20"/>
      <c r="AR369" s="20"/>
      <c r="AS369" s="20"/>
      <c r="AT369" s="20">
        <f t="shared" si="354"/>
        <v>87</v>
      </c>
      <c r="AU369" s="20">
        <f t="shared" si="355"/>
        <v>0</v>
      </c>
      <c r="AV369" s="5"/>
      <c r="AW369" s="21">
        <f t="shared" si="356"/>
        <v>0</v>
      </c>
      <c r="AX369" s="140">
        <f t="shared" si="342"/>
        <v>0</v>
      </c>
      <c r="AY369" s="140">
        <f t="shared" si="343"/>
        <v>0</v>
      </c>
      <c r="AZ369" s="140">
        <f t="shared" si="344"/>
        <v>0</v>
      </c>
      <c r="BA369" s="140">
        <f t="shared" si="345"/>
        <v>87</v>
      </c>
      <c r="BB369" s="140">
        <f t="shared" si="346"/>
        <v>87</v>
      </c>
      <c r="BC369" s="140">
        <f t="shared" si="347"/>
        <v>87</v>
      </c>
      <c r="BD369" s="140">
        <f t="shared" si="348"/>
        <v>87</v>
      </c>
      <c r="BE369" s="140">
        <f t="shared" si="349"/>
        <v>87</v>
      </c>
      <c r="BF369" s="140">
        <f t="shared" si="350"/>
        <v>87</v>
      </c>
      <c r="BG369" s="140">
        <f t="shared" si="351"/>
        <v>87</v>
      </c>
      <c r="BH369" s="140">
        <f t="shared" si="333"/>
        <v>0</v>
      </c>
      <c r="BI369" s="140">
        <f t="shared" si="334"/>
        <v>0</v>
      </c>
      <c r="BJ369" s="140">
        <f t="shared" si="335"/>
        <v>0</v>
      </c>
      <c r="BK369" s="140">
        <f t="shared" si="336"/>
        <v>0</v>
      </c>
    </row>
    <row r="370" spans="1:63" s="100" customFormat="1" ht="16" customHeight="1">
      <c r="A370" s="20" t="s">
        <v>30</v>
      </c>
      <c r="B370" s="20" t="s">
        <v>949</v>
      </c>
      <c r="C370" s="20" t="s">
        <v>950</v>
      </c>
      <c r="D370" s="20" t="s">
        <v>30</v>
      </c>
      <c r="E370" s="20"/>
      <c r="F370" s="20" t="s">
        <v>934</v>
      </c>
      <c r="G370" s="20"/>
      <c r="H370" s="20" t="s">
        <v>951</v>
      </c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138"/>
      <c r="Y370" s="138"/>
      <c r="Z370" s="20">
        <f t="shared" si="357"/>
        <v>0</v>
      </c>
      <c r="AA370" s="20"/>
      <c r="AB370" s="20">
        <v>86</v>
      </c>
      <c r="AC370" s="20"/>
      <c r="AD370" s="21">
        <f t="shared" si="353"/>
        <v>86</v>
      </c>
      <c r="AE370" s="20"/>
      <c r="AF370" s="20"/>
      <c r="AG370" s="20"/>
      <c r="AH370" s="20"/>
      <c r="AI370" s="21">
        <v>86</v>
      </c>
      <c r="AJ370" s="21"/>
      <c r="AK370" s="21"/>
      <c r="AL370" s="21"/>
      <c r="AM370" s="21"/>
      <c r="AN370" s="21"/>
      <c r="AO370" s="21"/>
      <c r="AP370" s="20"/>
      <c r="AQ370" s="20"/>
      <c r="AR370" s="20"/>
      <c r="AS370" s="20"/>
      <c r="AT370" s="20">
        <f t="shared" si="354"/>
        <v>86</v>
      </c>
      <c r="AU370" s="20">
        <f t="shared" si="355"/>
        <v>0</v>
      </c>
      <c r="AV370" s="5"/>
      <c r="AW370" s="21">
        <f t="shared" si="356"/>
        <v>0</v>
      </c>
      <c r="AX370" s="140">
        <f t="shared" si="342"/>
        <v>0</v>
      </c>
      <c r="AY370" s="140">
        <f t="shared" si="343"/>
        <v>0</v>
      </c>
      <c r="AZ370" s="140">
        <f t="shared" si="344"/>
        <v>0</v>
      </c>
      <c r="BA370" s="140">
        <f t="shared" si="345"/>
        <v>86</v>
      </c>
      <c r="BB370" s="140">
        <f t="shared" si="346"/>
        <v>86</v>
      </c>
      <c r="BC370" s="140">
        <f t="shared" si="347"/>
        <v>86</v>
      </c>
      <c r="BD370" s="140">
        <f t="shared" si="348"/>
        <v>86</v>
      </c>
      <c r="BE370" s="140">
        <f t="shared" si="349"/>
        <v>86</v>
      </c>
      <c r="BF370" s="140">
        <f t="shared" si="350"/>
        <v>86</v>
      </c>
      <c r="BG370" s="140">
        <f t="shared" si="351"/>
        <v>86</v>
      </c>
      <c r="BH370" s="140">
        <f t="shared" si="333"/>
        <v>0</v>
      </c>
      <c r="BI370" s="140">
        <f t="shared" si="334"/>
        <v>0</v>
      </c>
      <c r="BJ370" s="140">
        <f t="shared" si="335"/>
        <v>0</v>
      </c>
      <c r="BK370" s="140">
        <f t="shared" si="336"/>
        <v>0</v>
      </c>
    </row>
    <row r="371" spans="1:63" s="100" customFormat="1" ht="16" customHeight="1">
      <c r="A371" s="20" t="s">
        <v>30</v>
      </c>
      <c r="B371" s="20" t="s">
        <v>952</v>
      </c>
      <c r="C371" s="20" t="s">
        <v>953</v>
      </c>
      <c r="D371" s="20" t="s">
        <v>30</v>
      </c>
      <c r="E371" s="20"/>
      <c r="F371" s="20" t="s">
        <v>934</v>
      </c>
      <c r="G371" s="20"/>
      <c r="H371" s="20" t="s">
        <v>951</v>
      </c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138"/>
      <c r="Y371" s="138"/>
      <c r="Z371" s="20">
        <f t="shared" si="357"/>
        <v>0</v>
      </c>
      <c r="AA371" s="20"/>
      <c r="AB371" s="20">
        <v>26</v>
      </c>
      <c r="AC371" s="20"/>
      <c r="AD371" s="21">
        <f t="shared" si="353"/>
        <v>26</v>
      </c>
      <c r="AE371" s="20"/>
      <c r="AF371" s="20"/>
      <c r="AG371" s="20"/>
      <c r="AH371" s="20"/>
      <c r="AI371" s="21">
        <v>26</v>
      </c>
      <c r="AJ371" s="21"/>
      <c r="AK371" s="21"/>
      <c r="AL371" s="21"/>
      <c r="AM371" s="21"/>
      <c r="AN371" s="21"/>
      <c r="AO371" s="21"/>
      <c r="AP371" s="20"/>
      <c r="AQ371" s="20"/>
      <c r="AR371" s="20"/>
      <c r="AS371" s="20"/>
      <c r="AT371" s="20">
        <f t="shared" si="354"/>
        <v>26</v>
      </c>
      <c r="AU371" s="20">
        <f t="shared" si="355"/>
        <v>0</v>
      </c>
      <c r="AV371" s="5"/>
      <c r="AW371" s="21">
        <f t="shared" si="356"/>
        <v>0</v>
      </c>
      <c r="AX371" s="140">
        <f t="shared" si="342"/>
        <v>0</v>
      </c>
      <c r="AY371" s="140">
        <f t="shared" si="343"/>
        <v>0</v>
      </c>
      <c r="AZ371" s="140">
        <f t="shared" si="344"/>
        <v>0</v>
      </c>
      <c r="BA371" s="140">
        <f t="shared" si="345"/>
        <v>26</v>
      </c>
      <c r="BB371" s="140">
        <f t="shared" si="346"/>
        <v>26</v>
      </c>
      <c r="BC371" s="140">
        <f t="shared" si="347"/>
        <v>26</v>
      </c>
      <c r="BD371" s="140">
        <f t="shared" si="348"/>
        <v>26</v>
      </c>
      <c r="BE371" s="140">
        <f t="shared" si="349"/>
        <v>26</v>
      </c>
      <c r="BF371" s="140">
        <f t="shared" si="350"/>
        <v>26</v>
      </c>
      <c r="BG371" s="140">
        <f t="shared" si="351"/>
        <v>26</v>
      </c>
      <c r="BH371" s="140">
        <f t="shared" si="333"/>
        <v>0</v>
      </c>
      <c r="BI371" s="140">
        <f t="shared" si="334"/>
        <v>0</v>
      </c>
      <c r="BJ371" s="140">
        <f t="shared" si="335"/>
        <v>0</v>
      </c>
      <c r="BK371" s="140">
        <f t="shared" si="336"/>
        <v>0</v>
      </c>
    </row>
    <row r="372" spans="1:63" s="100" customFormat="1" ht="16" customHeight="1">
      <c r="A372" s="20" t="s">
        <v>30</v>
      </c>
      <c r="B372" s="20" t="s">
        <v>954</v>
      </c>
      <c r="C372" s="20" t="s">
        <v>955</v>
      </c>
      <c r="D372" s="20" t="s">
        <v>30</v>
      </c>
      <c r="E372" s="20" t="s">
        <v>955</v>
      </c>
      <c r="F372" s="20" t="s">
        <v>266</v>
      </c>
      <c r="G372" s="20" t="s">
        <v>956</v>
      </c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138"/>
      <c r="Y372" s="138"/>
      <c r="Z372" s="20">
        <f t="shared" si="357"/>
        <v>0</v>
      </c>
      <c r="AA372" s="20"/>
      <c r="AB372" s="20">
        <v>182</v>
      </c>
      <c r="AC372" s="20"/>
      <c r="AD372" s="20">
        <f t="shared" si="353"/>
        <v>182</v>
      </c>
      <c r="AE372" s="20"/>
      <c r="AF372" s="20"/>
      <c r="AG372" s="20">
        <v>182</v>
      </c>
      <c r="AH372" s="20"/>
      <c r="AI372" s="21"/>
      <c r="AJ372" s="21"/>
      <c r="AK372" s="21"/>
      <c r="AL372" s="21"/>
      <c r="AM372" s="21"/>
      <c r="AN372" s="21"/>
      <c r="AO372" s="21"/>
      <c r="AP372" s="20"/>
      <c r="AQ372" s="20"/>
      <c r="AR372" s="20"/>
      <c r="AS372" s="20"/>
      <c r="AT372" s="20">
        <f t="shared" si="354"/>
        <v>182</v>
      </c>
      <c r="AU372" s="20">
        <f t="shared" si="355"/>
        <v>0</v>
      </c>
      <c r="AV372" s="5" t="s">
        <v>957</v>
      </c>
      <c r="AW372" s="21">
        <f t="shared" si="356"/>
        <v>0</v>
      </c>
      <c r="AX372" s="140">
        <f t="shared" si="342"/>
        <v>0</v>
      </c>
      <c r="AY372" s="140">
        <f t="shared" si="343"/>
        <v>182</v>
      </c>
      <c r="AZ372" s="140">
        <f t="shared" si="344"/>
        <v>182</v>
      </c>
      <c r="BA372" s="140">
        <f t="shared" si="345"/>
        <v>182</v>
      </c>
      <c r="BB372" s="140">
        <f t="shared" si="346"/>
        <v>182</v>
      </c>
      <c r="BC372" s="140">
        <f t="shared" si="347"/>
        <v>182</v>
      </c>
      <c r="BD372" s="140">
        <f t="shared" si="348"/>
        <v>182</v>
      </c>
      <c r="BE372" s="140">
        <f t="shared" si="349"/>
        <v>182</v>
      </c>
      <c r="BF372" s="140">
        <f t="shared" si="350"/>
        <v>182</v>
      </c>
      <c r="BG372" s="140">
        <f t="shared" si="351"/>
        <v>182</v>
      </c>
      <c r="BH372" s="140">
        <f t="shared" si="333"/>
        <v>0</v>
      </c>
      <c r="BI372" s="140">
        <f t="shared" si="334"/>
        <v>0</v>
      </c>
      <c r="BJ372" s="140">
        <f t="shared" si="335"/>
        <v>0</v>
      </c>
      <c r="BK372" s="140">
        <f t="shared" si="336"/>
        <v>0</v>
      </c>
    </row>
    <row r="373" spans="1:63" s="100" customFormat="1" ht="16" customHeight="1">
      <c r="A373" s="137" t="s">
        <v>30</v>
      </c>
      <c r="B373" s="20" t="s">
        <v>630</v>
      </c>
      <c r="C373" s="20" t="s">
        <v>631</v>
      </c>
      <c r="D373" s="20" t="s">
        <v>30</v>
      </c>
      <c r="E373" s="20"/>
      <c r="F373" s="20"/>
      <c r="G373" s="20"/>
      <c r="H373" s="20" t="s">
        <v>958</v>
      </c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138"/>
      <c r="Y373" s="138"/>
      <c r="Z373" s="139">
        <f t="shared" si="357"/>
        <v>195</v>
      </c>
      <c r="AA373" s="20"/>
      <c r="AB373" s="20">
        <v>5</v>
      </c>
      <c r="AC373" s="20">
        <v>195</v>
      </c>
      <c r="AD373" s="139">
        <f t="shared" si="353"/>
        <v>200</v>
      </c>
      <c r="AE373" s="21"/>
      <c r="AF373" s="21">
        <v>200</v>
      </c>
      <c r="AG373" s="21"/>
      <c r="AH373" s="21"/>
      <c r="AI373" s="21"/>
      <c r="AJ373" s="21"/>
      <c r="AK373" s="21"/>
      <c r="AL373" s="21"/>
      <c r="AM373" s="21"/>
      <c r="AN373" s="21"/>
      <c r="AO373" s="21"/>
      <c r="AP373" s="20"/>
      <c r="AQ373" s="20"/>
      <c r="AR373" s="20"/>
      <c r="AS373" s="20"/>
      <c r="AT373" s="20">
        <f t="shared" si="354"/>
        <v>200</v>
      </c>
      <c r="AU373" s="20">
        <f t="shared" si="355"/>
        <v>0</v>
      </c>
      <c r="AV373" s="5"/>
      <c r="AW373" s="21">
        <f t="shared" si="356"/>
        <v>0</v>
      </c>
      <c r="AX373" s="140">
        <f t="shared" si="342"/>
        <v>200</v>
      </c>
      <c r="AY373" s="140">
        <f t="shared" si="343"/>
        <v>200</v>
      </c>
      <c r="AZ373" s="140">
        <f t="shared" si="344"/>
        <v>200</v>
      </c>
      <c r="BA373" s="140">
        <f t="shared" si="345"/>
        <v>200</v>
      </c>
      <c r="BB373" s="140">
        <f t="shared" si="346"/>
        <v>200</v>
      </c>
      <c r="BC373" s="140">
        <f t="shared" si="347"/>
        <v>200</v>
      </c>
      <c r="BD373" s="140">
        <f t="shared" si="348"/>
        <v>200</v>
      </c>
      <c r="BE373" s="140">
        <f t="shared" si="349"/>
        <v>200</v>
      </c>
      <c r="BF373" s="140">
        <f t="shared" si="350"/>
        <v>200</v>
      </c>
      <c r="BG373" s="140">
        <f t="shared" si="351"/>
        <v>200</v>
      </c>
      <c r="BH373" s="140">
        <f t="shared" si="333"/>
        <v>0</v>
      </c>
      <c r="BI373" s="140">
        <f t="shared" si="334"/>
        <v>0</v>
      </c>
      <c r="BJ373" s="140">
        <f t="shared" si="335"/>
        <v>0</v>
      </c>
      <c r="BK373" s="140">
        <f t="shared" si="336"/>
        <v>0</v>
      </c>
    </row>
    <row r="374" spans="1:63" s="100" customFormat="1" ht="16" hidden="1" customHeight="1">
      <c r="A374" s="137" t="s">
        <v>30</v>
      </c>
      <c r="B374" s="20" t="s">
        <v>959</v>
      </c>
      <c r="C374" s="20" t="s">
        <v>761</v>
      </c>
      <c r="D374" s="20" t="s">
        <v>30</v>
      </c>
      <c r="E374" s="20"/>
      <c r="F374" s="20"/>
      <c r="G374" s="20"/>
      <c r="H374" s="20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138"/>
      <c r="Y374" s="138"/>
      <c r="Z374" s="139">
        <f t="shared" si="357"/>
        <v>0</v>
      </c>
      <c r="AA374" s="20"/>
      <c r="AB374" s="20"/>
      <c r="AC374" s="20"/>
      <c r="AD374" s="139">
        <f t="shared" si="353"/>
        <v>0</v>
      </c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0"/>
      <c r="AQ374" s="20"/>
      <c r="AR374" s="20"/>
      <c r="AS374" s="20"/>
      <c r="AT374" s="20">
        <f t="shared" si="354"/>
        <v>0</v>
      </c>
      <c r="AU374" s="20">
        <f t="shared" si="355"/>
        <v>0</v>
      </c>
      <c r="AV374" s="5"/>
      <c r="AW374" s="21">
        <f t="shared" si="356"/>
        <v>0</v>
      </c>
      <c r="AX374" s="140">
        <f t="shared" si="342"/>
        <v>0</v>
      </c>
      <c r="AY374" s="140">
        <f t="shared" si="343"/>
        <v>0</v>
      </c>
      <c r="AZ374" s="140">
        <f t="shared" si="344"/>
        <v>0</v>
      </c>
      <c r="BA374" s="140">
        <f t="shared" si="345"/>
        <v>0</v>
      </c>
      <c r="BB374" s="140">
        <f t="shared" si="346"/>
        <v>0</v>
      </c>
      <c r="BC374" s="140">
        <f t="shared" si="347"/>
        <v>0</v>
      </c>
      <c r="BD374" s="140">
        <f t="shared" si="348"/>
        <v>0</v>
      </c>
      <c r="BE374" s="140">
        <f t="shared" si="349"/>
        <v>0</v>
      </c>
      <c r="BF374" s="140">
        <f t="shared" si="350"/>
        <v>0</v>
      </c>
      <c r="BG374" s="140">
        <f t="shared" si="351"/>
        <v>0</v>
      </c>
      <c r="BH374" s="140">
        <f t="shared" si="333"/>
        <v>0</v>
      </c>
      <c r="BI374" s="140">
        <f t="shared" si="334"/>
        <v>0</v>
      </c>
      <c r="BJ374" s="140">
        <f t="shared" si="335"/>
        <v>0</v>
      </c>
      <c r="BK374" s="140">
        <f t="shared" si="336"/>
        <v>0</v>
      </c>
    </row>
    <row r="375" spans="1:63" s="100" customFormat="1" ht="16" hidden="1" customHeight="1">
      <c r="A375" s="137" t="s">
        <v>30</v>
      </c>
      <c r="B375" s="20" t="s">
        <v>960</v>
      </c>
      <c r="C375" s="20" t="s">
        <v>758</v>
      </c>
      <c r="D375" s="20" t="s">
        <v>30</v>
      </c>
      <c r="E375" s="20"/>
      <c r="F375" s="20"/>
      <c r="G375" s="20"/>
      <c r="H375" s="20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138"/>
      <c r="Y375" s="138"/>
      <c r="Z375" s="139">
        <v>0</v>
      </c>
      <c r="AA375" s="20"/>
      <c r="AB375" s="20"/>
      <c r="AC375" s="20"/>
      <c r="AD375" s="139">
        <f t="shared" si="353"/>
        <v>0</v>
      </c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0"/>
      <c r="AQ375" s="20"/>
      <c r="AR375" s="20"/>
      <c r="AS375" s="20"/>
      <c r="AT375" s="20">
        <f t="shared" si="354"/>
        <v>0</v>
      </c>
      <c r="AU375" s="20">
        <f t="shared" si="355"/>
        <v>0</v>
      </c>
      <c r="AV375" s="5"/>
      <c r="AW375" s="21">
        <f t="shared" si="356"/>
        <v>0</v>
      </c>
      <c r="AX375" s="140">
        <f t="shared" si="342"/>
        <v>0</v>
      </c>
      <c r="AY375" s="140">
        <f t="shared" si="343"/>
        <v>0</v>
      </c>
      <c r="AZ375" s="140">
        <f t="shared" si="344"/>
        <v>0</v>
      </c>
      <c r="BA375" s="140">
        <f t="shared" si="345"/>
        <v>0</v>
      </c>
      <c r="BB375" s="140">
        <f t="shared" si="346"/>
        <v>0</v>
      </c>
      <c r="BC375" s="140">
        <f t="shared" si="347"/>
        <v>0</v>
      </c>
      <c r="BD375" s="140">
        <f t="shared" si="348"/>
        <v>0</v>
      </c>
      <c r="BE375" s="140">
        <f t="shared" si="349"/>
        <v>0</v>
      </c>
      <c r="BF375" s="140">
        <f t="shared" si="350"/>
        <v>0</v>
      </c>
      <c r="BG375" s="140">
        <f t="shared" si="351"/>
        <v>0</v>
      </c>
      <c r="BH375" s="140">
        <f t="shared" si="333"/>
        <v>0</v>
      </c>
      <c r="BI375" s="140">
        <f t="shared" si="334"/>
        <v>0</v>
      </c>
      <c r="BJ375" s="140">
        <f t="shared" si="335"/>
        <v>0</v>
      </c>
      <c r="BK375" s="140">
        <f t="shared" si="336"/>
        <v>0</v>
      </c>
    </row>
    <row r="376" spans="1:63" s="100" customFormat="1" ht="16" hidden="1" customHeight="1">
      <c r="A376" s="137" t="s">
        <v>30</v>
      </c>
      <c r="B376" s="20" t="s">
        <v>961</v>
      </c>
      <c r="C376" s="20" t="s">
        <v>825</v>
      </c>
      <c r="D376" s="20" t="s">
        <v>30</v>
      </c>
      <c r="E376" s="20"/>
      <c r="F376" s="20"/>
      <c r="G376" s="20"/>
      <c r="H376" s="20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138"/>
      <c r="Y376" s="138"/>
      <c r="Z376" s="139">
        <f>X376-Y376+AC376</f>
        <v>0</v>
      </c>
      <c r="AA376" s="20"/>
      <c r="AB376" s="20"/>
      <c r="AC376" s="20"/>
      <c r="AD376" s="139">
        <f t="shared" si="353"/>
        <v>0</v>
      </c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0"/>
      <c r="AQ376" s="20"/>
      <c r="AR376" s="20"/>
      <c r="AS376" s="20"/>
      <c r="AT376" s="20">
        <f t="shared" si="354"/>
        <v>0</v>
      </c>
      <c r="AU376" s="20">
        <f t="shared" si="355"/>
        <v>0</v>
      </c>
      <c r="AV376" s="5"/>
      <c r="AW376" s="21">
        <f t="shared" si="356"/>
        <v>0</v>
      </c>
      <c r="AX376" s="140">
        <f t="shared" si="342"/>
        <v>0</v>
      </c>
      <c r="AY376" s="140">
        <f t="shared" si="343"/>
        <v>0</v>
      </c>
      <c r="AZ376" s="140">
        <f t="shared" si="344"/>
        <v>0</v>
      </c>
      <c r="BA376" s="140">
        <f t="shared" si="345"/>
        <v>0</v>
      </c>
      <c r="BB376" s="140">
        <f t="shared" si="346"/>
        <v>0</v>
      </c>
      <c r="BC376" s="140">
        <f t="shared" si="347"/>
        <v>0</v>
      </c>
      <c r="BD376" s="140">
        <f t="shared" si="348"/>
        <v>0</v>
      </c>
      <c r="BE376" s="140">
        <f t="shared" si="349"/>
        <v>0</v>
      </c>
      <c r="BF376" s="140">
        <f t="shared" si="350"/>
        <v>0</v>
      </c>
      <c r="BG376" s="140">
        <f t="shared" si="351"/>
        <v>0</v>
      </c>
      <c r="BH376" s="140">
        <f t="shared" si="333"/>
        <v>0</v>
      </c>
      <c r="BI376" s="140">
        <f t="shared" si="334"/>
        <v>0</v>
      </c>
      <c r="BJ376" s="140">
        <f t="shared" si="335"/>
        <v>0</v>
      </c>
      <c r="BK376" s="140">
        <f t="shared" si="336"/>
        <v>0</v>
      </c>
    </row>
    <row r="377" spans="1:63" s="100" customFormat="1" ht="16" hidden="1" customHeight="1">
      <c r="A377" s="137" t="s">
        <v>30</v>
      </c>
      <c r="B377" s="20" t="s">
        <v>962</v>
      </c>
      <c r="C377" s="20" t="s">
        <v>963</v>
      </c>
      <c r="D377" s="20" t="s">
        <v>30</v>
      </c>
      <c r="E377" s="20"/>
      <c r="F377" s="20"/>
      <c r="G377" s="20"/>
      <c r="H377" s="20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138"/>
      <c r="Y377" s="138"/>
      <c r="Z377" s="139">
        <v>0</v>
      </c>
      <c r="AA377" s="20"/>
      <c r="AB377" s="20"/>
      <c r="AC377" s="20"/>
      <c r="AD377" s="139">
        <f t="shared" si="353"/>
        <v>0</v>
      </c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0"/>
      <c r="AQ377" s="20"/>
      <c r="AR377" s="20"/>
      <c r="AS377" s="20"/>
      <c r="AT377" s="20">
        <f t="shared" si="354"/>
        <v>0</v>
      </c>
      <c r="AU377" s="20">
        <f t="shared" si="355"/>
        <v>0</v>
      </c>
      <c r="AV377" s="5"/>
      <c r="AW377" s="21">
        <f t="shared" si="356"/>
        <v>0</v>
      </c>
      <c r="AX377" s="140">
        <f t="shared" si="342"/>
        <v>0</v>
      </c>
      <c r="AY377" s="140">
        <f t="shared" si="343"/>
        <v>0</v>
      </c>
      <c r="AZ377" s="140">
        <f t="shared" si="344"/>
        <v>0</v>
      </c>
      <c r="BA377" s="140">
        <f t="shared" si="345"/>
        <v>0</v>
      </c>
      <c r="BB377" s="140">
        <f t="shared" si="346"/>
        <v>0</v>
      </c>
      <c r="BC377" s="140">
        <f t="shared" si="347"/>
        <v>0</v>
      </c>
      <c r="BD377" s="140">
        <f t="shared" si="348"/>
        <v>0</v>
      </c>
      <c r="BE377" s="140">
        <f t="shared" si="349"/>
        <v>0</v>
      </c>
      <c r="BF377" s="140">
        <f t="shared" si="350"/>
        <v>0</v>
      </c>
      <c r="BG377" s="140">
        <f t="shared" si="351"/>
        <v>0</v>
      </c>
      <c r="BH377" s="140">
        <f t="shared" si="333"/>
        <v>0</v>
      </c>
      <c r="BI377" s="140">
        <f t="shared" si="334"/>
        <v>0</v>
      </c>
      <c r="BJ377" s="140">
        <f t="shared" si="335"/>
        <v>0</v>
      </c>
      <c r="BK377" s="140">
        <f t="shared" si="336"/>
        <v>0</v>
      </c>
    </row>
    <row r="378" spans="1:63" s="100" customFormat="1" ht="16" hidden="1" customHeight="1">
      <c r="A378" s="137" t="s">
        <v>30</v>
      </c>
      <c r="B378" s="20" t="s">
        <v>964</v>
      </c>
      <c r="C378" s="20" t="s">
        <v>965</v>
      </c>
      <c r="D378" s="20" t="s">
        <v>30</v>
      </c>
      <c r="E378" s="20"/>
      <c r="F378" s="20"/>
      <c r="G378" s="20"/>
      <c r="H378" s="20" t="s">
        <v>38</v>
      </c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138"/>
      <c r="Y378" s="138"/>
      <c r="Z378" s="139">
        <f t="shared" ref="Z378:Z413" si="358">X378-Y378+AC378</f>
        <v>0</v>
      </c>
      <c r="AA378" s="20"/>
      <c r="AB378" s="20"/>
      <c r="AC378" s="20"/>
      <c r="AD378" s="139">
        <f t="shared" si="353"/>
        <v>0</v>
      </c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0"/>
      <c r="AQ378" s="20"/>
      <c r="AR378" s="20"/>
      <c r="AS378" s="20"/>
      <c r="AT378" s="20">
        <f t="shared" si="354"/>
        <v>0</v>
      </c>
      <c r="AU378" s="20">
        <f t="shared" si="355"/>
        <v>0</v>
      </c>
      <c r="AV378" s="5"/>
      <c r="AW378" s="21">
        <f t="shared" si="356"/>
        <v>0</v>
      </c>
      <c r="AX378" s="140">
        <f t="shared" si="342"/>
        <v>0</v>
      </c>
      <c r="AY378" s="140">
        <f t="shared" si="343"/>
        <v>0</v>
      </c>
      <c r="AZ378" s="140">
        <f t="shared" si="344"/>
        <v>0</v>
      </c>
      <c r="BA378" s="140">
        <f t="shared" si="345"/>
        <v>0</v>
      </c>
      <c r="BB378" s="140">
        <f t="shared" si="346"/>
        <v>0</v>
      </c>
      <c r="BC378" s="140">
        <f t="shared" si="347"/>
        <v>0</v>
      </c>
      <c r="BD378" s="140">
        <f t="shared" si="348"/>
        <v>0</v>
      </c>
      <c r="BE378" s="140">
        <f t="shared" si="349"/>
        <v>0</v>
      </c>
      <c r="BF378" s="140">
        <f t="shared" si="350"/>
        <v>0</v>
      </c>
      <c r="BG378" s="140">
        <f t="shared" si="351"/>
        <v>0</v>
      </c>
      <c r="BH378" s="140">
        <f t="shared" si="333"/>
        <v>0</v>
      </c>
      <c r="BI378" s="140">
        <f t="shared" si="334"/>
        <v>0</v>
      </c>
      <c r="BJ378" s="140">
        <f t="shared" si="335"/>
        <v>0</v>
      </c>
      <c r="BK378" s="140">
        <f t="shared" si="336"/>
        <v>0</v>
      </c>
    </row>
    <row r="379" spans="1:63" s="100" customFormat="1" ht="16" hidden="1" customHeight="1">
      <c r="A379" s="137" t="s">
        <v>30</v>
      </c>
      <c r="B379" s="20" t="s">
        <v>966</v>
      </c>
      <c r="C379" s="20" t="s">
        <v>967</v>
      </c>
      <c r="D379" s="20" t="s">
        <v>30</v>
      </c>
      <c r="E379" s="20"/>
      <c r="F379" s="20"/>
      <c r="G379" s="20"/>
      <c r="H379" s="20" t="s">
        <v>38</v>
      </c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138"/>
      <c r="Y379" s="138"/>
      <c r="Z379" s="139">
        <f t="shared" si="358"/>
        <v>0</v>
      </c>
      <c r="AA379" s="20"/>
      <c r="AB379" s="20"/>
      <c r="AC379" s="20"/>
      <c r="AD379" s="139">
        <f t="shared" si="353"/>
        <v>0</v>
      </c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0"/>
      <c r="AQ379" s="20"/>
      <c r="AR379" s="20"/>
      <c r="AS379" s="20"/>
      <c r="AT379" s="20">
        <f t="shared" si="354"/>
        <v>0</v>
      </c>
      <c r="AU379" s="20">
        <f t="shared" si="355"/>
        <v>0</v>
      </c>
      <c r="AV379" s="5"/>
      <c r="AW379" s="21">
        <f t="shared" si="356"/>
        <v>0</v>
      </c>
      <c r="AX379" s="140">
        <f t="shared" si="342"/>
        <v>0</v>
      </c>
      <c r="AY379" s="140">
        <f t="shared" si="343"/>
        <v>0</v>
      </c>
      <c r="AZ379" s="140">
        <f t="shared" si="344"/>
        <v>0</v>
      </c>
      <c r="BA379" s="140">
        <f t="shared" si="345"/>
        <v>0</v>
      </c>
      <c r="BB379" s="140">
        <f t="shared" si="346"/>
        <v>0</v>
      </c>
      <c r="BC379" s="140">
        <f t="shared" si="347"/>
        <v>0</v>
      </c>
      <c r="BD379" s="140">
        <f t="shared" si="348"/>
        <v>0</v>
      </c>
      <c r="BE379" s="140">
        <f t="shared" si="349"/>
        <v>0</v>
      </c>
      <c r="BF379" s="140">
        <f t="shared" si="350"/>
        <v>0</v>
      </c>
      <c r="BG379" s="140">
        <f t="shared" si="351"/>
        <v>0</v>
      </c>
      <c r="BH379" s="140">
        <f t="shared" si="333"/>
        <v>0</v>
      </c>
      <c r="BI379" s="140">
        <f t="shared" si="334"/>
        <v>0</v>
      </c>
      <c r="BJ379" s="140">
        <f t="shared" si="335"/>
        <v>0</v>
      </c>
      <c r="BK379" s="140">
        <f t="shared" si="336"/>
        <v>0</v>
      </c>
    </row>
    <row r="380" spans="1:63" s="100" customFormat="1" ht="16" hidden="1" customHeight="1">
      <c r="A380" s="137" t="s">
        <v>30</v>
      </c>
      <c r="B380" s="20" t="s">
        <v>968</v>
      </c>
      <c r="C380" s="20" t="s">
        <v>852</v>
      </c>
      <c r="D380" s="20" t="s">
        <v>30</v>
      </c>
      <c r="E380" s="20" t="s">
        <v>852</v>
      </c>
      <c r="F380" s="20" t="s">
        <v>934</v>
      </c>
      <c r="G380" s="20" t="s">
        <v>58</v>
      </c>
      <c r="H380" s="20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138"/>
      <c r="Y380" s="138"/>
      <c r="Z380" s="139">
        <f t="shared" si="358"/>
        <v>0</v>
      </c>
      <c r="AA380" s="20"/>
      <c r="AB380" s="20"/>
      <c r="AC380" s="20"/>
      <c r="AD380" s="139">
        <f t="shared" si="353"/>
        <v>0</v>
      </c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0"/>
      <c r="AQ380" s="20"/>
      <c r="AR380" s="20"/>
      <c r="AS380" s="20"/>
      <c r="AT380" s="20">
        <f t="shared" si="354"/>
        <v>0</v>
      </c>
      <c r="AU380" s="20">
        <f t="shared" si="355"/>
        <v>0</v>
      </c>
      <c r="AV380" s="5"/>
      <c r="AW380" s="21">
        <f t="shared" si="356"/>
        <v>0</v>
      </c>
      <c r="AX380" s="140">
        <f t="shared" si="342"/>
        <v>0</v>
      </c>
      <c r="AY380" s="140">
        <f t="shared" si="343"/>
        <v>0</v>
      </c>
      <c r="AZ380" s="140">
        <f t="shared" si="344"/>
        <v>0</v>
      </c>
      <c r="BA380" s="140">
        <f t="shared" si="345"/>
        <v>0</v>
      </c>
      <c r="BB380" s="140">
        <f t="shared" si="346"/>
        <v>0</v>
      </c>
      <c r="BC380" s="140">
        <f t="shared" si="347"/>
        <v>0</v>
      </c>
      <c r="BD380" s="140">
        <f t="shared" si="348"/>
        <v>0</v>
      </c>
      <c r="BE380" s="140">
        <f t="shared" si="349"/>
        <v>0</v>
      </c>
      <c r="BF380" s="140">
        <f t="shared" si="350"/>
        <v>0</v>
      </c>
      <c r="BG380" s="140">
        <f t="shared" si="351"/>
        <v>0</v>
      </c>
      <c r="BH380" s="140">
        <f t="shared" si="333"/>
        <v>0</v>
      </c>
      <c r="BI380" s="140">
        <f t="shared" si="334"/>
        <v>0</v>
      </c>
      <c r="BJ380" s="140">
        <f t="shared" si="335"/>
        <v>0</v>
      </c>
      <c r="BK380" s="140">
        <f t="shared" si="336"/>
        <v>0</v>
      </c>
    </row>
    <row r="381" spans="1:63" s="100" customFormat="1" ht="16" hidden="1" customHeight="1">
      <c r="A381" s="137" t="s">
        <v>30</v>
      </c>
      <c r="B381" s="20" t="s">
        <v>969</v>
      </c>
      <c r="C381" s="20" t="s">
        <v>733</v>
      </c>
      <c r="D381" s="20" t="s">
        <v>30</v>
      </c>
      <c r="E381" s="20"/>
      <c r="F381" s="20" t="s">
        <v>36</v>
      </c>
      <c r="G381" s="20" t="s">
        <v>37</v>
      </c>
      <c r="H381" s="20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138"/>
      <c r="Y381" s="138"/>
      <c r="Z381" s="139">
        <f t="shared" si="358"/>
        <v>0</v>
      </c>
      <c r="AA381" s="20"/>
      <c r="AB381" s="20"/>
      <c r="AC381" s="20"/>
      <c r="AD381" s="139">
        <f t="shared" si="353"/>
        <v>0</v>
      </c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0"/>
      <c r="AQ381" s="20"/>
      <c r="AR381" s="20"/>
      <c r="AS381" s="20"/>
      <c r="AT381" s="20">
        <f t="shared" si="354"/>
        <v>0</v>
      </c>
      <c r="AU381" s="20">
        <f t="shared" si="355"/>
        <v>0</v>
      </c>
      <c r="AV381" s="5"/>
      <c r="AW381" s="21">
        <f t="shared" si="356"/>
        <v>0</v>
      </c>
      <c r="AX381" s="140">
        <f t="shared" si="342"/>
        <v>0</v>
      </c>
      <c r="AY381" s="140">
        <f t="shared" si="343"/>
        <v>0</v>
      </c>
      <c r="AZ381" s="140">
        <f t="shared" si="344"/>
        <v>0</v>
      </c>
      <c r="BA381" s="140">
        <f t="shared" si="345"/>
        <v>0</v>
      </c>
      <c r="BB381" s="140">
        <f t="shared" si="346"/>
        <v>0</v>
      </c>
      <c r="BC381" s="140">
        <f t="shared" si="347"/>
        <v>0</v>
      </c>
      <c r="BD381" s="140">
        <f t="shared" si="348"/>
        <v>0</v>
      </c>
      <c r="BE381" s="140">
        <f t="shared" si="349"/>
        <v>0</v>
      </c>
      <c r="BF381" s="140">
        <f t="shared" si="350"/>
        <v>0</v>
      </c>
      <c r="BG381" s="140">
        <f t="shared" si="351"/>
        <v>0</v>
      </c>
      <c r="BH381" s="140">
        <f t="shared" si="333"/>
        <v>0</v>
      </c>
      <c r="BI381" s="140">
        <f t="shared" si="334"/>
        <v>0</v>
      </c>
      <c r="BJ381" s="140">
        <f t="shared" si="335"/>
        <v>0</v>
      </c>
      <c r="BK381" s="140">
        <f t="shared" si="336"/>
        <v>0</v>
      </c>
    </row>
    <row r="382" spans="1:63" s="100" customFormat="1" ht="16" hidden="1" customHeight="1">
      <c r="A382" s="137" t="s">
        <v>30</v>
      </c>
      <c r="B382" s="20" t="s">
        <v>970</v>
      </c>
      <c r="C382" s="20" t="s">
        <v>971</v>
      </c>
      <c r="D382" s="20" t="s">
        <v>30</v>
      </c>
      <c r="E382" s="20"/>
      <c r="F382" s="20"/>
      <c r="G382" s="20"/>
      <c r="H382" s="20" t="s">
        <v>38</v>
      </c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138"/>
      <c r="Y382" s="138"/>
      <c r="Z382" s="139">
        <f t="shared" si="358"/>
        <v>0</v>
      </c>
      <c r="AA382" s="20"/>
      <c r="AB382" s="20"/>
      <c r="AC382" s="20"/>
      <c r="AD382" s="139">
        <f t="shared" si="353"/>
        <v>0</v>
      </c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0"/>
      <c r="AQ382" s="20"/>
      <c r="AR382" s="20"/>
      <c r="AS382" s="20"/>
      <c r="AT382" s="20">
        <f t="shared" si="354"/>
        <v>0</v>
      </c>
      <c r="AU382" s="20">
        <f t="shared" si="355"/>
        <v>0</v>
      </c>
      <c r="AV382" s="5"/>
      <c r="AW382" s="21">
        <f t="shared" si="356"/>
        <v>0</v>
      </c>
      <c r="AX382" s="140">
        <f t="shared" si="342"/>
        <v>0</v>
      </c>
      <c r="AY382" s="140">
        <f t="shared" si="343"/>
        <v>0</v>
      </c>
      <c r="AZ382" s="140">
        <f t="shared" si="344"/>
        <v>0</v>
      </c>
      <c r="BA382" s="140">
        <f t="shared" si="345"/>
        <v>0</v>
      </c>
      <c r="BB382" s="140">
        <f t="shared" si="346"/>
        <v>0</v>
      </c>
      <c r="BC382" s="140">
        <f t="shared" si="347"/>
        <v>0</v>
      </c>
      <c r="BD382" s="140">
        <f t="shared" si="348"/>
        <v>0</v>
      </c>
      <c r="BE382" s="140">
        <f t="shared" si="349"/>
        <v>0</v>
      </c>
      <c r="BF382" s="140">
        <f t="shared" si="350"/>
        <v>0</v>
      </c>
      <c r="BG382" s="140">
        <f t="shared" si="351"/>
        <v>0</v>
      </c>
      <c r="BH382" s="140">
        <f t="shared" si="333"/>
        <v>0</v>
      </c>
      <c r="BI382" s="140">
        <f t="shared" si="334"/>
        <v>0</v>
      </c>
      <c r="BJ382" s="140">
        <f t="shared" si="335"/>
        <v>0</v>
      </c>
      <c r="BK382" s="140">
        <f t="shared" si="336"/>
        <v>0</v>
      </c>
    </row>
    <row r="383" spans="1:63" s="100" customFormat="1" ht="16" hidden="1" customHeight="1">
      <c r="A383" s="137" t="s">
        <v>30</v>
      </c>
      <c r="B383" s="20" t="s">
        <v>972</v>
      </c>
      <c r="C383" s="20" t="s">
        <v>884</v>
      </c>
      <c r="D383" s="20" t="s">
        <v>30</v>
      </c>
      <c r="E383" s="20" t="s">
        <v>891</v>
      </c>
      <c r="F383" s="20" t="s">
        <v>273</v>
      </c>
      <c r="G383" s="20" t="s">
        <v>58</v>
      </c>
      <c r="H383" s="20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138"/>
      <c r="Y383" s="138"/>
      <c r="Z383" s="139">
        <f t="shared" si="358"/>
        <v>0</v>
      </c>
      <c r="AA383" s="20"/>
      <c r="AB383" s="20"/>
      <c r="AC383" s="20"/>
      <c r="AD383" s="139">
        <f t="shared" si="353"/>
        <v>0</v>
      </c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0"/>
      <c r="AQ383" s="20"/>
      <c r="AR383" s="20"/>
      <c r="AS383" s="20"/>
      <c r="AT383" s="20">
        <f t="shared" si="354"/>
        <v>0</v>
      </c>
      <c r="AU383" s="20">
        <f t="shared" si="355"/>
        <v>0</v>
      </c>
      <c r="AV383" s="5"/>
      <c r="AW383" s="21">
        <f t="shared" si="356"/>
        <v>0</v>
      </c>
      <c r="AX383" s="140">
        <f t="shared" si="342"/>
        <v>0</v>
      </c>
      <c r="AY383" s="140">
        <f t="shared" si="343"/>
        <v>0</v>
      </c>
      <c r="AZ383" s="140">
        <f t="shared" si="344"/>
        <v>0</v>
      </c>
      <c r="BA383" s="140">
        <f t="shared" si="345"/>
        <v>0</v>
      </c>
      <c r="BB383" s="140">
        <f t="shared" si="346"/>
        <v>0</v>
      </c>
      <c r="BC383" s="140">
        <f t="shared" si="347"/>
        <v>0</v>
      </c>
      <c r="BD383" s="140">
        <f t="shared" si="348"/>
        <v>0</v>
      </c>
      <c r="BE383" s="140">
        <f t="shared" si="349"/>
        <v>0</v>
      </c>
      <c r="BF383" s="140">
        <f t="shared" si="350"/>
        <v>0</v>
      </c>
      <c r="BG383" s="140">
        <f t="shared" si="351"/>
        <v>0</v>
      </c>
      <c r="BH383" s="140">
        <f t="shared" si="333"/>
        <v>0</v>
      </c>
      <c r="BI383" s="140">
        <f t="shared" si="334"/>
        <v>0</v>
      </c>
      <c r="BJ383" s="140">
        <f t="shared" si="335"/>
        <v>0</v>
      </c>
      <c r="BK383" s="140">
        <f t="shared" si="336"/>
        <v>0</v>
      </c>
    </row>
    <row r="384" spans="1:63" s="100" customFormat="1" ht="16" hidden="1" customHeight="1">
      <c r="A384" s="137" t="s">
        <v>30</v>
      </c>
      <c r="B384" s="20" t="s">
        <v>973</v>
      </c>
      <c r="C384" s="20" t="s">
        <v>743</v>
      </c>
      <c r="D384" s="20" t="s">
        <v>30</v>
      </c>
      <c r="E384" s="20" t="s">
        <v>894</v>
      </c>
      <c r="F384" s="20" t="s">
        <v>273</v>
      </c>
      <c r="G384" s="20" t="s">
        <v>37</v>
      </c>
      <c r="H384" s="20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138"/>
      <c r="Y384" s="138"/>
      <c r="Z384" s="139">
        <f t="shared" si="358"/>
        <v>0</v>
      </c>
      <c r="AA384" s="20"/>
      <c r="AB384" s="20"/>
      <c r="AC384" s="20"/>
      <c r="AD384" s="139">
        <f t="shared" si="353"/>
        <v>0</v>
      </c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0"/>
      <c r="AQ384" s="20"/>
      <c r="AR384" s="20"/>
      <c r="AS384" s="20"/>
      <c r="AT384" s="20">
        <f t="shared" si="354"/>
        <v>0</v>
      </c>
      <c r="AU384" s="20">
        <f t="shared" si="355"/>
        <v>0</v>
      </c>
      <c r="AV384" s="5"/>
      <c r="AW384" s="21">
        <f t="shared" si="356"/>
        <v>0</v>
      </c>
      <c r="AX384" s="140">
        <f t="shared" si="342"/>
        <v>0</v>
      </c>
      <c r="AY384" s="140">
        <f t="shared" si="343"/>
        <v>0</v>
      </c>
      <c r="AZ384" s="140">
        <f t="shared" si="344"/>
        <v>0</v>
      </c>
      <c r="BA384" s="140">
        <f t="shared" si="345"/>
        <v>0</v>
      </c>
      <c r="BB384" s="140">
        <f t="shared" si="346"/>
        <v>0</v>
      </c>
      <c r="BC384" s="140">
        <f t="shared" si="347"/>
        <v>0</v>
      </c>
      <c r="BD384" s="140">
        <f t="shared" si="348"/>
        <v>0</v>
      </c>
      <c r="BE384" s="140">
        <f t="shared" si="349"/>
        <v>0</v>
      </c>
      <c r="BF384" s="140">
        <f t="shared" si="350"/>
        <v>0</v>
      </c>
      <c r="BG384" s="140">
        <f t="shared" si="351"/>
        <v>0</v>
      </c>
      <c r="BH384" s="140">
        <f t="shared" si="333"/>
        <v>0</v>
      </c>
      <c r="BI384" s="140">
        <f t="shared" si="334"/>
        <v>0</v>
      </c>
      <c r="BJ384" s="140">
        <f t="shared" si="335"/>
        <v>0</v>
      </c>
      <c r="BK384" s="140">
        <f t="shared" si="336"/>
        <v>0</v>
      </c>
    </row>
    <row r="385" spans="1:63" s="100" customFormat="1" ht="16" hidden="1" customHeight="1">
      <c r="A385" s="137" t="s">
        <v>30</v>
      </c>
      <c r="B385" s="20" t="s">
        <v>974</v>
      </c>
      <c r="C385" s="20" t="s">
        <v>975</v>
      </c>
      <c r="D385" s="20" t="s">
        <v>30</v>
      </c>
      <c r="E385" s="20"/>
      <c r="F385" s="20"/>
      <c r="G385" s="20"/>
      <c r="H385" s="20" t="s">
        <v>45</v>
      </c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138"/>
      <c r="Y385" s="138"/>
      <c r="Z385" s="139">
        <f t="shared" si="358"/>
        <v>0</v>
      </c>
      <c r="AA385" s="20"/>
      <c r="AB385" s="20"/>
      <c r="AC385" s="20"/>
      <c r="AD385" s="139">
        <f t="shared" si="353"/>
        <v>0</v>
      </c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0"/>
      <c r="AQ385" s="20"/>
      <c r="AR385" s="20"/>
      <c r="AS385" s="20"/>
      <c r="AT385" s="20">
        <f t="shared" si="354"/>
        <v>0</v>
      </c>
      <c r="AU385" s="20">
        <f t="shared" si="355"/>
        <v>0</v>
      </c>
      <c r="AV385" s="5"/>
      <c r="AW385" s="21">
        <f t="shared" si="356"/>
        <v>0</v>
      </c>
      <c r="AX385" s="140">
        <f t="shared" si="342"/>
        <v>0</v>
      </c>
      <c r="AY385" s="140">
        <f t="shared" si="343"/>
        <v>0</v>
      </c>
      <c r="AZ385" s="140">
        <f t="shared" si="344"/>
        <v>0</v>
      </c>
      <c r="BA385" s="140">
        <f t="shared" si="345"/>
        <v>0</v>
      </c>
      <c r="BB385" s="140">
        <f t="shared" si="346"/>
        <v>0</v>
      </c>
      <c r="BC385" s="140">
        <f t="shared" si="347"/>
        <v>0</v>
      </c>
      <c r="BD385" s="140">
        <f t="shared" si="348"/>
        <v>0</v>
      </c>
      <c r="BE385" s="140">
        <f t="shared" si="349"/>
        <v>0</v>
      </c>
      <c r="BF385" s="140">
        <f t="shared" si="350"/>
        <v>0</v>
      </c>
      <c r="BG385" s="140">
        <f t="shared" si="351"/>
        <v>0</v>
      </c>
      <c r="BH385" s="140">
        <f t="shared" si="333"/>
        <v>0</v>
      </c>
      <c r="BI385" s="140">
        <f t="shared" si="334"/>
        <v>0</v>
      </c>
      <c r="BJ385" s="140">
        <f t="shared" si="335"/>
        <v>0</v>
      </c>
      <c r="BK385" s="140">
        <f t="shared" si="336"/>
        <v>0</v>
      </c>
    </row>
    <row r="386" spans="1:63" s="100" customFormat="1" ht="16" hidden="1" customHeight="1">
      <c r="A386" s="137" t="s">
        <v>30</v>
      </c>
      <c r="B386" s="20" t="s">
        <v>976</v>
      </c>
      <c r="C386" s="20" t="s">
        <v>977</v>
      </c>
      <c r="D386" s="20" t="s">
        <v>30</v>
      </c>
      <c r="E386" s="20"/>
      <c r="F386" s="20"/>
      <c r="G386" s="20"/>
      <c r="H386" s="20" t="s">
        <v>45</v>
      </c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138"/>
      <c r="Y386" s="138"/>
      <c r="Z386" s="139">
        <f t="shared" si="358"/>
        <v>0</v>
      </c>
      <c r="AA386" s="20"/>
      <c r="AB386" s="20"/>
      <c r="AC386" s="20"/>
      <c r="AD386" s="139">
        <f t="shared" si="353"/>
        <v>0</v>
      </c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0"/>
      <c r="AQ386" s="20"/>
      <c r="AR386" s="20"/>
      <c r="AS386" s="20"/>
      <c r="AT386" s="20">
        <f t="shared" si="354"/>
        <v>0</v>
      </c>
      <c r="AU386" s="20">
        <f t="shared" si="355"/>
        <v>0</v>
      </c>
      <c r="AV386" s="5"/>
      <c r="AW386" s="21">
        <f t="shared" si="356"/>
        <v>0</v>
      </c>
      <c r="AX386" s="140">
        <f t="shared" si="342"/>
        <v>0</v>
      </c>
      <c r="AY386" s="140">
        <f t="shared" si="343"/>
        <v>0</v>
      </c>
      <c r="AZ386" s="140">
        <f t="shared" si="344"/>
        <v>0</v>
      </c>
      <c r="BA386" s="140">
        <f t="shared" si="345"/>
        <v>0</v>
      </c>
      <c r="BB386" s="140">
        <f t="shared" si="346"/>
        <v>0</v>
      </c>
      <c r="BC386" s="140">
        <f t="shared" si="347"/>
        <v>0</v>
      </c>
      <c r="BD386" s="140">
        <f t="shared" si="348"/>
        <v>0</v>
      </c>
      <c r="BE386" s="140">
        <f t="shared" si="349"/>
        <v>0</v>
      </c>
      <c r="BF386" s="140">
        <f t="shared" si="350"/>
        <v>0</v>
      </c>
      <c r="BG386" s="140">
        <f t="shared" si="351"/>
        <v>0</v>
      </c>
      <c r="BH386" s="140">
        <f t="shared" si="333"/>
        <v>0</v>
      </c>
      <c r="BI386" s="140">
        <f t="shared" si="334"/>
        <v>0</v>
      </c>
      <c r="BJ386" s="140">
        <f t="shared" si="335"/>
        <v>0</v>
      </c>
      <c r="BK386" s="140">
        <f t="shared" si="336"/>
        <v>0</v>
      </c>
    </row>
    <row r="387" spans="1:63" s="100" customFormat="1" ht="16" hidden="1" customHeight="1">
      <c r="A387" s="137" t="s">
        <v>30</v>
      </c>
      <c r="B387" s="20" t="s">
        <v>978</v>
      </c>
      <c r="C387" s="20" t="s">
        <v>804</v>
      </c>
      <c r="D387" s="20" t="s">
        <v>30</v>
      </c>
      <c r="E387" s="20" t="s">
        <v>804</v>
      </c>
      <c r="F387" s="20" t="s">
        <v>207</v>
      </c>
      <c r="G387" s="20" t="s">
        <v>37</v>
      </c>
      <c r="H387" s="20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138"/>
      <c r="Y387" s="138"/>
      <c r="Z387" s="139">
        <f t="shared" si="358"/>
        <v>0</v>
      </c>
      <c r="AA387" s="20"/>
      <c r="AB387" s="20"/>
      <c r="AC387" s="20"/>
      <c r="AD387" s="139">
        <f t="shared" si="353"/>
        <v>0</v>
      </c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0"/>
      <c r="AQ387" s="20"/>
      <c r="AR387" s="20"/>
      <c r="AS387" s="20"/>
      <c r="AT387" s="20">
        <f t="shared" si="354"/>
        <v>0</v>
      </c>
      <c r="AU387" s="20">
        <f t="shared" si="355"/>
        <v>0</v>
      </c>
      <c r="AV387" s="5"/>
      <c r="AW387" s="21">
        <f t="shared" si="356"/>
        <v>0</v>
      </c>
      <c r="AX387" s="140">
        <f t="shared" si="342"/>
        <v>0</v>
      </c>
      <c r="AY387" s="140">
        <f t="shared" si="343"/>
        <v>0</v>
      </c>
      <c r="AZ387" s="140">
        <f t="shared" si="344"/>
        <v>0</v>
      </c>
      <c r="BA387" s="140">
        <f t="shared" si="345"/>
        <v>0</v>
      </c>
      <c r="BB387" s="140">
        <f t="shared" si="346"/>
        <v>0</v>
      </c>
      <c r="BC387" s="140">
        <f t="shared" si="347"/>
        <v>0</v>
      </c>
      <c r="BD387" s="140">
        <f t="shared" si="348"/>
        <v>0</v>
      </c>
      <c r="BE387" s="140">
        <f t="shared" si="349"/>
        <v>0</v>
      </c>
      <c r="BF387" s="140">
        <f t="shared" si="350"/>
        <v>0</v>
      </c>
      <c r="BG387" s="140">
        <f t="shared" si="351"/>
        <v>0</v>
      </c>
      <c r="BH387" s="140">
        <f t="shared" si="333"/>
        <v>0</v>
      </c>
      <c r="BI387" s="140">
        <f t="shared" si="334"/>
        <v>0</v>
      </c>
      <c r="BJ387" s="140">
        <f t="shared" si="335"/>
        <v>0</v>
      </c>
      <c r="BK387" s="140">
        <f t="shared" si="336"/>
        <v>0</v>
      </c>
    </row>
    <row r="388" spans="1:63" s="100" customFormat="1" ht="16" hidden="1" customHeight="1">
      <c r="A388" s="137" t="s">
        <v>30</v>
      </c>
      <c r="B388" s="20" t="s">
        <v>979</v>
      </c>
      <c r="C388" s="20" t="s">
        <v>980</v>
      </c>
      <c r="D388" s="20" t="s">
        <v>30</v>
      </c>
      <c r="E388" s="20"/>
      <c r="F388" s="20"/>
      <c r="G388" s="20"/>
      <c r="H388" s="20" t="s">
        <v>38</v>
      </c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138"/>
      <c r="Y388" s="138"/>
      <c r="Z388" s="139">
        <f t="shared" si="358"/>
        <v>0</v>
      </c>
      <c r="AA388" s="20"/>
      <c r="AB388" s="20"/>
      <c r="AC388" s="20"/>
      <c r="AD388" s="139">
        <f t="shared" si="353"/>
        <v>0</v>
      </c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0"/>
      <c r="AQ388" s="20"/>
      <c r="AR388" s="20"/>
      <c r="AS388" s="20"/>
      <c r="AT388" s="20">
        <f t="shared" si="354"/>
        <v>0</v>
      </c>
      <c r="AU388" s="20">
        <f t="shared" si="355"/>
        <v>0</v>
      </c>
      <c r="AV388" s="5"/>
      <c r="AW388" s="21">
        <f t="shared" si="356"/>
        <v>0</v>
      </c>
      <c r="AX388" s="140">
        <f t="shared" si="342"/>
        <v>0</v>
      </c>
      <c r="AY388" s="140">
        <f t="shared" si="343"/>
        <v>0</v>
      </c>
      <c r="AZ388" s="140">
        <f t="shared" si="344"/>
        <v>0</v>
      </c>
      <c r="BA388" s="140">
        <f t="shared" si="345"/>
        <v>0</v>
      </c>
      <c r="BB388" s="140">
        <f t="shared" si="346"/>
        <v>0</v>
      </c>
      <c r="BC388" s="140">
        <f t="shared" si="347"/>
        <v>0</v>
      </c>
      <c r="BD388" s="140">
        <f t="shared" si="348"/>
        <v>0</v>
      </c>
      <c r="BE388" s="140">
        <f t="shared" si="349"/>
        <v>0</v>
      </c>
      <c r="BF388" s="140">
        <f t="shared" si="350"/>
        <v>0</v>
      </c>
      <c r="BG388" s="140">
        <f t="shared" si="351"/>
        <v>0</v>
      </c>
      <c r="BH388" s="140">
        <f t="shared" si="333"/>
        <v>0</v>
      </c>
      <c r="BI388" s="140">
        <f t="shared" si="334"/>
        <v>0</v>
      </c>
      <c r="BJ388" s="140">
        <f t="shared" si="335"/>
        <v>0</v>
      </c>
      <c r="BK388" s="140">
        <f t="shared" si="336"/>
        <v>0</v>
      </c>
    </row>
    <row r="389" spans="1:63" s="100" customFormat="1" ht="16" hidden="1" customHeight="1">
      <c r="A389" s="137" t="s">
        <v>30</v>
      </c>
      <c r="B389" s="20" t="s">
        <v>981</v>
      </c>
      <c r="C389" s="20" t="s">
        <v>982</v>
      </c>
      <c r="D389" s="20" t="s">
        <v>30</v>
      </c>
      <c r="E389" s="20"/>
      <c r="F389" s="20"/>
      <c r="G389" s="20"/>
      <c r="H389" s="20" t="s">
        <v>38</v>
      </c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138"/>
      <c r="Y389" s="138"/>
      <c r="Z389" s="139">
        <f t="shared" si="358"/>
        <v>0</v>
      </c>
      <c r="AA389" s="20"/>
      <c r="AB389" s="20"/>
      <c r="AC389" s="20"/>
      <c r="AD389" s="139">
        <f t="shared" ref="AD389:AD427" si="359">AB389-Y389+AA389+AC389</f>
        <v>0</v>
      </c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0"/>
      <c r="AQ389" s="20"/>
      <c r="AR389" s="20"/>
      <c r="AS389" s="20"/>
      <c r="AT389" s="20">
        <f t="shared" ref="AT389:AT435" si="360">SUM(AE389:AR389)</f>
        <v>0</v>
      </c>
      <c r="AU389" s="20">
        <f t="shared" ref="AU389:AU427" si="361">AD389-AT389</f>
        <v>0</v>
      </c>
      <c r="AV389" s="5"/>
      <c r="AW389" s="21">
        <f t="shared" ref="AW389:AW427" si="362">AE389+Y389-I389</f>
        <v>0</v>
      </c>
      <c r="AX389" s="140">
        <f t="shared" si="342"/>
        <v>0</v>
      </c>
      <c r="AY389" s="140">
        <f t="shared" si="343"/>
        <v>0</v>
      </c>
      <c r="AZ389" s="140">
        <f t="shared" si="344"/>
        <v>0</v>
      </c>
      <c r="BA389" s="140">
        <f t="shared" si="345"/>
        <v>0</v>
      </c>
      <c r="BB389" s="140">
        <f t="shared" si="346"/>
        <v>0</v>
      </c>
      <c r="BC389" s="140">
        <f t="shared" si="347"/>
        <v>0</v>
      </c>
      <c r="BD389" s="140">
        <f t="shared" si="348"/>
        <v>0</v>
      </c>
      <c r="BE389" s="140">
        <f t="shared" si="349"/>
        <v>0</v>
      </c>
      <c r="BF389" s="140">
        <f t="shared" si="350"/>
        <v>0</v>
      </c>
      <c r="BG389" s="140">
        <f t="shared" si="351"/>
        <v>0</v>
      </c>
      <c r="BH389" s="140">
        <f t="shared" si="333"/>
        <v>0</v>
      </c>
      <c r="BI389" s="140">
        <f t="shared" si="334"/>
        <v>0</v>
      </c>
      <c r="BJ389" s="140">
        <f t="shared" si="335"/>
        <v>0</v>
      </c>
      <c r="BK389" s="140">
        <f t="shared" si="336"/>
        <v>0</v>
      </c>
    </row>
    <row r="390" spans="1:63" s="100" customFormat="1" ht="16" hidden="1" customHeight="1">
      <c r="A390" s="137" t="s">
        <v>30</v>
      </c>
      <c r="B390" s="20" t="s">
        <v>983</v>
      </c>
      <c r="C390" s="20" t="s">
        <v>807</v>
      </c>
      <c r="D390" s="20" t="s">
        <v>30</v>
      </c>
      <c r="E390" s="20" t="s">
        <v>807</v>
      </c>
      <c r="F390" s="20" t="s">
        <v>934</v>
      </c>
      <c r="G390" s="20" t="s">
        <v>37</v>
      </c>
      <c r="H390" s="20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138"/>
      <c r="Y390" s="138"/>
      <c r="Z390" s="139">
        <f t="shared" si="358"/>
        <v>0</v>
      </c>
      <c r="AA390" s="20"/>
      <c r="AB390" s="20"/>
      <c r="AC390" s="20"/>
      <c r="AD390" s="139">
        <f t="shared" si="359"/>
        <v>0</v>
      </c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0"/>
      <c r="AQ390" s="20"/>
      <c r="AR390" s="20"/>
      <c r="AS390" s="20"/>
      <c r="AT390" s="20">
        <f t="shared" si="360"/>
        <v>0</v>
      </c>
      <c r="AU390" s="20">
        <f t="shared" si="361"/>
        <v>0</v>
      </c>
      <c r="AV390" s="5"/>
      <c r="AW390" s="21">
        <f t="shared" si="362"/>
        <v>0</v>
      </c>
      <c r="AX390" s="140">
        <f t="shared" si="342"/>
        <v>0</v>
      </c>
      <c r="AY390" s="140">
        <f t="shared" si="343"/>
        <v>0</v>
      </c>
      <c r="AZ390" s="140">
        <f t="shared" si="344"/>
        <v>0</v>
      </c>
      <c r="BA390" s="140">
        <f t="shared" si="345"/>
        <v>0</v>
      </c>
      <c r="BB390" s="140">
        <f t="shared" si="346"/>
        <v>0</v>
      </c>
      <c r="BC390" s="140">
        <f t="shared" si="347"/>
        <v>0</v>
      </c>
      <c r="BD390" s="140">
        <f t="shared" si="348"/>
        <v>0</v>
      </c>
      <c r="BE390" s="140">
        <f t="shared" si="349"/>
        <v>0</v>
      </c>
      <c r="BF390" s="140">
        <f t="shared" si="350"/>
        <v>0</v>
      </c>
      <c r="BG390" s="140">
        <f t="shared" si="351"/>
        <v>0</v>
      </c>
      <c r="BH390" s="140">
        <f t="shared" si="333"/>
        <v>0</v>
      </c>
      <c r="BI390" s="140">
        <f t="shared" si="334"/>
        <v>0</v>
      </c>
      <c r="BJ390" s="140">
        <f t="shared" si="335"/>
        <v>0</v>
      </c>
      <c r="BK390" s="140">
        <f t="shared" si="336"/>
        <v>0</v>
      </c>
    </row>
    <row r="391" spans="1:63" s="100" customFormat="1" ht="16" hidden="1" customHeight="1">
      <c r="A391" s="137" t="s">
        <v>30</v>
      </c>
      <c r="B391" s="20" t="s">
        <v>984</v>
      </c>
      <c r="C391" s="20" t="s">
        <v>881</v>
      </c>
      <c r="D391" s="20" t="s">
        <v>30</v>
      </c>
      <c r="E391" s="20" t="s">
        <v>881</v>
      </c>
      <c r="F391" s="20" t="s">
        <v>273</v>
      </c>
      <c r="G391" s="20" t="s">
        <v>58</v>
      </c>
      <c r="H391" s="20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138"/>
      <c r="Y391" s="138"/>
      <c r="Z391" s="139">
        <f t="shared" si="358"/>
        <v>0</v>
      </c>
      <c r="AA391" s="20"/>
      <c r="AB391" s="20"/>
      <c r="AC391" s="20"/>
      <c r="AD391" s="139">
        <f t="shared" si="359"/>
        <v>0</v>
      </c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0"/>
      <c r="AQ391" s="20"/>
      <c r="AR391" s="20"/>
      <c r="AS391" s="20"/>
      <c r="AT391" s="20">
        <f t="shared" si="360"/>
        <v>0</v>
      </c>
      <c r="AU391" s="20">
        <f t="shared" si="361"/>
        <v>0</v>
      </c>
      <c r="AV391" s="5"/>
      <c r="AW391" s="21">
        <f t="shared" si="362"/>
        <v>0</v>
      </c>
      <c r="AX391" s="140">
        <f t="shared" si="342"/>
        <v>0</v>
      </c>
      <c r="AY391" s="140">
        <f t="shared" si="343"/>
        <v>0</v>
      </c>
      <c r="AZ391" s="140">
        <f t="shared" si="344"/>
        <v>0</v>
      </c>
      <c r="BA391" s="140">
        <f t="shared" si="345"/>
        <v>0</v>
      </c>
      <c r="BB391" s="140">
        <f t="shared" si="346"/>
        <v>0</v>
      </c>
      <c r="BC391" s="140">
        <f t="shared" si="347"/>
        <v>0</v>
      </c>
      <c r="BD391" s="140">
        <f t="shared" si="348"/>
        <v>0</v>
      </c>
      <c r="BE391" s="140">
        <f t="shared" si="349"/>
        <v>0</v>
      </c>
      <c r="BF391" s="140">
        <f t="shared" si="350"/>
        <v>0</v>
      </c>
      <c r="BG391" s="140">
        <f t="shared" si="351"/>
        <v>0</v>
      </c>
      <c r="BH391" s="140">
        <f t="shared" ref="BH391:BH435" si="363">AP391+AJ391-T391</f>
        <v>0</v>
      </c>
      <c r="BI391" s="140">
        <f t="shared" ref="BI391:BI435" si="364">AQ391+AK391-U391</f>
        <v>0</v>
      </c>
      <c r="BJ391" s="140">
        <f t="shared" ref="BJ391:BJ435" si="365">AR391+AL391-V391</f>
        <v>0</v>
      </c>
      <c r="BK391" s="140">
        <f t="shared" ref="BK391:BK435" si="366">AS391+AM391-W391</f>
        <v>0</v>
      </c>
    </row>
    <row r="392" spans="1:63" s="100" customFormat="1" ht="16" hidden="1" customHeight="1">
      <c r="A392" s="137" t="s">
        <v>30</v>
      </c>
      <c r="B392" s="20" t="s">
        <v>985</v>
      </c>
      <c r="C392" s="20" t="s">
        <v>812</v>
      </c>
      <c r="D392" s="20" t="s">
        <v>30</v>
      </c>
      <c r="E392" s="20" t="s">
        <v>812</v>
      </c>
      <c r="F392" s="20" t="s">
        <v>207</v>
      </c>
      <c r="G392" s="20" t="s">
        <v>37</v>
      </c>
      <c r="H392" s="20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138"/>
      <c r="Y392" s="138"/>
      <c r="Z392" s="139">
        <f t="shared" si="358"/>
        <v>0</v>
      </c>
      <c r="AA392" s="20"/>
      <c r="AB392" s="20"/>
      <c r="AC392" s="20"/>
      <c r="AD392" s="139">
        <f t="shared" si="359"/>
        <v>0</v>
      </c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0"/>
      <c r="AQ392" s="20"/>
      <c r="AR392" s="20"/>
      <c r="AS392" s="20"/>
      <c r="AT392" s="20">
        <f t="shared" si="360"/>
        <v>0</v>
      </c>
      <c r="AU392" s="20">
        <f t="shared" si="361"/>
        <v>0</v>
      </c>
      <c r="AV392" s="5"/>
      <c r="AW392" s="21">
        <f t="shared" si="362"/>
        <v>0</v>
      </c>
      <c r="AX392" s="140">
        <f t="shared" si="342"/>
        <v>0</v>
      </c>
      <c r="AY392" s="140">
        <f t="shared" si="343"/>
        <v>0</v>
      </c>
      <c r="AZ392" s="140">
        <f t="shared" si="344"/>
        <v>0</v>
      </c>
      <c r="BA392" s="140">
        <f t="shared" si="345"/>
        <v>0</v>
      </c>
      <c r="BB392" s="140">
        <f t="shared" si="346"/>
        <v>0</v>
      </c>
      <c r="BC392" s="140">
        <f t="shared" si="347"/>
        <v>0</v>
      </c>
      <c r="BD392" s="140">
        <f t="shared" si="348"/>
        <v>0</v>
      </c>
      <c r="BE392" s="140">
        <f t="shared" si="349"/>
        <v>0</v>
      </c>
      <c r="BF392" s="140">
        <f t="shared" si="350"/>
        <v>0</v>
      </c>
      <c r="BG392" s="140">
        <f t="shared" si="351"/>
        <v>0</v>
      </c>
      <c r="BH392" s="140">
        <f t="shared" si="363"/>
        <v>0</v>
      </c>
      <c r="BI392" s="140">
        <f t="shared" si="364"/>
        <v>0</v>
      </c>
      <c r="BJ392" s="140">
        <f t="shared" si="365"/>
        <v>0</v>
      </c>
      <c r="BK392" s="140">
        <f t="shared" si="366"/>
        <v>0</v>
      </c>
    </row>
    <row r="393" spans="1:63" s="100" customFormat="1" ht="16" hidden="1" customHeight="1">
      <c r="A393" s="137" t="s">
        <v>30</v>
      </c>
      <c r="B393" s="20" t="s">
        <v>986</v>
      </c>
      <c r="C393" s="20" t="s">
        <v>858</v>
      </c>
      <c r="D393" s="20" t="s">
        <v>30</v>
      </c>
      <c r="E393" s="20" t="s">
        <v>858</v>
      </c>
      <c r="F393" s="20" t="s">
        <v>273</v>
      </c>
      <c r="G393" s="20" t="s">
        <v>58</v>
      </c>
      <c r="H393" s="20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138"/>
      <c r="Y393" s="138"/>
      <c r="Z393" s="139">
        <f t="shared" si="358"/>
        <v>0</v>
      </c>
      <c r="AA393" s="20"/>
      <c r="AB393" s="20"/>
      <c r="AC393" s="20"/>
      <c r="AD393" s="139">
        <f t="shared" si="359"/>
        <v>0</v>
      </c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0"/>
      <c r="AQ393" s="20"/>
      <c r="AR393" s="20"/>
      <c r="AS393" s="20"/>
      <c r="AT393" s="20">
        <f t="shared" si="360"/>
        <v>0</v>
      </c>
      <c r="AU393" s="20">
        <f t="shared" si="361"/>
        <v>0</v>
      </c>
      <c r="AV393" s="5"/>
      <c r="AW393" s="21">
        <f t="shared" si="362"/>
        <v>0</v>
      </c>
      <c r="AX393" s="140">
        <f t="shared" si="342"/>
        <v>0</v>
      </c>
      <c r="AY393" s="140">
        <f t="shared" si="343"/>
        <v>0</v>
      </c>
      <c r="AZ393" s="140">
        <f t="shared" si="344"/>
        <v>0</v>
      </c>
      <c r="BA393" s="140">
        <f t="shared" si="345"/>
        <v>0</v>
      </c>
      <c r="BB393" s="140">
        <f t="shared" si="346"/>
        <v>0</v>
      </c>
      <c r="BC393" s="140">
        <f t="shared" si="347"/>
        <v>0</v>
      </c>
      <c r="BD393" s="140">
        <f t="shared" si="348"/>
        <v>0</v>
      </c>
      <c r="BE393" s="140">
        <f t="shared" si="349"/>
        <v>0</v>
      </c>
      <c r="BF393" s="140">
        <f t="shared" si="350"/>
        <v>0</v>
      </c>
      <c r="BG393" s="140">
        <f t="shared" si="351"/>
        <v>0</v>
      </c>
      <c r="BH393" s="140">
        <f t="shared" si="363"/>
        <v>0</v>
      </c>
      <c r="BI393" s="140">
        <f t="shared" si="364"/>
        <v>0</v>
      </c>
      <c r="BJ393" s="140">
        <f t="shared" si="365"/>
        <v>0</v>
      </c>
      <c r="BK393" s="140">
        <f t="shared" si="366"/>
        <v>0</v>
      </c>
    </row>
    <row r="394" spans="1:63" s="100" customFormat="1" ht="16" hidden="1" customHeight="1">
      <c r="A394" s="137" t="s">
        <v>30</v>
      </c>
      <c r="B394" s="20" t="s">
        <v>987</v>
      </c>
      <c r="C394" s="20" t="s">
        <v>855</v>
      </c>
      <c r="D394" s="20" t="s">
        <v>30</v>
      </c>
      <c r="E394" s="20" t="s">
        <v>855</v>
      </c>
      <c r="F394" s="20"/>
      <c r="G394" s="20"/>
      <c r="H394" s="20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138"/>
      <c r="Y394" s="138"/>
      <c r="Z394" s="139">
        <f t="shared" si="358"/>
        <v>0</v>
      </c>
      <c r="AA394" s="20"/>
      <c r="AB394" s="20"/>
      <c r="AC394" s="20"/>
      <c r="AD394" s="139">
        <f t="shared" si="359"/>
        <v>0</v>
      </c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0"/>
      <c r="AQ394" s="20"/>
      <c r="AR394" s="20"/>
      <c r="AS394" s="20"/>
      <c r="AT394" s="20">
        <f t="shared" si="360"/>
        <v>0</v>
      </c>
      <c r="AU394" s="20">
        <f t="shared" si="361"/>
        <v>0</v>
      </c>
      <c r="AV394" s="5"/>
      <c r="AW394" s="21">
        <f t="shared" si="362"/>
        <v>0</v>
      </c>
      <c r="AX394" s="140">
        <f t="shared" si="342"/>
        <v>0</v>
      </c>
      <c r="AY394" s="140">
        <f t="shared" si="343"/>
        <v>0</v>
      </c>
      <c r="AZ394" s="140">
        <f t="shared" si="344"/>
        <v>0</v>
      </c>
      <c r="BA394" s="140">
        <f t="shared" si="345"/>
        <v>0</v>
      </c>
      <c r="BB394" s="140">
        <f t="shared" si="346"/>
        <v>0</v>
      </c>
      <c r="BC394" s="140">
        <f t="shared" si="347"/>
        <v>0</v>
      </c>
      <c r="BD394" s="140">
        <f t="shared" si="348"/>
        <v>0</v>
      </c>
      <c r="BE394" s="140">
        <f t="shared" si="349"/>
        <v>0</v>
      </c>
      <c r="BF394" s="140">
        <f t="shared" si="350"/>
        <v>0</v>
      </c>
      <c r="BG394" s="140">
        <f t="shared" si="351"/>
        <v>0</v>
      </c>
      <c r="BH394" s="140">
        <f t="shared" si="363"/>
        <v>0</v>
      </c>
      <c r="BI394" s="140">
        <f t="shared" si="364"/>
        <v>0</v>
      </c>
      <c r="BJ394" s="140">
        <f t="shared" si="365"/>
        <v>0</v>
      </c>
      <c r="BK394" s="140">
        <f t="shared" si="366"/>
        <v>0</v>
      </c>
    </row>
    <row r="395" spans="1:63" s="100" customFormat="1" ht="16" hidden="1" customHeight="1">
      <c r="A395" s="137" t="s">
        <v>30</v>
      </c>
      <c r="B395" s="20" t="s">
        <v>988</v>
      </c>
      <c r="C395" s="20" t="s">
        <v>989</v>
      </c>
      <c r="D395" s="20" t="s">
        <v>30</v>
      </c>
      <c r="E395" s="20"/>
      <c r="F395" s="20"/>
      <c r="G395" s="20"/>
      <c r="H395" s="20" t="s">
        <v>38</v>
      </c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138"/>
      <c r="Y395" s="138"/>
      <c r="Z395" s="139">
        <f t="shared" si="358"/>
        <v>0</v>
      </c>
      <c r="AA395" s="20"/>
      <c r="AB395" s="20"/>
      <c r="AC395" s="20"/>
      <c r="AD395" s="139">
        <f t="shared" si="359"/>
        <v>0</v>
      </c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0"/>
      <c r="AQ395" s="20"/>
      <c r="AR395" s="20"/>
      <c r="AS395" s="20"/>
      <c r="AT395" s="20">
        <f t="shared" si="360"/>
        <v>0</v>
      </c>
      <c r="AU395" s="20">
        <f t="shared" si="361"/>
        <v>0</v>
      </c>
      <c r="AV395" s="5"/>
      <c r="AW395" s="21">
        <f t="shared" si="362"/>
        <v>0</v>
      </c>
      <c r="AX395" s="140">
        <f t="shared" ref="AX395:AX458" si="367">AW395+AF395-J395</f>
        <v>0</v>
      </c>
      <c r="AY395" s="140">
        <f t="shared" ref="AY395:AY458" si="368">AX395+AG395-K395</f>
        <v>0</v>
      </c>
      <c r="AZ395" s="140">
        <f t="shared" ref="AZ395:AZ458" si="369">AY395+AH395-L395</f>
        <v>0</v>
      </c>
      <c r="BA395" s="140">
        <f t="shared" ref="BA395:BA458" si="370">AZ395+AI395-M395</f>
        <v>0</v>
      </c>
      <c r="BB395" s="140">
        <f t="shared" ref="BB395:BB458" si="371">BA395+AJ395-N395</f>
        <v>0</v>
      </c>
      <c r="BC395" s="140">
        <f t="shared" ref="BC395:BC458" si="372">BB395+AK395-O395</f>
        <v>0</v>
      </c>
      <c r="BD395" s="140">
        <f t="shared" ref="BD395:BD458" si="373">BC395+AL395-P395</f>
        <v>0</v>
      </c>
      <c r="BE395" s="140">
        <f t="shared" ref="BE395:BE458" si="374">BD395+AM395-Q395</f>
        <v>0</v>
      </c>
      <c r="BF395" s="140">
        <f t="shared" ref="BF395:BF463" si="375">BE395+AN395-R395</f>
        <v>0</v>
      </c>
      <c r="BG395" s="140">
        <f t="shared" ref="BG395:BG463" si="376">BF395+AO395-S395</f>
        <v>0</v>
      </c>
      <c r="BH395" s="140">
        <f t="shared" si="363"/>
        <v>0</v>
      </c>
      <c r="BI395" s="140">
        <f t="shared" si="364"/>
        <v>0</v>
      </c>
      <c r="BJ395" s="140">
        <f t="shared" si="365"/>
        <v>0</v>
      </c>
      <c r="BK395" s="140">
        <f t="shared" si="366"/>
        <v>0</v>
      </c>
    </row>
    <row r="396" spans="1:63" s="100" customFormat="1" ht="16" hidden="1" customHeight="1">
      <c r="A396" s="137" t="s">
        <v>30</v>
      </c>
      <c r="B396" s="20" t="s">
        <v>990</v>
      </c>
      <c r="C396" s="20" t="s">
        <v>991</v>
      </c>
      <c r="D396" s="20" t="s">
        <v>30</v>
      </c>
      <c r="E396" s="20"/>
      <c r="F396" s="20"/>
      <c r="G396" s="20"/>
      <c r="H396" s="20" t="s">
        <v>38</v>
      </c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138"/>
      <c r="Y396" s="138"/>
      <c r="Z396" s="139">
        <f t="shared" si="358"/>
        <v>0</v>
      </c>
      <c r="AA396" s="20"/>
      <c r="AB396" s="20"/>
      <c r="AC396" s="20"/>
      <c r="AD396" s="139">
        <f t="shared" si="359"/>
        <v>0</v>
      </c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0"/>
      <c r="AQ396" s="20"/>
      <c r="AR396" s="20"/>
      <c r="AS396" s="20"/>
      <c r="AT396" s="20">
        <f t="shared" si="360"/>
        <v>0</v>
      </c>
      <c r="AU396" s="20">
        <f t="shared" si="361"/>
        <v>0</v>
      </c>
      <c r="AV396" s="5"/>
      <c r="AW396" s="21">
        <f t="shared" si="362"/>
        <v>0</v>
      </c>
      <c r="AX396" s="140">
        <f t="shared" si="367"/>
        <v>0</v>
      </c>
      <c r="AY396" s="140">
        <f t="shared" si="368"/>
        <v>0</v>
      </c>
      <c r="AZ396" s="140">
        <f t="shared" si="369"/>
        <v>0</v>
      </c>
      <c r="BA396" s="140">
        <f t="shared" si="370"/>
        <v>0</v>
      </c>
      <c r="BB396" s="140">
        <f t="shared" si="371"/>
        <v>0</v>
      </c>
      <c r="BC396" s="140">
        <f t="shared" si="372"/>
        <v>0</v>
      </c>
      <c r="BD396" s="140">
        <f t="shared" si="373"/>
        <v>0</v>
      </c>
      <c r="BE396" s="140">
        <f t="shared" si="374"/>
        <v>0</v>
      </c>
      <c r="BF396" s="140">
        <f t="shared" si="375"/>
        <v>0</v>
      </c>
      <c r="BG396" s="140">
        <f t="shared" si="376"/>
        <v>0</v>
      </c>
      <c r="BH396" s="140">
        <f t="shared" si="363"/>
        <v>0</v>
      </c>
      <c r="BI396" s="140">
        <f t="shared" si="364"/>
        <v>0</v>
      </c>
      <c r="BJ396" s="140">
        <f t="shared" si="365"/>
        <v>0</v>
      </c>
      <c r="BK396" s="140">
        <f t="shared" si="366"/>
        <v>0</v>
      </c>
    </row>
    <row r="397" spans="1:63" s="100" customFormat="1" ht="16" hidden="1" customHeight="1">
      <c r="A397" s="137" t="s">
        <v>30</v>
      </c>
      <c r="B397" s="20" t="s">
        <v>992</v>
      </c>
      <c r="C397" s="20" t="s">
        <v>677</v>
      </c>
      <c r="D397" s="20" t="s">
        <v>529</v>
      </c>
      <c r="E397" s="20" t="s">
        <v>677</v>
      </c>
      <c r="F397" s="20" t="s">
        <v>266</v>
      </c>
      <c r="G397" s="20" t="s">
        <v>58</v>
      </c>
      <c r="H397" s="20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138"/>
      <c r="Y397" s="138"/>
      <c r="Z397" s="139">
        <f t="shared" si="358"/>
        <v>0</v>
      </c>
      <c r="AA397" s="20"/>
      <c r="AB397" s="20"/>
      <c r="AC397" s="20"/>
      <c r="AD397" s="139">
        <f t="shared" si="359"/>
        <v>0</v>
      </c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0"/>
      <c r="AQ397" s="20"/>
      <c r="AR397" s="20"/>
      <c r="AS397" s="20"/>
      <c r="AT397" s="20">
        <f t="shared" si="360"/>
        <v>0</v>
      </c>
      <c r="AU397" s="20">
        <f t="shared" si="361"/>
        <v>0</v>
      </c>
      <c r="AV397" s="5"/>
      <c r="AW397" s="21">
        <f t="shared" si="362"/>
        <v>0</v>
      </c>
      <c r="AX397" s="140">
        <f t="shared" si="367"/>
        <v>0</v>
      </c>
      <c r="AY397" s="140">
        <f t="shared" si="368"/>
        <v>0</v>
      </c>
      <c r="AZ397" s="140">
        <f t="shared" si="369"/>
        <v>0</v>
      </c>
      <c r="BA397" s="140">
        <f t="shared" si="370"/>
        <v>0</v>
      </c>
      <c r="BB397" s="140">
        <f t="shared" si="371"/>
        <v>0</v>
      </c>
      <c r="BC397" s="140">
        <f t="shared" si="372"/>
        <v>0</v>
      </c>
      <c r="BD397" s="140">
        <f t="shared" si="373"/>
        <v>0</v>
      </c>
      <c r="BE397" s="140">
        <f t="shared" si="374"/>
        <v>0</v>
      </c>
      <c r="BF397" s="140">
        <f t="shared" si="375"/>
        <v>0</v>
      </c>
      <c r="BG397" s="140">
        <f t="shared" si="376"/>
        <v>0</v>
      </c>
      <c r="BH397" s="140">
        <f t="shared" si="363"/>
        <v>0</v>
      </c>
      <c r="BI397" s="140">
        <f t="shared" si="364"/>
        <v>0</v>
      </c>
      <c r="BJ397" s="140">
        <f t="shared" si="365"/>
        <v>0</v>
      </c>
      <c r="BK397" s="140">
        <f t="shared" si="366"/>
        <v>0</v>
      </c>
    </row>
    <row r="398" spans="1:63" s="100" customFormat="1" ht="16" hidden="1" customHeight="1">
      <c r="A398" s="137" t="s">
        <v>30</v>
      </c>
      <c r="B398" s="20" t="s">
        <v>993</v>
      </c>
      <c r="C398" s="20" t="s">
        <v>671</v>
      </c>
      <c r="D398" s="20" t="s">
        <v>529</v>
      </c>
      <c r="E398" s="20" t="s">
        <v>671</v>
      </c>
      <c r="F398" s="20" t="s">
        <v>273</v>
      </c>
      <c r="G398" s="20" t="s">
        <v>58</v>
      </c>
      <c r="H398" s="20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138"/>
      <c r="Y398" s="138"/>
      <c r="Z398" s="139">
        <f t="shared" si="358"/>
        <v>0</v>
      </c>
      <c r="AA398" s="20"/>
      <c r="AB398" s="20"/>
      <c r="AC398" s="20"/>
      <c r="AD398" s="139">
        <f t="shared" si="359"/>
        <v>0</v>
      </c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0"/>
      <c r="AQ398" s="20"/>
      <c r="AR398" s="20"/>
      <c r="AS398" s="20"/>
      <c r="AT398" s="20">
        <f t="shared" si="360"/>
        <v>0</v>
      </c>
      <c r="AU398" s="20">
        <f t="shared" si="361"/>
        <v>0</v>
      </c>
      <c r="AV398" s="5"/>
      <c r="AW398" s="21">
        <f t="shared" si="362"/>
        <v>0</v>
      </c>
      <c r="AX398" s="140">
        <f t="shared" si="367"/>
        <v>0</v>
      </c>
      <c r="AY398" s="140">
        <f t="shared" si="368"/>
        <v>0</v>
      </c>
      <c r="AZ398" s="140">
        <f t="shared" si="369"/>
        <v>0</v>
      </c>
      <c r="BA398" s="140">
        <f t="shared" si="370"/>
        <v>0</v>
      </c>
      <c r="BB398" s="140">
        <f t="shared" si="371"/>
        <v>0</v>
      </c>
      <c r="BC398" s="140">
        <f t="shared" si="372"/>
        <v>0</v>
      </c>
      <c r="BD398" s="140">
        <f t="shared" si="373"/>
        <v>0</v>
      </c>
      <c r="BE398" s="140">
        <f t="shared" si="374"/>
        <v>0</v>
      </c>
      <c r="BF398" s="140">
        <f t="shared" si="375"/>
        <v>0</v>
      </c>
      <c r="BG398" s="140">
        <f t="shared" si="376"/>
        <v>0</v>
      </c>
      <c r="BH398" s="140">
        <f t="shared" si="363"/>
        <v>0</v>
      </c>
      <c r="BI398" s="140">
        <f t="shared" si="364"/>
        <v>0</v>
      </c>
      <c r="BJ398" s="140">
        <f t="shared" si="365"/>
        <v>0</v>
      </c>
      <c r="BK398" s="140">
        <f t="shared" si="366"/>
        <v>0</v>
      </c>
    </row>
    <row r="399" spans="1:63" s="100" customFormat="1" ht="16" hidden="1" customHeight="1">
      <c r="A399" s="137" t="s">
        <v>30</v>
      </c>
      <c r="B399" s="20" t="s">
        <v>994</v>
      </c>
      <c r="C399" s="20" t="s">
        <v>674</v>
      </c>
      <c r="D399" s="20" t="s">
        <v>529</v>
      </c>
      <c r="E399" s="20" t="s">
        <v>674</v>
      </c>
      <c r="F399" s="20" t="s">
        <v>36</v>
      </c>
      <c r="G399" s="20" t="s">
        <v>37</v>
      </c>
      <c r="H399" s="20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138"/>
      <c r="Y399" s="138"/>
      <c r="Z399" s="139">
        <f t="shared" si="358"/>
        <v>0</v>
      </c>
      <c r="AA399" s="20"/>
      <c r="AB399" s="20"/>
      <c r="AC399" s="20"/>
      <c r="AD399" s="139">
        <f t="shared" si="359"/>
        <v>0</v>
      </c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0"/>
      <c r="AQ399" s="20"/>
      <c r="AR399" s="20"/>
      <c r="AS399" s="20"/>
      <c r="AT399" s="20">
        <f t="shared" si="360"/>
        <v>0</v>
      </c>
      <c r="AU399" s="20">
        <f t="shared" si="361"/>
        <v>0</v>
      </c>
      <c r="AV399" s="5"/>
      <c r="AW399" s="21">
        <f t="shared" si="362"/>
        <v>0</v>
      </c>
      <c r="AX399" s="140">
        <f t="shared" si="367"/>
        <v>0</v>
      </c>
      <c r="AY399" s="140">
        <f t="shared" si="368"/>
        <v>0</v>
      </c>
      <c r="AZ399" s="140">
        <f t="shared" si="369"/>
        <v>0</v>
      </c>
      <c r="BA399" s="140">
        <f t="shared" si="370"/>
        <v>0</v>
      </c>
      <c r="BB399" s="140">
        <f t="shared" si="371"/>
        <v>0</v>
      </c>
      <c r="BC399" s="140">
        <f t="shared" si="372"/>
        <v>0</v>
      </c>
      <c r="BD399" s="140">
        <f t="shared" si="373"/>
        <v>0</v>
      </c>
      <c r="BE399" s="140">
        <f t="shared" si="374"/>
        <v>0</v>
      </c>
      <c r="BF399" s="140">
        <f t="shared" si="375"/>
        <v>0</v>
      </c>
      <c r="BG399" s="140">
        <f t="shared" si="376"/>
        <v>0</v>
      </c>
      <c r="BH399" s="140">
        <f t="shared" si="363"/>
        <v>0</v>
      </c>
      <c r="BI399" s="140">
        <f t="shared" si="364"/>
        <v>0</v>
      </c>
      <c r="BJ399" s="140">
        <f t="shared" si="365"/>
        <v>0</v>
      </c>
      <c r="BK399" s="140">
        <f t="shared" si="366"/>
        <v>0</v>
      </c>
    </row>
    <row r="400" spans="1:63" s="100" customFormat="1" ht="16" hidden="1" customHeight="1">
      <c r="A400" s="137" t="s">
        <v>30</v>
      </c>
      <c r="B400" s="20" t="s">
        <v>995</v>
      </c>
      <c r="C400" s="20" t="s">
        <v>668</v>
      </c>
      <c r="D400" s="20" t="s">
        <v>529</v>
      </c>
      <c r="E400" s="20"/>
      <c r="F400" s="20" t="s">
        <v>273</v>
      </c>
      <c r="G400" s="20" t="s">
        <v>934</v>
      </c>
      <c r="H400" s="20" t="s">
        <v>934</v>
      </c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138"/>
      <c r="Y400" s="138"/>
      <c r="Z400" s="139">
        <f t="shared" si="358"/>
        <v>0</v>
      </c>
      <c r="AA400" s="20"/>
      <c r="AB400" s="20"/>
      <c r="AC400" s="20"/>
      <c r="AD400" s="139">
        <f t="shared" si="359"/>
        <v>0</v>
      </c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0"/>
      <c r="AQ400" s="20"/>
      <c r="AR400" s="20"/>
      <c r="AS400" s="20"/>
      <c r="AT400" s="20">
        <f t="shared" si="360"/>
        <v>0</v>
      </c>
      <c r="AU400" s="20">
        <f t="shared" si="361"/>
        <v>0</v>
      </c>
      <c r="AV400" s="5"/>
      <c r="AW400" s="21">
        <f t="shared" si="362"/>
        <v>0</v>
      </c>
      <c r="AX400" s="140">
        <f t="shared" si="367"/>
        <v>0</v>
      </c>
      <c r="AY400" s="140">
        <f t="shared" si="368"/>
        <v>0</v>
      </c>
      <c r="AZ400" s="140">
        <f t="shared" si="369"/>
        <v>0</v>
      </c>
      <c r="BA400" s="140">
        <f t="shared" si="370"/>
        <v>0</v>
      </c>
      <c r="BB400" s="140">
        <f t="shared" si="371"/>
        <v>0</v>
      </c>
      <c r="BC400" s="140">
        <f t="shared" si="372"/>
        <v>0</v>
      </c>
      <c r="BD400" s="140">
        <f t="shared" si="373"/>
        <v>0</v>
      </c>
      <c r="BE400" s="140">
        <f t="shared" si="374"/>
        <v>0</v>
      </c>
      <c r="BF400" s="140">
        <f t="shared" si="375"/>
        <v>0</v>
      </c>
      <c r="BG400" s="140">
        <f t="shared" si="376"/>
        <v>0</v>
      </c>
      <c r="BH400" s="140">
        <f t="shared" si="363"/>
        <v>0</v>
      </c>
      <c r="BI400" s="140">
        <f t="shared" si="364"/>
        <v>0</v>
      </c>
      <c r="BJ400" s="140">
        <f t="shared" si="365"/>
        <v>0</v>
      </c>
      <c r="BK400" s="140">
        <f t="shared" si="366"/>
        <v>0</v>
      </c>
    </row>
    <row r="401" spans="1:63" s="100" customFormat="1" ht="16" hidden="1" customHeight="1">
      <c r="A401" s="137" t="s">
        <v>30</v>
      </c>
      <c r="B401" s="20" t="s">
        <v>996</v>
      </c>
      <c r="C401" s="20" t="s">
        <v>665</v>
      </c>
      <c r="D401" s="20" t="s">
        <v>529</v>
      </c>
      <c r="E401" s="20"/>
      <c r="F401" s="20" t="s">
        <v>207</v>
      </c>
      <c r="G401" s="20" t="s">
        <v>934</v>
      </c>
      <c r="H401" s="20" t="s">
        <v>934</v>
      </c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138"/>
      <c r="Y401" s="138"/>
      <c r="Z401" s="139">
        <f t="shared" si="358"/>
        <v>0</v>
      </c>
      <c r="AA401" s="20"/>
      <c r="AB401" s="20"/>
      <c r="AC401" s="20"/>
      <c r="AD401" s="139">
        <f t="shared" si="359"/>
        <v>0</v>
      </c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0"/>
      <c r="AQ401" s="20"/>
      <c r="AR401" s="20"/>
      <c r="AS401" s="20"/>
      <c r="AT401" s="20">
        <f t="shared" si="360"/>
        <v>0</v>
      </c>
      <c r="AU401" s="20">
        <f t="shared" si="361"/>
        <v>0</v>
      </c>
      <c r="AV401" s="5"/>
      <c r="AW401" s="21">
        <f t="shared" si="362"/>
        <v>0</v>
      </c>
      <c r="AX401" s="140">
        <f t="shared" si="367"/>
        <v>0</v>
      </c>
      <c r="AY401" s="140">
        <f t="shared" si="368"/>
        <v>0</v>
      </c>
      <c r="AZ401" s="140">
        <f t="shared" si="369"/>
        <v>0</v>
      </c>
      <c r="BA401" s="140">
        <f t="shared" si="370"/>
        <v>0</v>
      </c>
      <c r="BB401" s="140">
        <f t="shared" si="371"/>
        <v>0</v>
      </c>
      <c r="BC401" s="140">
        <f t="shared" si="372"/>
        <v>0</v>
      </c>
      <c r="BD401" s="140">
        <f t="shared" si="373"/>
        <v>0</v>
      </c>
      <c r="BE401" s="140">
        <f t="shared" si="374"/>
        <v>0</v>
      </c>
      <c r="BF401" s="140">
        <f t="shared" si="375"/>
        <v>0</v>
      </c>
      <c r="BG401" s="140">
        <f t="shared" si="376"/>
        <v>0</v>
      </c>
      <c r="BH401" s="140">
        <f t="shared" si="363"/>
        <v>0</v>
      </c>
      <c r="BI401" s="140">
        <f t="shared" si="364"/>
        <v>0</v>
      </c>
      <c r="BJ401" s="140">
        <f t="shared" si="365"/>
        <v>0</v>
      </c>
      <c r="BK401" s="140">
        <f t="shared" si="366"/>
        <v>0</v>
      </c>
    </row>
    <row r="402" spans="1:63" s="100" customFormat="1" ht="16" hidden="1" customHeight="1">
      <c r="A402" s="137" t="s">
        <v>30</v>
      </c>
      <c r="B402" s="20" t="s">
        <v>997</v>
      </c>
      <c r="C402" s="20" t="s">
        <v>662</v>
      </c>
      <c r="D402" s="20" t="s">
        <v>529</v>
      </c>
      <c r="E402" s="20"/>
      <c r="F402" s="20" t="s">
        <v>36</v>
      </c>
      <c r="G402" s="20" t="s">
        <v>934</v>
      </c>
      <c r="H402" s="20" t="s">
        <v>934</v>
      </c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138"/>
      <c r="Y402" s="138"/>
      <c r="Z402" s="139">
        <f t="shared" si="358"/>
        <v>0</v>
      </c>
      <c r="AA402" s="20"/>
      <c r="AB402" s="20"/>
      <c r="AC402" s="20"/>
      <c r="AD402" s="139">
        <f t="shared" si="359"/>
        <v>0</v>
      </c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0"/>
      <c r="AQ402" s="20"/>
      <c r="AR402" s="20"/>
      <c r="AS402" s="20"/>
      <c r="AT402" s="20">
        <f t="shared" si="360"/>
        <v>0</v>
      </c>
      <c r="AU402" s="20">
        <f t="shared" si="361"/>
        <v>0</v>
      </c>
      <c r="AV402" s="5"/>
      <c r="AW402" s="21">
        <f t="shared" si="362"/>
        <v>0</v>
      </c>
      <c r="AX402" s="140">
        <f t="shared" si="367"/>
        <v>0</v>
      </c>
      <c r="AY402" s="140">
        <f t="shared" si="368"/>
        <v>0</v>
      </c>
      <c r="AZ402" s="140">
        <f t="shared" si="369"/>
        <v>0</v>
      </c>
      <c r="BA402" s="140">
        <f t="shared" si="370"/>
        <v>0</v>
      </c>
      <c r="BB402" s="140">
        <f t="shared" si="371"/>
        <v>0</v>
      </c>
      <c r="BC402" s="140">
        <f t="shared" si="372"/>
        <v>0</v>
      </c>
      <c r="BD402" s="140">
        <f t="shared" si="373"/>
        <v>0</v>
      </c>
      <c r="BE402" s="140">
        <f t="shared" si="374"/>
        <v>0</v>
      </c>
      <c r="BF402" s="140">
        <f t="shared" si="375"/>
        <v>0</v>
      </c>
      <c r="BG402" s="140">
        <f t="shared" si="376"/>
        <v>0</v>
      </c>
      <c r="BH402" s="140">
        <f t="shared" si="363"/>
        <v>0</v>
      </c>
      <c r="BI402" s="140">
        <f t="shared" si="364"/>
        <v>0</v>
      </c>
      <c r="BJ402" s="140">
        <f t="shared" si="365"/>
        <v>0</v>
      </c>
      <c r="BK402" s="140">
        <f t="shared" si="366"/>
        <v>0</v>
      </c>
    </row>
    <row r="403" spans="1:63" s="100" customFormat="1" ht="16" hidden="1" customHeight="1">
      <c r="A403" s="137" t="s">
        <v>30</v>
      </c>
      <c r="B403" s="20" t="s">
        <v>998</v>
      </c>
      <c r="C403" s="20" t="s">
        <v>999</v>
      </c>
      <c r="D403" s="20" t="s">
        <v>30</v>
      </c>
      <c r="E403" s="20"/>
      <c r="F403" s="20"/>
      <c r="G403" s="20"/>
      <c r="H403" s="20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138"/>
      <c r="Y403" s="138"/>
      <c r="Z403" s="139">
        <f t="shared" si="358"/>
        <v>0</v>
      </c>
      <c r="AA403" s="20"/>
      <c r="AB403" s="20"/>
      <c r="AC403" s="20"/>
      <c r="AD403" s="139">
        <f t="shared" si="359"/>
        <v>0</v>
      </c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0"/>
      <c r="AQ403" s="20"/>
      <c r="AR403" s="20"/>
      <c r="AS403" s="20"/>
      <c r="AT403" s="20">
        <f t="shared" si="360"/>
        <v>0</v>
      </c>
      <c r="AU403" s="20">
        <f t="shared" si="361"/>
        <v>0</v>
      </c>
      <c r="AV403" s="5"/>
      <c r="AW403" s="21">
        <f t="shared" si="362"/>
        <v>0</v>
      </c>
      <c r="AX403" s="140">
        <f t="shared" si="367"/>
        <v>0</v>
      </c>
      <c r="AY403" s="140">
        <f t="shared" si="368"/>
        <v>0</v>
      </c>
      <c r="AZ403" s="140">
        <f t="shared" si="369"/>
        <v>0</v>
      </c>
      <c r="BA403" s="140">
        <f t="shared" si="370"/>
        <v>0</v>
      </c>
      <c r="BB403" s="140">
        <f t="shared" si="371"/>
        <v>0</v>
      </c>
      <c r="BC403" s="140">
        <f t="shared" si="372"/>
        <v>0</v>
      </c>
      <c r="BD403" s="140">
        <f t="shared" si="373"/>
        <v>0</v>
      </c>
      <c r="BE403" s="140">
        <f t="shared" si="374"/>
        <v>0</v>
      </c>
      <c r="BF403" s="140">
        <f t="shared" si="375"/>
        <v>0</v>
      </c>
      <c r="BG403" s="140">
        <f t="shared" si="376"/>
        <v>0</v>
      </c>
      <c r="BH403" s="140">
        <f t="shared" si="363"/>
        <v>0</v>
      </c>
      <c r="BI403" s="140">
        <f t="shared" si="364"/>
        <v>0</v>
      </c>
      <c r="BJ403" s="140">
        <f t="shared" si="365"/>
        <v>0</v>
      </c>
      <c r="BK403" s="140">
        <f t="shared" si="366"/>
        <v>0</v>
      </c>
    </row>
    <row r="404" spans="1:63" s="100" customFormat="1" ht="16" hidden="1" customHeight="1">
      <c r="A404" s="137" t="s">
        <v>30</v>
      </c>
      <c r="B404" s="20" t="s">
        <v>1000</v>
      </c>
      <c r="C404" s="20" t="s">
        <v>1001</v>
      </c>
      <c r="D404" s="20" t="s">
        <v>30</v>
      </c>
      <c r="E404" s="20"/>
      <c r="F404" s="20"/>
      <c r="G404" s="20"/>
      <c r="H404" s="20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138"/>
      <c r="Y404" s="138"/>
      <c r="Z404" s="139">
        <f t="shared" si="358"/>
        <v>0</v>
      </c>
      <c r="AA404" s="20"/>
      <c r="AB404" s="20"/>
      <c r="AC404" s="20"/>
      <c r="AD404" s="139">
        <f t="shared" si="359"/>
        <v>0</v>
      </c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0"/>
      <c r="AQ404" s="20"/>
      <c r="AR404" s="20"/>
      <c r="AS404" s="20"/>
      <c r="AT404" s="20">
        <f t="shared" si="360"/>
        <v>0</v>
      </c>
      <c r="AU404" s="20">
        <f t="shared" si="361"/>
        <v>0</v>
      </c>
      <c r="AV404" s="5"/>
      <c r="AW404" s="21">
        <f t="shared" si="362"/>
        <v>0</v>
      </c>
      <c r="AX404" s="140">
        <f t="shared" si="367"/>
        <v>0</v>
      </c>
      <c r="AY404" s="140">
        <f t="shared" si="368"/>
        <v>0</v>
      </c>
      <c r="AZ404" s="140">
        <f t="shared" si="369"/>
        <v>0</v>
      </c>
      <c r="BA404" s="140">
        <f t="shared" si="370"/>
        <v>0</v>
      </c>
      <c r="BB404" s="140">
        <f t="shared" si="371"/>
        <v>0</v>
      </c>
      <c r="BC404" s="140">
        <f t="shared" si="372"/>
        <v>0</v>
      </c>
      <c r="BD404" s="140">
        <f t="shared" si="373"/>
        <v>0</v>
      </c>
      <c r="BE404" s="140">
        <f t="shared" si="374"/>
        <v>0</v>
      </c>
      <c r="BF404" s="140">
        <f t="shared" si="375"/>
        <v>0</v>
      </c>
      <c r="BG404" s="140">
        <f t="shared" si="376"/>
        <v>0</v>
      </c>
      <c r="BH404" s="140">
        <f t="shared" si="363"/>
        <v>0</v>
      </c>
      <c r="BI404" s="140">
        <f t="shared" si="364"/>
        <v>0</v>
      </c>
      <c r="BJ404" s="140">
        <f t="shared" si="365"/>
        <v>0</v>
      </c>
      <c r="BK404" s="140">
        <f t="shared" si="366"/>
        <v>0</v>
      </c>
    </row>
    <row r="405" spans="1:63" s="100" customFormat="1" ht="16" hidden="1" customHeight="1">
      <c r="A405" s="137" t="s">
        <v>30</v>
      </c>
      <c r="B405" s="20" t="s">
        <v>1002</v>
      </c>
      <c r="C405" s="20" t="s">
        <v>1003</v>
      </c>
      <c r="D405" s="20" t="s">
        <v>529</v>
      </c>
      <c r="E405" s="20"/>
      <c r="F405" s="20"/>
      <c r="G405" s="20"/>
      <c r="H405" s="20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138"/>
      <c r="Y405" s="138"/>
      <c r="Z405" s="139">
        <f t="shared" si="358"/>
        <v>0</v>
      </c>
      <c r="AA405" s="20"/>
      <c r="AB405" s="20"/>
      <c r="AC405" s="20"/>
      <c r="AD405" s="139">
        <f t="shared" si="359"/>
        <v>0</v>
      </c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0"/>
      <c r="AQ405" s="20"/>
      <c r="AR405" s="20"/>
      <c r="AS405" s="20"/>
      <c r="AT405" s="20">
        <f t="shared" si="360"/>
        <v>0</v>
      </c>
      <c r="AU405" s="20">
        <f t="shared" si="361"/>
        <v>0</v>
      </c>
      <c r="AV405" s="5"/>
      <c r="AW405" s="21">
        <f t="shared" si="362"/>
        <v>0</v>
      </c>
      <c r="AX405" s="140">
        <f t="shared" si="367"/>
        <v>0</v>
      </c>
      <c r="AY405" s="140">
        <f t="shared" si="368"/>
        <v>0</v>
      </c>
      <c r="AZ405" s="140">
        <f t="shared" si="369"/>
        <v>0</v>
      </c>
      <c r="BA405" s="140">
        <f t="shared" si="370"/>
        <v>0</v>
      </c>
      <c r="BB405" s="140">
        <f t="shared" si="371"/>
        <v>0</v>
      </c>
      <c r="BC405" s="140">
        <f t="shared" si="372"/>
        <v>0</v>
      </c>
      <c r="BD405" s="140">
        <f t="shared" si="373"/>
        <v>0</v>
      </c>
      <c r="BE405" s="140">
        <f t="shared" si="374"/>
        <v>0</v>
      </c>
      <c r="BF405" s="140">
        <f t="shared" si="375"/>
        <v>0</v>
      </c>
      <c r="BG405" s="140">
        <f t="shared" si="376"/>
        <v>0</v>
      </c>
      <c r="BH405" s="140">
        <f t="shared" si="363"/>
        <v>0</v>
      </c>
      <c r="BI405" s="140">
        <f t="shared" si="364"/>
        <v>0</v>
      </c>
      <c r="BJ405" s="140">
        <f t="shared" si="365"/>
        <v>0</v>
      </c>
      <c r="BK405" s="140">
        <f t="shared" si="366"/>
        <v>0</v>
      </c>
    </row>
    <row r="406" spans="1:63" s="100" customFormat="1" ht="16" hidden="1" customHeight="1">
      <c r="A406" s="137" t="s">
        <v>30</v>
      </c>
      <c r="B406" s="20" t="s">
        <v>1004</v>
      </c>
      <c r="C406" s="20" t="s">
        <v>1005</v>
      </c>
      <c r="D406" s="20" t="s">
        <v>529</v>
      </c>
      <c r="E406" s="20"/>
      <c r="F406" s="20"/>
      <c r="G406" s="20"/>
      <c r="H406" s="20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138"/>
      <c r="Y406" s="138"/>
      <c r="Z406" s="139">
        <f t="shared" si="358"/>
        <v>0</v>
      </c>
      <c r="AA406" s="20"/>
      <c r="AB406" s="20"/>
      <c r="AC406" s="20"/>
      <c r="AD406" s="139">
        <f t="shared" si="359"/>
        <v>0</v>
      </c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0"/>
      <c r="AQ406" s="20"/>
      <c r="AR406" s="20"/>
      <c r="AS406" s="20"/>
      <c r="AT406" s="20">
        <f t="shared" si="360"/>
        <v>0</v>
      </c>
      <c r="AU406" s="20">
        <f t="shared" si="361"/>
        <v>0</v>
      </c>
      <c r="AV406" s="5"/>
      <c r="AW406" s="21">
        <f t="shared" si="362"/>
        <v>0</v>
      </c>
      <c r="AX406" s="140">
        <f t="shared" si="367"/>
        <v>0</v>
      </c>
      <c r="AY406" s="140">
        <f t="shared" si="368"/>
        <v>0</v>
      </c>
      <c r="AZ406" s="140">
        <f t="shared" si="369"/>
        <v>0</v>
      </c>
      <c r="BA406" s="140">
        <f t="shared" si="370"/>
        <v>0</v>
      </c>
      <c r="BB406" s="140">
        <f t="shared" si="371"/>
        <v>0</v>
      </c>
      <c r="BC406" s="140">
        <f t="shared" si="372"/>
        <v>0</v>
      </c>
      <c r="BD406" s="140">
        <f t="shared" si="373"/>
        <v>0</v>
      </c>
      <c r="BE406" s="140">
        <f t="shared" si="374"/>
        <v>0</v>
      </c>
      <c r="BF406" s="140">
        <f t="shared" si="375"/>
        <v>0</v>
      </c>
      <c r="BG406" s="140">
        <f t="shared" si="376"/>
        <v>0</v>
      </c>
      <c r="BH406" s="140">
        <f t="shared" si="363"/>
        <v>0</v>
      </c>
      <c r="BI406" s="140">
        <f t="shared" si="364"/>
        <v>0</v>
      </c>
      <c r="BJ406" s="140">
        <f t="shared" si="365"/>
        <v>0</v>
      </c>
      <c r="BK406" s="140">
        <f t="shared" si="366"/>
        <v>0</v>
      </c>
    </row>
    <row r="407" spans="1:63" s="100" customFormat="1" ht="16" hidden="1" customHeight="1">
      <c r="A407" s="137" t="s">
        <v>30</v>
      </c>
      <c r="B407" s="20" t="s">
        <v>1006</v>
      </c>
      <c r="C407" s="20" t="s">
        <v>1007</v>
      </c>
      <c r="D407" s="20" t="s">
        <v>1008</v>
      </c>
      <c r="E407" s="20"/>
      <c r="F407" s="20" t="s">
        <v>36</v>
      </c>
      <c r="G407" s="20" t="s">
        <v>37</v>
      </c>
      <c r="H407" s="20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138"/>
      <c r="Y407" s="138"/>
      <c r="Z407" s="139">
        <f t="shared" si="358"/>
        <v>0</v>
      </c>
      <c r="AA407" s="20"/>
      <c r="AB407" s="20"/>
      <c r="AC407" s="20"/>
      <c r="AD407" s="139">
        <f t="shared" si="359"/>
        <v>0</v>
      </c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0"/>
      <c r="AQ407" s="20"/>
      <c r="AR407" s="20"/>
      <c r="AS407" s="20"/>
      <c r="AT407" s="20">
        <f t="shared" si="360"/>
        <v>0</v>
      </c>
      <c r="AU407" s="20">
        <f t="shared" si="361"/>
        <v>0</v>
      </c>
      <c r="AV407" s="5"/>
      <c r="AW407" s="21">
        <f t="shared" si="362"/>
        <v>0</v>
      </c>
      <c r="AX407" s="140">
        <f t="shared" si="367"/>
        <v>0</v>
      </c>
      <c r="AY407" s="140">
        <f t="shared" si="368"/>
        <v>0</v>
      </c>
      <c r="AZ407" s="140">
        <f t="shared" si="369"/>
        <v>0</v>
      </c>
      <c r="BA407" s="140">
        <f t="shared" si="370"/>
        <v>0</v>
      </c>
      <c r="BB407" s="140">
        <f t="shared" si="371"/>
        <v>0</v>
      </c>
      <c r="BC407" s="140">
        <f t="shared" si="372"/>
        <v>0</v>
      </c>
      <c r="BD407" s="140">
        <f t="shared" si="373"/>
        <v>0</v>
      </c>
      <c r="BE407" s="140">
        <f t="shared" si="374"/>
        <v>0</v>
      </c>
      <c r="BF407" s="140">
        <f t="shared" si="375"/>
        <v>0</v>
      </c>
      <c r="BG407" s="140">
        <f t="shared" si="376"/>
        <v>0</v>
      </c>
      <c r="BH407" s="140">
        <f t="shared" si="363"/>
        <v>0</v>
      </c>
      <c r="BI407" s="140">
        <f t="shared" si="364"/>
        <v>0</v>
      </c>
      <c r="BJ407" s="140">
        <f t="shared" si="365"/>
        <v>0</v>
      </c>
      <c r="BK407" s="140">
        <f t="shared" si="366"/>
        <v>0</v>
      </c>
    </row>
    <row r="408" spans="1:63" s="100" customFormat="1" ht="16" hidden="1" customHeight="1">
      <c r="A408" s="137" t="s">
        <v>30</v>
      </c>
      <c r="B408" s="20" t="s">
        <v>1009</v>
      </c>
      <c r="C408" s="20" t="s">
        <v>1010</v>
      </c>
      <c r="D408" s="20" t="s">
        <v>1008</v>
      </c>
      <c r="E408" s="20"/>
      <c r="F408" s="20"/>
      <c r="G408" s="20" t="s">
        <v>934</v>
      </c>
      <c r="H408" s="20" t="s">
        <v>934</v>
      </c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138"/>
      <c r="Y408" s="138"/>
      <c r="Z408" s="139">
        <f t="shared" si="358"/>
        <v>0</v>
      </c>
      <c r="AA408" s="20"/>
      <c r="AB408" s="20"/>
      <c r="AC408" s="20"/>
      <c r="AD408" s="139">
        <f t="shared" si="359"/>
        <v>0</v>
      </c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0"/>
      <c r="AQ408" s="20"/>
      <c r="AR408" s="20"/>
      <c r="AS408" s="20"/>
      <c r="AT408" s="20">
        <f t="shared" si="360"/>
        <v>0</v>
      </c>
      <c r="AU408" s="20">
        <f t="shared" si="361"/>
        <v>0</v>
      </c>
      <c r="AV408" s="5"/>
      <c r="AW408" s="21">
        <f t="shared" si="362"/>
        <v>0</v>
      </c>
      <c r="AX408" s="140">
        <f t="shared" si="367"/>
        <v>0</v>
      </c>
      <c r="AY408" s="140">
        <f t="shared" si="368"/>
        <v>0</v>
      </c>
      <c r="AZ408" s="140">
        <f t="shared" si="369"/>
        <v>0</v>
      </c>
      <c r="BA408" s="140">
        <f t="shared" si="370"/>
        <v>0</v>
      </c>
      <c r="BB408" s="140">
        <f t="shared" si="371"/>
        <v>0</v>
      </c>
      <c r="BC408" s="140">
        <f t="shared" si="372"/>
        <v>0</v>
      </c>
      <c r="BD408" s="140">
        <f t="shared" si="373"/>
        <v>0</v>
      </c>
      <c r="BE408" s="140">
        <f t="shared" si="374"/>
        <v>0</v>
      </c>
      <c r="BF408" s="140">
        <f t="shared" si="375"/>
        <v>0</v>
      </c>
      <c r="BG408" s="140">
        <f t="shared" si="376"/>
        <v>0</v>
      </c>
      <c r="BH408" s="140">
        <f t="shared" si="363"/>
        <v>0</v>
      </c>
      <c r="BI408" s="140">
        <f t="shared" si="364"/>
        <v>0</v>
      </c>
      <c r="BJ408" s="140">
        <f t="shared" si="365"/>
        <v>0</v>
      </c>
      <c r="BK408" s="140">
        <f t="shared" si="366"/>
        <v>0</v>
      </c>
    </row>
    <row r="409" spans="1:63" s="100" customFormat="1" ht="16" hidden="1" customHeight="1">
      <c r="A409" s="137" t="s">
        <v>30</v>
      </c>
      <c r="B409" s="20" t="s">
        <v>1011</v>
      </c>
      <c r="C409" s="20" t="s">
        <v>1012</v>
      </c>
      <c r="D409" s="20" t="s">
        <v>1008</v>
      </c>
      <c r="E409" s="20"/>
      <c r="F409" s="20"/>
      <c r="G409" s="20" t="s">
        <v>934</v>
      </c>
      <c r="H409" s="20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138"/>
      <c r="Y409" s="138"/>
      <c r="Z409" s="139">
        <f t="shared" si="358"/>
        <v>0</v>
      </c>
      <c r="AA409" s="20"/>
      <c r="AB409" s="20"/>
      <c r="AC409" s="20"/>
      <c r="AD409" s="139">
        <f t="shared" si="359"/>
        <v>0</v>
      </c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0"/>
      <c r="AQ409" s="20"/>
      <c r="AR409" s="20"/>
      <c r="AS409" s="20"/>
      <c r="AT409" s="20">
        <f t="shared" si="360"/>
        <v>0</v>
      </c>
      <c r="AU409" s="20">
        <f t="shared" si="361"/>
        <v>0</v>
      </c>
      <c r="AV409" s="5"/>
      <c r="AW409" s="21">
        <f t="shared" si="362"/>
        <v>0</v>
      </c>
      <c r="AX409" s="140">
        <f t="shared" si="367"/>
        <v>0</v>
      </c>
      <c r="AY409" s="140">
        <f t="shared" si="368"/>
        <v>0</v>
      </c>
      <c r="AZ409" s="140">
        <f t="shared" si="369"/>
        <v>0</v>
      </c>
      <c r="BA409" s="140">
        <f t="shared" si="370"/>
        <v>0</v>
      </c>
      <c r="BB409" s="140">
        <f t="shared" si="371"/>
        <v>0</v>
      </c>
      <c r="BC409" s="140">
        <f t="shared" si="372"/>
        <v>0</v>
      </c>
      <c r="BD409" s="140">
        <f t="shared" si="373"/>
        <v>0</v>
      </c>
      <c r="BE409" s="140">
        <f t="shared" si="374"/>
        <v>0</v>
      </c>
      <c r="BF409" s="140">
        <f t="shared" si="375"/>
        <v>0</v>
      </c>
      <c r="BG409" s="140">
        <f t="shared" si="376"/>
        <v>0</v>
      </c>
      <c r="BH409" s="140">
        <f t="shared" si="363"/>
        <v>0</v>
      </c>
      <c r="BI409" s="140">
        <f t="shared" si="364"/>
        <v>0</v>
      </c>
      <c r="BJ409" s="140">
        <f t="shared" si="365"/>
        <v>0</v>
      </c>
      <c r="BK409" s="140">
        <f t="shared" si="366"/>
        <v>0</v>
      </c>
    </row>
    <row r="410" spans="1:63" s="100" customFormat="1" ht="16" hidden="1" customHeight="1">
      <c r="A410" s="137" t="s">
        <v>30</v>
      </c>
      <c r="B410" s="20" t="s">
        <v>1013</v>
      </c>
      <c r="C410" s="20" t="s">
        <v>1014</v>
      </c>
      <c r="D410" s="20" t="s">
        <v>1008</v>
      </c>
      <c r="E410" s="20"/>
      <c r="F410" s="20" t="s">
        <v>934</v>
      </c>
      <c r="G410" s="20" t="s">
        <v>934</v>
      </c>
      <c r="H410" s="20" t="s">
        <v>934</v>
      </c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138"/>
      <c r="Y410" s="138"/>
      <c r="Z410" s="139">
        <f t="shared" si="358"/>
        <v>0</v>
      </c>
      <c r="AA410" s="20"/>
      <c r="AB410" s="20"/>
      <c r="AC410" s="20"/>
      <c r="AD410" s="139">
        <f t="shared" si="359"/>
        <v>0</v>
      </c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0"/>
      <c r="AQ410" s="20"/>
      <c r="AR410" s="20"/>
      <c r="AS410" s="20"/>
      <c r="AT410" s="20">
        <f t="shared" si="360"/>
        <v>0</v>
      </c>
      <c r="AU410" s="20">
        <f t="shared" si="361"/>
        <v>0</v>
      </c>
      <c r="AV410" s="5"/>
      <c r="AW410" s="21">
        <f t="shared" si="362"/>
        <v>0</v>
      </c>
      <c r="AX410" s="140">
        <f t="shared" si="367"/>
        <v>0</v>
      </c>
      <c r="AY410" s="140">
        <f t="shared" si="368"/>
        <v>0</v>
      </c>
      <c r="AZ410" s="140">
        <f t="shared" si="369"/>
        <v>0</v>
      </c>
      <c r="BA410" s="140">
        <f t="shared" si="370"/>
        <v>0</v>
      </c>
      <c r="BB410" s="140">
        <f t="shared" si="371"/>
        <v>0</v>
      </c>
      <c r="BC410" s="140">
        <f t="shared" si="372"/>
        <v>0</v>
      </c>
      <c r="BD410" s="140">
        <f t="shared" si="373"/>
        <v>0</v>
      </c>
      <c r="BE410" s="140">
        <f t="shared" si="374"/>
        <v>0</v>
      </c>
      <c r="BF410" s="140">
        <f t="shared" si="375"/>
        <v>0</v>
      </c>
      <c r="BG410" s="140">
        <f t="shared" si="376"/>
        <v>0</v>
      </c>
      <c r="BH410" s="140">
        <f t="shared" si="363"/>
        <v>0</v>
      </c>
      <c r="BI410" s="140">
        <f t="shared" si="364"/>
        <v>0</v>
      </c>
      <c r="BJ410" s="140">
        <f t="shared" si="365"/>
        <v>0</v>
      </c>
      <c r="BK410" s="140">
        <f t="shared" si="366"/>
        <v>0</v>
      </c>
    </row>
    <row r="411" spans="1:63" s="100" customFormat="1" ht="16" hidden="1" customHeight="1">
      <c r="A411" s="137" t="s">
        <v>30</v>
      </c>
      <c r="B411" s="20" t="s">
        <v>1015</v>
      </c>
      <c r="C411" s="20" t="s">
        <v>1016</v>
      </c>
      <c r="D411" s="20" t="s">
        <v>1008</v>
      </c>
      <c r="E411" s="20"/>
      <c r="F411" s="20"/>
      <c r="G411" s="20" t="s">
        <v>934</v>
      </c>
      <c r="H411" s="20" t="s">
        <v>934</v>
      </c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138"/>
      <c r="Y411" s="138"/>
      <c r="Z411" s="139">
        <f t="shared" si="358"/>
        <v>0</v>
      </c>
      <c r="AA411" s="20"/>
      <c r="AB411" s="20"/>
      <c r="AC411" s="20"/>
      <c r="AD411" s="139">
        <f t="shared" si="359"/>
        <v>0</v>
      </c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0"/>
      <c r="AQ411" s="20"/>
      <c r="AR411" s="20"/>
      <c r="AS411" s="20"/>
      <c r="AT411" s="20">
        <f t="shared" si="360"/>
        <v>0</v>
      </c>
      <c r="AU411" s="20">
        <f t="shared" si="361"/>
        <v>0</v>
      </c>
      <c r="AV411" s="5"/>
      <c r="AW411" s="21">
        <f t="shared" si="362"/>
        <v>0</v>
      </c>
      <c r="AX411" s="140">
        <f t="shared" si="367"/>
        <v>0</v>
      </c>
      <c r="AY411" s="140">
        <f t="shared" si="368"/>
        <v>0</v>
      </c>
      <c r="AZ411" s="140">
        <f t="shared" si="369"/>
        <v>0</v>
      </c>
      <c r="BA411" s="140">
        <f t="shared" si="370"/>
        <v>0</v>
      </c>
      <c r="BB411" s="140">
        <f t="shared" si="371"/>
        <v>0</v>
      </c>
      <c r="BC411" s="140">
        <f t="shared" si="372"/>
        <v>0</v>
      </c>
      <c r="BD411" s="140">
        <f t="shared" si="373"/>
        <v>0</v>
      </c>
      <c r="BE411" s="140">
        <f t="shared" si="374"/>
        <v>0</v>
      </c>
      <c r="BF411" s="140">
        <f t="shared" si="375"/>
        <v>0</v>
      </c>
      <c r="BG411" s="140">
        <f t="shared" si="376"/>
        <v>0</v>
      </c>
      <c r="BH411" s="140">
        <f t="shared" si="363"/>
        <v>0</v>
      </c>
      <c r="BI411" s="140">
        <f t="shared" si="364"/>
        <v>0</v>
      </c>
      <c r="BJ411" s="140">
        <f t="shared" si="365"/>
        <v>0</v>
      </c>
      <c r="BK411" s="140">
        <f t="shared" si="366"/>
        <v>0</v>
      </c>
    </row>
    <row r="412" spans="1:63" s="100" customFormat="1" ht="16" hidden="1" customHeight="1">
      <c r="A412" s="137" t="s">
        <v>30</v>
      </c>
      <c r="B412" s="20" t="s">
        <v>1017</v>
      </c>
      <c r="C412" s="20" t="s">
        <v>1018</v>
      </c>
      <c r="D412" s="20" t="s">
        <v>1008</v>
      </c>
      <c r="E412" s="20"/>
      <c r="F412" s="20"/>
      <c r="G412" s="20" t="s">
        <v>934</v>
      </c>
      <c r="H412" s="20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138"/>
      <c r="Y412" s="138"/>
      <c r="Z412" s="139">
        <f t="shared" si="358"/>
        <v>0</v>
      </c>
      <c r="AA412" s="20"/>
      <c r="AB412" s="20"/>
      <c r="AC412" s="20"/>
      <c r="AD412" s="139">
        <f t="shared" si="359"/>
        <v>0</v>
      </c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0"/>
      <c r="AQ412" s="20"/>
      <c r="AR412" s="20"/>
      <c r="AS412" s="20"/>
      <c r="AT412" s="20">
        <f t="shared" si="360"/>
        <v>0</v>
      </c>
      <c r="AU412" s="20">
        <f t="shared" si="361"/>
        <v>0</v>
      </c>
      <c r="AV412" s="5"/>
      <c r="AW412" s="21">
        <f t="shared" si="362"/>
        <v>0</v>
      </c>
      <c r="AX412" s="140">
        <f t="shared" si="367"/>
        <v>0</v>
      </c>
      <c r="AY412" s="140">
        <f t="shared" si="368"/>
        <v>0</v>
      </c>
      <c r="AZ412" s="140">
        <f t="shared" si="369"/>
        <v>0</v>
      </c>
      <c r="BA412" s="140">
        <f t="shared" si="370"/>
        <v>0</v>
      </c>
      <c r="BB412" s="140">
        <f t="shared" si="371"/>
        <v>0</v>
      </c>
      <c r="BC412" s="140">
        <f t="shared" si="372"/>
        <v>0</v>
      </c>
      <c r="BD412" s="140">
        <f t="shared" si="373"/>
        <v>0</v>
      </c>
      <c r="BE412" s="140">
        <f t="shared" si="374"/>
        <v>0</v>
      </c>
      <c r="BF412" s="140">
        <f t="shared" si="375"/>
        <v>0</v>
      </c>
      <c r="BG412" s="140">
        <f t="shared" si="376"/>
        <v>0</v>
      </c>
      <c r="BH412" s="140">
        <f t="shared" si="363"/>
        <v>0</v>
      </c>
      <c r="BI412" s="140">
        <f t="shared" si="364"/>
        <v>0</v>
      </c>
      <c r="BJ412" s="140">
        <f t="shared" si="365"/>
        <v>0</v>
      </c>
      <c r="BK412" s="140">
        <f t="shared" si="366"/>
        <v>0</v>
      </c>
    </row>
    <row r="413" spans="1:63" s="100" customFormat="1" ht="16" hidden="1" customHeight="1">
      <c r="A413" s="137" t="s">
        <v>30</v>
      </c>
      <c r="B413" s="20" t="s">
        <v>1019</v>
      </c>
      <c r="C413" s="20" t="s">
        <v>1020</v>
      </c>
      <c r="D413" s="20" t="s">
        <v>1008</v>
      </c>
      <c r="E413" s="20"/>
      <c r="F413" s="20" t="s">
        <v>934</v>
      </c>
      <c r="G413" s="20" t="s">
        <v>934</v>
      </c>
      <c r="H413" s="20" t="s">
        <v>934</v>
      </c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138"/>
      <c r="Y413" s="138"/>
      <c r="Z413" s="139">
        <f t="shared" si="358"/>
        <v>0</v>
      </c>
      <c r="AA413" s="20"/>
      <c r="AB413" s="20"/>
      <c r="AC413" s="20"/>
      <c r="AD413" s="139">
        <f t="shared" si="359"/>
        <v>0</v>
      </c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0"/>
      <c r="AQ413" s="20"/>
      <c r="AR413" s="20"/>
      <c r="AS413" s="20"/>
      <c r="AT413" s="20">
        <f t="shared" si="360"/>
        <v>0</v>
      </c>
      <c r="AU413" s="20">
        <f t="shared" si="361"/>
        <v>0</v>
      </c>
      <c r="AV413" s="5"/>
      <c r="AW413" s="21">
        <f t="shared" si="362"/>
        <v>0</v>
      </c>
      <c r="AX413" s="140">
        <f t="shared" si="367"/>
        <v>0</v>
      </c>
      <c r="AY413" s="140">
        <f t="shared" si="368"/>
        <v>0</v>
      </c>
      <c r="AZ413" s="140">
        <f t="shared" si="369"/>
        <v>0</v>
      </c>
      <c r="BA413" s="140">
        <f t="shared" si="370"/>
        <v>0</v>
      </c>
      <c r="BB413" s="140">
        <f t="shared" si="371"/>
        <v>0</v>
      </c>
      <c r="BC413" s="140">
        <f t="shared" si="372"/>
        <v>0</v>
      </c>
      <c r="BD413" s="140">
        <f t="shared" si="373"/>
        <v>0</v>
      </c>
      <c r="BE413" s="140">
        <f t="shared" si="374"/>
        <v>0</v>
      </c>
      <c r="BF413" s="140">
        <f t="shared" si="375"/>
        <v>0</v>
      </c>
      <c r="BG413" s="140">
        <f t="shared" si="376"/>
        <v>0</v>
      </c>
      <c r="BH413" s="140">
        <f t="shared" si="363"/>
        <v>0</v>
      </c>
      <c r="BI413" s="140">
        <f t="shared" si="364"/>
        <v>0</v>
      </c>
      <c r="BJ413" s="140">
        <f t="shared" si="365"/>
        <v>0</v>
      </c>
      <c r="BK413" s="140">
        <f t="shared" si="366"/>
        <v>0</v>
      </c>
    </row>
    <row r="414" spans="1:63" s="100" customFormat="1" ht="16" hidden="1" customHeight="1">
      <c r="A414" s="137" t="s">
        <v>30</v>
      </c>
      <c r="B414" s="20" t="s">
        <v>1021</v>
      </c>
      <c r="C414" s="20" t="s">
        <v>1022</v>
      </c>
      <c r="D414" s="20" t="s">
        <v>1008</v>
      </c>
      <c r="E414" s="20"/>
      <c r="F414" s="20" t="s">
        <v>934</v>
      </c>
      <c r="G414" s="20"/>
      <c r="H414" s="20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138"/>
      <c r="Y414" s="138"/>
      <c r="Z414" s="139">
        <f t="shared" ref="Z414:Z428" si="377">X414-Y414+AC414</f>
        <v>0</v>
      </c>
      <c r="AA414" s="20"/>
      <c r="AB414" s="20"/>
      <c r="AC414" s="20"/>
      <c r="AD414" s="139">
        <f t="shared" si="359"/>
        <v>0</v>
      </c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0"/>
      <c r="AQ414" s="20"/>
      <c r="AR414" s="20"/>
      <c r="AS414" s="20"/>
      <c r="AT414" s="20">
        <f t="shared" si="360"/>
        <v>0</v>
      </c>
      <c r="AU414" s="20">
        <f t="shared" si="361"/>
        <v>0</v>
      </c>
      <c r="AV414" s="5"/>
      <c r="AW414" s="21">
        <f t="shared" si="362"/>
        <v>0</v>
      </c>
      <c r="AX414" s="140">
        <f t="shared" si="367"/>
        <v>0</v>
      </c>
      <c r="AY414" s="140">
        <f t="shared" si="368"/>
        <v>0</v>
      </c>
      <c r="AZ414" s="140">
        <f t="shared" si="369"/>
        <v>0</v>
      </c>
      <c r="BA414" s="140">
        <f t="shared" si="370"/>
        <v>0</v>
      </c>
      <c r="BB414" s="140">
        <f t="shared" si="371"/>
        <v>0</v>
      </c>
      <c r="BC414" s="140">
        <f t="shared" si="372"/>
        <v>0</v>
      </c>
      <c r="BD414" s="140">
        <f t="shared" si="373"/>
        <v>0</v>
      </c>
      <c r="BE414" s="140">
        <f t="shared" si="374"/>
        <v>0</v>
      </c>
      <c r="BF414" s="140">
        <f t="shared" si="375"/>
        <v>0</v>
      </c>
      <c r="BG414" s="140">
        <f t="shared" si="376"/>
        <v>0</v>
      </c>
      <c r="BH414" s="140">
        <f t="shared" si="363"/>
        <v>0</v>
      </c>
      <c r="BI414" s="140">
        <f t="shared" si="364"/>
        <v>0</v>
      </c>
      <c r="BJ414" s="140">
        <f t="shared" si="365"/>
        <v>0</v>
      </c>
      <c r="BK414" s="140">
        <f t="shared" si="366"/>
        <v>0</v>
      </c>
    </row>
    <row r="415" spans="1:63" s="100" customFormat="1" ht="16" hidden="1" customHeight="1">
      <c r="A415" s="137" t="s">
        <v>30</v>
      </c>
      <c r="B415" s="20" t="s">
        <v>1023</v>
      </c>
      <c r="C415" s="20" t="s">
        <v>1024</v>
      </c>
      <c r="D415" s="20" t="s">
        <v>1008</v>
      </c>
      <c r="E415" s="20"/>
      <c r="F415" s="20" t="s">
        <v>934</v>
      </c>
      <c r="G415" s="20" t="s">
        <v>934</v>
      </c>
      <c r="H415" s="20" t="s">
        <v>934</v>
      </c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138"/>
      <c r="Y415" s="138"/>
      <c r="Z415" s="139">
        <f t="shared" si="377"/>
        <v>0</v>
      </c>
      <c r="AA415" s="20"/>
      <c r="AB415" s="20"/>
      <c r="AC415" s="20"/>
      <c r="AD415" s="139">
        <f t="shared" si="359"/>
        <v>0</v>
      </c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0"/>
      <c r="AQ415" s="20"/>
      <c r="AR415" s="20"/>
      <c r="AS415" s="20"/>
      <c r="AT415" s="20">
        <f t="shared" si="360"/>
        <v>0</v>
      </c>
      <c r="AU415" s="20">
        <f t="shared" si="361"/>
        <v>0</v>
      </c>
      <c r="AV415" s="5"/>
      <c r="AW415" s="21">
        <f t="shared" si="362"/>
        <v>0</v>
      </c>
      <c r="AX415" s="140">
        <f t="shared" si="367"/>
        <v>0</v>
      </c>
      <c r="AY415" s="140">
        <f t="shared" si="368"/>
        <v>0</v>
      </c>
      <c r="AZ415" s="140">
        <f t="shared" si="369"/>
        <v>0</v>
      </c>
      <c r="BA415" s="140">
        <f t="shared" si="370"/>
        <v>0</v>
      </c>
      <c r="BB415" s="140">
        <f t="shared" si="371"/>
        <v>0</v>
      </c>
      <c r="BC415" s="140">
        <f t="shared" si="372"/>
        <v>0</v>
      </c>
      <c r="BD415" s="140">
        <f t="shared" si="373"/>
        <v>0</v>
      </c>
      <c r="BE415" s="140">
        <f t="shared" si="374"/>
        <v>0</v>
      </c>
      <c r="BF415" s="140">
        <f t="shared" si="375"/>
        <v>0</v>
      </c>
      <c r="BG415" s="140">
        <f t="shared" si="376"/>
        <v>0</v>
      </c>
      <c r="BH415" s="140">
        <f t="shared" si="363"/>
        <v>0</v>
      </c>
      <c r="BI415" s="140">
        <f t="shared" si="364"/>
        <v>0</v>
      </c>
      <c r="BJ415" s="140">
        <f t="shared" si="365"/>
        <v>0</v>
      </c>
      <c r="BK415" s="140">
        <f t="shared" si="366"/>
        <v>0</v>
      </c>
    </row>
    <row r="416" spans="1:63" s="100" customFormat="1" ht="16" hidden="1" customHeight="1">
      <c r="A416" s="137" t="s">
        <v>30</v>
      </c>
      <c r="B416" s="20" t="s">
        <v>1025</v>
      </c>
      <c r="C416" s="20" t="s">
        <v>1026</v>
      </c>
      <c r="D416" s="20" t="s">
        <v>1008</v>
      </c>
      <c r="E416" s="20"/>
      <c r="F416" s="20" t="s">
        <v>934</v>
      </c>
      <c r="G416" s="20"/>
      <c r="H416" s="20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138"/>
      <c r="Y416" s="138"/>
      <c r="Z416" s="139">
        <f t="shared" si="377"/>
        <v>0</v>
      </c>
      <c r="AA416" s="20"/>
      <c r="AB416" s="20"/>
      <c r="AC416" s="20"/>
      <c r="AD416" s="139">
        <f t="shared" si="359"/>
        <v>0</v>
      </c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0"/>
      <c r="AQ416" s="20"/>
      <c r="AR416" s="20"/>
      <c r="AS416" s="20"/>
      <c r="AT416" s="20">
        <f t="shared" si="360"/>
        <v>0</v>
      </c>
      <c r="AU416" s="20">
        <f t="shared" si="361"/>
        <v>0</v>
      </c>
      <c r="AV416" s="5"/>
      <c r="AW416" s="21">
        <f t="shared" si="362"/>
        <v>0</v>
      </c>
      <c r="AX416" s="140">
        <f t="shared" si="367"/>
        <v>0</v>
      </c>
      <c r="AY416" s="140">
        <f t="shared" si="368"/>
        <v>0</v>
      </c>
      <c r="AZ416" s="140">
        <f t="shared" si="369"/>
        <v>0</v>
      </c>
      <c r="BA416" s="140">
        <f t="shared" si="370"/>
        <v>0</v>
      </c>
      <c r="BB416" s="140">
        <f t="shared" si="371"/>
        <v>0</v>
      </c>
      <c r="BC416" s="140">
        <f t="shared" si="372"/>
        <v>0</v>
      </c>
      <c r="BD416" s="140">
        <f t="shared" si="373"/>
        <v>0</v>
      </c>
      <c r="BE416" s="140">
        <f t="shared" si="374"/>
        <v>0</v>
      </c>
      <c r="BF416" s="140">
        <f t="shared" si="375"/>
        <v>0</v>
      </c>
      <c r="BG416" s="140">
        <f t="shared" si="376"/>
        <v>0</v>
      </c>
      <c r="BH416" s="140">
        <f t="shared" si="363"/>
        <v>0</v>
      </c>
      <c r="BI416" s="140">
        <f t="shared" si="364"/>
        <v>0</v>
      </c>
      <c r="BJ416" s="140">
        <f t="shared" si="365"/>
        <v>0</v>
      </c>
      <c r="BK416" s="140">
        <f t="shared" si="366"/>
        <v>0</v>
      </c>
    </row>
    <row r="417" spans="1:63" s="100" customFormat="1" ht="16" hidden="1" customHeight="1">
      <c r="A417" s="137" t="s">
        <v>30</v>
      </c>
      <c r="B417" s="20" t="s">
        <v>1027</v>
      </c>
      <c r="C417" s="20" t="s">
        <v>1028</v>
      </c>
      <c r="D417" s="20" t="s">
        <v>1008</v>
      </c>
      <c r="E417" s="20"/>
      <c r="F417" s="20" t="s">
        <v>36</v>
      </c>
      <c r="G417" s="20" t="s">
        <v>37</v>
      </c>
      <c r="H417" s="20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138"/>
      <c r="Y417" s="138"/>
      <c r="Z417" s="139">
        <f t="shared" si="377"/>
        <v>0</v>
      </c>
      <c r="AA417" s="20"/>
      <c r="AB417" s="20"/>
      <c r="AC417" s="20"/>
      <c r="AD417" s="139">
        <f t="shared" si="359"/>
        <v>0</v>
      </c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0"/>
      <c r="AQ417" s="20"/>
      <c r="AR417" s="20"/>
      <c r="AS417" s="20"/>
      <c r="AT417" s="20">
        <f t="shared" si="360"/>
        <v>0</v>
      </c>
      <c r="AU417" s="20">
        <f t="shared" si="361"/>
        <v>0</v>
      </c>
      <c r="AV417" s="5"/>
      <c r="AW417" s="21">
        <f t="shared" si="362"/>
        <v>0</v>
      </c>
      <c r="AX417" s="140">
        <f t="shared" si="367"/>
        <v>0</v>
      </c>
      <c r="AY417" s="140">
        <f t="shared" si="368"/>
        <v>0</v>
      </c>
      <c r="AZ417" s="140">
        <f t="shared" si="369"/>
        <v>0</v>
      </c>
      <c r="BA417" s="140">
        <f t="shared" si="370"/>
        <v>0</v>
      </c>
      <c r="BB417" s="140">
        <f t="shared" si="371"/>
        <v>0</v>
      </c>
      <c r="BC417" s="140">
        <f t="shared" si="372"/>
        <v>0</v>
      </c>
      <c r="BD417" s="140">
        <f t="shared" si="373"/>
        <v>0</v>
      </c>
      <c r="BE417" s="140">
        <f t="shared" si="374"/>
        <v>0</v>
      </c>
      <c r="BF417" s="140">
        <f t="shared" si="375"/>
        <v>0</v>
      </c>
      <c r="BG417" s="140">
        <f t="shared" si="376"/>
        <v>0</v>
      </c>
      <c r="BH417" s="140">
        <f t="shared" si="363"/>
        <v>0</v>
      </c>
      <c r="BI417" s="140">
        <f t="shared" si="364"/>
        <v>0</v>
      </c>
      <c r="BJ417" s="140">
        <f t="shared" si="365"/>
        <v>0</v>
      </c>
      <c r="BK417" s="140">
        <f t="shared" si="366"/>
        <v>0</v>
      </c>
    </row>
    <row r="418" spans="1:63" s="100" customFormat="1" ht="16" hidden="1" customHeight="1">
      <c r="A418" s="137" t="s">
        <v>30</v>
      </c>
      <c r="B418" s="20" t="s">
        <v>1029</v>
      </c>
      <c r="C418" s="20" t="s">
        <v>1030</v>
      </c>
      <c r="D418" s="20" t="s">
        <v>1008</v>
      </c>
      <c r="E418" s="20"/>
      <c r="F418" s="20" t="s">
        <v>36</v>
      </c>
      <c r="G418" s="20" t="s">
        <v>37</v>
      </c>
      <c r="H418" s="20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138"/>
      <c r="Y418" s="138"/>
      <c r="Z418" s="139">
        <f t="shared" si="377"/>
        <v>0</v>
      </c>
      <c r="AA418" s="20"/>
      <c r="AB418" s="20"/>
      <c r="AC418" s="20"/>
      <c r="AD418" s="139">
        <f t="shared" si="359"/>
        <v>0</v>
      </c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0"/>
      <c r="AQ418" s="20"/>
      <c r="AR418" s="20"/>
      <c r="AS418" s="20"/>
      <c r="AT418" s="20">
        <f t="shared" si="360"/>
        <v>0</v>
      </c>
      <c r="AU418" s="20">
        <f t="shared" si="361"/>
        <v>0</v>
      </c>
      <c r="AV418" s="5"/>
      <c r="AW418" s="21">
        <f t="shared" si="362"/>
        <v>0</v>
      </c>
      <c r="AX418" s="140">
        <f t="shared" si="367"/>
        <v>0</v>
      </c>
      <c r="AY418" s="140">
        <f t="shared" si="368"/>
        <v>0</v>
      </c>
      <c r="AZ418" s="140">
        <f t="shared" si="369"/>
        <v>0</v>
      </c>
      <c r="BA418" s="140">
        <f t="shared" si="370"/>
        <v>0</v>
      </c>
      <c r="BB418" s="140">
        <f t="shared" si="371"/>
        <v>0</v>
      </c>
      <c r="BC418" s="140">
        <f t="shared" si="372"/>
        <v>0</v>
      </c>
      <c r="BD418" s="140">
        <f t="shared" si="373"/>
        <v>0</v>
      </c>
      <c r="BE418" s="140">
        <f t="shared" si="374"/>
        <v>0</v>
      </c>
      <c r="BF418" s="140">
        <f t="shared" si="375"/>
        <v>0</v>
      </c>
      <c r="BG418" s="140">
        <f t="shared" si="376"/>
        <v>0</v>
      </c>
      <c r="BH418" s="140">
        <f t="shared" si="363"/>
        <v>0</v>
      </c>
      <c r="BI418" s="140">
        <f t="shared" si="364"/>
        <v>0</v>
      </c>
      <c r="BJ418" s="140">
        <f t="shared" si="365"/>
        <v>0</v>
      </c>
      <c r="BK418" s="140">
        <f t="shared" si="366"/>
        <v>0</v>
      </c>
    </row>
    <row r="419" spans="1:63" s="100" customFormat="1" ht="16" hidden="1" customHeight="1">
      <c r="A419" s="137" t="s">
        <v>30</v>
      </c>
      <c r="B419" s="20" t="s">
        <v>1031</v>
      </c>
      <c r="C419" s="20" t="s">
        <v>1032</v>
      </c>
      <c r="D419" s="20" t="s">
        <v>1008</v>
      </c>
      <c r="E419" s="20"/>
      <c r="F419" s="20" t="s">
        <v>273</v>
      </c>
      <c r="G419" s="20" t="s">
        <v>934</v>
      </c>
      <c r="H419" s="20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138"/>
      <c r="Y419" s="138"/>
      <c r="Z419" s="139">
        <f t="shared" si="377"/>
        <v>0</v>
      </c>
      <c r="AA419" s="20"/>
      <c r="AB419" s="20"/>
      <c r="AC419" s="20"/>
      <c r="AD419" s="139">
        <f t="shared" si="359"/>
        <v>0</v>
      </c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0"/>
      <c r="AQ419" s="20"/>
      <c r="AR419" s="20"/>
      <c r="AS419" s="20"/>
      <c r="AT419" s="20">
        <f t="shared" si="360"/>
        <v>0</v>
      </c>
      <c r="AU419" s="20">
        <f t="shared" si="361"/>
        <v>0</v>
      </c>
      <c r="AV419" s="5"/>
      <c r="AW419" s="21">
        <f t="shared" si="362"/>
        <v>0</v>
      </c>
      <c r="AX419" s="140">
        <f t="shared" si="367"/>
        <v>0</v>
      </c>
      <c r="AY419" s="140">
        <f t="shared" si="368"/>
        <v>0</v>
      </c>
      <c r="AZ419" s="140">
        <f t="shared" si="369"/>
        <v>0</v>
      </c>
      <c r="BA419" s="140">
        <f t="shared" si="370"/>
        <v>0</v>
      </c>
      <c r="BB419" s="140">
        <f t="shared" si="371"/>
        <v>0</v>
      </c>
      <c r="BC419" s="140">
        <f t="shared" si="372"/>
        <v>0</v>
      </c>
      <c r="BD419" s="140">
        <f t="shared" si="373"/>
        <v>0</v>
      </c>
      <c r="BE419" s="140">
        <f t="shared" si="374"/>
        <v>0</v>
      </c>
      <c r="BF419" s="140">
        <f t="shared" si="375"/>
        <v>0</v>
      </c>
      <c r="BG419" s="140">
        <f t="shared" si="376"/>
        <v>0</v>
      </c>
      <c r="BH419" s="140">
        <f t="shared" si="363"/>
        <v>0</v>
      </c>
      <c r="BI419" s="140">
        <f t="shared" si="364"/>
        <v>0</v>
      </c>
      <c r="BJ419" s="140">
        <f t="shared" si="365"/>
        <v>0</v>
      </c>
      <c r="BK419" s="140">
        <f t="shared" si="366"/>
        <v>0</v>
      </c>
    </row>
    <row r="420" spans="1:63" s="100" customFormat="1" ht="16" hidden="1" customHeight="1">
      <c r="A420" s="137" t="s">
        <v>30</v>
      </c>
      <c r="B420" s="20" t="s">
        <v>1033</v>
      </c>
      <c r="C420" s="20" t="s">
        <v>1034</v>
      </c>
      <c r="D420" s="20" t="s">
        <v>1008</v>
      </c>
      <c r="E420" s="20"/>
      <c r="F420" s="20"/>
      <c r="G420" s="20" t="s">
        <v>934</v>
      </c>
      <c r="H420" s="20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138"/>
      <c r="Y420" s="138"/>
      <c r="Z420" s="139">
        <f t="shared" si="377"/>
        <v>0</v>
      </c>
      <c r="AA420" s="20"/>
      <c r="AB420" s="20"/>
      <c r="AC420" s="20"/>
      <c r="AD420" s="139">
        <f t="shared" si="359"/>
        <v>0</v>
      </c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0"/>
      <c r="AQ420" s="20"/>
      <c r="AR420" s="20"/>
      <c r="AS420" s="20"/>
      <c r="AT420" s="20">
        <f t="shared" si="360"/>
        <v>0</v>
      </c>
      <c r="AU420" s="20">
        <f t="shared" si="361"/>
        <v>0</v>
      </c>
      <c r="AV420" s="5"/>
      <c r="AW420" s="21">
        <f t="shared" si="362"/>
        <v>0</v>
      </c>
      <c r="AX420" s="140">
        <f t="shared" si="367"/>
        <v>0</v>
      </c>
      <c r="AY420" s="140">
        <f t="shared" si="368"/>
        <v>0</v>
      </c>
      <c r="AZ420" s="140">
        <f t="shared" si="369"/>
        <v>0</v>
      </c>
      <c r="BA420" s="140">
        <f t="shared" si="370"/>
        <v>0</v>
      </c>
      <c r="BB420" s="140">
        <f t="shared" si="371"/>
        <v>0</v>
      </c>
      <c r="BC420" s="140">
        <f t="shared" si="372"/>
        <v>0</v>
      </c>
      <c r="BD420" s="140">
        <f t="shared" si="373"/>
        <v>0</v>
      </c>
      <c r="BE420" s="140">
        <f t="shared" si="374"/>
        <v>0</v>
      </c>
      <c r="BF420" s="140">
        <f t="shared" si="375"/>
        <v>0</v>
      </c>
      <c r="BG420" s="140">
        <f t="shared" si="376"/>
        <v>0</v>
      </c>
      <c r="BH420" s="140">
        <f t="shared" si="363"/>
        <v>0</v>
      </c>
      <c r="BI420" s="140">
        <f t="shared" si="364"/>
        <v>0</v>
      </c>
      <c r="BJ420" s="140">
        <f t="shared" si="365"/>
        <v>0</v>
      </c>
      <c r="BK420" s="140">
        <f t="shared" si="366"/>
        <v>0</v>
      </c>
    </row>
    <row r="421" spans="1:63" s="100" customFormat="1" ht="16" hidden="1" customHeight="1">
      <c r="A421" s="137" t="s">
        <v>30</v>
      </c>
      <c r="B421" s="20" t="s">
        <v>1035</v>
      </c>
      <c r="C421" s="20" t="s">
        <v>1036</v>
      </c>
      <c r="D421" s="20" t="s">
        <v>1008</v>
      </c>
      <c r="E421" s="20"/>
      <c r="F421" s="20" t="s">
        <v>266</v>
      </c>
      <c r="G421" s="20" t="s">
        <v>934</v>
      </c>
      <c r="H421" s="20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138"/>
      <c r="Y421" s="138"/>
      <c r="Z421" s="139">
        <f t="shared" si="377"/>
        <v>0</v>
      </c>
      <c r="AA421" s="20"/>
      <c r="AB421" s="20"/>
      <c r="AC421" s="20"/>
      <c r="AD421" s="139">
        <f t="shared" si="359"/>
        <v>0</v>
      </c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0"/>
      <c r="AQ421" s="20"/>
      <c r="AR421" s="20"/>
      <c r="AS421" s="20"/>
      <c r="AT421" s="20">
        <f t="shared" si="360"/>
        <v>0</v>
      </c>
      <c r="AU421" s="20">
        <f t="shared" si="361"/>
        <v>0</v>
      </c>
      <c r="AV421" s="5"/>
      <c r="AW421" s="21">
        <f t="shared" si="362"/>
        <v>0</v>
      </c>
      <c r="AX421" s="140">
        <f t="shared" si="367"/>
        <v>0</v>
      </c>
      <c r="AY421" s="140">
        <f t="shared" si="368"/>
        <v>0</v>
      </c>
      <c r="AZ421" s="140">
        <f t="shared" si="369"/>
        <v>0</v>
      </c>
      <c r="BA421" s="140">
        <f t="shared" si="370"/>
        <v>0</v>
      </c>
      <c r="BB421" s="140">
        <f t="shared" si="371"/>
        <v>0</v>
      </c>
      <c r="BC421" s="140">
        <f t="shared" si="372"/>
        <v>0</v>
      </c>
      <c r="BD421" s="140">
        <f t="shared" si="373"/>
        <v>0</v>
      </c>
      <c r="BE421" s="140">
        <f t="shared" si="374"/>
        <v>0</v>
      </c>
      <c r="BF421" s="140">
        <f t="shared" si="375"/>
        <v>0</v>
      </c>
      <c r="BG421" s="140">
        <f t="shared" si="376"/>
        <v>0</v>
      </c>
      <c r="BH421" s="140">
        <f t="shared" si="363"/>
        <v>0</v>
      </c>
      <c r="BI421" s="140">
        <f t="shared" si="364"/>
        <v>0</v>
      </c>
      <c r="BJ421" s="140">
        <f t="shared" si="365"/>
        <v>0</v>
      </c>
      <c r="BK421" s="140">
        <f t="shared" si="366"/>
        <v>0</v>
      </c>
    </row>
    <row r="422" spans="1:63" s="100" customFormat="1" ht="16" hidden="1" customHeight="1">
      <c r="A422" s="137" t="s">
        <v>30</v>
      </c>
      <c r="B422" s="20" t="s">
        <v>1037</v>
      </c>
      <c r="C422" s="20" t="s">
        <v>1038</v>
      </c>
      <c r="D422" s="20" t="s">
        <v>1008</v>
      </c>
      <c r="E422" s="20"/>
      <c r="F422" s="20"/>
      <c r="G422" s="20"/>
      <c r="H422" s="20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138"/>
      <c r="Y422" s="138"/>
      <c r="Z422" s="139">
        <f t="shared" si="377"/>
        <v>0</v>
      </c>
      <c r="AA422" s="20"/>
      <c r="AB422" s="20"/>
      <c r="AC422" s="20"/>
      <c r="AD422" s="139">
        <f t="shared" si="359"/>
        <v>0</v>
      </c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0"/>
      <c r="AQ422" s="20"/>
      <c r="AR422" s="20"/>
      <c r="AS422" s="20"/>
      <c r="AT422" s="20">
        <f t="shared" si="360"/>
        <v>0</v>
      </c>
      <c r="AU422" s="20">
        <f t="shared" si="361"/>
        <v>0</v>
      </c>
      <c r="AV422" s="5"/>
      <c r="AW422" s="21">
        <f t="shared" si="362"/>
        <v>0</v>
      </c>
      <c r="AX422" s="140">
        <f t="shared" si="367"/>
        <v>0</v>
      </c>
      <c r="AY422" s="140">
        <f t="shared" si="368"/>
        <v>0</v>
      </c>
      <c r="AZ422" s="140">
        <f t="shared" si="369"/>
        <v>0</v>
      </c>
      <c r="BA422" s="140">
        <f t="shared" si="370"/>
        <v>0</v>
      </c>
      <c r="BB422" s="140">
        <f t="shared" si="371"/>
        <v>0</v>
      </c>
      <c r="BC422" s="140">
        <f t="shared" si="372"/>
        <v>0</v>
      </c>
      <c r="BD422" s="140">
        <f t="shared" si="373"/>
        <v>0</v>
      </c>
      <c r="BE422" s="140">
        <f t="shared" si="374"/>
        <v>0</v>
      </c>
      <c r="BF422" s="140">
        <f t="shared" si="375"/>
        <v>0</v>
      </c>
      <c r="BG422" s="140">
        <f t="shared" si="376"/>
        <v>0</v>
      </c>
      <c r="BH422" s="140">
        <f t="shared" si="363"/>
        <v>0</v>
      </c>
      <c r="BI422" s="140">
        <f t="shared" si="364"/>
        <v>0</v>
      </c>
      <c r="BJ422" s="140">
        <f t="shared" si="365"/>
        <v>0</v>
      </c>
      <c r="BK422" s="140">
        <f t="shared" si="366"/>
        <v>0</v>
      </c>
    </row>
    <row r="423" spans="1:63" s="100" customFormat="1" ht="16" hidden="1" customHeight="1">
      <c r="A423" s="137" t="s">
        <v>30</v>
      </c>
      <c r="B423" s="20" t="s">
        <v>1039</v>
      </c>
      <c r="C423" s="20" t="s">
        <v>1040</v>
      </c>
      <c r="D423" s="20" t="s">
        <v>1008</v>
      </c>
      <c r="E423" s="20"/>
      <c r="F423" s="20" t="s">
        <v>934</v>
      </c>
      <c r="G423" s="20" t="s">
        <v>934</v>
      </c>
      <c r="H423" s="20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138"/>
      <c r="Y423" s="138"/>
      <c r="Z423" s="139">
        <f t="shared" si="377"/>
        <v>0</v>
      </c>
      <c r="AA423" s="20"/>
      <c r="AB423" s="20"/>
      <c r="AC423" s="20"/>
      <c r="AD423" s="139">
        <f t="shared" si="359"/>
        <v>0</v>
      </c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0"/>
      <c r="AQ423" s="20"/>
      <c r="AR423" s="20"/>
      <c r="AS423" s="20"/>
      <c r="AT423" s="20">
        <f t="shared" si="360"/>
        <v>0</v>
      </c>
      <c r="AU423" s="20">
        <f t="shared" si="361"/>
        <v>0</v>
      </c>
      <c r="AV423" s="5"/>
      <c r="AW423" s="21">
        <f t="shared" si="362"/>
        <v>0</v>
      </c>
      <c r="AX423" s="140">
        <f t="shared" si="367"/>
        <v>0</v>
      </c>
      <c r="AY423" s="140">
        <f t="shared" si="368"/>
        <v>0</v>
      </c>
      <c r="AZ423" s="140">
        <f t="shared" si="369"/>
        <v>0</v>
      </c>
      <c r="BA423" s="140">
        <f t="shared" si="370"/>
        <v>0</v>
      </c>
      <c r="BB423" s="140">
        <f t="shared" si="371"/>
        <v>0</v>
      </c>
      <c r="BC423" s="140">
        <f t="shared" si="372"/>
        <v>0</v>
      </c>
      <c r="BD423" s="140">
        <f t="shared" si="373"/>
        <v>0</v>
      </c>
      <c r="BE423" s="140">
        <f t="shared" si="374"/>
        <v>0</v>
      </c>
      <c r="BF423" s="140">
        <f t="shared" si="375"/>
        <v>0</v>
      </c>
      <c r="BG423" s="140">
        <f t="shared" si="376"/>
        <v>0</v>
      </c>
      <c r="BH423" s="140">
        <f t="shared" si="363"/>
        <v>0</v>
      </c>
      <c r="BI423" s="140">
        <f t="shared" si="364"/>
        <v>0</v>
      </c>
      <c r="BJ423" s="140">
        <f t="shared" si="365"/>
        <v>0</v>
      </c>
      <c r="BK423" s="140">
        <f t="shared" si="366"/>
        <v>0</v>
      </c>
    </row>
    <row r="424" spans="1:63" s="100" customFormat="1" ht="16" hidden="1" customHeight="1">
      <c r="A424" s="137" t="s">
        <v>30</v>
      </c>
      <c r="B424" s="20" t="s">
        <v>1041</v>
      </c>
      <c r="C424" s="20" t="s">
        <v>1042</v>
      </c>
      <c r="D424" s="20" t="s">
        <v>1008</v>
      </c>
      <c r="E424" s="20"/>
      <c r="F424" s="20" t="s">
        <v>273</v>
      </c>
      <c r="G424" s="20" t="s">
        <v>934</v>
      </c>
      <c r="H424" s="20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138"/>
      <c r="Y424" s="138"/>
      <c r="Z424" s="139">
        <f t="shared" si="377"/>
        <v>0</v>
      </c>
      <c r="AA424" s="20"/>
      <c r="AB424" s="20"/>
      <c r="AC424" s="20"/>
      <c r="AD424" s="139">
        <f t="shared" si="359"/>
        <v>0</v>
      </c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0"/>
      <c r="AQ424" s="20"/>
      <c r="AR424" s="20"/>
      <c r="AS424" s="20"/>
      <c r="AT424" s="20">
        <f t="shared" si="360"/>
        <v>0</v>
      </c>
      <c r="AU424" s="20">
        <f t="shared" si="361"/>
        <v>0</v>
      </c>
      <c r="AV424" s="5"/>
      <c r="AW424" s="21">
        <f t="shared" si="362"/>
        <v>0</v>
      </c>
      <c r="AX424" s="140">
        <f t="shared" si="367"/>
        <v>0</v>
      </c>
      <c r="AY424" s="140">
        <f t="shared" si="368"/>
        <v>0</v>
      </c>
      <c r="AZ424" s="140">
        <f t="shared" si="369"/>
        <v>0</v>
      </c>
      <c r="BA424" s="140">
        <f t="shared" si="370"/>
        <v>0</v>
      </c>
      <c r="BB424" s="140">
        <f t="shared" si="371"/>
        <v>0</v>
      </c>
      <c r="BC424" s="140">
        <f t="shared" si="372"/>
        <v>0</v>
      </c>
      <c r="BD424" s="140">
        <f t="shared" si="373"/>
        <v>0</v>
      </c>
      <c r="BE424" s="140">
        <f t="shared" si="374"/>
        <v>0</v>
      </c>
      <c r="BF424" s="140">
        <f t="shared" si="375"/>
        <v>0</v>
      </c>
      <c r="BG424" s="140">
        <f t="shared" si="376"/>
        <v>0</v>
      </c>
      <c r="BH424" s="140">
        <f t="shared" si="363"/>
        <v>0</v>
      </c>
      <c r="BI424" s="140">
        <f t="shared" si="364"/>
        <v>0</v>
      </c>
      <c r="BJ424" s="140">
        <f t="shared" si="365"/>
        <v>0</v>
      </c>
      <c r="BK424" s="140">
        <f t="shared" si="366"/>
        <v>0</v>
      </c>
    </row>
    <row r="425" spans="1:63" s="100" customFormat="1" ht="16" hidden="1" customHeight="1">
      <c r="A425" s="137" t="s">
        <v>30</v>
      </c>
      <c r="B425" s="20" t="s">
        <v>1043</v>
      </c>
      <c r="C425" s="20" t="s">
        <v>1044</v>
      </c>
      <c r="D425" s="20" t="s">
        <v>1008</v>
      </c>
      <c r="E425" s="20"/>
      <c r="F425" s="20" t="s">
        <v>36</v>
      </c>
      <c r="G425" s="20" t="s">
        <v>934</v>
      </c>
      <c r="H425" s="20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138"/>
      <c r="Y425" s="138"/>
      <c r="Z425" s="139">
        <f t="shared" si="377"/>
        <v>0</v>
      </c>
      <c r="AA425" s="20"/>
      <c r="AB425" s="20"/>
      <c r="AC425" s="20"/>
      <c r="AD425" s="139">
        <f t="shared" si="359"/>
        <v>0</v>
      </c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0"/>
      <c r="AQ425" s="20"/>
      <c r="AR425" s="20"/>
      <c r="AS425" s="20"/>
      <c r="AT425" s="20">
        <f t="shared" si="360"/>
        <v>0</v>
      </c>
      <c r="AU425" s="20">
        <f t="shared" si="361"/>
        <v>0</v>
      </c>
      <c r="AV425" s="5"/>
      <c r="AW425" s="21">
        <f t="shared" si="362"/>
        <v>0</v>
      </c>
      <c r="AX425" s="140">
        <f t="shared" si="367"/>
        <v>0</v>
      </c>
      <c r="AY425" s="140">
        <f t="shared" si="368"/>
        <v>0</v>
      </c>
      <c r="AZ425" s="140">
        <f t="shared" si="369"/>
        <v>0</v>
      </c>
      <c r="BA425" s="140">
        <f t="shared" si="370"/>
        <v>0</v>
      </c>
      <c r="BB425" s="140">
        <f t="shared" si="371"/>
        <v>0</v>
      </c>
      <c r="BC425" s="140">
        <f t="shared" si="372"/>
        <v>0</v>
      </c>
      <c r="BD425" s="140">
        <f t="shared" si="373"/>
        <v>0</v>
      </c>
      <c r="BE425" s="140">
        <f t="shared" si="374"/>
        <v>0</v>
      </c>
      <c r="BF425" s="140">
        <f t="shared" si="375"/>
        <v>0</v>
      </c>
      <c r="BG425" s="140">
        <f t="shared" si="376"/>
        <v>0</v>
      </c>
      <c r="BH425" s="140">
        <f t="shared" si="363"/>
        <v>0</v>
      </c>
      <c r="BI425" s="140">
        <f t="shared" si="364"/>
        <v>0</v>
      </c>
      <c r="BJ425" s="140">
        <f t="shared" si="365"/>
        <v>0</v>
      </c>
      <c r="BK425" s="140">
        <f t="shared" si="366"/>
        <v>0</v>
      </c>
    </row>
    <row r="426" spans="1:63" s="100" customFormat="1" ht="16" hidden="1" customHeight="1">
      <c r="A426" s="137" t="s">
        <v>30</v>
      </c>
      <c r="B426" s="20" t="s">
        <v>1045</v>
      </c>
      <c r="C426" s="20" t="s">
        <v>1046</v>
      </c>
      <c r="D426" s="20" t="s">
        <v>1008</v>
      </c>
      <c r="E426" s="20"/>
      <c r="F426" s="20" t="s">
        <v>934</v>
      </c>
      <c r="G426" s="20" t="s">
        <v>934</v>
      </c>
      <c r="H426" s="20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138"/>
      <c r="Y426" s="138"/>
      <c r="Z426" s="139">
        <f t="shared" si="377"/>
        <v>0</v>
      </c>
      <c r="AA426" s="20"/>
      <c r="AB426" s="20"/>
      <c r="AC426" s="20"/>
      <c r="AD426" s="139">
        <f t="shared" si="359"/>
        <v>0</v>
      </c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0"/>
      <c r="AQ426" s="20"/>
      <c r="AR426" s="20"/>
      <c r="AS426" s="20"/>
      <c r="AT426" s="20">
        <f t="shared" si="360"/>
        <v>0</v>
      </c>
      <c r="AU426" s="20">
        <f t="shared" si="361"/>
        <v>0</v>
      </c>
      <c r="AV426" s="5"/>
      <c r="AW426" s="21">
        <f t="shared" si="362"/>
        <v>0</v>
      </c>
      <c r="AX426" s="140">
        <f t="shared" si="367"/>
        <v>0</v>
      </c>
      <c r="AY426" s="140">
        <f t="shared" si="368"/>
        <v>0</v>
      </c>
      <c r="AZ426" s="140">
        <f t="shared" si="369"/>
        <v>0</v>
      </c>
      <c r="BA426" s="140">
        <f t="shared" si="370"/>
        <v>0</v>
      </c>
      <c r="BB426" s="140">
        <f t="shared" si="371"/>
        <v>0</v>
      </c>
      <c r="BC426" s="140">
        <f t="shared" si="372"/>
        <v>0</v>
      </c>
      <c r="BD426" s="140">
        <f t="shared" si="373"/>
        <v>0</v>
      </c>
      <c r="BE426" s="140">
        <f t="shared" si="374"/>
        <v>0</v>
      </c>
      <c r="BF426" s="140">
        <f t="shared" si="375"/>
        <v>0</v>
      </c>
      <c r="BG426" s="140">
        <f t="shared" si="376"/>
        <v>0</v>
      </c>
      <c r="BH426" s="140">
        <f t="shared" si="363"/>
        <v>0</v>
      </c>
      <c r="BI426" s="140">
        <f t="shared" si="364"/>
        <v>0</v>
      </c>
      <c r="BJ426" s="140">
        <f t="shared" si="365"/>
        <v>0</v>
      </c>
      <c r="BK426" s="140">
        <f t="shared" si="366"/>
        <v>0</v>
      </c>
    </row>
    <row r="427" spans="1:63" s="100" customFormat="1" ht="16" hidden="1" customHeight="1">
      <c r="A427" s="137" t="s">
        <v>30</v>
      </c>
      <c r="B427" s="20" t="s">
        <v>1047</v>
      </c>
      <c r="C427" s="20" t="s">
        <v>1048</v>
      </c>
      <c r="D427" s="20" t="s">
        <v>1008</v>
      </c>
      <c r="E427" s="20"/>
      <c r="F427" s="20" t="s">
        <v>934</v>
      </c>
      <c r="G427" s="20" t="s">
        <v>934</v>
      </c>
      <c r="H427" s="20" t="s">
        <v>934</v>
      </c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138"/>
      <c r="Y427" s="138"/>
      <c r="Z427" s="139">
        <f t="shared" si="377"/>
        <v>0</v>
      </c>
      <c r="AA427" s="20"/>
      <c r="AB427" s="20"/>
      <c r="AC427" s="20"/>
      <c r="AD427" s="139">
        <f t="shared" si="359"/>
        <v>0</v>
      </c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0"/>
      <c r="AQ427" s="20"/>
      <c r="AR427" s="20"/>
      <c r="AS427" s="20"/>
      <c r="AT427" s="20">
        <f t="shared" si="360"/>
        <v>0</v>
      </c>
      <c r="AU427" s="20">
        <f t="shared" si="361"/>
        <v>0</v>
      </c>
      <c r="AV427" s="5"/>
      <c r="AW427" s="21">
        <f t="shared" si="362"/>
        <v>0</v>
      </c>
      <c r="AX427" s="140">
        <f t="shared" si="367"/>
        <v>0</v>
      </c>
      <c r="AY427" s="140">
        <f t="shared" si="368"/>
        <v>0</v>
      </c>
      <c r="AZ427" s="140">
        <f t="shared" si="369"/>
        <v>0</v>
      </c>
      <c r="BA427" s="140">
        <f t="shared" si="370"/>
        <v>0</v>
      </c>
      <c r="BB427" s="140">
        <f t="shared" si="371"/>
        <v>0</v>
      </c>
      <c r="BC427" s="140">
        <f t="shared" si="372"/>
        <v>0</v>
      </c>
      <c r="BD427" s="140">
        <f t="shared" si="373"/>
        <v>0</v>
      </c>
      <c r="BE427" s="140">
        <f t="shared" si="374"/>
        <v>0</v>
      </c>
      <c r="BF427" s="140">
        <f t="shared" si="375"/>
        <v>0</v>
      </c>
      <c r="BG427" s="140">
        <f t="shared" si="376"/>
        <v>0</v>
      </c>
      <c r="BH427" s="140">
        <f t="shared" si="363"/>
        <v>0</v>
      </c>
      <c r="BI427" s="140">
        <f t="shared" si="364"/>
        <v>0</v>
      </c>
      <c r="BJ427" s="140">
        <f t="shared" si="365"/>
        <v>0</v>
      </c>
      <c r="BK427" s="140">
        <f t="shared" si="366"/>
        <v>0</v>
      </c>
    </row>
    <row r="428" spans="1:63" s="100" customFormat="1" ht="16" hidden="1" customHeight="1">
      <c r="A428" s="28" t="s">
        <v>1008</v>
      </c>
      <c r="B428" s="24" t="s">
        <v>1049</v>
      </c>
      <c r="C428" s="24" t="s">
        <v>1050</v>
      </c>
      <c r="D428" s="27" t="s">
        <v>154</v>
      </c>
      <c r="E428" s="28"/>
      <c r="F428" s="25"/>
      <c r="G428" s="25"/>
      <c r="H428" s="25"/>
      <c r="I428" s="5"/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/>
      <c r="R428" s="5"/>
      <c r="S428" s="5"/>
      <c r="T428" s="5"/>
      <c r="U428" s="5"/>
      <c r="V428" s="5"/>
      <c r="W428" s="5"/>
      <c r="X428" s="25">
        <v>0</v>
      </c>
      <c r="Y428" s="25">
        <v>0</v>
      </c>
      <c r="Z428" s="25">
        <f t="shared" si="377"/>
        <v>0</v>
      </c>
      <c r="AA428" s="25"/>
      <c r="AB428" s="25">
        <v>0</v>
      </c>
      <c r="AC428" s="25">
        <v>0</v>
      </c>
      <c r="AD428" s="25">
        <f t="shared" ref="AD428:AD469" si="378">AB428-Y428+AA428+AC428</f>
        <v>0</v>
      </c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30">
        <f t="shared" si="360"/>
        <v>0</v>
      </c>
      <c r="AU428" s="25">
        <f t="shared" ref="AU428:AU469" si="379">AD428-AT428</f>
        <v>0</v>
      </c>
      <c r="AV428" s="5"/>
      <c r="AW428" s="23">
        <f t="shared" ref="AW428:AW469" si="380">AE428+Y428-I428</f>
        <v>0</v>
      </c>
      <c r="AX428" s="23">
        <f t="shared" si="367"/>
        <v>0</v>
      </c>
      <c r="AY428" s="23">
        <f t="shared" si="368"/>
        <v>0</v>
      </c>
      <c r="AZ428" s="23">
        <f t="shared" si="369"/>
        <v>0</v>
      </c>
      <c r="BA428" s="23">
        <f t="shared" si="370"/>
        <v>0</v>
      </c>
      <c r="BB428" s="23">
        <f t="shared" si="371"/>
        <v>0</v>
      </c>
      <c r="BC428" s="23">
        <f t="shared" si="372"/>
        <v>0</v>
      </c>
      <c r="BD428" s="23">
        <f t="shared" si="373"/>
        <v>0</v>
      </c>
      <c r="BE428" s="23">
        <f t="shared" si="374"/>
        <v>0</v>
      </c>
      <c r="BF428" s="23">
        <f t="shared" si="375"/>
        <v>0</v>
      </c>
      <c r="BG428" s="23">
        <f t="shared" si="376"/>
        <v>0</v>
      </c>
      <c r="BH428" s="23">
        <f t="shared" si="363"/>
        <v>0</v>
      </c>
      <c r="BI428" s="23">
        <f t="shared" si="364"/>
        <v>0</v>
      </c>
      <c r="BJ428" s="23">
        <f t="shared" si="365"/>
        <v>0</v>
      </c>
      <c r="BK428" s="23">
        <f t="shared" si="366"/>
        <v>0</v>
      </c>
    </row>
    <row r="429" spans="1:63" s="100" customFormat="1" ht="16" hidden="1" customHeight="1">
      <c r="A429" s="28" t="s">
        <v>1008</v>
      </c>
      <c r="B429" s="24" t="s">
        <v>1051</v>
      </c>
      <c r="C429" s="24" t="s">
        <v>1052</v>
      </c>
      <c r="D429" s="27" t="s">
        <v>154</v>
      </c>
      <c r="E429" s="27"/>
      <c r="F429" s="25"/>
      <c r="G429" s="25"/>
      <c r="H429" s="25"/>
      <c r="I429" s="5"/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/>
      <c r="R429" s="5"/>
      <c r="S429" s="5"/>
      <c r="T429" s="5"/>
      <c r="U429" s="5"/>
      <c r="V429" s="5"/>
      <c r="W429" s="5"/>
      <c r="X429" s="25">
        <v>0</v>
      </c>
      <c r="Y429" s="25">
        <v>0</v>
      </c>
      <c r="Z429" s="25">
        <f t="shared" ref="Z429:Z469" si="381">X429-Y429+AC429</f>
        <v>0</v>
      </c>
      <c r="AA429" s="25"/>
      <c r="AB429" s="25">
        <v>0</v>
      </c>
      <c r="AC429" s="25">
        <v>0</v>
      </c>
      <c r="AD429" s="25">
        <f t="shared" si="378"/>
        <v>0</v>
      </c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30">
        <f t="shared" si="360"/>
        <v>0</v>
      </c>
      <c r="AU429" s="25">
        <f t="shared" si="379"/>
        <v>0</v>
      </c>
      <c r="AV429" s="5"/>
      <c r="AW429" s="23">
        <f t="shared" si="380"/>
        <v>0</v>
      </c>
      <c r="AX429" s="23">
        <f t="shared" si="367"/>
        <v>0</v>
      </c>
      <c r="AY429" s="23">
        <f t="shared" si="368"/>
        <v>0</v>
      </c>
      <c r="AZ429" s="23">
        <f t="shared" si="369"/>
        <v>0</v>
      </c>
      <c r="BA429" s="23">
        <f t="shared" si="370"/>
        <v>0</v>
      </c>
      <c r="BB429" s="23">
        <f t="shared" si="371"/>
        <v>0</v>
      </c>
      <c r="BC429" s="23">
        <f t="shared" si="372"/>
        <v>0</v>
      </c>
      <c r="BD429" s="23">
        <f t="shared" si="373"/>
        <v>0</v>
      </c>
      <c r="BE429" s="23">
        <f t="shared" si="374"/>
        <v>0</v>
      </c>
      <c r="BF429" s="23">
        <f t="shared" si="375"/>
        <v>0</v>
      </c>
      <c r="BG429" s="23">
        <f t="shared" si="376"/>
        <v>0</v>
      </c>
      <c r="BH429" s="23">
        <f t="shared" si="363"/>
        <v>0</v>
      </c>
      <c r="BI429" s="23">
        <f t="shared" si="364"/>
        <v>0</v>
      </c>
      <c r="BJ429" s="23">
        <f t="shared" si="365"/>
        <v>0</v>
      </c>
      <c r="BK429" s="23">
        <f t="shared" si="366"/>
        <v>0</v>
      </c>
    </row>
    <row r="430" spans="1:63" s="100" customFormat="1" ht="16" hidden="1" customHeight="1">
      <c r="A430" s="28" t="s">
        <v>1008</v>
      </c>
      <c r="B430" s="22" t="s">
        <v>1053</v>
      </c>
      <c r="C430" s="24" t="s">
        <v>1054</v>
      </c>
      <c r="D430" s="27" t="s">
        <v>154</v>
      </c>
      <c r="E430" s="27"/>
      <c r="F430" s="25"/>
      <c r="G430" s="25"/>
      <c r="H430" s="25"/>
      <c r="I430" s="5"/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/>
      <c r="R430" s="5"/>
      <c r="S430" s="5"/>
      <c r="T430" s="5"/>
      <c r="U430" s="5"/>
      <c r="V430" s="5"/>
      <c r="W430" s="5"/>
      <c r="X430" s="25">
        <v>0</v>
      </c>
      <c r="Y430" s="25">
        <v>0</v>
      </c>
      <c r="Z430" s="25">
        <f t="shared" si="381"/>
        <v>0</v>
      </c>
      <c r="AA430" s="25"/>
      <c r="AB430" s="25">
        <v>0</v>
      </c>
      <c r="AC430" s="25">
        <v>0</v>
      </c>
      <c r="AD430" s="25">
        <f t="shared" si="378"/>
        <v>0</v>
      </c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30">
        <f t="shared" si="360"/>
        <v>0</v>
      </c>
      <c r="AU430" s="25">
        <f t="shared" si="379"/>
        <v>0</v>
      </c>
      <c r="AV430" s="5"/>
      <c r="AW430" s="23">
        <f t="shared" si="380"/>
        <v>0</v>
      </c>
      <c r="AX430" s="23">
        <f t="shared" si="367"/>
        <v>0</v>
      </c>
      <c r="AY430" s="23">
        <f t="shared" si="368"/>
        <v>0</v>
      </c>
      <c r="AZ430" s="23">
        <f t="shared" si="369"/>
        <v>0</v>
      </c>
      <c r="BA430" s="23">
        <f t="shared" si="370"/>
        <v>0</v>
      </c>
      <c r="BB430" s="23">
        <f t="shared" si="371"/>
        <v>0</v>
      </c>
      <c r="BC430" s="23">
        <f t="shared" si="372"/>
        <v>0</v>
      </c>
      <c r="BD430" s="23">
        <f t="shared" si="373"/>
        <v>0</v>
      </c>
      <c r="BE430" s="23">
        <f t="shared" si="374"/>
        <v>0</v>
      </c>
      <c r="BF430" s="23">
        <f t="shared" si="375"/>
        <v>0</v>
      </c>
      <c r="BG430" s="23">
        <f t="shared" si="376"/>
        <v>0</v>
      </c>
      <c r="BH430" s="23">
        <f t="shared" si="363"/>
        <v>0</v>
      </c>
      <c r="BI430" s="23">
        <f t="shared" si="364"/>
        <v>0</v>
      </c>
      <c r="BJ430" s="23">
        <f t="shared" si="365"/>
        <v>0</v>
      </c>
      <c r="BK430" s="23">
        <f t="shared" si="366"/>
        <v>0</v>
      </c>
    </row>
    <row r="431" spans="1:63" s="100" customFormat="1" ht="16" hidden="1" customHeight="1">
      <c r="A431" s="28" t="s">
        <v>1008</v>
      </c>
      <c r="B431" s="22" t="s">
        <v>1055</v>
      </c>
      <c r="C431" s="24" t="s">
        <v>1056</v>
      </c>
      <c r="D431" s="27" t="s">
        <v>225</v>
      </c>
      <c r="E431" s="27"/>
      <c r="F431" s="25"/>
      <c r="G431" s="25"/>
      <c r="H431" s="25"/>
      <c r="I431" s="5"/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/>
      <c r="R431" s="5"/>
      <c r="S431" s="5"/>
      <c r="T431" s="5"/>
      <c r="U431" s="5"/>
      <c r="V431" s="5"/>
      <c r="W431" s="5"/>
      <c r="X431" s="25">
        <v>0</v>
      </c>
      <c r="Y431" s="25">
        <v>0</v>
      </c>
      <c r="Z431" s="25">
        <f t="shared" si="381"/>
        <v>0</v>
      </c>
      <c r="AA431" s="25"/>
      <c r="AB431" s="25">
        <v>0</v>
      </c>
      <c r="AC431" s="25">
        <v>0</v>
      </c>
      <c r="AD431" s="25">
        <f t="shared" si="378"/>
        <v>0</v>
      </c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30">
        <f t="shared" si="360"/>
        <v>0</v>
      </c>
      <c r="AU431" s="25">
        <f t="shared" si="379"/>
        <v>0</v>
      </c>
      <c r="AV431" s="5"/>
      <c r="AW431" s="23">
        <f t="shared" si="380"/>
        <v>0</v>
      </c>
      <c r="AX431" s="23">
        <f t="shared" si="367"/>
        <v>0</v>
      </c>
      <c r="AY431" s="23">
        <f t="shared" si="368"/>
        <v>0</v>
      </c>
      <c r="AZ431" s="23">
        <f t="shared" si="369"/>
        <v>0</v>
      </c>
      <c r="BA431" s="23">
        <f t="shared" si="370"/>
        <v>0</v>
      </c>
      <c r="BB431" s="23">
        <f t="shared" si="371"/>
        <v>0</v>
      </c>
      <c r="BC431" s="23">
        <f t="shared" si="372"/>
        <v>0</v>
      </c>
      <c r="BD431" s="23">
        <f t="shared" si="373"/>
        <v>0</v>
      </c>
      <c r="BE431" s="23">
        <f t="shared" si="374"/>
        <v>0</v>
      </c>
      <c r="BF431" s="23">
        <f t="shared" si="375"/>
        <v>0</v>
      </c>
      <c r="BG431" s="23">
        <f t="shared" si="376"/>
        <v>0</v>
      </c>
      <c r="BH431" s="23">
        <f t="shared" si="363"/>
        <v>0</v>
      </c>
      <c r="BI431" s="23">
        <f t="shared" si="364"/>
        <v>0</v>
      </c>
      <c r="BJ431" s="23">
        <f t="shared" si="365"/>
        <v>0</v>
      </c>
      <c r="BK431" s="23">
        <f t="shared" si="366"/>
        <v>0</v>
      </c>
    </row>
    <row r="432" spans="1:63" s="100" customFormat="1" ht="16" hidden="1" customHeight="1">
      <c r="A432" s="28" t="s">
        <v>1008</v>
      </c>
      <c r="B432" s="22" t="s">
        <v>1057</v>
      </c>
      <c r="C432" s="24" t="s">
        <v>1058</v>
      </c>
      <c r="D432" s="27" t="s">
        <v>225</v>
      </c>
      <c r="E432" s="27"/>
      <c r="F432" s="25"/>
      <c r="G432" s="25"/>
      <c r="H432" s="25"/>
      <c r="I432" s="5"/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/>
      <c r="R432" s="5"/>
      <c r="S432" s="5"/>
      <c r="T432" s="5"/>
      <c r="U432" s="5"/>
      <c r="V432" s="5"/>
      <c r="W432" s="5"/>
      <c r="X432" s="25">
        <v>0</v>
      </c>
      <c r="Y432" s="25">
        <v>0</v>
      </c>
      <c r="Z432" s="25">
        <f t="shared" si="381"/>
        <v>0</v>
      </c>
      <c r="AA432" s="25"/>
      <c r="AB432" s="25">
        <v>0</v>
      </c>
      <c r="AC432" s="25">
        <v>0</v>
      </c>
      <c r="AD432" s="25">
        <f t="shared" si="378"/>
        <v>0</v>
      </c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30">
        <f t="shared" si="360"/>
        <v>0</v>
      </c>
      <c r="AU432" s="25">
        <f t="shared" si="379"/>
        <v>0</v>
      </c>
      <c r="AV432" s="5"/>
      <c r="AW432" s="23">
        <f t="shared" si="380"/>
        <v>0</v>
      </c>
      <c r="AX432" s="23">
        <f t="shared" si="367"/>
        <v>0</v>
      </c>
      <c r="AY432" s="23">
        <f t="shared" si="368"/>
        <v>0</v>
      </c>
      <c r="AZ432" s="23">
        <f t="shared" si="369"/>
        <v>0</v>
      </c>
      <c r="BA432" s="23">
        <f t="shared" si="370"/>
        <v>0</v>
      </c>
      <c r="BB432" s="23">
        <f t="shared" si="371"/>
        <v>0</v>
      </c>
      <c r="BC432" s="23">
        <f t="shared" si="372"/>
        <v>0</v>
      </c>
      <c r="BD432" s="23">
        <f t="shared" si="373"/>
        <v>0</v>
      </c>
      <c r="BE432" s="23">
        <f t="shared" si="374"/>
        <v>0</v>
      </c>
      <c r="BF432" s="23">
        <f t="shared" si="375"/>
        <v>0</v>
      </c>
      <c r="BG432" s="23">
        <f t="shared" si="376"/>
        <v>0</v>
      </c>
      <c r="BH432" s="23">
        <f t="shared" si="363"/>
        <v>0</v>
      </c>
      <c r="BI432" s="23">
        <f t="shared" si="364"/>
        <v>0</v>
      </c>
      <c r="BJ432" s="23">
        <f t="shared" si="365"/>
        <v>0</v>
      </c>
      <c r="BK432" s="23">
        <f t="shared" si="366"/>
        <v>0</v>
      </c>
    </row>
    <row r="433" spans="1:63" s="100" customFormat="1" ht="16" hidden="1" customHeight="1">
      <c r="A433" s="28" t="s">
        <v>1008</v>
      </c>
      <c r="B433" s="22" t="s">
        <v>1059</v>
      </c>
      <c r="C433" s="24" t="s">
        <v>1060</v>
      </c>
      <c r="D433" s="27" t="s">
        <v>225</v>
      </c>
      <c r="E433" s="27"/>
      <c r="F433" s="25"/>
      <c r="G433" s="25"/>
      <c r="H433" s="25"/>
      <c r="I433" s="5"/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/>
      <c r="R433" s="5"/>
      <c r="S433" s="5"/>
      <c r="T433" s="5"/>
      <c r="U433" s="5"/>
      <c r="V433" s="5"/>
      <c r="W433" s="5"/>
      <c r="X433" s="25">
        <v>0</v>
      </c>
      <c r="Y433" s="25">
        <v>0</v>
      </c>
      <c r="Z433" s="25">
        <f t="shared" si="381"/>
        <v>0</v>
      </c>
      <c r="AA433" s="25"/>
      <c r="AB433" s="25">
        <v>0</v>
      </c>
      <c r="AC433" s="25">
        <v>0</v>
      </c>
      <c r="AD433" s="25">
        <f t="shared" si="378"/>
        <v>0</v>
      </c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30">
        <f t="shared" si="360"/>
        <v>0</v>
      </c>
      <c r="AU433" s="25">
        <f t="shared" si="379"/>
        <v>0</v>
      </c>
      <c r="AV433" s="5"/>
      <c r="AW433" s="23">
        <f t="shared" si="380"/>
        <v>0</v>
      </c>
      <c r="AX433" s="23">
        <f t="shared" si="367"/>
        <v>0</v>
      </c>
      <c r="AY433" s="23">
        <f t="shared" si="368"/>
        <v>0</v>
      </c>
      <c r="AZ433" s="23">
        <f t="shared" si="369"/>
        <v>0</v>
      </c>
      <c r="BA433" s="23">
        <f t="shared" si="370"/>
        <v>0</v>
      </c>
      <c r="BB433" s="23">
        <f t="shared" si="371"/>
        <v>0</v>
      </c>
      <c r="BC433" s="23">
        <f t="shared" si="372"/>
        <v>0</v>
      </c>
      <c r="BD433" s="23">
        <f t="shared" si="373"/>
        <v>0</v>
      </c>
      <c r="BE433" s="23">
        <f t="shared" si="374"/>
        <v>0</v>
      </c>
      <c r="BF433" s="23">
        <f t="shared" si="375"/>
        <v>0</v>
      </c>
      <c r="BG433" s="23">
        <f t="shared" si="376"/>
        <v>0</v>
      </c>
      <c r="BH433" s="23">
        <f t="shared" si="363"/>
        <v>0</v>
      </c>
      <c r="BI433" s="23">
        <f t="shared" si="364"/>
        <v>0</v>
      </c>
      <c r="BJ433" s="23">
        <f t="shared" si="365"/>
        <v>0</v>
      </c>
      <c r="BK433" s="23">
        <f t="shared" si="366"/>
        <v>0</v>
      </c>
    </row>
    <row r="434" spans="1:63" s="100" customFormat="1" ht="16" hidden="1" customHeight="1">
      <c r="A434" s="28" t="s">
        <v>1008</v>
      </c>
      <c r="B434" s="25" t="s">
        <v>1061</v>
      </c>
      <c r="C434" s="25" t="s">
        <v>1062</v>
      </c>
      <c r="D434" s="27" t="s">
        <v>1063</v>
      </c>
      <c r="E434" s="27"/>
      <c r="F434" s="25"/>
      <c r="G434" s="25"/>
      <c r="H434" s="25"/>
      <c r="I434" s="5"/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/>
      <c r="R434" s="5"/>
      <c r="S434" s="5"/>
      <c r="T434" s="5"/>
      <c r="U434" s="5"/>
      <c r="V434" s="5"/>
      <c r="W434" s="5"/>
      <c r="X434" s="25">
        <v>0</v>
      </c>
      <c r="Y434" s="25">
        <v>0</v>
      </c>
      <c r="Z434" s="25">
        <f t="shared" si="381"/>
        <v>0</v>
      </c>
      <c r="AA434" s="25"/>
      <c r="AB434" s="25">
        <v>0</v>
      </c>
      <c r="AC434" s="25">
        <v>0</v>
      </c>
      <c r="AD434" s="25">
        <f t="shared" si="378"/>
        <v>0</v>
      </c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30">
        <f t="shared" si="360"/>
        <v>0</v>
      </c>
      <c r="AU434" s="25">
        <f t="shared" si="379"/>
        <v>0</v>
      </c>
      <c r="AV434" s="5"/>
      <c r="AW434" s="23">
        <f t="shared" si="380"/>
        <v>0</v>
      </c>
      <c r="AX434" s="23">
        <f t="shared" si="367"/>
        <v>0</v>
      </c>
      <c r="AY434" s="23">
        <f t="shared" si="368"/>
        <v>0</v>
      </c>
      <c r="AZ434" s="23">
        <f t="shared" si="369"/>
        <v>0</v>
      </c>
      <c r="BA434" s="23">
        <f t="shared" si="370"/>
        <v>0</v>
      </c>
      <c r="BB434" s="23">
        <f t="shared" si="371"/>
        <v>0</v>
      </c>
      <c r="BC434" s="23">
        <f t="shared" si="372"/>
        <v>0</v>
      </c>
      <c r="BD434" s="23">
        <f t="shared" si="373"/>
        <v>0</v>
      </c>
      <c r="BE434" s="23">
        <f t="shared" si="374"/>
        <v>0</v>
      </c>
      <c r="BF434" s="23">
        <f t="shared" si="375"/>
        <v>0</v>
      </c>
      <c r="BG434" s="23">
        <f t="shared" si="376"/>
        <v>0</v>
      </c>
      <c r="BH434" s="23">
        <f t="shared" si="363"/>
        <v>0</v>
      </c>
      <c r="BI434" s="23">
        <f t="shared" si="364"/>
        <v>0</v>
      </c>
      <c r="BJ434" s="23">
        <f t="shared" si="365"/>
        <v>0</v>
      </c>
      <c r="BK434" s="23">
        <f t="shared" si="366"/>
        <v>0</v>
      </c>
    </row>
    <row r="435" spans="1:63" s="100" customFormat="1" ht="16" hidden="1" customHeight="1">
      <c r="A435" s="28" t="s">
        <v>1008</v>
      </c>
      <c r="B435" s="24" t="s">
        <v>1064</v>
      </c>
      <c r="C435" s="24" t="s">
        <v>1065</v>
      </c>
      <c r="D435" s="27" t="s">
        <v>1063</v>
      </c>
      <c r="E435" s="27"/>
      <c r="F435" s="25"/>
      <c r="G435" s="25"/>
      <c r="H435" s="25"/>
      <c r="I435" s="5"/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/>
      <c r="R435" s="5"/>
      <c r="S435" s="5"/>
      <c r="T435" s="5"/>
      <c r="U435" s="5"/>
      <c r="V435" s="5"/>
      <c r="W435" s="5"/>
      <c r="X435" s="25">
        <v>0</v>
      </c>
      <c r="Y435" s="25">
        <v>0</v>
      </c>
      <c r="Z435" s="25">
        <f t="shared" si="381"/>
        <v>0</v>
      </c>
      <c r="AA435" s="25"/>
      <c r="AB435" s="25">
        <v>0</v>
      </c>
      <c r="AC435" s="25">
        <v>0</v>
      </c>
      <c r="AD435" s="25">
        <f t="shared" si="378"/>
        <v>0</v>
      </c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30">
        <f t="shared" si="360"/>
        <v>0</v>
      </c>
      <c r="AU435" s="25">
        <f t="shared" si="379"/>
        <v>0</v>
      </c>
      <c r="AV435" s="5"/>
      <c r="AW435" s="23">
        <f t="shared" si="380"/>
        <v>0</v>
      </c>
      <c r="AX435" s="23">
        <f t="shared" si="367"/>
        <v>0</v>
      </c>
      <c r="AY435" s="23">
        <f t="shared" si="368"/>
        <v>0</v>
      </c>
      <c r="AZ435" s="23">
        <f t="shared" si="369"/>
        <v>0</v>
      </c>
      <c r="BA435" s="23">
        <f t="shared" si="370"/>
        <v>0</v>
      </c>
      <c r="BB435" s="23">
        <f t="shared" si="371"/>
        <v>0</v>
      </c>
      <c r="BC435" s="23">
        <f t="shared" si="372"/>
        <v>0</v>
      </c>
      <c r="BD435" s="23">
        <f t="shared" si="373"/>
        <v>0</v>
      </c>
      <c r="BE435" s="23">
        <f t="shared" si="374"/>
        <v>0</v>
      </c>
      <c r="BF435" s="23">
        <f t="shared" si="375"/>
        <v>0</v>
      </c>
      <c r="BG435" s="23">
        <f t="shared" si="376"/>
        <v>0</v>
      </c>
      <c r="BH435" s="23">
        <f t="shared" si="363"/>
        <v>0</v>
      </c>
      <c r="BI435" s="23">
        <f t="shared" si="364"/>
        <v>0</v>
      </c>
      <c r="BJ435" s="23">
        <f t="shared" si="365"/>
        <v>0</v>
      </c>
      <c r="BK435" s="23">
        <f t="shared" si="366"/>
        <v>0</v>
      </c>
    </row>
    <row r="436" spans="1:63" s="100" customFormat="1" ht="16" customHeight="1">
      <c r="A436" s="28" t="s">
        <v>1008</v>
      </c>
      <c r="B436" s="22" t="s">
        <v>1066</v>
      </c>
      <c r="C436" s="22" t="s">
        <v>1067</v>
      </c>
      <c r="D436" s="27" t="s">
        <v>219</v>
      </c>
      <c r="E436" s="27"/>
      <c r="F436" s="25"/>
      <c r="G436" s="25"/>
      <c r="H436" s="25"/>
      <c r="I436" s="5"/>
      <c r="J436" s="5">
        <v>0</v>
      </c>
      <c r="K436" s="5">
        <v>0</v>
      </c>
      <c r="L436" s="5">
        <v>0</v>
      </c>
      <c r="M436" s="5">
        <v>0</v>
      </c>
      <c r="N436" s="5">
        <v>1</v>
      </c>
      <c r="O436" s="5">
        <v>0</v>
      </c>
      <c r="P436" s="5">
        <v>3</v>
      </c>
      <c r="Q436" s="5"/>
      <c r="R436" s="25"/>
      <c r="S436" s="5"/>
      <c r="T436" s="5"/>
      <c r="U436" s="5"/>
      <c r="V436" s="5"/>
      <c r="W436" s="5"/>
      <c r="X436" s="25">
        <v>0</v>
      </c>
      <c r="Y436" s="25">
        <v>0</v>
      </c>
      <c r="Z436" s="25">
        <f t="shared" si="381"/>
        <v>0</v>
      </c>
      <c r="AA436" s="25"/>
      <c r="AB436" s="25">
        <v>4</v>
      </c>
      <c r="AC436" s="25">
        <v>0</v>
      </c>
      <c r="AD436" s="25">
        <f t="shared" si="378"/>
        <v>4</v>
      </c>
      <c r="AE436" s="23"/>
      <c r="AF436" s="23"/>
      <c r="AG436" s="23"/>
      <c r="AH436" s="23">
        <v>4</v>
      </c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30">
        <f>SUM(AE436:AS436)</f>
        <v>4</v>
      </c>
      <c r="AU436" s="25">
        <f t="shared" si="379"/>
        <v>0</v>
      </c>
      <c r="AV436" s="5"/>
      <c r="AW436" s="23">
        <f t="shared" si="380"/>
        <v>0</v>
      </c>
      <c r="AX436" s="23">
        <f t="shared" si="367"/>
        <v>0</v>
      </c>
      <c r="AY436" s="23">
        <f t="shared" si="368"/>
        <v>0</v>
      </c>
      <c r="AZ436" s="23">
        <f t="shared" si="369"/>
        <v>4</v>
      </c>
      <c r="BA436" s="23">
        <f t="shared" si="370"/>
        <v>4</v>
      </c>
      <c r="BB436" s="23">
        <f t="shared" si="371"/>
        <v>3</v>
      </c>
      <c r="BC436" s="23">
        <f t="shared" si="372"/>
        <v>3</v>
      </c>
      <c r="BD436" s="23">
        <f t="shared" si="373"/>
        <v>0</v>
      </c>
      <c r="BE436" s="23">
        <f t="shared" si="374"/>
        <v>0</v>
      </c>
      <c r="BF436" s="23">
        <f t="shared" ref="BF436:BK436" si="382">BE436+AN436-R436</f>
        <v>0</v>
      </c>
      <c r="BG436" s="23">
        <f t="shared" si="382"/>
        <v>0</v>
      </c>
      <c r="BH436" s="23">
        <f t="shared" si="382"/>
        <v>0</v>
      </c>
      <c r="BI436" s="23">
        <f t="shared" si="382"/>
        <v>0</v>
      </c>
      <c r="BJ436" s="23">
        <f t="shared" si="382"/>
        <v>0</v>
      </c>
      <c r="BK436" s="23">
        <f t="shared" si="382"/>
        <v>0</v>
      </c>
    </row>
    <row r="437" spans="1:63" s="100" customFormat="1" ht="16" customHeight="1">
      <c r="A437" s="28" t="s">
        <v>1008</v>
      </c>
      <c r="B437" s="24" t="s">
        <v>1068</v>
      </c>
      <c r="C437" s="22" t="s">
        <v>1069</v>
      </c>
      <c r="D437" s="27" t="s">
        <v>219</v>
      </c>
      <c r="E437" s="27"/>
      <c r="F437" s="25"/>
      <c r="G437" s="25"/>
      <c r="H437" s="25"/>
      <c r="I437" s="5"/>
      <c r="J437" s="5">
        <v>0</v>
      </c>
      <c r="K437" s="5">
        <v>0</v>
      </c>
      <c r="L437" s="5">
        <v>0</v>
      </c>
      <c r="M437" s="5">
        <v>0</v>
      </c>
      <c r="N437" s="5">
        <v>1</v>
      </c>
      <c r="O437" s="5">
        <v>0</v>
      </c>
      <c r="P437" s="5">
        <v>2</v>
      </c>
      <c r="Q437" s="5"/>
      <c r="R437" s="25"/>
      <c r="S437" s="5"/>
      <c r="T437" s="5"/>
      <c r="U437" s="5"/>
      <c r="V437" s="5"/>
      <c r="W437" s="5"/>
      <c r="X437" s="25">
        <v>0</v>
      </c>
      <c r="Y437" s="25">
        <v>0</v>
      </c>
      <c r="Z437" s="25">
        <f t="shared" si="381"/>
        <v>0</v>
      </c>
      <c r="AA437" s="25"/>
      <c r="AB437" s="25">
        <v>23</v>
      </c>
      <c r="AC437" s="25">
        <v>0</v>
      </c>
      <c r="AD437" s="25">
        <f t="shared" si="378"/>
        <v>23</v>
      </c>
      <c r="AE437" s="23"/>
      <c r="AF437" s="23"/>
      <c r="AG437" s="23"/>
      <c r="AH437" s="23">
        <v>23</v>
      </c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30">
        <f>SUM(AE437:AS437)</f>
        <v>23</v>
      </c>
      <c r="AU437" s="25">
        <f t="shared" si="379"/>
        <v>0</v>
      </c>
      <c r="AV437" s="5"/>
      <c r="AW437" s="23">
        <f t="shared" si="380"/>
        <v>0</v>
      </c>
      <c r="AX437" s="23">
        <f t="shared" si="367"/>
        <v>0</v>
      </c>
      <c r="AY437" s="23">
        <f t="shared" si="368"/>
        <v>0</v>
      </c>
      <c r="AZ437" s="23">
        <f t="shared" si="369"/>
        <v>23</v>
      </c>
      <c r="BA437" s="23">
        <f t="shared" si="370"/>
        <v>23</v>
      </c>
      <c r="BB437" s="23">
        <f t="shared" si="371"/>
        <v>22</v>
      </c>
      <c r="BC437" s="23">
        <f t="shared" si="372"/>
        <v>22</v>
      </c>
      <c r="BD437" s="23">
        <f t="shared" si="373"/>
        <v>20</v>
      </c>
      <c r="BE437" s="23">
        <f t="shared" si="374"/>
        <v>20</v>
      </c>
      <c r="BF437" s="23">
        <f t="shared" ref="BF437:BK437" si="383">BE437+AN437-R437</f>
        <v>20</v>
      </c>
      <c r="BG437" s="23">
        <f t="shared" si="383"/>
        <v>20</v>
      </c>
      <c r="BH437" s="23">
        <f t="shared" si="383"/>
        <v>20</v>
      </c>
      <c r="BI437" s="23">
        <f t="shared" si="383"/>
        <v>20</v>
      </c>
      <c r="BJ437" s="23">
        <f t="shared" si="383"/>
        <v>20</v>
      </c>
      <c r="BK437" s="23">
        <f t="shared" si="383"/>
        <v>20</v>
      </c>
    </row>
    <row r="438" spans="1:63" s="100" customFormat="1" ht="16" customHeight="1">
      <c r="A438" s="28" t="s">
        <v>1008</v>
      </c>
      <c r="B438" s="24" t="s">
        <v>1070</v>
      </c>
      <c r="C438" s="22" t="s">
        <v>1071</v>
      </c>
      <c r="D438" s="27" t="s">
        <v>219</v>
      </c>
      <c r="E438" s="27"/>
      <c r="F438" s="25"/>
      <c r="G438" s="25"/>
      <c r="H438" s="25"/>
      <c r="I438" s="5"/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/>
      <c r="R438" s="25"/>
      <c r="S438" s="5"/>
      <c r="T438" s="5"/>
      <c r="U438" s="5"/>
      <c r="V438" s="5"/>
      <c r="W438" s="5"/>
      <c r="X438" s="25">
        <v>0</v>
      </c>
      <c r="Y438" s="25">
        <v>0</v>
      </c>
      <c r="Z438" s="25">
        <f t="shared" si="381"/>
        <v>0</v>
      </c>
      <c r="AA438" s="25"/>
      <c r="AB438" s="25">
        <v>11</v>
      </c>
      <c r="AC438" s="25">
        <v>0</v>
      </c>
      <c r="AD438" s="25">
        <f t="shared" si="378"/>
        <v>11</v>
      </c>
      <c r="AE438" s="23"/>
      <c r="AF438" s="23"/>
      <c r="AG438" s="23"/>
      <c r="AH438" s="23">
        <v>11</v>
      </c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30">
        <f>SUM(AE438:AR438)</f>
        <v>11</v>
      </c>
      <c r="AU438" s="25">
        <f t="shared" si="379"/>
        <v>0</v>
      </c>
      <c r="AV438" s="5"/>
      <c r="AW438" s="23">
        <f t="shared" si="380"/>
        <v>0</v>
      </c>
      <c r="AX438" s="23">
        <f t="shared" si="367"/>
        <v>0</v>
      </c>
      <c r="AY438" s="23">
        <f t="shared" si="368"/>
        <v>0</v>
      </c>
      <c r="AZ438" s="23">
        <f t="shared" si="369"/>
        <v>11</v>
      </c>
      <c r="BA438" s="23">
        <f t="shared" si="370"/>
        <v>11</v>
      </c>
      <c r="BB438" s="23">
        <f t="shared" si="371"/>
        <v>11</v>
      </c>
      <c r="BC438" s="23">
        <f t="shared" si="372"/>
        <v>11</v>
      </c>
      <c r="BD438" s="23">
        <f t="shared" si="373"/>
        <v>11</v>
      </c>
      <c r="BE438" s="23">
        <f t="shared" si="374"/>
        <v>11</v>
      </c>
      <c r="BF438" s="23">
        <f t="shared" si="375"/>
        <v>11</v>
      </c>
      <c r="BG438" s="23">
        <f t="shared" si="376"/>
        <v>11</v>
      </c>
      <c r="BH438" s="23">
        <f>AP438+AJ438-T438</f>
        <v>0</v>
      </c>
      <c r="BI438" s="23">
        <f>AQ438+AK438-U438</f>
        <v>0</v>
      </c>
      <c r="BJ438" s="23">
        <f>AR438+AL438-V438</f>
        <v>0</v>
      </c>
      <c r="BK438" s="23">
        <f>AS438+AM438-W438</f>
        <v>0</v>
      </c>
    </row>
    <row r="439" spans="1:63" s="100" customFormat="1" ht="16" customHeight="1">
      <c r="A439" s="28" t="s">
        <v>1008</v>
      </c>
      <c r="B439" s="24" t="s">
        <v>1072</v>
      </c>
      <c r="C439" s="22" t="s">
        <v>1073</v>
      </c>
      <c r="D439" s="27" t="s">
        <v>219</v>
      </c>
      <c r="E439" s="27"/>
      <c r="F439" s="25"/>
      <c r="G439" s="25"/>
      <c r="H439" s="25"/>
      <c r="I439" s="5"/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/>
      <c r="R439" s="25"/>
      <c r="S439" s="5"/>
      <c r="T439" s="5"/>
      <c r="U439" s="5"/>
      <c r="V439" s="5"/>
      <c r="W439" s="5"/>
      <c r="X439" s="25">
        <v>0</v>
      </c>
      <c r="Y439" s="25">
        <v>0</v>
      </c>
      <c r="Z439" s="25">
        <f t="shared" si="381"/>
        <v>0</v>
      </c>
      <c r="AA439" s="25"/>
      <c r="AB439" s="25">
        <v>5</v>
      </c>
      <c r="AC439" s="25">
        <v>0</v>
      </c>
      <c r="AD439" s="25">
        <f t="shared" si="378"/>
        <v>5</v>
      </c>
      <c r="AE439" s="23"/>
      <c r="AF439" s="23"/>
      <c r="AG439" s="23"/>
      <c r="AH439" s="23">
        <v>5</v>
      </c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30">
        <f>SUM(AE439:AS439)</f>
        <v>5</v>
      </c>
      <c r="AU439" s="25">
        <f t="shared" si="379"/>
        <v>0</v>
      </c>
      <c r="AV439" s="5"/>
      <c r="AW439" s="23">
        <f t="shared" si="380"/>
        <v>0</v>
      </c>
      <c r="AX439" s="23">
        <f t="shared" si="367"/>
        <v>0</v>
      </c>
      <c r="AY439" s="23">
        <f t="shared" si="368"/>
        <v>0</v>
      </c>
      <c r="AZ439" s="23">
        <f t="shared" si="369"/>
        <v>5</v>
      </c>
      <c r="BA439" s="23">
        <f t="shared" si="370"/>
        <v>5</v>
      </c>
      <c r="BB439" s="23">
        <f t="shared" si="371"/>
        <v>5</v>
      </c>
      <c r="BC439" s="23">
        <f t="shared" si="372"/>
        <v>5</v>
      </c>
      <c r="BD439" s="23">
        <f t="shared" si="373"/>
        <v>5</v>
      </c>
      <c r="BE439" s="23">
        <f t="shared" si="374"/>
        <v>5</v>
      </c>
      <c r="BF439" s="23">
        <f t="shared" ref="BF439:BK439" si="384">BE439+AN439-R439</f>
        <v>5</v>
      </c>
      <c r="BG439" s="23">
        <f t="shared" si="384"/>
        <v>5</v>
      </c>
      <c r="BH439" s="23">
        <f t="shared" si="384"/>
        <v>5</v>
      </c>
      <c r="BI439" s="23">
        <f t="shared" si="384"/>
        <v>5</v>
      </c>
      <c r="BJ439" s="23">
        <f t="shared" si="384"/>
        <v>5</v>
      </c>
      <c r="BK439" s="23">
        <f t="shared" si="384"/>
        <v>5</v>
      </c>
    </row>
    <row r="440" spans="1:63" s="100" customFormat="1" ht="16" hidden="1" customHeight="1">
      <c r="A440" s="28" t="s">
        <v>1008</v>
      </c>
      <c r="B440" s="22" t="s">
        <v>1074</v>
      </c>
      <c r="C440" s="22" t="s">
        <v>1075</v>
      </c>
      <c r="D440" s="27" t="s">
        <v>225</v>
      </c>
      <c r="E440" s="27"/>
      <c r="F440" s="25"/>
      <c r="G440" s="25"/>
      <c r="H440" s="25"/>
      <c r="I440" s="5"/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/>
      <c r="R440" s="25"/>
      <c r="S440" s="5"/>
      <c r="T440" s="5"/>
      <c r="U440" s="5"/>
      <c r="V440" s="5"/>
      <c r="W440" s="5"/>
      <c r="X440" s="25">
        <v>0</v>
      </c>
      <c r="Y440" s="25">
        <v>0</v>
      </c>
      <c r="Z440" s="25">
        <f t="shared" si="381"/>
        <v>0</v>
      </c>
      <c r="AA440" s="25"/>
      <c r="AB440" s="25">
        <v>0</v>
      </c>
      <c r="AC440" s="25">
        <v>0</v>
      </c>
      <c r="AD440" s="25">
        <f t="shared" si="378"/>
        <v>0</v>
      </c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30">
        <f t="shared" ref="AT440:AT447" si="385">SUM(AE440:AR440)</f>
        <v>0</v>
      </c>
      <c r="AU440" s="25">
        <f t="shared" si="379"/>
        <v>0</v>
      </c>
      <c r="AV440" s="5"/>
      <c r="AW440" s="23">
        <f t="shared" si="380"/>
        <v>0</v>
      </c>
      <c r="AX440" s="23">
        <f t="shared" si="367"/>
        <v>0</v>
      </c>
      <c r="AY440" s="23">
        <f t="shared" si="368"/>
        <v>0</v>
      </c>
      <c r="AZ440" s="23">
        <f t="shared" si="369"/>
        <v>0</v>
      </c>
      <c r="BA440" s="23">
        <f t="shared" si="370"/>
        <v>0</v>
      </c>
      <c r="BB440" s="23">
        <f t="shared" si="371"/>
        <v>0</v>
      </c>
      <c r="BC440" s="23">
        <f t="shared" si="372"/>
        <v>0</v>
      </c>
      <c r="BD440" s="23">
        <f t="shared" si="373"/>
        <v>0</v>
      </c>
      <c r="BE440" s="23">
        <f t="shared" si="374"/>
        <v>0</v>
      </c>
      <c r="BF440" s="23">
        <f t="shared" si="375"/>
        <v>0</v>
      </c>
      <c r="BG440" s="23">
        <f t="shared" si="376"/>
        <v>0</v>
      </c>
      <c r="BH440" s="23">
        <f t="shared" ref="BH440:BH447" si="386">AP440+AJ440-T440</f>
        <v>0</v>
      </c>
      <c r="BI440" s="23">
        <f t="shared" ref="BI440:BI447" si="387">AQ440+AK440-U440</f>
        <v>0</v>
      </c>
      <c r="BJ440" s="23">
        <f t="shared" ref="BJ440:BJ447" si="388">AR440+AL440-V440</f>
        <v>0</v>
      </c>
      <c r="BK440" s="23">
        <f t="shared" ref="BK440:BK447" si="389">AS440+AM440-W440</f>
        <v>0</v>
      </c>
    </row>
    <row r="441" spans="1:63" s="100" customFormat="1" ht="16" hidden="1" customHeight="1">
      <c r="A441" s="28" t="s">
        <v>1008</v>
      </c>
      <c r="B441" s="24" t="s">
        <v>1076</v>
      </c>
      <c r="C441" s="22" t="s">
        <v>1077</v>
      </c>
      <c r="D441" s="27" t="s">
        <v>225</v>
      </c>
      <c r="E441" s="27"/>
      <c r="F441" s="25"/>
      <c r="G441" s="25"/>
      <c r="H441" s="25"/>
      <c r="I441" s="5"/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/>
      <c r="R441" s="25"/>
      <c r="S441" s="5"/>
      <c r="T441" s="5"/>
      <c r="U441" s="5"/>
      <c r="V441" s="5"/>
      <c r="W441" s="5"/>
      <c r="X441" s="25">
        <v>0</v>
      </c>
      <c r="Y441" s="25">
        <v>0</v>
      </c>
      <c r="Z441" s="25">
        <f t="shared" si="381"/>
        <v>0</v>
      </c>
      <c r="AA441" s="25"/>
      <c r="AB441" s="25">
        <v>0</v>
      </c>
      <c r="AC441" s="25">
        <v>0</v>
      </c>
      <c r="AD441" s="25">
        <f t="shared" si="378"/>
        <v>0</v>
      </c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30">
        <f t="shared" si="385"/>
        <v>0</v>
      </c>
      <c r="AU441" s="25">
        <f t="shared" si="379"/>
        <v>0</v>
      </c>
      <c r="AV441" s="5"/>
      <c r="AW441" s="23">
        <f t="shared" si="380"/>
        <v>0</v>
      </c>
      <c r="AX441" s="23">
        <f t="shared" si="367"/>
        <v>0</v>
      </c>
      <c r="AY441" s="23">
        <f t="shared" si="368"/>
        <v>0</v>
      </c>
      <c r="AZ441" s="23">
        <f t="shared" si="369"/>
        <v>0</v>
      </c>
      <c r="BA441" s="23">
        <f t="shared" si="370"/>
        <v>0</v>
      </c>
      <c r="BB441" s="23">
        <f t="shared" si="371"/>
        <v>0</v>
      </c>
      <c r="BC441" s="23">
        <f t="shared" si="372"/>
        <v>0</v>
      </c>
      <c r="BD441" s="23">
        <f t="shared" si="373"/>
        <v>0</v>
      </c>
      <c r="BE441" s="23">
        <f t="shared" si="374"/>
        <v>0</v>
      </c>
      <c r="BF441" s="23">
        <f t="shared" si="375"/>
        <v>0</v>
      </c>
      <c r="BG441" s="23">
        <f t="shared" si="376"/>
        <v>0</v>
      </c>
      <c r="BH441" s="23">
        <f t="shared" si="386"/>
        <v>0</v>
      </c>
      <c r="BI441" s="23">
        <f t="shared" si="387"/>
        <v>0</v>
      </c>
      <c r="BJ441" s="23">
        <f t="shared" si="388"/>
        <v>0</v>
      </c>
      <c r="BK441" s="23">
        <f t="shared" si="389"/>
        <v>0</v>
      </c>
    </row>
    <row r="442" spans="1:63" s="100" customFormat="1" ht="16" hidden="1" customHeight="1">
      <c r="A442" s="28" t="s">
        <v>1008</v>
      </c>
      <c r="B442" s="24" t="s">
        <v>1078</v>
      </c>
      <c r="C442" s="22" t="s">
        <v>1079</v>
      </c>
      <c r="D442" s="27" t="s">
        <v>225</v>
      </c>
      <c r="E442" s="27"/>
      <c r="F442" s="25"/>
      <c r="G442" s="25"/>
      <c r="H442" s="25"/>
      <c r="I442" s="5"/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/>
      <c r="R442" s="25"/>
      <c r="S442" s="5"/>
      <c r="T442" s="5"/>
      <c r="U442" s="5"/>
      <c r="V442" s="5"/>
      <c r="W442" s="5"/>
      <c r="X442" s="25">
        <v>0</v>
      </c>
      <c r="Y442" s="25">
        <v>0</v>
      </c>
      <c r="Z442" s="25">
        <f t="shared" si="381"/>
        <v>0</v>
      </c>
      <c r="AA442" s="25"/>
      <c r="AB442" s="25">
        <v>0</v>
      </c>
      <c r="AC442" s="25">
        <v>0</v>
      </c>
      <c r="AD442" s="25">
        <f t="shared" si="378"/>
        <v>0</v>
      </c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30">
        <f t="shared" si="385"/>
        <v>0</v>
      </c>
      <c r="AU442" s="25">
        <f t="shared" si="379"/>
        <v>0</v>
      </c>
      <c r="AV442" s="5"/>
      <c r="AW442" s="23">
        <f t="shared" si="380"/>
        <v>0</v>
      </c>
      <c r="AX442" s="23">
        <f t="shared" si="367"/>
        <v>0</v>
      </c>
      <c r="AY442" s="23">
        <f t="shared" si="368"/>
        <v>0</v>
      </c>
      <c r="AZ442" s="23">
        <f t="shared" si="369"/>
        <v>0</v>
      </c>
      <c r="BA442" s="23">
        <f t="shared" si="370"/>
        <v>0</v>
      </c>
      <c r="BB442" s="23">
        <f t="shared" si="371"/>
        <v>0</v>
      </c>
      <c r="BC442" s="23">
        <f t="shared" si="372"/>
        <v>0</v>
      </c>
      <c r="BD442" s="23">
        <f t="shared" si="373"/>
        <v>0</v>
      </c>
      <c r="BE442" s="23">
        <f t="shared" si="374"/>
        <v>0</v>
      </c>
      <c r="BF442" s="23">
        <f t="shared" si="375"/>
        <v>0</v>
      </c>
      <c r="BG442" s="23">
        <f t="shared" si="376"/>
        <v>0</v>
      </c>
      <c r="BH442" s="23">
        <f t="shared" si="386"/>
        <v>0</v>
      </c>
      <c r="BI442" s="23">
        <f t="shared" si="387"/>
        <v>0</v>
      </c>
      <c r="BJ442" s="23">
        <f t="shared" si="388"/>
        <v>0</v>
      </c>
      <c r="BK442" s="23">
        <f t="shared" si="389"/>
        <v>0</v>
      </c>
    </row>
    <row r="443" spans="1:63" s="100" customFormat="1" ht="16" hidden="1" customHeight="1">
      <c r="A443" s="28" t="s">
        <v>1008</v>
      </c>
      <c r="B443" s="24" t="s">
        <v>1080</v>
      </c>
      <c r="C443" s="22" t="s">
        <v>1081</v>
      </c>
      <c r="D443" s="27" t="s">
        <v>225</v>
      </c>
      <c r="E443" s="27"/>
      <c r="F443" s="25"/>
      <c r="G443" s="25"/>
      <c r="H443" s="25"/>
      <c r="I443" s="5"/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/>
      <c r="R443" s="25"/>
      <c r="S443" s="5"/>
      <c r="T443" s="5"/>
      <c r="U443" s="5"/>
      <c r="V443" s="5"/>
      <c r="W443" s="5"/>
      <c r="X443" s="25">
        <v>0</v>
      </c>
      <c r="Y443" s="25">
        <v>0</v>
      </c>
      <c r="Z443" s="25">
        <f t="shared" si="381"/>
        <v>0</v>
      </c>
      <c r="AA443" s="25"/>
      <c r="AB443" s="25">
        <v>0</v>
      </c>
      <c r="AC443" s="25">
        <v>0</v>
      </c>
      <c r="AD443" s="25">
        <f t="shared" si="378"/>
        <v>0</v>
      </c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30">
        <f t="shared" si="385"/>
        <v>0</v>
      </c>
      <c r="AU443" s="25">
        <f t="shared" si="379"/>
        <v>0</v>
      </c>
      <c r="AV443" s="5"/>
      <c r="AW443" s="23">
        <f t="shared" si="380"/>
        <v>0</v>
      </c>
      <c r="AX443" s="23">
        <f t="shared" si="367"/>
        <v>0</v>
      </c>
      <c r="AY443" s="23">
        <f t="shared" si="368"/>
        <v>0</v>
      </c>
      <c r="AZ443" s="23">
        <f t="shared" si="369"/>
        <v>0</v>
      </c>
      <c r="BA443" s="23">
        <f t="shared" si="370"/>
        <v>0</v>
      </c>
      <c r="BB443" s="23">
        <f t="shared" si="371"/>
        <v>0</v>
      </c>
      <c r="BC443" s="23">
        <f t="shared" si="372"/>
        <v>0</v>
      </c>
      <c r="BD443" s="23">
        <f t="shared" si="373"/>
        <v>0</v>
      </c>
      <c r="BE443" s="23">
        <f t="shared" si="374"/>
        <v>0</v>
      </c>
      <c r="BF443" s="23">
        <f t="shared" si="375"/>
        <v>0</v>
      </c>
      <c r="BG443" s="23">
        <f t="shared" si="376"/>
        <v>0</v>
      </c>
      <c r="BH443" s="23">
        <f t="shared" si="386"/>
        <v>0</v>
      </c>
      <c r="BI443" s="23">
        <f t="shared" si="387"/>
        <v>0</v>
      </c>
      <c r="BJ443" s="23">
        <f t="shared" si="388"/>
        <v>0</v>
      </c>
      <c r="BK443" s="23">
        <f t="shared" si="389"/>
        <v>0</v>
      </c>
    </row>
    <row r="444" spans="1:63" s="100" customFormat="1" ht="16" hidden="1" customHeight="1">
      <c r="A444" s="28" t="s">
        <v>1008</v>
      </c>
      <c r="B444" s="22" t="s">
        <v>1082</v>
      </c>
      <c r="C444" s="22" t="s">
        <v>1083</v>
      </c>
      <c r="D444" s="27" t="s">
        <v>225</v>
      </c>
      <c r="E444" s="27"/>
      <c r="F444" s="25"/>
      <c r="G444" s="25"/>
      <c r="H444" s="25"/>
      <c r="I444" s="5"/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/>
      <c r="R444" s="25"/>
      <c r="S444" s="5"/>
      <c r="T444" s="5"/>
      <c r="U444" s="5"/>
      <c r="V444" s="5"/>
      <c r="W444" s="5"/>
      <c r="X444" s="25">
        <v>0</v>
      </c>
      <c r="Y444" s="25">
        <v>0</v>
      </c>
      <c r="Z444" s="25">
        <f t="shared" si="381"/>
        <v>0</v>
      </c>
      <c r="AA444" s="25"/>
      <c r="AB444" s="25">
        <v>0</v>
      </c>
      <c r="AC444" s="25">
        <v>0</v>
      </c>
      <c r="AD444" s="25">
        <f t="shared" si="378"/>
        <v>0</v>
      </c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30">
        <f t="shared" si="385"/>
        <v>0</v>
      </c>
      <c r="AU444" s="25">
        <f t="shared" si="379"/>
        <v>0</v>
      </c>
      <c r="AV444" s="5"/>
      <c r="AW444" s="23">
        <f t="shared" si="380"/>
        <v>0</v>
      </c>
      <c r="AX444" s="23">
        <f t="shared" si="367"/>
        <v>0</v>
      </c>
      <c r="AY444" s="23">
        <f t="shared" si="368"/>
        <v>0</v>
      </c>
      <c r="AZ444" s="23">
        <f t="shared" si="369"/>
        <v>0</v>
      </c>
      <c r="BA444" s="23">
        <f t="shared" si="370"/>
        <v>0</v>
      </c>
      <c r="BB444" s="23">
        <f t="shared" si="371"/>
        <v>0</v>
      </c>
      <c r="BC444" s="23">
        <f t="shared" si="372"/>
        <v>0</v>
      </c>
      <c r="BD444" s="23">
        <f t="shared" si="373"/>
        <v>0</v>
      </c>
      <c r="BE444" s="23">
        <f t="shared" si="374"/>
        <v>0</v>
      </c>
      <c r="BF444" s="23">
        <f t="shared" si="375"/>
        <v>0</v>
      </c>
      <c r="BG444" s="23">
        <f t="shared" si="376"/>
        <v>0</v>
      </c>
      <c r="BH444" s="23">
        <f t="shared" si="386"/>
        <v>0</v>
      </c>
      <c r="BI444" s="23">
        <f t="shared" si="387"/>
        <v>0</v>
      </c>
      <c r="BJ444" s="23">
        <f t="shared" si="388"/>
        <v>0</v>
      </c>
      <c r="BK444" s="23">
        <f t="shared" si="389"/>
        <v>0</v>
      </c>
    </row>
    <row r="445" spans="1:63" s="100" customFormat="1" ht="16" hidden="1" customHeight="1">
      <c r="A445" s="28" t="s">
        <v>1008</v>
      </c>
      <c r="B445" s="25" t="s">
        <v>1084</v>
      </c>
      <c r="C445" s="25" t="s">
        <v>1085</v>
      </c>
      <c r="D445" s="27" t="s">
        <v>225</v>
      </c>
      <c r="E445" s="27"/>
      <c r="F445" s="25"/>
      <c r="G445" s="25"/>
      <c r="H445" s="25"/>
      <c r="I445" s="5"/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/>
      <c r="R445" s="25"/>
      <c r="S445" s="5"/>
      <c r="T445" s="5"/>
      <c r="U445" s="5"/>
      <c r="V445" s="5"/>
      <c r="W445" s="5"/>
      <c r="X445" s="25">
        <v>0</v>
      </c>
      <c r="Y445" s="25">
        <v>0</v>
      </c>
      <c r="Z445" s="25">
        <f t="shared" si="381"/>
        <v>0</v>
      </c>
      <c r="AA445" s="25"/>
      <c r="AB445" s="25">
        <v>0</v>
      </c>
      <c r="AC445" s="25">
        <v>0</v>
      </c>
      <c r="AD445" s="25">
        <f t="shared" si="378"/>
        <v>0</v>
      </c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30">
        <f t="shared" si="385"/>
        <v>0</v>
      </c>
      <c r="AU445" s="25">
        <f t="shared" si="379"/>
        <v>0</v>
      </c>
      <c r="AV445" s="5"/>
      <c r="AW445" s="23">
        <f t="shared" si="380"/>
        <v>0</v>
      </c>
      <c r="AX445" s="23">
        <f t="shared" si="367"/>
        <v>0</v>
      </c>
      <c r="AY445" s="23">
        <f t="shared" si="368"/>
        <v>0</v>
      </c>
      <c r="AZ445" s="23">
        <f t="shared" si="369"/>
        <v>0</v>
      </c>
      <c r="BA445" s="23">
        <f t="shared" si="370"/>
        <v>0</v>
      </c>
      <c r="BB445" s="23">
        <f t="shared" si="371"/>
        <v>0</v>
      </c>
      <c r="BC445" s="23">
        <f t="shared" si="372"/>
        <v>0</v>
      </c>
      <c r="BD445" s="23">
        <f t="shared" si="373"/>
        <v>0</v>
      </c>
      <c r="BE445" s="23">
        <f t="shared" si="374"/>
        <v>0</v>
      </c>
      <c r="BF445" s="23">
        <f t="shared" si="375"/>
        <v>0</v>
      </c>
      <c r="BG445" s="23">
        <f t="shared" si="376"/>
        <v>0</v>
      </c>
      <c r="BH445" s="23">
        <f t="shared" si="386"/>
        <v>0</v>
      </c>
      <c r="BI445" s="23">
        <f t="shared" si="387"/>
        <v>0</v>
      </c>
      <c r="BJ445" s="23">
        <f t="shared" si="388"/>
        <v>0</v>
      </c>
      <c r="BK445" s="23">
        <f t="shared" si="389"/>
        <v>0</v>
      </c>
    </row>
    <row r="446" spans="1:63" s="100" customFormat="1" ht="16" hidden="1" customHeight="1">
      <c r="A446" s="28" t="s">
        <v>1008</v>
      </c>
      <c r="B446" s="25" t="s">
        <v>1086</v>
      </c>
      <c r="C446" s="25" t="s">
        <v>1087</v>
      </c>
      <c r="D446" s="27" t="s">
        <v>225</v>
      </c>
      <c r="E446" s="27"/>
      <c r="F446" s="25"/>
      <c r="G446" s="25"/>
      <c r="H446" s="25"/>
      <c r="I446" s="5"/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/>
      <c r="R446" s="25"/>
      <c r="S446" s="5"/>
      <c r="T446" s="5"/>
      <c r="U446" s="5"/>
      <c r="V446" s="5"/>
      <c r="W446" s="5"/>
      <c r="X446" s="25">
        <v>0</v>
      </c>
      <c r="Y446" s="25">
        <v>0</v>
      </c>
      <c r="Z446" s="25">
        <f t="shared" si="381"/>
        <v>0</v>
      </c>
      <c r="AA446" s="25"/>
      <c r="AB446" s="25">
        <v>0</v>
      </c>
      <c r="AC446" s="25">
        <v>0</v>
      </c>
      <c r="AD446" s="25">
        <f t="shared" si="378"/>
        <v>0</v>
      </c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30">
        <f t="shared" si="385"/>
        <v>0</v>
      </c>
      <c r="AU446" s="25">
        <f t="shared" si="379"/>
        <v>0</v>
      </c>
      <c r="AV446" s="5"/>
      <c r="AW446" s="23">
        <f t="shared" si="380"/>
        <v>0</v>
      </c>
      <c r="AX446" s="23">
        <f t="shared" si="367"/>
        <v>0</v>
      </c>
      <c r="AY446" s="23">
        <f t="shared" si="368"/>
        <v>0</v>
      </c>
      <c r="AZ446" s="23">
        <f t="shared" si="369"/>
        <v>0</v>
      </c>
      <c r="BA446" s="23">
        <f t="shared" si="370"/>
        <v>0</v>
      </c>
      <c r="BB446" s="23">
        <f t="shared" si="371"/>
        <v>0</v>
      </c>
      <c r="BC446" s="23">
        <f t="shared" si="372"/>
        <v>0</v>
      </c>
      <c r="BD446" s="23">
        <f t="shared" si="373"/>
        <v>0</v>
      </c>
      <c r="BE446" s="23">
        <f t="shared" si="374"/>
        <v>0</v>
      </c>
      <c r="BF446" s="23">
        <f t="shared" si="375"/>
        <v>0</v>
      </c>
      <c r="BG446" s="23">
        <f t="shared" si="376"/>
        <v>0</v>
      </c>
      <c r="BH446" s="23">
        <f t="shared" si="386"/>
        <v>0</v>
      </c>
      <c r="BI446" s="23">
        <f t="shared" si="387"/>
        <v>0</v>
      </c>
      <c r="BJ446" s="23">
        <f t="shared" si="388"/>
        <v>0</v>
      </c>
      <c r="BK446" s="23">
        <f t="shared" si="389"/>
        <v>0</v>
      </c>
    </row>
    <row r="447" spans="1:63" s="100" customFormat="1" ht="16" hidden="1" customHeight="1">
      <c r="A447" s="28" t="s">
        <v>1008</v>
      </c>
      <c r="B447" s="25" t="s">
        <v>1088</v>
      </c>
      <c r="C447" s="25" t="s">
        <v>1089</v>
      </c>
      <c r="D447" s="27" t="s">
        <v>225</v>
      </c>
      <c r="E447" s="27"/>
      <c r="F447" s="25"/>
      <c r="G447" s="25"/>
      <c r="H447" s="25"/>
      <c r="I447" s="5"/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/>
      <c r="R447" s="25"/>
      <c r="S447" s="5"/>
      <c r="T447" s="5"/>
      <c r="U447" s="5"/>
      <c r="V447" s="5"/>
      <c r="W447" s="5"/>
      <c r="X447" s="25">
        <v>0</v>
      </c>
      <c r="Y447" s="25">
        <v>0</v>
      </c>
      <c r="Z447" s="25">
        <f t="shared" si="381"/>
        <v>0</v>
      </c>
      <c r="AA447" s="25"/>
      <c r="AB447" s="25">
        <v>0</v>
      </c>
      <c r="AC447" s="25">
        <v>0</v>
      </c>
      <c r="AD447" s="25">
        <f t="shared" si="378"/>
        <v>0</v>
      </c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30">
        <f t="shared" si="385"/>
        <v>0</v>
      </c>
      <c r="AU447" s="25">
        <f t="shared" si="379"/>
        <v>0</v>
      </c>
      <c r="AV447" s="5"/>
      <c r="AW447" s="23">
        <f t="shared" si="380"/>
        <v>0</v>
      </c>
      <c r="AX447" s="23">
        <f t="shared" si="367"/>
        <v>0</v>
      </c>
      <c r="AY447" s="23">
        <f t="shared" si="368"/>
        <v>0</v>
      </c>
      <c r="AZ447" s="23">
        <f t="shared" si="369"/>
        <v>0</v>
      </c>
      <c r="BA447" s="23">
        <f t="shared" si="370"/>
        <v>0</v>
      </c>
      <c r="BB447" s="23">
        <f t="shared" si="371"/>
        <v>0</v>
      </c>
      <c r="BC447" s="23">
        <f t="shared" si="372"/>
        <v>0</v>
      </c>
      <c r="BD447" s="23">
        <f t="shared" si="373"/>
        <v>0</v>
      </c>
      <c r="BE447" s="23">
        <f t="shared" si="374"/>
        <v>0</v>
      </c>
      <c r="BF447" s="23">
        <f t="shared" si="375"/>
        <v>0</v>
      </c>
      <c r="BG447" s="23">
        <f t="shared" si="376"/>
        <v>0</v>
      </c>
      <c r="BH447" s="23">
        <f t="shared" si="386"/>
        <v>0</v>
      </c>
      <c r="BI447" s="23">
        <f t="shared" si="387"/>
        <v>0</v>
      </c>
      <c r="BJ447" s="23">
        <f t="shared" si="388"/>
        <v>0</v>
      </c>
      <c r="BK447" s="23">
        <f t="shared" si="389"/>
        <v>0</v>
      </c>
    </row>
    <row r="448" spans="1:63" s="100" customFormat="1" ht="16" customHeight="1">
      <c r="A448" s="28" t="s">
        <v>1008</v>
      </c>
      <c r="B448" s="25" t="s">
        <v>1090</v>
      </c>
      <c r="C448" s="25" t="s">
        <v>1091</v>
      </c>
      <c r="D448" s="27" t="s">
        <v>1092</v>
      </c>
      <c r="E448" s="27"/>
      <c r="F448" s="25"/>
      <c r="G448" s="25"/>
      <c r="H448" s="25"/>
      <c r="I448" s="5"/>
      <c r="J448" s="5">
        <v>0</v>
      </c>
      <c r="K448" s="5">
        <v>0</v>
      </c>
      <c r="L448" s="5">
        <v>0</v>
      </c>
      <c r="M448" s="5">
        <v>2</v>
      </c>
      <c r="N448" s="5">
        <v>0</v>
      </c>
      <c r="O448" s="5">
        <v>2</v>
      </c>
      <c r="P448" s="5">
        <v>0</v>
      </c>
      <c r="Q448" s="5"/>
      <c r="R448" s="25"/>
      <c r="S448" s="5"/>
      <c r="T448" s="5"/>
      <c r="U448" s="5"/>
      <c r="V448" s="5"/>
      <c r="W448" s="5"/>
      <c r="X448" s="25">
        <v>0</v>
      </c>
      <c r="Y448" s="25">
        <v>0</v>
      </c>
      <c r="Z448" s="25">
        <f t="shared" si="381"/>
        <v>0</v>
      </c>
      <c r="AA448" s="25"/>
      <c r="AB448" s="25">
        <v>7</v>
      </c>
      <c r="AC448" s="25">
        <v>0</v>
      </c>
      <c r="AD448" s="25">
        <f t="shared" si="378"/>
        <v>7</v>
      </c>
      <c r="AE448" s="23"/>
      <c r="AF448" s="23"/>
      <c r="AG448" s="23"/>
      <c r="AH448" s="23">
        <v>7</v>
      </c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30">
        <f>SUM(AE448:AS448)</f>
        <v>7</v>
      </c>
      <c r="AU448" s="25">
        <f t="shared" si="379"/>
        <v>0</v>
      </c>
      <c r="AV448" s="5"/>
      <c r="AW448" s="23">
        <f t="shared" si="380"/>
        <v>0</v>
      </c>
      <c r="AX448" s="23">
        <f t="shared" si="367"/>
        <v>0</v>
      </c>
      <c r="AY448" s="23">
        <f t="shared" si="368"/>
        <v>0</v>
      </c>
      <c r="AZ448" s="23">
        <f t="shared" si="369"/>
        <v>7</v>
      </c>
      <c r="BA448" s="23">
        <f t="shared" si="370"/>
        <v>5</v>
      </c>
      <c r="BB448" s="23">
        <f t="shared" si="371"/>
        <v>5</v>
      </c>
      <c r="BC448" s="23">
        <f t="shared" si="372"/>
        <v>3</v>
      </c>
      <c r="BD448" s="23">
        <f t="shared" si="373"/>
        <v>3</v>
      </c>
      <c r="BE448" s="23">
        <f t="shared" si="374"/>
        <v>3</v>
      </c>
      <c r="BF448" s="23">
        <f t="shared" ref="BF448:BK448" si="390">BE448+AN448-R448</f>
        <v>3</v>
      </c>
      <c r="BG448" s="23">
        <f t="shared" si="390"/>
        <v>3</v>
      </c>
      <c r="BH448" s="23">
        <f t="shared" si="390"/>
        <v>3</v>
      </c>
      <c r="BI448" s="23">
        <f t="shared" si="390"/>
        <v>3</v>
      </c>
      <c r="BJ448" s="23">
        <f t="shared" si="390"/>
        <v>3</v>
      </c>
      <c r="BK448" s="23">
        <f t="shared" si="390"/>
        <v>3</v>
      </c>
    </row>
    <row r="449" spans="1:63" s="100" customFormat="1" ht="16" hidden="1" customHeight="1">
      <c r="A449" s="28" t="s">
        <v>1008</v>
      </c>
      <c r="B449" s="25" t="s">
        <v>1093</v>
      </c>
      <c r="C449" s="25" t="s">
        <v>1094</v>
      </c>
      <c r="D449" s="27" t="s">
        <v>1092</v>
      </c>
      <c r="E449" s="27"/>
      <c r="F449" s="25"/>
      <c r="G449" s="25"/>
      <c r="H449" s="25"/>
      <c r="I449" s="5"/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5</v>
      </c>
      <c r="P449" s="5">
        <v>0</v>
      </c>
      <c r="Q449" s="5"/>
      <c r="R449" s="25"/>
      <c r="S449" s="5"/>
      <c r="T449" s="5"/>
      <c r="U449" s="5"/>
      <c r="V449" s="5"/>
      <c r="W449" s="5"/>
      <c r="X449" s="25">
        <v>494</v>
      </c>
      <c r="Y449" s="25">
        <v>5</v>
      </c>
      <c r="Z449" s="25">
        <f t="shared" si="381"/>
        <v>489</v>
      </c>
      <c r="AA449" s="25"/>
      <c r="AB449" s="25">
        <v>5</v>
      </c>
      <c r="AC449" s="25">
        <v>0</v>
      </c>
      <c r="AD449" s="25">
        <f t="shared" si="378"/>
        <v>0</v>
      </c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30">
        <f>SUM(AE449:AR449)</f>
        <v>0</v>
      </c>
      <c r="AU449" s="25">
        <f t="shared" si="379"/>
        <v>0</v>
      </c>
      <c r="AV449" s="5"/>
      <c r="AW449" s="23">
        <f t="shared" si="380"/>
        <v>5</v>
      </c>
      <c r="AX449" s="23">
        <f t="shared" si="367"/>
        <v>5</v>
      </c>
      <c r="AY449" s="23">
        <f t="shared" si="368"/>
        <v>5</v>
      </c>
      <c r="AZ449" s="23">
        <f t="shared" si="369"/>
        <v>5</v>
      </c>
      <c r="BA449" s="23">
        <f t="shared" si="370"/>
        <v>5</v>
      </c>
      <c r="BB449" s="23">
        <f t="shared" si="371"/>
        <v>5</v>
      </c>
      <c r="BC449" s="23">
        <f t="shared" si="372"/>
        <v>0</v>
      </c>
      <c r="BD449" s="23">
        <f t="shared" si="373"/>
        <v>0</v>
      </c>
      <c r="BE449" s="23">
        <f t="shared" si="374"/>
        <v>0</v>
      </c>
      <c r="BF449" s="23">
        <f t="shared" si="375"/>
        <v>0</v>
      </c>
      <c r="BG449" s="23">
        <f t="shared" si="376"/>
        <v>0</v>
      </c>
      <c r="BH449" s="23">
        <f>AP449+AJ449-T449</f>
        <v>0</v>
      </c>
      <c r="BI449" s="23">
        <f>AQ449+AK449-U449</f>
        <v>0</v>
      </c>
      <c r="BJ449" s="23">
        <f>AR449+AL449-V449</f>
        <v>0</v>
      </c>
      <c r="BK449" s="23">
        <f>AS449+AM449-W449</f>
        <v>0</v>
      </c>
    </row>
    <row r="450" spans="1:63" s="100" customFormat="1" ht="16" customHeight="1">
      <c r="A450" s="28" t="s">
        <v>1008</v>
      </c>
      <c r="B450" s="25" t="s">
        <v>1095</v>
      </c>
      <c r="C450" s="25" t="s">
        <v>1096</v>
      </c>
      <c r="D450" s="27" t="s">
        <v>1092</v>
      </c>
      <c r="E450" s="27"/>
      <c r="F450" s="25"/>
      <c r="G450" s="25"/>
      <c r="H450" s="25"/>
      <c r="I450" s="5"/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24</v>
      </c>
      <c r="P450" s="5">
        <v>0</v>
      </c>
      <c r="Q450" s="5"/>
      <c r="R450" s="25"/>
      <c r="S450" s="5"/>
      <c r="T450" s="5"/>
      <c r="U450" s="5"/>
      <c r="V450" s="5"/>
      <c r="W450" s="5"/>
      <c r="X450" s="25">
        <v>0</v>
      </c>
      <c r="Y450" s="25">
        <v>0</v>
      </c>
      <c r="Z450" s="25">
        <f t="shared" si="381"/>
        <v>0</v>
      </c>
      <c r="AA450" s="25"/>
      <c r="AB450" s="25">
        <v>27</v>
      </c>
      <c r="AC450" s="25">
        <v>0</v>
      </c>
      <c r="AD450" s="25">
        <f t="shared" si="378"/>
        <v>27</v>
      </c>
      <c r="AE450" s="23"/>
      <c r="AF450" s="23"/>
      <c r="AG450" s="23"/>
      <c r="AH450" s="23">
        <v>27</v>
      </c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30">
        <f>SUM(AE450:AS450)</f>
        <v>27</v>
      </c>
      <c r="AU450" s="25">
        <f t="shared" si="379"/>
        <v>0</v>
      </c>
      <c r="AV450" s="5"/>
      <c r="AW450" s="23">
        <f t="shared" si="380"/>
        <v>0</v>
      </c>
      <c r="AX450" s="23">
        <f t="shared" si="367"/>
        <v>0</v>
      </c>
      <c r="AY450" s="23">
        <f t="shared" si="368"/>
        <v>0</v>
      </c>
      <c r="AZ450" s="23">
        <f t="shared" si="369"/>
        <v>27</v>
      </c>
      <c r="BA450" s="23">
        <f t="shared" si="370"/>
        <v>27</v>
      </c>
      <c r="BB450" s="23">
        <f t="shared" si="371"/>
        <v>27</v>
      </c>
      <c r="BC450" s="23">
        <f t="shared" si="372"/>
        <v>3</v>
      </c>
      <c r="BD450" s="23">
        <f t="shared" si="373"/>
        <v>3</v>
      </c>
      <c r="BE450" s="23">
        <f t="shared" si="374"/>
        <v>3</v>
      </c>
      <c r="BF450" s="23">
        <f t="shared" ref="BF450:BK450" si="391">BE450+AN450-R450</f>
        <v>3</v>
      </c>
      <c r="BG450" s="23">
        <f t="shared" si="391"/>
        <v>3</v>
      </c>
      <c r="BH450" s="23">
        <f t="shared" si="391"/>
        <v>3</v>
      </c>
      <c r="BI450" s="23">
        <f t="shared" si="391"/>
        <v>3</v>
      </c>
      <c r="BJ450" s="23">
        <f t="shared" si="391"/>
        <v>3</v>
      </c>
      <c r="BK450" s="23">
        <f t="shared" si="391"/>
        <v>3</v>
      </c>
    </row>
    <row r="451" spans="1:63" s="100" customFormat="1" ht="16" hidden="1" customHeight="1">
      <c r="A451" s="28" t="s">
        <v>1008</v>
      </c>
      <c r="B451" s="25" t="s">
        <v>1097</v>
      </c>
      <c r="C451" s="25" t="s">
        <v>1098</v>
      </c>
      <c r="D451" s="27" t="s">
        <v>1092</v>
      </c>
      <c r="E451" s="27"/>
      <c r="F451" s="25"/>
      <c r="G451" s="25"/>
      <c r="H451" s="25"/>
      <c r="I451" s="5"/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/>
      <c r="R451" s="25"/>
      <c r="S451" s="5"/>
      <c r="T451" s="5"/>
      <c r="U451" s="5"/>
      <c r="V451" s="5"/>
      <c r="W451" s="5"/>
      <c r="X451" s="25">
        <v>0</v>
      </c>
      <c r="Y451" s="25">
        <v>0</v>
      </c>
      <c r="Z451" s="25">
        <f t="shared" si="381"/>
        <v>0</v>
      </c>
      <c r="AA451" s="25"/>
      <c r="AB451" s="25">
        <v>0</v>
      </c>
      <c r="AC451" s="25">
        <v>0</v>
      </c>
      <c r="AD451" s="25">
        <f t="shared" si="378"/>
        <v>0</v>
      </c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30">
        <f t="shared" ref="AT451:AT469" si="392">SUM(AE451:AR451)</f>
        <v>0</v>
      </c>
      <c r="AU451" s="25">
        <f t="shared" si="379"/>
        <v>0</v>
      </c>
      <c r="AV451" s="5"/>
      <c r="AW451" s="23">
        <f t="shared" si="380"/>
        <v>0</v>
      </c>
      <c r="AX451" s="23">
        <f t="shared" si="367"/>
        <v>0</v>
      </c>
      <c r="AY451" s="23">
        <f t="shared" si="368"/>
        <v>0</v>
      </c>
      <c r="AZ451" s="23">
        <f t="shared" si="369"/>
        <v>0</v>
      </c>
      <c r="BA451" s="23">
        <f t="shared" si="370"/>
        <v>0</v>
      </c>
      <c r="BB451" s="23">
        <f t="shared" si="371"/>
        <v>0</v>
      </c>
      <c r="BC451" s="23">
        <f t="shared" si="372"/>
        <v>0</v>
      </c>
      <c r="BD451" s="23">
        <f t="shared" si="373"/>
        <v>0</v>
      </c>
      <c r="BE451" s="23">
        <f t="shared" si="374"/>
        <v>0</v>
      </c>
      <c r="BF451" s="23">
        <f t="shared" si="375"/>
        <v>0</v>
      </c>
      <c r="BG451" s="23">
        <f t="shared" si="376"/>
        <v>0</v>
      </c>
      <c r="BH451" s="23">
        <f t="shared" ref="BH451:BH468" si="393">AP451+AJ451-T451</f>
        <v>0</v>
      </c>
      <c r="BI451" s="23">
        <f t="shared" ref="BI451:BI468" si="394">AQ451+AK451-U451</f>
        <v>0</v>
      </c>
      <c r="BJ451" s="23">
        <f t="shared" ref="BJ451:BJ468" si="395">AR451+AL451-V451</f>
        <v>0</v>
      </c>
      <c r="BK451" s="23">
        <f t="shared" ref="BK451:BK468" si="396">AS451+AM451-W451</f>
        <v>0</v>
      </c>
    </row>
    <row r="452" spans="1:63" s="100" customFormat="1" ht="16" hidden="1" customHeight="1">
      <c r="A452" s="28" t="s">
        <v>1008</v>
      </c>
      <c r="B452" s="25" t="s">
        <v>1099</v>
      </c>
      <c r="C452" s="25" t="s">
        <v>1100</v>
      </c>
      <c r="D452" s="27" t="s">
        <v>219</v>
      </c>
      <c r="E452" s="27"/>
      <c r="F452" s="25"/>
      <c r="G452" s="25"/>
      <c r="H452" s="25"/>
      <c r="I452" s="5"/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/>
      <c r="R452" s="25"/>
      <c r="S452" s="5"/>
      <c r="T452" s="5"/>
      <c r="U452" s="5"/>
      <c r="V452" s="5"/>
      <c r="W452" s="5"/>
      <c r="X452" s="25">
        <v>0</v>
      </c>
      <c r="Y452" s="25">
        <v>0</v>
      </c>
      <c r="Z452" s="25">
        <f t="shared" si="381"/>
        <v>0</v>
      </c>
      <c r="AA452" s="25"/>
      <c r="AB452" s="25">
        <v>0</v>
      </c>
      <c r="AC452" s="25">
        <v>0</v>
      </c>
      <c r="AD452" s="25">
        <f t="shared" si="378"/>
        <v>0</v>
      </c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30">
        <f t="shared" si="392"/>
        <v>0</v>
      </c>
      <c r="AU452" s="25">
        <f t="shared" si="379"/>
        <v>0</v>
      </c>
      <c r="AV452" s="5"/>
      <c r="AW452" s="23">
        <f t="shared" si="380"/>
        <v>0</v>
      </c>
      <c r="AX452" s="23">
        <f t="shared" si="367"/>
        <v>0</v>
      </c>
      <c r="AY452" s="23">
        <f t="shared" si="368"/>
        <v>0</v>
      </c>
      <c r="AZ452" s="23">
        <f t="shared" si="369"/>
        <v>0</v>
      </c>
      <c r="BA452" s="23">
        <f t="shared" si="370"/>
        <v>0</v>
      </c>
      <c r="BB452" s="23">
        <f t="shared" si="371"/>
        <v>0</v>
      </c>
      <c r="BC452" s="23">
        <f t="shared" si="372"/>
        <v>0</v>
      </c>
      <c r="BD452" s="23">
        <f t="shared" si="373"/>
        <v>0</v>
      </c>
      <c r="BE452" s="23">
        <f t="shared" si="374"/>
        <v>0</v>
      </c>
      <c r="BF452" s="23">
        <f t="shared" si="375"/>
        <v>0</v>
      </c>
      <c r="BG452" s="23">
        <f t="shared" si="376"/>
        <v>0</v>
      </c>
      <c r="BH452" s="23">
        <f t="shared" si="393"/>
        <v>0</v>
      </c>
      <c r="BI452" s="23">
        <f t="shared" si="394"/>
        <v>0</v>
      </c>
      <c r="BJ452" s="23">
        <f t="shared" si="395"/>
        <v>0</v>
      </c>
      <c r="BK452" s="23">
        <f t="shared" si="396"/>
        <v>0</v>
      </c>
    </row>
    <row r="453" spans="1:63" s="100" customFormat="1" ht="16" hidden="1" customHeight="1">
      <c r="A453" s="28" t="s">
        <v>1008</v>
      </c>
      <c r="B453" s="24" t="s">
        <v>1101</v>
      </c>
      <c r="C453" s="22" t="s">
        <v>1102</v>
      </c>
      <c r="D453" s="27" t="s">
        <v>154</v>
      </c>
      <c r="E453" s="27"/>
      <c r="F453" s="25"/>
      <c r="G453" s="25"/>
      <c r="H453" s="25"/>
      <c r="I453" s="5"/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/>
      <c r="R453" s="25"/>
      <c r="S453" s="5"/>
      <c r="T453" s="5"/>
      <c r="U453" s="5"/>
      <c r="V453" s="5"/>
      <c r="W453" s="5"/>
      <c r="X453" s="25">
        <v>0</v>
      </c>
      <c r="Y453" s="25">
        <v>0</v>
      </c>
      <c r="Z453" s="25">
        <f t="shared" si="381"/>
        <v>0</v>
      </c>
      <c r="AA453" s="25"/>
      <c r="AB453" s="25">
        <v>0</v>
      </c>
      <c r="AC453" s="25">
        <v>0</v>
      </c>
      <c r="AD453" s="25">
        <f t="shared" si="378"/>
        <v>0</v>
      </c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30">
        <f t="shared" si="392"/>
        <v>0</v>
      </c>
      <c r="AU453" s="25">
        <f t="shared" si="379"/>
        <v>0</v>
      </c>
      <c r="AV453" s="5"/>
      <c r="AW453" s="23">
        <f t="shared" si="380"/>
        <v>0</v>
      </c>
      <c r="AX453" s="23">
        <f t="shared" si="367"/>
        <v>0</v>
      </c>
      <c r="AY453" s="23">
        <f t="shared" si="368"/>
        <v>0</v>
      </c>
      <c r="AZ453" s="23">
        <f t="shared" si="369"/>
        <v>0</v>
      </c>
      <c r="BA453" s="23">
        <f t="shared" si="370"/>
        <v>0</v>
      </c>
      <c r="BB453" s="23">
        <f t="shared" si="371"/>
        <v>0</v>
      </c>
      <c r="BC453" s="23">
        <f t="shared" si="372"/>
        <v>0</v>
      </c>
      <c r="BD453" s="23">
        <f t="shared" si="373"/>
        <v>0</v>
      </c>
      <c r="BE453" s="23">
        <f t="shared" si="374"/>
        <v>0</v>
      </c>
      <c r="BF453" s="23">
        <f t="shared" si="375"/>
        <v>0</v>
      </c>
      <c r="BG453" s="23">
        <f t="shared" si="376"/>
        <v>0</v>
      </c>
      <c r="BH453" s="23">
        <f t="shared" si="393"/>
        <v>0</v>
      </c>
      <c r="BI453" s="23">
        <f t="shared" si="394"/>
        <v>0</v>
      </c>
      <c r="BJ453" s="23">
        <f t="shared" si="395"/>
        <v>0</v>
      </c>
      <c r="BK453" s="23">
        <f t="shared" si="396"/>
        <v>0</v>
      </c>
    </row>
    <row r="454" spans="1:63" s="100" customFormat="1" ht="16" hidden="1" customHeight="1">
      <c r="A454" s="28" t="s">
        <v>1008</v>
      </c>
      <c r="B454" s="22" t="s">
        <v>1103</v>
      </c>
      <c r="C454" s="22" t="s">
        <v>1104</v>
      </c>
      <c r="D454" s="27" t="s">
        <v>109</v>
      </c>
      <c r="E454" s="27"/>
      <c r="F454" s="25"/>
      <c r="G454" s="25"/>
      <c r="H454" s="25"/>
      <c r="I454" s="5"/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/>
      <c r="R454" s="25"/>
      <c r="S454" s="5"/>
      <c r="T454" s="5"/>
      <c r="U454" s="5"/>
      <c r="V454" s="5"/>
      <c r="W454" s="5"/>
      <c r="X454" s="25">
        <v>0</v>
      </c>
      <c r="Y454" s="25">
        <v>0</v>
      </c>
      <c r="Z454" s="25">
        <f t="shared" si="381"/>
        <v>0</v>
      </c>
      <c r="AA454" s="25"/>
      <c r="AB454" s="25">
        <v>0</v>
      </c>
      <c r="AC454" s="25">
        <v>0</v>
      </c>
      <c r="AD454" s="25">
        <f t="shared" si="378"/>
        <v>0</v>
      </c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30">
        <f t="shared" si="392"/>
        <v>0</v>
      </c>
      <c r="AU454" s="25">
        <f t="shared" si="379"/>
        <v>0</v>
      </c>
      <c r="AV454" s="5"/>
      <c r="AW454" s="23">
        <f t="shared" si="380"/>
        <v>0</v>
      </c>
      <c r="AX454" s="23">
        <f t="shared" si="367"/>
        <v>0</v>
      </c>
      <c r="AY454" s="23">
        <f t="shared" si="368"/>
        <v>0</v>
      </c>
      <c r="AZ454" s="23">
        <f t="shared" si="369"/>
        <v>0</v>
      </c>
      <c r="BA454" s="23">
        <f t="shared" si="370"/>
        <v>0</v>
      </c>
      <c r="BB454" s="23">
        <f t="shared" si="371"/>
        <v>0</v>
      </c>
      <c r="BC454" s="23">
        <f t="shared" si="372"/>
        <v>0</v>
      </c>
      <c r="BD454" s="23">
        <f t="shared" si="373"/>
        <v>0</v>
      </c>
      <c r="BE454" s="23">
        <f t="shared" si="374"/>
        <v>0</v>
      </c>
      <c r="BF454" s="23">
        <f t="shared" si="375"/>
        <v>0</v>
      </c>
      <c r="BG454" s="23">
        <f t="shared" si="376"/>
        <v>0</v>
      </c>
      <c r="BH454" s="23">
        <f t="shared" si="393"/>
        <v>0</v>
      </c>
      <c r="BI454" s="23">
        <f t="shared" si="394"/>
        <v>0</v>
      </c>
      <c r="BJ454" s="23">
        <f t="shared" si="395"/>
        <v>0</v>
      </c>
      <c r="BK454" s="23">
        <f t="shared" si="396"/>
        <v>0</v>
      </c>
    </row>
    <row r="455" spans="1:63" s="100" customFormat="1" ht="16" hidden="1" customHeight="1">
      <c r="A455" s="28" t="s">
        <v>1008</v>
      </c>
      <c r="B455" s="25" t="s">
        <v>1105</v>
      </c>
      <c r="C455" s="24" t="s">
        <v>1106</v>
      </c>
      <c r="D455" s="27" t="s">
        <v>109</v>
      </c>
      <c r="E455" s="27"/>
      <c r="F455" s="25"/>
      <c r="G455" s="25"/>
      <c r="H455" s="25"/>
      <c r="I455" s="5"/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/>
      <c r="R455" s="25"/>
      <c r="S455" s="5"/>
      <c r="T455" s="5"/>
      <c r="U455" s="5"/>
      <c r="V455" s="5"/>
      <c r="W455" s="5"/>
      <c r="X455" s="25">
        <v>0</v>
      </c>
      <c r="Y455" s="25">
        <v>0</v>
      </c>
      <c r="Z455" s="25">
        <f t="shared" si="381"/>
        <v>0</v>
      </c>
      <c r="AA455" s="25"/>
      <c r="AB455" s="25">
        <v>0</v>
      </c>
      <c r="AC455" s="25">
        <v>0</v>
      </c>
      <c r="AD455" s="25">
        <f t="shared" si="378"/>
        <v>0</v>
      </c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30">
        <f t="shared" si="392"/>
        <v>0</v>
      </c>
      <c r="AU455" s="25">
        <f t="shared" si="379"/>
        <v>0</v>
      </c>
      <c r="AV455" s="5"/>
      <c r="AW455" s="23">
        <f t="shared" si="380"/>
        <v>0</v>
      </c>
      <c r="AX455" s="23">
        <f t="shared" si="367"/>
        <v>0</v>
      </c>
      <c r="AY455" s="23">
        <f t="shared" si="368"/>
        <v>0</v>
      </c>
      <c r="AZ455" s="23">
        <f t="shared" si="369"/>
        <v>0</v>
      </c>
      <c r="BA455" s="23">
        <f t="shared" si="370"/>
        <v>0</v>
      </c>
      <c r="BB455" s="23">
        <f t="shared" si="371"/>
        <v>0</v>
      </c>
      <c r="BC455" s="23">
        <f t="shared" si="372"/>
        <v>0</v>
      </c>
      <c r="BD455" s="23">
        <f t="shared" si="373"/>
        <v>0</v>
      </c>
      <c r="BE455" s="23">
        <f t="shared" si="374"/>
        <v>0</v>
      </c>
      <c r="BF455" s="23">
        <f t="shared" si="375"/>
        <v>0</v>
      </c>
      <c r="BG455" s="23">
        <f t="shared" si="376"/>
        <v>0</v>
      </c>
      <c r="BH455" s="23">
        <f t="shared" si="393"/>
        <v>0</v>
      </c>
      <c r="BI455" s="23">
        <f t="shared" si="394"/>
        <v>0</v>
      </c>
      <c r="BJ455" s="23">
        <f t="shared" si="395"/>
        <v>0</v>
      </c>
      <c r="BK455" s="23">
        <f t="shared" si="396"/>
        <v>0</v>
      </c>
    </row>
    <row r="456" spans="1:63" s="100" customFormat="1" ht="16" hidden="1" customHeight="1">
      <c r="A456" s="28" t="s">
        <v>1008</v>
      </c>
      <c r="B456" s="25" t="s">
        <v>1107</v>
      </c>
      <c r="C456" s="24" t="s">
        <v>1108</v>
      </c>
      <c r="D456" s="27" t="s">
        <v>109</v>
      </c>
      <c r="E456" s="27"/>
      <c r="F456" s="25"/>
      <c r="G456" s="25"/>
      <c r="H456" s="25"/>
      <c r="I456" s="5"/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/>
      <c r="R456" s="25"/>
      <c r="S456" s="5"/>
      <c r="T456" s="5"/>
      <c r="U456" s="5"/>
      <c r="V456" s="5"/>
      <c r="W456" s="5"/>
      <c r="X456" s="25">
        <v>0</v>
      </c>
      <c r="Y456" s="25">
        <v>0</v>
      </c>
      <c r="Z456" s="25">
        <f t="shared" si="381"/>
        <v>0</v>
      </c>
      <c r="AA456" s="25"/>
      <c r="AB456" s="25">
        <v>0</v>
      </c>
      <c r="AC456" s="25">
        <v>0</v>
      </c>
      <c r="AD456" s="25">
        <f t="shared" si="378"/>
        <v>0</v>
      </c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30">
        <f t="shared" si="392"/>
        <v>0</v>
      </c>
      <c r="AU456" s="25">
        <f t="shared" si="379"/>
        <v>0</v>
      </c>
      <c r="AV456" s="5"/>
      <c r="AW456" s="23">
        <f t="shared" si="380"/>
        <v>0</v>
      </c>
      <c r="AX456" s="23">
        <f t="shared" si="367"/>
        <v>0</v>
      </c>
      <c r="AY456" s="23">
        <f t="shared" si="368"/>
        <v>0</v>
      </c>
      <c r="AZ456" s="23">
        <f t="shared" si="369"/>
        <v>0</v>
      </c>
      <c r="BA456" s="23">
        <f t="shared" si="370"/>
        <v>0</v>
      </c>
      <c r="BB456" s="23">
        <f t="shared" si="371"/>
        <v>0</v>
      </c>
      <c r="BC456" s="23">
        <f t="shared" si="372"/>
        <v>0</v>
      </c>
      <c r="BD456" s="23">
        <f t="shared" si="373"/>
        <v>0</v>
      </c>
      <c r="BE456" s="23">
        <f t="shared" si="374"/>
        <v>0</v>
      </c>
      <c r="BF456" s="23">
        <f t="shared" si="375"/>
        <v>0</v>
      </c>
      <c r="BG456" s="23">
        <f t="shared" si="376"/>
        <v>0</v>
      </c>
      <c r="BH456" s="23">
        <f t="shared" si="393"/>
        <v>0</v>
      </c>
      <c r="BI456" s="23">
        <f t="shared" si="394"/>
        <v>0</v>
      </c>
      <c r="BJ456" s="23">
        <f t="shared" si="395"/>
        <v>0</v>
      </c>
      <c r="BK456" s="23">
        <f t="shared" si="396"/>
        <v>0</v>
      </c>
    </row>
    <row r="457" spans="1:63" s="100" customFormat="1" ht="16" hidden="1" customHeight="1">
      <c r="A457" s="28" t="s">
        <v>1008</v>
      </c>
      <c r="B457" s="24" t="s">
        <v>1109</v>
      </c>
      <c r="C457" s="22" t="s">
        <v>1110</v>
      </c>
      <c r="D457" s="27" t="s">
        <v>264</v>
      </c>
      <c r="E457" s="27"/>
      <c r="F457" s="25"/>
      <c r="G457" s="25"/>
      <c r="H457" s="25"/>
      <c r="I457" s="5"/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/>
      <c r="R457" s="25"/>
      <c r="S457" s="5"/>
      <c r="T457" s="5"/>
      <c r="U457" s="5"/>
      <c r="V457" s="5"/>
      <c r="W457" s="5"/>
      <c r="X457" s="25">
        <v>0</v>
      </c>
      <c r="Y457" s="25">
        <v>0</v>
      </c>
      <c r="Z457" s="25">
        <f t="shared" si="381"/>
        <v>0</v>
      </c>
      <c r="AA457" s="25"/>
      <c r="AB457" s="25">
        <v>0</v>
      </c>
      <c r="AC457" s="25">
        <v>0</v>
      </c>
      <c r="AD457" s="25">
        <f t="shared" si="378"/>
        <v>0</v>
      </c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30">
        <f t="shared" si="392"/>
        <v>0</v>
      </c>
      <c r="AU457" s="25">
        <f t="shared" si="379"/>
        <v>0</v>
      </c>
      <c r="AV457" s="5"/>
      <c r="AW457" s="23">
        <f t="shared" si="380"/>
        <v>0</v>
      </c>
      <c r="AX457" s="23">
        <f t="shared" si="367"/>
        <v>0</v>
      </c>
      <c r="AY457" s="23">
        <f t="shared" si="368"/>
        <v>0</v>
      </c>
      <c r="AZ457" s="23">
        <f t="shared" si="369"/>
        <v>0</v>
      </c>
      <c r="BA457" s="23">
        <f t="shared" si="370"/>
        <v>0</v>
      </c>
      <c r="BB457" s="23">
        <f t="shared" si="371"/>
        <v>0</v>
      </c>
      <c r="BC457" s="23">
        <f t="shared" si="372"/>
        <v>0</v>
      </c>
      <c r="BD457" s="23">
        <f t="shared" si="373"/>
        <v>0</v>
      </c>
      <c r="BE457" s="23">
        <f t="shared" si="374"/>
        <v>0</v>
      </c>
      <c r="BF457" s="23">
        <f t="shared" si="375"/>
        <v>0</v>
      </c>
      <c r="BG457" s="23">
        <f t="shared" si="376"/>
        <v>0</v>
      </c>
      <c r="BH457" s="23">
        <f t="shared" si="393"/>
        <v>0</v>
      </c>
      <c r="BI457" s="23">
        <f t="shared" si="394"/>
        <v>0</v>
      </c>
      <c r="BJ457" s="23">
        <f t="shared" si="395"/>
        <v>0</v>
      </c>
      <c r="BK457" s="23">
        <f t="shared" si="396"/>
        <v>0</v>
      </c>
    </row>
    <row r="458" spans="1:63" s="100" customFormat="1" ht="16" hidden="1" customHeight="1">
      <c r="A458" s="28" t="s">
        <v>1008</v>
      </c>
      <c r="B458" s="22" t="s">
        <v>1111</v>
      </c>
      <c r="C458" s="22" t="s">
        <v>1112</v>
      </c>
      <c r="D458" s="27" t="s">
        <v>264</v>
      </c>
      <c r="E458" s="27"/>
      <c r="F458" s="25"/>
      <c r="G458" s="25"/>
      <c r="H458" s="25"/>
      <c r="I458" s="5"/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/>
      <c r="R458" s="25"/>
      <c r="S458" s="5"/>
      <c r="T458" s="5"/>
      <c r="U458" s="5"/>
      <c r="V458" s="5"/>
      <c r="W458" s="5"/>
      <c r="X458" s="25">
        <v>0</v>
      </c>
      <c r="Y458" s="25">
        <v>0</v>
      </c>
      <c r="Z458" s="25">
        <f t="shared" si="381"/>
        <v>0</v>
      </c>
      <c r="AA458" s="25"/>
      <c r="AB458" s="25">
        <v>0</v>
      </c>
      <c r="AC458" s="25">
        <v>0</v>
      </c>
      <c r="AD458" s="25">
        <f t="shared" si="378"/>
        <v>0</v>
      </c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30">
        <f t="shared" si="392"/>
        <v>0</v>
      </c>
      <c r="AU458" s="25">
        <f t="shared" si="379"/>
        <v>0</v>
      </c>
      <c r="AV458" s="5"/>
      <c r="AW458" s="23">
        <f t="shared" si="380"/>
        <v>0</v>
      </c>
      <c r="AX458" s="23">
        <f t="shared" si="367"/>
        <v>0</v>
      </c>
      <c r="AY458" s="23">
        <f t="shared" si="368"/>
        <v>0</v>
      </c>
      <c r="AZ458" s="23">
        <f t="shared" si="369"/>
        <v>0</v>
      </c>
      <c r="BA458" s="23">
        <f t="shared" si="370"/>
        <v>0</v>
      </c>
      <c r="BB458" s="23">
        <f t="shared" si="371"/>
        <v>0</v>
      </c>
      <c r="BC458" s="23">
        <f t="shared" si="372"/>
        <v>0</v>
      </c>
      <c r="BD458" s="23">
        <f t="shared" si="373"/>
        <v>0</v>
      </c>
      <c r="BE458" s="23">
        <f t="shared" si="374"/>
        <v>0</v>
      </c>
      <c r="BF458" s="23">
        <f t="shared" si="375"/>
        <v>0</v>
      </c>
      <c r="BG458" s="23">
        <f t="shared" si="376"/>
        <v>0</v>
      </c>
      <c r="BH458" s="23">
        <f t="shared" si="393"/>
        <v>0</v>
      </c>
      <c r="BI458" s="23">
        <f t="shared" si="394"/>
        <v>0</v>
      </c>
      <c r="BJ458" s="23">
        <f t="shared" si="395"/>
        <v>0</v>
      </c>
      <c r="BK458" s="23">
        <f t="shared" si="396"/>
        <v>0</v>
      </c>
    </row>
    <row r="459" spans="1:63" s="100" customFormat="1" ht="16" hidden="1" customHeight="1">
      <c r="A459" s="28" t="s">
        <v>1008</v>
      </c>
      <c r="B459" s="22" t="s">
        <v>1113</v>
      </c>
      <c r="C459" s="22" t="s">
        <v>1114</v>
      </c>
      <c r="D459" s="27" t="s">
        <v>264</v>
      </c>
      <c r="E459" s="27"/>
      <c r="F459" s="25"/>
      <c r="G459" s="25"/>
      <c r="H459" s="25"/>
      <c r="I459" s="5"/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/>
      <c r="R459" s="25"/>
      <c r="S459" s="5"/>
      <c r="T459" s="5"/>
      <c r="U459" s="5"/>
      <c r="V459" s="5"/>
      <c r="W459" s="5"/>
      <c r="X459" s="25">
        <v>0</v>
      </c>
      <c r="Y459" s="25">
        <v>0</v>
      </c>
      <c r="Z459" s="25">
        <f t="shared" si="381"/>
        <v>0</v>
      </c>
      <c r="AA459" s="25"/>
      <c r="AB459" s="25">
        <v>0</v>
      </c>
      <c r="AC459" s="25">
        <v>0</v>
      </c>
      <c r="AD459" s="25">
        <f t="shared" si="378"/>
        <v>0</v>
      </c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30">
        <f t="shared" si="392"/>
        <v>0</v>
      </c>
      <c r="AU459" s="25">
        <f t="shared" si="379"/>
        <v>0</v>
      </c>
      <c r="AV459" s="5"/>
      <c r="AW459" s="23">
        <f t="shared" si="380"/>
        <v>0</v>
      </c>
      <c r="AX459" s="23">
        <f t="shared" ref="AX459:BE459" si="397">AW459+AF459-J459</f>
        <v>0</v>
      </c>
      <c r="AY459" s="23">
        <f t="shared" si="397"/>
        <v>0</v>
      </c>
      <c r="AZ459" s="23">
        <f t="shared" si="397"/>
        <v>0</v>
      </c>
      <c r="BA459" s="23">
        <f t="shared" si="397"/>
        <v>0</v>
      </c>
      <c r="BB459" s="23">
        <f t="shared" si="397"/>
        <v>0</v>
      </c>
      <c r="BC459" s="23">
        <f t="shared" si="397"/>
        <v>0</v>
      </c>
      <c r="BD459" s="23">
        <f t="shared" si="397"/>
        <v>0</v>
      </c>
      <c r="BE459" s="23">
        <f t="shared" si="397"/>
        <v>0</v>
      </c>
      <c r="BF459" s="23">
        <f t="shared" si="375"/>
        <v>0</v>
      </c>
      <c r="BG459" s="23">
        <f t="shared" si="376"/>
        <v>0</v>
      </c>
      <c r="BH459" s="23">
        <f t="shared" si="393"/>
        <v>0</v>
      </c>
      <c r="BI459" s="23">
        <f t="shared" si="394"/>
        <v>0</v>
      </c>
      <c r="BJ459" s="23">
        <f t="shared" si="395"/>
        <v>0</v>
      </c>
      <c r="BK459" s="23">
        <f t="shared" si="396"/>
        <v>0</v>
      </c>
    </row>
    <row r="460" spans="1:63" s="100" customFormat="1" ht="16" hidden="1" customHeight="1">
      <c r="A460" s="28" t="s">
        <v>1008</v>
      </c>
      <c r="B460" s="22" t="s">
        <v>1115</v>
      </c>
      <c r="C460" s="22" t="s">
        <v>1116</v>
      </c>
      <c r="D460" s="27" t="s">
        <v>264</v>
      </c>
      <c r="E460" s="27"/>
      <c r="F460" s="25"/>
      <c r="G460" s="25"/>
      <c r="H460" s="25"/>
      <c r="I460" s="5"/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/>
      <c r="R460" s="25"/>
      <c r="S460" s="5"/>
      <c r="T460" s="5"/>
      <c r="U460" s="5"/>
      <c r="V460" s="5"/>
      <c r="W460" s="5"/>
      <c r="X460" s="25">
        <v>0</v>
      </c>
      <c r="Y460" s="25">
        <v>0</v>
      </c>
      <c r="Z460" s="25">
        <f t="shared" si="381"/>
        <v>0</v>
      </c>
      <c r="AA460" s="25"/>
      <c r="AB460" s="25">
        <v>0</v>
      </c>
      <c r="AC460" s="25">
        <v>0</v>
      </c>
      <c r="AD460" s="25">
        <f t="shared" si="378"/>
        <v>0</v>
      </c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30">
        <f t="shared" si="392"/>
        <v>0</v>
      </c>
      <c r="AU460" s="25">
        <f t="shared" si="379"/>
        <v>0</v>
      </c>
      <c r="AV460" s="5"/>
      <c r="AW460" s="23">
        <f t="shared" si="380"/>
        <v>0</v>
      </c>
      <c r="AX460" s="23">
        <f t="shared" ref="AX460:BE460" si="398">AW460+AF460-J460</f>
        <v>0</v>
      </c>
      <c r="AY460" s="23">
        <f t="shared" si="398"/>
        <v>0</v>
      </c>
      <c r="AZ460" s="23">
        <f t="shared" si="398"/>
        <v>0</v>
      </c>
      <c r="BA460" s="23">
        <f t="shared" si="398"/>
        <v>0</v>
      </c>
      <c r="BB460" s="23">
        <f t="shared" si="398"/>
        <v>0</v>
      </c>
      <c r="BC460" s="23">
        <f t="shared" si="398"/>
        <v>0</v>
      </c>
      <c r="BD460" s="23">
        <f t="shared" si="398"/>
        <v>0</v>
      </c>
      <c r="BE460" s="23">
        <f t="shared" si="398"/>
        <v>0</v>
      </c>
      <c r="BF460" s="23">
        <f t="shared" si="375"/>
        <v>0</v>
      </c>
      <c r="BG460" s="23">
        <f t="shared" si="376"/>
        <v>0</v>
      </c>
      <c r="BH460" s="23">
        <f t="shared" si="393"/>
        <v>0</v>
      </c>
      <c r="BI460" s="23">
        <f t="shared" si="394"/>
        <v>0</v>
      </c>
      <c r="BJ460" s="23">
        <f t="shared" si="395"/>
        <v>0</v>
      </c>
      <c r="BK460" s="23">
        <f t="shared" si="396"/>
        <v>0</v>
      </c>
    </row>
    <row r="461" spans="1:63" s="100" customFormat="1" ht="16" hidden="1" customHeight="1">
      <c r="A461" s="28" t="s">
        <v>1008</v>
      </c>
      <c r="B461" s="22" t="s">
        <v>1117</v>
      </c>
      <c r="C461" s="22" t="s">
        <v>1118</v>
      </c>
      <c r="D461" s="27" t="s">
        <v>264</v>
      </c>
      <c r="E461" s="27"/>
      <c r="F461" s="25"/>
      <c r="G461" s="25"/>
      <c r="H461" s="25"/>
      <c r="I461" s="5"/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/>
      <c r="R461" s="25"/>
      <c r="S461" s="5"/>
      <c r="T461" s="5"/>
      <c r="U461" s="5"/>
      <c r="V461" s="5"/>
      <c r="W461" s="5"/>
      <c r="X461" s="25">
        <v>0</v>
      </c>
      <c r="Y461" s="25">
        <v>0</v>
      </c>
      <c r="Z461" s="25">
        <f t="shared" si="381"/>
        <v>0</v>
      </c>
      <c r="AA461" s="25"/>
      <c r="AB461" s="25">
        <v>0</v>
      </c>
      <c r="AC461" s="25">
        <v>0</v>
      </c>
      <c r="AD461" s="25">
        <f t="shared" si="378"/>
        <v>0</v>
      </c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30">
        <f t="shared" si="392"/>
        <v>0</v>
      </c>
      <c r="AU461" s="25">
        <f t="shared" si="379"/>
        <v>0</v>
      </c>
      <c r="AV461" s="5"/>
      <c r="AW461" s="23">
        <f t="shared" si="380"/>
        <v>0</v>
      </c>
      <c r="AX461" s="23">
        <f t="shared" ref="AX461:BE461" si="399">AW461+AF461-J461</f>
        <v>0</v>
      </c>
      <c r="AY461" s="23">
        <f t="shared" si="399"/>
        <v>0</v>
      </c>
      <c r="AZ461" s="23">
        <f t="shared" si="399"/>
        <v>0</v>
      </c>
      <c r="BA461" s="23">
        <f t="shared" si="399"/>
        <v>0</v>
      </c>
      <c r="BB461" s="23">
        <f t="shared" si="399"/>
        <v>0</v>
      </c>
      <c r="BC461" s="23">
        <f t="shared" si="399"/>
        <v>0</v>
      </c>
      <c r="BD461" s="23">
        <f t="shared" si="399"/>
        <v>0</v>
      </c>
      <c r="BE461" s="23">
        <f t="shared" si="399"/>
        <v>0</v>
      </c>
      <c r="BF461" s="23">
        <f t="shared" si="375"/>
        <v>0</v>
      </c>
      <c r="BG461" s="23">
        <f t="shared" si="376"/>
        <v>0</v>
      </c>
      <c r="BH461" s="23">
        <f t="shared" si="393"/>
        <v>0</v>
      </c>
      <c r="BI461" s="23">
        <f t="shared" si="394"/>
        <v>0</v>
      </c>
      <c r="BJ461" s="23">
        <f t="shared" si="395"/>
        <v>0</v>
      </c>
      <c r="BK461" s="23">
        <f t="shared" si="396"/>
        <v>0</v>
      </c>
    </row>
    <row r="462" spans="1:63" s="100" customFormat="1" ht="16" hidden="1" customHeight="1">
      <c r="A462" s="28" t="s">
        <v>1008</v>
      </c>
      <c r="B462" s="22" t="s">
        <v>1119</v>
      </c>
      <c r="C462" s="24" t="s">
        <v>1120</v>
      </c>
      <c r="D462" s="27" t="s">
        <v>264</v>
      </c>
      <c r="E462" s="27"/>
      <c r="F462" s="25"/>
      <c r="G462" s="25"/>
      <c r="H462" s="25"/>
      <c r="I462" s="5"/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/>
      <c r="R462" s="25"/>
      <c r="S462" s="5"/>
      <c r="T462" s="5"/>
      <c r="U462" s="5"/>
      <c r="V462" s="5"/>
      <c r="W462" s="5"/>
      <c r="X462" s="25">
        <v>0</v>
      </c>
      <c r="Y462" s="25">
        <v>0</v>
      </c>
      <c r="Z462" s="25">
        <f t="shared" si="381"/>
        <v>0</v>
      </c>
      <c r="AA462" s="25"/>
      <c r="AB462" s="25">
        <v>0</v>
      </c>
      <c r="AC462" s="25">
        <v>0</v>
      </c>
      <c r="AD462" s="25">
        <f t="shared" si="378"/>
        <v>0</v>
      </c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30">
        <f t="shared" si="392"/>
        <v>0</v>
      </c>
      <c r="AU462" s="25">
        <f t="shared" si="379"/>
        <v>0</v>
      </c>
      <c r="AV462" s="5"/>
      <c r="AW462" s="23">
        <f t="shared" si="380"/>
        <v>0</v>
      </c>
      <c r="AX462" s="23">
        <f t="shared" ref="AX462:BE462" si="400">AW462+AF462-J462</f>
        <v>0</v>
      </c>
      <c r="AY462" s="23">
        <f t="shared" si="400"/>
        <v>0</v>
      </c>
      <c r="AZ462" s="23">
        <f t="shared" si="400"/>
        <v>0</v>
      </c>
      <c r="BA462" s="23">
        <f t="shared" si="400"/>
        <v>0</v>
      </c>
      <c r="BB462" s="23">
        <f t="shared" si="400"/>
        <v>0</v>
      </c>
      <c r="BC462" s="23">
        <f t="shared" si="400"/>
        <v>0</v>
      </c>
      <c r="BD462" s="23">
        <f t="shared" si="400"/>
        <v>0</v>
      </c>
      <c r="BE462" s="23">
        <f t="shared" si="400"/>
        <v>0</v>
      </c>
      <c r="BF462" s="23">
        <f t="shared" si="375"/>
        <v>0</v>
      </c>
      <c r="BG462" s="23">
        <f t="shared" si="376"/>
        <v>0</v>
      </c>
      <c r="BH462" s="23">
        <f t="shared" si="393"/>
        <v>0</v>
      </c>
      <c r="BI462" s="23">
        <f t="shared" si="394"/>
        <v>0</v>
      </c>
      <c r="BJ462" s="23">
        <f t="shared" si="395"/>
        <v>0</v>
      </c>
      <c r="BK462" s="23">
        <f t="shared" si="396"/>
        <v>0</v>
      </c>
    </row>
    <row r="463" spans="1:63" s="100" customFormat="1" ht="16" hidden="1" customHeight="1">
      <c r="A463" s="28" t="s">
        <v>1008</v>
      </c>
      <c r="B463" s="22" t="s">
        <v>1121</v>
      </c>
      <c r="C463" s="24" t="s">
        <v>1122</v>
      </c>
      <c r="D463" s="27" t="s">
        <v>264</v>
      </c>
      <c r="E463" s="27"/>
      <c r="F463" s="25"/>
      <c r="G463" s="25"/>
      <c r="H463" s="25"/>
      <c r="I463" s="5"/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/>
      <c r="R463" s="25"/>
      <c r="S463" s="5"/>
      <c r="T463" s="5"/>
      <c r="U463" s="5"/>
      <c r="V463" s="5"/>
      <c r="W463" s="5"/>
      <c r="X463" s="25">
        <v>0</v>
      </c>
      <c r="Y463" s="25">
        <v>0</v>
      </c>
      <c r="Z463" s="25">
        <f t="shared" si="381"/>
        <v>0</v>
      </c>
      <c r="AA463" s="25"/>
      <c r="AB463" s="25">
        <v>0</v>
      </c>
      <c r="AC463" s="25">
        <v>0</v>
      </c>
      <c r="AD463" s="25">
        <f t="shared" si="378"/>
        <v>0</v>
      </c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30">
        <f t="shared" si="392"/>
        <v>0</v>
      </c>
      <c r="AU463" s="25">
        <f t="shared" si="379"/>
        <v>0</v>
      </c>
      <c r="AV463" s="5"/>
      <c r="AW463" s="23">
        <f t="shared" si="380"/>
        <v>0</v>
      </c>
      <c r="AX463" s="23">
        <f t="shared" ref="AX463:BE463" si="401">AW463+AF463-J463</f>
        <v>0</v>
      </c>
      <c r="AY463" s="23">
        <f t="shared" si="401"/>
        <v>0</v>
      </c>
      <c r="AZ463" s="23">
        <f t="shared" si="401"/>
        <v>0</v>
      </c>
      <c r="BA463" s="23">
        <f t="shared" si="401"/>
        <v>0</v>
      </c>
      <c r="BB463" s="23">
        <f t="shared" si="401"/>
        <v>0</v>
      </c>
      <c r="BC463" s="23">
        <f t="shared" si="401"/>
        <v>0</v>
      </c>
      <c r="BD463" s="23">
        <f t="shared" si="401"/>
        <v>0</v>
      </c>
      <c r="BE463" s="23">
        <f t="shared" si="401"/>
        <v>0</v>
      </c>
      <c r="BF463" s="23">
        <f t="shared" si="375"/>
        <v>0</v>
      </c>
      <c r="BG463" s="23">
        <f t="shared" si="376"/>
        <v>0</v>
      </c>
      <c r="BH463" s="23">
        <f t="shared" si="393"/>
        <v>0</v>
      </c>
      <c r="BI463" s="23">
        <f t="shared" si="394"/>
        <v>0</v>
      </c>
      <c r="BJ463" s="23">
        <f t="shared" si="395"/>
        <v>0</v>
      </c>
      <c r="BK463" s="23">
        <f t="shared" si="396"/>
        <v>0</v>
      </c>
    </row>
    <row r="464" spans="1:63" s="100" customFormat="1" ht="16" hidden="1" customHeight="1">
      <c r="A464" s="28" t="s">
        <v>1008</v>
      </c>
      <c r="B464" s="22" t="s">
        <v>1123</v>
      </c>
      <c r="C464" s="24" t="s">
        <v>1124</v>
      </c>
      <c r="D464" s="27" t="s">
        <v>264</v>
      </c>
      <c r="E464" s="27"/>
      <c r="F464" s="25"/>
      <c r="G464" s="25"/>
      <c r="H464" s="25"/>
      <c r="I464" s="5"/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/>
      <c r="R464" s="25"/>
      <c r="S464" s="5"/>
      <c r="T464" s="5"/>
      <c r="U464" s="5"/>
      <c r="V464" s="5"/>
      <c r="W464" s="5"/>
      <c r="X464" s="25">
        <v>0</v>
      </c>
      <c r="Y464" s="25">
        <v>0</v>
      </c>
      <c r="Z464" s="25">
        <f t="shared" si="381"/>
        <v>0</v>
      </c>
      <c r="AA464" s="25"/>
      <c r="AB464" s="25">
        <v>0</v>
      </c>
      <c r="AC464" s="25">
        <v>0</v>
      </c>
      <c r="AD464" s="25">
        <f t="shared" si="378"/>
        <v>0</v>
      </c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30">
        <f t="shared" si="392"/>
        <v>0</v>
      </c>
      <c r="AU464" s="25">
        <f t="shared" si="379"/>
        <v>0</v>
      </c>
      <c r="AV464" s="5"/>
      <c r="AW464" s="23">
        <f t="shared" si="380"/>
        <v>0</v>
      </c>
      <c r="AX464" s="23">
        <f t="shared" ref="AX464:BG464" si="402">AW464+AF464-J464</f>
        <v>0</v>
      </c>
      <c r="AY464" s="23">
        <f t="shared" si="402"/>
        <v>0</v>
      </c>
      <c r="AZ464" s="23">
        <f t="shared" si="402"/>
        <v>0</v>
      </c>
      <c r="BA464" s="23">
        <f t="shared" si="402"/>
        <v>0</v>
      </c>
      <c r="BB464" s="23">
        <f t="shared" si="402"/>
        <v>0</v>
      </c>
      <c r="BC464" s="23">
        <f t="shared" si="402"/>
        <v>0</v>
      </c>
      <c r="BD464" s="23">
        <f t="shared" si="402"/>
        <v>0</v>
      </c>
      <c r="BE464" s="23">
        <f t="shared" si="402"/>
        <v>0</v>
      </c>
      <c r="BF464" s="23">
        <f t="shared" si="402"/>
        <v>0</v>
      </c>
      <c r="BG464" s="23">
        <f t="shared" si="402"/>
        <v>0</v>
      </c>
      <c r="BH464" s="23">
        <f t="shared" si="393"/>
        <v>0</v>
      </c>
      <c r="BI464" s="23">
        <f t="shared" si="394"/>
        <v>0</v>
      </c>
      <c r="BJ464" s="23">
        <f t="shared" si="395"/>
        <v>0</v>
      </c>
      <c r="BK464" s="23">
        <f t="shared" si="396"/>
        <v>0</v>
      </c>
    </row>
    <row r="465" spans="1:63" s="100" customFormat="1" ht="16" hidden="1" customHeight="1">
      <c r="A465" s="28" t="s">
        <v>1008</v>
      </c>
      <c r="B465" s="22" t="s">
        <v>1125</v>
      </c>
      <c r="C465" s="24" t="s">
        <v>1126</v>
      </c>
      <c r="D465" s="27" t="s">
        <v>264</v>
      </c>
      <c r="E465" s="27"/>
      <c r="F465" s="25"/>
      <c r="G465" s="25"/>
      <c r="H465" s="25"/>
      <c r="I465" s="5"/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/>
      <c r="R465" s="25"/>
      <c r="S465" s="5"/>
      <c r="T465" s="5"/>
      <c r="U465" s="5"/>
      <c r="V465" s="5"/>
      <c r="W465" s="5"/>
      <c r="X465" s="25">
        <v>0</v>
      </c>
      <c r="Y465" s="25">
        <v>0</v>
      </c>
      <c r="Z465" s="25">
        <f t="shared" si="381"/>
        <v>0</v>
      </c>
      <c r="AA465" s="25"/>
      <c r="AB465" s="25">
        <v>0</v>
      </c>
      <c r="AC465" s="25">
        <v>0</v>
      </c>
      <c r="AD465" s="25">
        <f t="shared" si="378"/>
        <v>0</v>
      </c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30">
        <f t="shared" si="392"/>
        <v>0</v>
      </c>
      <c r="AU465" s="25">
        <f t="shared" si="379"/>
        <v>0</v>
      </c>
      <c r="AV465" s="5"/>
      <c r="AW465" s="23">
        <f t="shared" si="380"/>
        <v>0</v>
      </c>
      <c r="AX465" s="23">
        <f t="shared" ref="AX465:BG465" si="403">AW465+AF465-J465</f>
        <v>0</v>
      </c>
      <c r="AY465" s="23">
        <f t="shared" si="403"/>
        <v>0</v>
      </c>
      <c r="AZ465" s="23">
        <f t="shared" si="403"/>
        <v>0</v>
      </c>
      <c r="BA465" s="23">
        <f t="shared" si="403"/>
        <v>0</v>
      </c>
      <c r="BB465" s="23">
        <f t="shared" si="403"/>
        <v>0</v>
      </c>
      <c r="BC465" s="23">
        <f t="shared" si="403"/>
        <v>0</v>
      </c>
      <c r="BD465" s="23">
        <f t="shared" si="403"/>
        <v>0</v>
      </c>
      <c r="BE465" s="23">
        <f t="shared" si="403"/>
        <v>0</v>
      </c>
      <c r="BF465" s="23">
        <f t="shared" si="403"/>
        <v>0</v>
      </c>
      <c r="BG465" s="23">
        <f t="shared" si="403"/>
        <v>0</v>
      </c>
      <c r="BH465" s="23">
        <f t="shared" si="393"/>
        <v>0</v>
      </c>
      <c r="BI465" s="23">
        <f t="shared" si="394"/>
        <v>0</v>
      </c>
      <c r="BJ465" s="23">
        <f t="shared" si="395"/>
        <v>0</v>
      </c>
      <c r="BK465" s="23">
        <f t="shared" si="396"/>
        <v>0</v>
      </c>
    </row>
    <row r="466" spans="1:63" s="100" customFormat="1" ht="16" hidden="1" customHeight="1">
      <c r="A466" s="28" t="s">
        <v>1008</v>
      </c>
      <c r="B466" s="25" t="s">
        <v>1127</v>
      </c>
      <c r="C466" s="25" t="s">
        <v>1128</v>
      </c>
      <c r="D466" s="27" t="s">
        <v>264</v>
      </c>
      <c r="E466" s="27"/>
      <c r="F466" s="25"/>
      <c r="G466" s="25"/>
      <c r="H466" s="25"/>
      <c r="I466" s="5"/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/>
      <c r="R466" s="25"/>
      <c r="S466" s="5"/>
      <c r="T466" s="5"/>
      <c r="U466" s="5"/>
      <c r="V466" s="5"/>
      <c r="W466" s="5"/>
      <c r="X466" s="25">
        <v>0</v>
      </c>
      <c r="Y466" s="25">
        <v>0</v>
      </c>
      <c r="Z466" s="25">
        <f t="shared" si="381"/>
        <v>0</v>
      </c>
      <c r="AA466" s="25"/>
      <c r="AB466" s="25">
        <v>0</v>
      </c>
      <c r="AC466" s="25">
        <v>0</v>
      </c>
      <c r="AD466" s="25">
        <f t="shared" si="378"/>
        <v>0</v>
      </c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30">
        <f t="shared" si="392"/>
        <v>0</v>
      </c>
      <c r="AU466" s="25">
        <f t="shared" si="379"/>
        <v>0</v>
      </c>
      <c r="AV466" s="5"/>
      <c r="AW466" s="23">
        <f t="shared" si="380"/>
        <v>0</v>
      </c>
      <c r="AX466" s="23">
        <f t="shared" ref="AX466:BG466" si="404">AW466+AF466-J466</f>
        <v>0</v>
      </c>
      <c r="AY466" s="23">
        <f t="shared" si="404"/>
        <v>0</v>
      </c>
      <c r="AZ466" s="23">
        <f t="shared" si="404"/>
        <v>0</v>
      </c>
      <c r="BA466" s="23">
        <f t="shared" si="404"/>
        <v>0</v>
      </c>
      <c r="BB466" s="23">
        <f t="shared" si="404"/>
        <v>0</v>
      </c>
      <c r="BC466" s="23">
        <f t="shared" si="404"/>
        <v>0</v>
      </c>
      <c r="BD466" s="23">
        <f t="shared" si="404"/>
        <v>0</v>
      </c>
      <c r="BE466" s="23">
        <f t="shared" si="404"/>
        <v>0</v>
      </c>
      <c r="BF466" s="23">
        <f t="shared" si="404"/>
        <v>0</v>
      </c>
      <c r="BG466" s="23">
        <f t="shared" si="404"/>
        <v>0</v>
      </c>
      <c r="BH466" s="23">
        <f t="shared" si="393"/>
        <v>0</v>
      </c>
      <c r="BI466" s="23">
        <f t="shared" si="394"/>
        <v>0</v>
      </c>
      <c r="BJ466" s="23">
        <f t="shared" si="395"/>
        <v>0</v>
      </c>
      <c r="BK466" s="23">
        <f t="shared" si="396"/>
        <v>0</v>
      </c>
    </row>
    <row r="467" spans="1:63" s="100" customFormat="1" ht="16" hidden="1" customHeight="1">
      <c r="A467" s="28" t="s">
        <v>1008</v>
      </c>
      <c r="B467" s="25" t="s">
        <v>1129</v>
      </c>
      <c r="C467" s="25" t="s">
        <v>1130</v>
      </c>
      <c r="D467" s="27" t="s">
        <v>264</v>
      </c>
      <c r="E467" s="27"/>
      <c r="F467" s="25"/>
      <c r="G467" s="25"/>
      <c r="H467" s="25"/>
      <c r="I467" s="5"/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/>
      <c r="R467" s="25"/>
      <c r="S467" s="5"/>
      <c r="T467" s="5"/>
      <c r="U467" s="5"/>
      <c r="V467" s="5"/>
      <c r="W467" s="5"/>
      <c r="X467" s="25">
        <v>0</v>
      </c>
      <c r="Y467" s="25">
        <v>0</v>
      </c>
      <c r="Z467" s="25">
        <f t="shared" si="381"/>
        <v>0</v>
      </c>
      <c r="AA467" s="25"/>
      <c r="AB467" s="25">
        <v>0</v>
      </c>
      <c r="AC467" s="25">
        <v>0</v>
      </c>
      <c r="AD467" s="25">
        <f t="shared" si="378"/>
        <v>0</v>
      </c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30">
        <f t="shared" si="392"/>
        <v>0</v>
      </c>
      <c r="AU467" s="25">
        <f t="shared" si="379"/>
        <v>0</v>
      </c>
      <c r="AV467" s="5"/>
      <c r="AW467" s="23">
        <f t="shared" si="380"/>
        <v>0</v>
      </c>
      <c r="AX467" s="23">
        <f t="shared" ref="AX467:BG467" si="405">AW467+AF467-J467</f>
        <v>0</v>
      </c>
      <c r="AY467" s="23">
        <f t="shared" si="405"/>
        <v>0</v>
      </c>
      <c r="AZ467" s="23">
        <f t="shared" si="405"/>
        <v>0</v>
      </c>
      <c r="BA467" s="23">
        <f t="shared" si="405"/>
        <v>0</v>
      </c>
      <c r="BB467" s="23">
        <f t="shared" si="405"/>
        <v>0</v>
      </c>
      <c r="BC467" s="23">
        <f t="shared" si="405"/>
        <v>0</v>
      </c>
      <c r="BD467" s="23">
        <f t="shared" si="405"/>
        <v>0</v>
      </c>
      <c r="BE467" s="23">
        <f t="shared" si="405"/>
        <v>0</v>
      </c>
      <c r="BF467" s="23">
        <f t="shared" si="405"/>
        <v>0</v>
      </c>
      <c r="BG467" s="23">
        <f t="shared" si="405"/>
        <v>0</v>
      </c>
      <c r="BH467" s="23">
        <f t="shared" si="393"/>
        <v>0</v>
      </c>
      <c r="BI467" s="23">
        <f t="shared" si="394"/>
        <v>0</v>
      </c>
      <c r="BJ467" s="23">
        <f t="shared" si="395"/>
        <v>0</v>
      </c>
      <c r="BK467" s="23">
        <f t="shared" si="396"/>
        <v>0</v>
      </c>
    </row>
    <row r="468" spans="1:63" s="100" customFormat="1" ht="16" hidden="1" customHeight="1">
      <c r="A468" s="28" t="s">
        <v>1008</v>
      </c>
      <c r="B468" s="25" t="s">
        <v>1131</v>
      </c>
      <c r="C468" s="25" t="s">
        <v>1132</v>
      </c>
      <c r="D468" s="27" t="s">
        <v>264</v>
      </c>
      <c r="E468" s="27"/>
      <c r="F468" s="25"/>
      <c r="G468" s="25"/>
      <c r="H468" s="25"/>
      <c r="I468" s="5"/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/>
      <c r="R468" s="25"/>
      <c r="S468" s="5"/>
      <c r="T468" s="5"/>
      <c r="U468" s="5"/>
      <c r="V468" s="5"/>
      <c r="W468" s="5"/>
      <c r="X468" s="25">
        <v>0</v>
      </c>
      <c r="Y468" s="25">
        <v>0</v>
      </c>
      <c r="Z468" s="25">
        <f t="shared" si="381"/>
        <v>0</v>
      </c>
      <c r="AA468" s="25"/>
      <c r="AB468" s="25">
        <v>0</v>
      </c>
      <c r="AC468" s="25">
        <v>0</v>
      </c>
      <c r="AD468" s="25">
        <f t="shared" si="378"/>
        <v>0</v>
      </c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30">
        <f t="shared" si="392"/>
        <v>0</v>
      </c>
      <c r="AU468" s="25">
        <f t="shared" si="379"/>
        <v>0</v>
      </c>
      <c r="AV468" s="5"/>
      <c r="AW468" s="23">
        <f t="shared" si="380"/>
        <v>0</v>
      </c>
      <c r="AX468" s="23">
        <f t="shared" ref="AX468:BG468" si="406">AW468+AF468-J468</f>
        <v>0</v>
      </c>
      <c r="AY468" s="23">
        <f t="shared" si="406"/>
        <v>0</v>
      </c>
      <c r="AZ468" s="23">
        <f t="shared" si="406"/>
        <v>0</v>
      </c>
      <c r="BA468" s="23">
        <f t="shared" si="406"/>
        <v>0</v>
      </c>
      <c r="BB468" s="23">
        <f t="shared" si="406"/>
        <v>0</v>
      </c>
      <c r="BC468" s="23">
        <f t="shared" si="406"/>
        <v>0</v>
      </c>
      <c r="BD468" s="23">
        <f t="shared" si="406"/>
        <v>0</v>
      </c>
      <c r="BE468" s="23">
        <f t="shared" si="406"/>
        <v>0</v>
      </c>
      <c r="BF468" s="23">
        <f t="shared" si="406"/>
        <v>0</v>
      </c>
      <c r="BG468" s="23">
        <f t="shared" si="406"/>
        <v>0</v>
      </c>
      <c r="BH468" s="23">
        <f t="shared" si="393"/>
        <v>0</v>
      </c>
      <c r="BI468" s="23">
        <f t="shared" si="394"/>
        <v>0</v>
      </c>
      <c r="BJ468" s="23">
        <f t="shared" si="395"/>
        <v>0</v>
      </c>
      <c r="BK468" s="23">
        <f t="shared" si="396"/>
        <v>0</v>
      </c>
    </row>
    <row r="469" spans="1:63" s="100" customFormat="1" ht="16" customHeight="1">
      <c r="A469" s="31" t="s">
        <v>1008</v>
      </c>
      <c r="B469" s="26" t="s">
        <v>1133</v>
      </c>
      <c r="C469" s="26" t="s">
        <v>1134</v>
      </c>
      <c r="D469" s="27"/>
      <c r="E469" s="27"/>
      <c r="F469" s="25"/>
      <c r="G469" s="25"/>
      <c r="H469" s="25"/>
      <c r="I469" s="5"/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/>
      <c r="R469" s="25"/>
      <c r="S469" s="5"/>
      <c r="T469" s="5"/>
      <c r="U469" s="5"/>
      <c r="V469" s="5"/>
      <c r="W469" s="5"/>
      <c r="X469" s="25">
        <v>0</v>
      </c>
      <c r="Y469" s="25">
        <v>0</v>
      </c>
      <c r="Z469" s="25">
        <f t="shared" si="381"/>
        <v>0</v>
      </c>
      <c r="AA469" s="25"/>
      <c r="AB469" s="25">
        <v>1</v>
      </c>
      <c r="AC469" s="25">
        <v>0</v>
      </c>
      <c r="AD469" s="25">
        <f t="shared" si="378"/>
        <v>1</v>
      </c>
      <c r="AE469" s="23"/>
      <c r="AF469" s="23"/>
      <c r="AG469" s="23"/>
      <c r="AH469" s="23"/>
      <c r="AI469" s="23"/>
      <c r="AJ469" s="23"/>
      <c r="AK469" s="23"/>
      <c r="AL469" s="23">
        <v>1</v>
      </c>
      <c r="AM469" s="23"/>
      <c r="AN469" s="23"/>
      <c r="AO469" s="23"/>
      <c r="AP469" s="23"/>
      <c r="AQ469" s="23"/>
      <c r="AR469" s="23"/>
      <c r="AS469" s="23"/>
      <c r="AT469" s="30">
        <f t="shared" si="392"/>
        <v>1</v>
      </c>
      <c r="AU469" s="25">
        <f t="shared" si="379"/>
        <v>0</v>
      </c>
      <c r="AV469" s="5" t="s">
        <v>1135</v>
      </c>
      <c r="AW469" s="23">
        <f t="shared" si="380"/>
        <v>0</v>
      </c>
      <c r="AX469" s="23">
        <f t="shared" ref="AX469:BD469" si="407">AW469+AF469-J469</f>
        <v>0</v>
      </c>
      <c r="AY469" s="23">
        <f t="shared" si="407"/>
        <v>0</v>
      </c>
      <c r="AZ469" s="23">
        <f t="shared" si="407"/>
        <v>0</v>
      </c>
      <c r="BA469" s="23">
        <f t="shared" si="407"/>
        <v>0</v>
      </c>
      <c r="BB469" s="23">
        <f t="shared" si="407"/>
        <v>0</v>
      </c>
      <c r="BC469" s="23">
        <f t="shared" si="407"/>
        <v>0</v>
      </c>
      <c r="BD469" s="23">
        <f t="shared" si="407"/>
        <v>1</v>
      </c>
      <c r="BE469" s="23"/>
      <c r="BF469" s="23"/>
      <c r="BG469" s="23"/>
      <c r="BH469" s="23"/>
      <c r="BI469" s="23"/>
      <c r="BJ469" s="23"/>
      <c r="BK469" s="23"/>
    </row>
    <row r="470" spans="1:63" s="100" customFormat="1" ht="16" hidden="1" customHeight="1">
      <c r="A470" s="28" t="s">
        <v>1008</v>
      </c>
      <c r="B470" s="25" t="s">
        <v>1136</v>
      </c>
      <c r="C470" s="25" t="s">
        <v>1137</v>
      </c>
      <c r="D470" s="27" t="s">
        <v>351</v>
      </c>
      <c r="E470" s="27"/>
      <c r="F470" s="25"/>
      <c r="G470" s="25"/>
      <c r="H470" s="25"/>
      <c r="I470" s="5"/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/>
      <c r="R470" s="25"/>
      <c r="S470" s="5"/>
      <c r="T470" s="5"/>
      <c r="U470" s="5"/>
      <c r="V470" s="5"/>
      <c r="W470" s="5"/>
      <c r="X470" s="25">
        <v>0</v>
      </c>
      <c r="Y470" s="25">
        <v>0</v>
      </c>
      <c r="Z470" s="25">
        <f t="shared" ref="Z470:Z494" si="408">X470-Y470+AC470</f>
        <v>0</v>
      </c>
      <c r="AA470" s="25"/>
      <c r="AB470" s="25">
        <v>0</v>
      </c>
      <c r="AC470" s="25">
        <v>0</v>
      </c>
      <c r="AD470" s="25">
        <f t="shared" ref="AD470:AD517" si="409">AB470-Y470+AA470+AC470</f>
        <v>0</v>
      </c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30">
        <f t="shared" ref="AT470:AT515" si="410">SUM(AE470:AR470)</f>
        <v>0</v>
      </c>
      <c r="AU470" s="25">
        <f t="shared" ref="AU470:AU517" si="411">AD470-AT470</f>
        <v>0</v>
      </c>
      <c r="AV470" s="5"/>
      <c r="AW470" s="23">
        <f t="shared" ref="AW470:AW517" si="412">AE470+Y470-I470</f>
        <v>0</v>
      </c>
      <c r="AX470" s="23">
        <f t="shared" ref="AX470:AX523" si="413">AW470+AF470-J470</f>
        <v>0</v>
      </c>
      <c r="AY470" s="23">
        <f t="shared" ref="AY470:AY523" si="414">AX470+AG470-K470</f>
        <v>0</v>
      </c>
      <c r="AZ470" s="23">
        <f t="shared" ref="AZ470:AZ523" si="415">AY470+AH470-L470</f>
        <v>0</v>
      </c>
      <c r="BA470" s="23">
        <f t="shared" ref="BA470:BA523" si="416">AZ470+AI470-M470</f>
        <v>0</v>
      </c>
      <c r="BB470" s="23">
        <f t="shared" ref="BB470:BB523" si="417">BA470+AJ470-N470</f>
        <v>0</v>
      </c>
      <c r="BC470" s="23">
        <f t="shared" ref="BC470:BC523" si="418">BB470+AK470-O470</f>
        <v>0</v>
      </c>
      <c r="BD470" s="23">
        <f t="shared" ref="BD470:BD523" si="419">BC470+AL470-P470</f>
        <v>0</v>
      </c>
      <c r="BE470" s="23">
        <f t="shared" ref="BE470:BE523" si="420">BD470+AM470-Q470</f>
        <v>0</v>
      </c>
      <c r="BF470" s="23">
        <f t="shared" ref="BF470:BF522" si="421">BE470+AN470-R470</f>
        <v>0</v>
      </c>
      <c r="BG470" s="23">
        <f t="shared" ref="BG470:BG522" si="422">BF470+AO470-S470</f>
        <v>0</v>
      </c>
      <c r="BH470" s="23">
        <f t="shared" ref="BH470:BH476" si="423">AP470+AJ470-T470</f>
        <v>0</v>
      </c>
      <c r="BI470" s="23">
        <f t="shared" ref="BI470:BI476" si="424">AQ470+AK470-U470</f>
        <v>0</v>
      </c>
      <c r="BJ470" s="23">
        <f t="shared" ref="BJ470:BJ476" si="425">AR470+AL470-V470</f>
        <v>0</v>
      </c>
      <c r="BK470" s="23">
        <f t="shared" ref="BK470:BK476" si="426">AS470+AM470-W470</f>
        <v>0</v>
      </c>
    </row>
    <row r="471" spans="1:63" s="100" customFormat="1" ht="16" hidden="1" customHeight="1">
      <c r="A471" s="28" t="s">
        <v>1008</v>
      </c>
      <c r="B471" s="28" t="s">
        <v>1138</v>
      </c>
      <c r="C471" s="28" t="s">
        <v>1139</v>
      </c>
      <c r="D471" s="28" t="s">
        <v>351</v>
      </c>
      <c r="E471" s="28"/>
      <c r="F471" s="28"/>
      <c r="G471" s="25"/>
      <c r="H471" s="25"/>
      <c r="I471" s="5"/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/>
      <c r="R471" s="25"/>
      <c r="S471" s="5"/>
      <c r="T471" s="5"/>
      <c r="U471" s="5"/>
      <c r="V471" s="5"/>
      <c r="W471" s="5"/>
      <c r="X471" s="25">
        <v>0</v>
      </c>
      <c r="Y471" s="25">
        <v>0</v>
      </c>
      <c r="Z471" s="25">
        <f t="shared" si="408"/>
        <v>0</v>
      </c>
      <c r="AA471" s="25"/>
      <c r="AB471" s="25">
        <v>0</v>
      </c>
      <c r="AC471" s="25">
        <v>0</v>
      </c>
      <c r="AD471" s="25">
        <f t="shared" si="409"/>
        <v>0</v>
      </c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30">
        <f t="shared" si="410"/>
        <v>0</v>
      </c>
      <c r="AU471" s="28">
        <f t="shared" si="411"/>
        <v>0</v>
      </c>
      <c r="AV471" s="5"/>
      <c r="AW471" s="23">
        <f t="shared" si="412"/>
        <v>0</v>
      </c>
      <c r="AX471" s="23">
        <f t="shared" si="413"/>
        <v>0</v>
      </c>
      <c r="AY471" s="23">
        <f t="shared" si="414"/>
        <v>0</v>
      </c>
      <c r="AZ471" s="23">
        <f t="shared" si="415"/>
        <v>0</v>
      </c>
      <c r="BA471" s="23">
        <f t="shared" si="416"/>
        <v>0</v>
      </c>
      <c r="BB471" s="23">
        <f t="shared" si="417"/>
        <v>0</v>
      </c>
      <c r="BC471" s="23">
        <f t="shared" si="418"/>
        <v>0</v>
      </c>
      <c r="BD471" s="23">
        <f t="shared" si="419"/>
        <v>0</v>
      </c>
      <c r="BE471" s="23">
        <f t="shared" si="420"/>
        <v>0</v>
      </c>
      <c r="BF471" s="23">
        <f t="shared" si="421"/>
        <v>0</v>
      </c>
      <c r="BG471" s="23">
        <f t="shared" si="422"/>
        <v>0</v>
      </c>
      <c r="BH471" s="23">
        <f t="shared" si="423"/>
        <v>0</v>
      </c>
      <c r="BI471" s="23">
        <f t="shared" si="424"/>
        <v>0</v>
      </c>
      <c r="BJ471" s="23">
        <f t="shared" si="425"/>
        <v>0</v>
      </c>
      <c r="BK471" s="23">
        <f t="shared" si="426"/>
        <v>0</v>
      </c>
    </row>
    <row r="472" spans="1:63" s="100" customFormat="1" ht="16" hidden="1" customHeight="1">
      <c r="A472" s="28" t="s">
        <v>1008</v>
      </c>
      <c r="B472" s="25" t="s">
        <v>1140</v>
      </c>
      <c r="C472" s="25" t="s">
        <v>1141</v>
      </c>
      <c r="D472" s="27" t="s">
        <v>351</v>
      </c>
      <c r="E472" s="27"/>
      <c r="F472" s="25"/>
      <c r="G472" s="25"/>
      <c r="H472" s="25"/>
      <c r="I472" s="5"/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/>
      <c r="R472" s="25"/>
      <c r="S472" s="5"/>
      <c r="T472" s="5"/>
      <c r="U472" s="5"/>
      <c r="V472" s="5"/>
      <c r="W472" s="5"/>
      <c r="X472" s="25">
        <v>0</v>
      </c>
      <c r="Y472" s="25">
        <v>0</v>
      </c>
      <c r="Z472" s="25">
        <f t="shared" si="408"/>
        <v>0</v>
      </c>
      <c r="AA472" s="25"/>
      <c r="AB472" s="25">
        <v>0</v>
      </c>
      <c r="AC472" s="25">
        <v>0</v>
      </c>
      <c r="AD472" s="25">
        <f t="shared" si="409"/>
        <v>0</v>
      </c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30">
        <f t="shared" si="410"/>
        <v>0</v>
      </c>
      <c r="AU472" s="25">
        <f t="shared" si="411"/>
        <v>0</v>
      </c>
      <c r="AV472" s="5"/>
      <c r="AW472" s="23">
        <f t="shared" si="412"/>
        <v>0</v>
      </c>
      <c r="AX472" s="23">
        <f t="shared" si="413"/>
        <v>0</v>
      </c>
      <c r="AY472" s="23">
        <f t="shared" si="414"/>
        <v>0</v>
      </c>
      <c r="AZ472" s="23">
        <f t="shared" si="415"/>
        <v>0</v>
      </c>
      <c r="BA472" s="23">
        <f t="shared" si="416"/>
        <v>0</v>
      </c>
      <c r="BB472" s="23">
        <f t="shared" si="417"/>
        <v>0</v>
      </c>
      <c r="BC472" s="23">
        <f t="shared" si="418"/>
        <v>0</v>
      </c>
      <c r="BD472" s="23">
        <f t="shared" si="419"/>
        <v>0</v>
      </c>
      <c r="BE472" s="23">
        <f t="shared" si="420"/>
        <v>0</v>
      </c>
      <c r="BF472" s="23">
        <f t="shared" si="421"/>
        <v>0</v>
      </c>
      <c r="BG472" s="23">
        <f t="shared" si="422"/>
        <v>0</v>
      </c>
      <c r="BH472" s="23">
        <f t="shared" si="423"/>
        <v>0</v>
      </c>
      <c r="BI472" s="23">
        <f t="shared" si="424"/>
        <v>0</v>
      </c>
      <c r="BJ472" s="23">
        <f t="shared" si="425"/>
        <v>0</v>
      </c>
      <c r="BK472" s="23">
        <f t="shared" si="426"/>
        <v>0</v>
      </c>
    </row>
    <row r="473" spans="1:63" s="100" customFormat="1" ht="16" hidden="1" customHeight="1">
      <c r="A473" s="28" t="s">
        <v>1008</v>
      </c>
      <c r="B473" s="28" t="s">
        <v>1142</v>
      </c>
      <c r="C473" s="25" t="s">
        <v>1143</v>
      </c>
      <c r="D473" s="28" t="s">
        <v>351</v>
      </c>
      <c r="E473" s="28"/>
      <c r="F473" s="28"/>
      <c r="G473" s="25"/>
      <c r="H473" s="25"/>
      <c r="I473" s="5"/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/>
      <c r="R473" s="25"/>
      <c r="S473" s="5"/>
      <c r="T473" s="5"/>
      <c r="U473" s="5"/>
      <c r="V473" s="5"/>
      <c r="W473" s="5"/>
      <c r="X473" s="25">
        <v>0</v>
      </c>
      <c r="Y473" s="25">
        <v>0</v>
      </c>
      <c r="Z473" s="25">
        <f t="shared" si="408"/>
        <v>0</v>
      </c>
      <c r="AA473" s="25"/>
      <c r="AB473" s="25">
        <v>0</v>
      </c>
      <c r="AC473" s="25">
        <v>0</v>
      </c>
      <c r="AD473" s="25">
        <f t="shared" si="409"/>
        <v>0</v>
      </c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30">
        <f t="shared" si="410"/>
        <v>0</v>
      </c>
      <c r="AU473" s="28">
        <f t="shared" si="411"/>
        <v>0</v>
      </c>
      <c r="AV473" s="5"/>
      <c r="AW473" s="23">
        <f t="shared" si="412"/>
        <v>0</v>
      </c>
      <c r="AX473" s="23">
        <f t="shared" si="413"/>
        <v>0</v>
      </c>
      <c r="AY473" s="23">
        <f t="shared" si="414"/>
        <v>0</v>
      </c>
      <c r="AZ473" s="23">
        <f t="shared" si="415"/>
        <v>0</v>
      </c>
      <c r="BA473" s="23">
        <f t="shared" si="416"/>
        <v>0</v>
      </c>
      <c r="BB473" s="23">
        <f t="shared" si="417"/>
        <v>0</v>
      </c>
      <c r="BC473" s="23">
        <f t="shared" si="418"/>
        <v>0</v>
      </c>
      <c r="BD473" s="23">
        <f t="shared" si="419"/>
        <v>0</v>
      </c>
      <c r="BE473" s="23">
        <f t="shared" si="420"/>
        <v>0</v>
      </c>
      <c r="BF473" s="23">
        <f t="shared" si="421"/>
        <v>0</v>
      </c>
      <c r="BG473" s="23">
        <f t="shared" si="422"/>
        <v>0</v>
      </c>
      <c r="BH473" s="23">
        <f t="shared" si="423"/>
        <v>0</v>
      </c>
      <c r="BI473" s="23">
        <f t="shared" si="424"/>
        <v>0</v>
      </c>
      <c r="BJ473" s="23">
        <f t="shared" si="425"/>
        <v>0</v>
      </c>
      <c r="BK473" s="23">
        <f t="shared" si="426"/>
        <v>0</v>
      </c>
    </row>
    <row r="474" spans="1:63" s="100" customFormat="1" ht="16" hidden="1" customHeight="1">
      <c r="A474" s="28" t="s">
        <v>1008</v>
      </c>
      <c r="B474" s="25" t="s">
        <v>1144</v>
      </c>
      <c r="C474" s="25" t="s">
        <v>1145</v>
      </c>
      <c r="D474" s="27" t="s">
        <v>351</v>
      </c>
      <c r="E474" s="27"/>
      <c r="F474" s="25"/>
      <c r="G474" s="25"/>
      <c r="H474" s="25"/>
      <c r="I474" s="5"/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/>
      <c r="R474" s="25"/>
      <c r="S474" s="5"/>
      <c r="T474" s="5"/>
      <c r="U474" s="5"/>
      <c r="V474" s="5"/>
      <c r="W474" s="5"/>
      <c r="X474" s="25">
        <v>0</v>
      </c>
      <c r="Y474" s="25">
        <v>0</v>
      </c>
      <c r="Z474" s="25">
        <f t="shared" si="408"/>
        <v>0</v>
      </c>
      <c r="AA474" s="25"/>
      <c r="AB474" s="25">
        <v>0</v>
      </c>
      <c r="AC474" s="25">
        <v>0</v>
      </c>
      <c r="AD474" s="25">
        <f t="shared" si="409"/>
        <v>0</v>
      </c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30">
        <f t="shared" si="410"/>
        <v>0</v>
      </c>
      <c r="AU474" s="25">
        <f t="shared" si="411"/>
        <v>0</v>
      </c>
      <c r="AV474" s="5"/>
      <c r="AW474" s="23">
        <f t="shared" si="412"/>
        <v>0</v>
      </c>
      <c r="AX474" s="23">
        <f t="shared" si="413"/>
        <v>0</v>
      </c>
      <c r="AY474" s="23">
        <f t="shared" si="414"/>
        <v>0</v>
      </c>
      <c r="AZ474" s="23">
        <f t="shared" si="415"/>
        <v>0</v>
      </c>
      <c r="BA474" s="23">
        <f t="shared" si="416"/>
        <v>0</v>
      </c>
      <c r="BB474" s="23">
        <f t="shared" si="417"/>
        <v>0</v>
      </c>
      <c r="BC474" s="23">
        <f t="shared" si="418"/>
        <v>0</v>
      </c>
      <c r="BD474" s="23">
        <f t="shared" si="419"/>
        <v>0</v>
      </c>
      <c r="BE474" s="23">
        <f t="shared" si="420"/>
        <v>0</v>
      </c>
      <c r="BF474" s="23">
        <f t="shared" si="421"/>
        <v>0</v>
      </c>
      <c r="BG474" s="23">
        <f t="shared" si="422"/>
        <v>0</v>
      </c>
      <c r="BH474" s="23">
        <f t="shared" si="423"/>
        <v>0</v>
      </c>
      <c r="BI474" s="23">
        <f t="shared" si="424"/>
        <v>0</v>
      </c>
      <c r="BJ474" s="23">
        <f t="shared" si="425"/>
        <v>0</v>
      </c>
      <c r="BK474" s="23">
        <f t="shared" si="426"/>
        <v>0</v>
      </c>
    </row>
    <row r="475" spans="1:63" s="100" customFormat="1" ht="16" hidden="1" customHeight="1">
      <c r="A475" s="28" t="s">
        <v>1008</v>
      </c>
      <c r="B475" s="25" t="s">
        <v>1146</v>
      </c>
      <c r="C475" s="25" t="s">
        <v>1147</v>
      </c>
      <c r="D475" s="27" t="s">
        <v>351</v>
      </c>
      <c r="E475" s="27"/>
      <c r="F475" s="25"/>
      <c r="G475" s="25"/>
      <c r="H475" s="25"/>
      <c r="I475" s="5"/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/>
      <c r="R475" s="25"/>
      <c r="S475" s="5"/>
      <c r="T475" s="5"/>
      <c r="U475" s="5"/>
      <c r="V475" s="5"/>
      <c r="W475" s="5"/>
      <c r="X475" s="25">
        <v>0</v>
      </c>
      <c r="Y475" s="25">
        <v>0</v>
      </c>
      <c r="Z475" s="25">
        <f t="shared" si="408"/>
        <v>0</v>
      </c>
      <c r="AA475" s="25"/>
      <c r="AB475" s="25">
        <v>0</v>
      </c>
      <c r="AC475" s="25">
        <v>0</v>
      </c>
      <c r="AD475" s="25">
        <f t="shared" si="409"/>
        <v>0</v>
      </c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30">
        <f t="shared" si="410"/>
        <v>0</v>
      </c>
      <c r="AU475" s="25">
        <f t="shared" si="411"/>
        <v>0</v>
      </c>
      <c r="AV475" s="5"/>
      <c r="AW475" s="23">
        <f t="shared" si="412"/>
        <v>0</v>
      </c>
      <c r="AX475" s="23">
        <f t="shared" si="413"/>
        <v>0</v>
      </c>
      <c r="AY475" s="23">
        <f t="shared" si="414"/>
        <v>0</v>
      </c>
      <c r="AZ475" s="23">
        <f t="shared" si="415"/>
        <v>0</v>
      </c>
      <c r="BA475" s="23">
        <f t="shared" si="416"/>
        <v>0</v>
      </c>
      <c r="BB475" s="23">
        <f t="shared" si="417"/>
        <v>0</v>
      </c>
      <c r="BC475" s="23">
        <f t="shared" si="418"/>
        <v>0</v>
      </c>
      <c r="BD475" s="23">
        <f t="shared" si="419"/>
        <v>0</v>
      </c>
      <c r="BE475" s="23">
        <f t="shared" si="420"/>
        <v>0</v>
      </c>
      <c r="BF475" s="23">
        <f t="shared" si="421"/>
        <v>0</v>
      </c>
      <c r="BG475" s="23">
        <f t="shared" si="422"/>
        <v>0</v>
      </c>
      <c r="BH475" s="23">
        <f t="shared" si="423"/>
        <v>0</v>
      </c>
      <c r="BI475" s="23">
        <f t="shared" si="424"/>
        <v>0</v>
      </c>
      <c r="BJ475" s="23">
        <f t="shared" si="425"/>
        <v>0</v>
      </c>
      <c r="BK475" s="23">
        <f t="shared" si="426"/>
        <v>0</v>
      </c>
    </row>
    <row r="476" spans="1:63" s="100" customFormat="1" ht="16" hidden="1" customHeight="1">
      <c r="A476" s="28" t="s">
        <v>1008</v>
      </c>
      <c r="B476" s="25" t="s">
        <v>1148</v>
      </c>
      <c r="C476" s="25" t="s">
        <v>1149</v>
      </c>
      <c r="D476" s="27" t="s">
        <v>351</v>
      </c>
      <c r="E476" s="27"/>
      <c r="F476" s="25"/>
      <c r="G476" s="25"/>
      <c r="H476" s="25"/>
      <c r="I476" s="5"/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/>
      <c r="R476" s="25"/>
      <c r="S476" s="5"/>
      <c r="T476" s="5"/>
      <c r="U476" s="5"/>
      <c r="V476" s="5"/>
      <c r="W476" s="5"/>
      <c r="X476" s="25">
        <v>0</v>
      </c>
      <c r="Y476" s="25">
        <v>0</v>
      </c>
      <c r="Z476" s="25">
        <f t="shared" si="408"/>
        <v>0</v>
      </c>
      <c r="AA476" s="25"/>
      <c r="AB476" s="25">
        <v>0</v>
      </c>
      <c r="AC476" s="25">
        <v>0</v>
      </c>
      <c r="AD476" s="25">
        <f t="shared" si="409"/>
        <v>0</v>
      </c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30">
        <f t="shared" si="410"/>
        <v>0</v>
      </c>
      <c r="AU476" s="25">
        <f t="shared" si="411"/>
        <v>0</v>
      </c>
      <c r="AV476" s="5"/>
      <c r="AW476" s="23">
        <f t="shared" si="412"/>
        <v>0</v>
      </c>
      <c r="AX476" s="23">
        <f t="shared" si="413"/>
        <v>0</v>
      </c>
      <c r="AY476" s="23">
        <f t="shared" si="414"/>
        <v>0</v>
      </c>
      <c r="AZ476" s="23">
        <f t="shared" si="415"/>
        <v>0</v>
      </c>
      <c r="BA476" s="23">
        <f t="shared" si="416"/>
        <v>0</v>
      </c>
      <c r="BB476" s="23">
        <f t="shared" si="417"/>
        <v>0</v>
      </c>
      <c r="BC476" s="23">
        <f t="shared" si="418"/>
        <v>0</v>
      </c>
      <c r="BD476" s="23">
        <f t="shared" si="419"/>
        <v>0</v>
      </c>
      <c r="BE476" s="23">
        <f t="shared" si="420"/>
        <v>0</v>
      </c>
      <c r="BF476" s="23">
        <f t="shared" si="421"/>
        <v>0</v>
      </c>
      <c r="BG476" s="23">
        <f t="shared" si="422"/>
        <v>0</v>
      </c>
      <c r="BH476" s="23">
        <f t="shared" si="423"/>
        <v>0</v>
      </c>
      <c r="BI476" s="23">
        <f t="shared" si="424"/>
        <v>0</v>
      </c>
      <c r="BJ476" s="23">
        <f t="shared" si="425"/>
        <v>0</v>
      </c>
      <c r="BK476" s="23">
        <f t="shared" si="426"/>
        <v>0</v>
      </c>
    </row>
    <row r="477" spans="1:63" s="100" customFormat="1" ht="16" customHeight="1">
      <c r="A477" s="28" t="s">
        <v>1008</v>
      </c>
      <c r="B477" s="25" t="s">
        <v>1150</v>
      </c>
      <c r="C477" s="25" t="s">
        <v>1151</v>
      </c>
      <c r="D477" s="27" t="s">
        <v>351</v>
      </c>
      <c r="E477" s="27"/>
      <c r="F477" s="25"/>
      <c r="G477" s="25"/>
      <c r="H477" s="25"/>
      <c r="I477" s="5"/>
      <c r="J477" s="5">
        <v>0</v>
      </c>
      <c r="K477" s="5">
        <v>0</v>
      </c>
      <c r="L477" s="5">
        <v>1</v>
      </c>
      <c r="M477" s="5">
        <v>0</v>
      </c>
      <c r="N477" s="5">
        <v>0</v>
      </c>
      <c r="O477" s="5">
        <v>0</v>
      </c>
      <c r="P477" s="5">
        <v>0</v>
      </c>
      <c r="Q477" s="5"/>
      <c r="R477" s="25"/>
      <c r="S477" s="5"/>
      <c r="T477" s="5"/>
      <c r="U477" s="5"/>
      <c r="V477" s="5"/>
      <c r="W477" s="5"/>
      <c r="X477" s="25">
        <v>0</v>
      </c>
      <c r="Y477" s="25">
        <v>0</v>
      </c>
      <c r="Z477" s="25">
        <f t="shared" si="408"/>
        <v>0</v>
      </c>
      <c r="AA477" s="25"/>
      <c r="AB477" s="25">
        <v>1</v>
      </c>
      <c r="AC477" s="25">
        <v>0</v>
      </c>
      <c r="AD477" s="25">
        <f t="shared" si="409"/>
        <v>1</v>
      </c>
      <c r="AE477" s="23"/>
      <c r="AF477" s="23"/>
      <c r="AG477" s="23"/>
      <c r="AH477" s="23"/>
      <c r="AI477" s="23"/>
      <c r="AJ477" s="23"/>
      <c r="AK477" s="23"/>
      <c r="AL477" s="23">
        <v>1</v>
      </c>
      <c r="AM477" s="23"/>
      <c r="AN477" s="23"/>
      <c r="AO477" s="23"/>
      <c r="AP477" s="23"/>
      <c r="AQ477" s="23"/>
      <c r="AR477" s="23"/>
      <c r="AS477" s="23"/>
      <c r="AT477" s="30">
        <f>SUM(AE477:AS477)</f>
        <v>1</v>
      </c>
      <c r="AU477" s="25">
        <f t="shared" si="411"/>
        <v>0</v>
      </c>
      <c r="AV477" s="5"/>
      <c r="AW477" s="23">
        <f t="shared" si="412"/>
        <v>0</v>
      </c>
      <c r="AX477" s="23">
        <f t="shared" si="413"/>
        <v>0</v>
      </c>
      <c r="AY477" s="23">
        <f t="shared" si="414"/>
        <v>0</v>
      </c>
      <c r="AZ477" s="23">
        <f t="shared" si="415"/>
        <v>-1</v>
      </c>
      <c r="BA477" s="23">
        <f t="shared" si="416"/>
        <v>-1</v>
      </c>
      <c r="BB477" s="23">
        <f t="shared" si="417"/>
        <v>-1</v>
      </c>
      <c r="BC477" s="23">
        <f t="shared" si="418"/>
        <v>-1</v>
      </c>
      <c r="BD477" s="23">
        <f t="shared" si="419"/>
        <v>0</v>
      </c>
      <c r="BE477" s="23">
        <f t="shared" si="420"/>
        <v>0</v>
      </c>
      <c r="BF477" s="23">
        <f t="shared" ref="BF477:BK477" si="427">BE477+AN477-R477</f>
        <v>0</v>
      </c>
      <c r="BG477" s="23">
        <f t="shared" si="427"/>
        <v>0</v>
      </c>
      <c r="BH477" s="23">
        <f t="shared" si="427"/>
        <v>0</v>
      </c>
      <c r="BI477" s="23">
        <f t="shared" si="427"/>
        <v>0</v>
      </c>
      <c r="BJ477" s="23">
        <f t="shared" si="427"/>
        <v>0</v>
      </c>
      <c r="BK477" s="23">
        <f t="shared" si="427"/>
        <v>0</v>
      </c>
    </row>
    <row r="478" spans="1:63" s="100" customFormat="1" ht="16" hidden="1" customHeight="1">
      <c r="A478" s="28" t="s">
        <v>1008</v>
      </c>
      <c r="B478" s="25" t="s">
        <v>1152</v>
      </c>
      <c r="C478" s="25" t="s">
        <v>1153</v>
      </c>
      <c r="D478" s="27" t="s">
        <v>351</v>
      </c>
      <c r="E478" s="27"/>
      <c r="F478" s="25"/>
      <c r="G478" s="25"/>
      <c r="H478" s="25"/>
      <c r="I478" s="5"/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/>
      <c r="R478" s="25"/>
      <c r="S478" s="5"/>
      <c r="T478" s="5"/>
      <c r="U478" s="5"/>
      <c r="V478" s="5"/>
      <c r="W478" s="5"/>
      <c r="X478" s="25">
        <v>0</v>
      </c>
      <c r="Y478" s="25">
        <v>0</v>
      </c>
      <c r="Z478" s="25">
        <f t="shared" si="408"/>
        <v>0</v>
      </c>
      <c r="AA478" s="25"/>
      <c r="AB478" s="25">
        <v>0</v>
      </c>
      <c r="AC478" s="25">
        <v>0</v>
      </c>
      <c r="AD478" s="25">
        <f t="shared" si="409"/>
        <v>0</v>
      </c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30">
        <f>SUM(AE478:AS478)</f>
        <v>0</v>
      </c>
      <c r="AU478" s="25">
        <f t="shared" si="411"/>
        <v>0</v>
      </c>
      <c r="AV478" s="5"/>
      <c r="AW478" s="23">
        <f t="shared" si="412"/>
        <v>0</v>
      </c>
      <c r="AX478" s="23">
        <f t="shared" si="413"/>
        <v>0</v>
      </c>
      <c r="AY478" s="23">
        <f t="shared" si="414"/>
        <v>0</v>
      </c>
      <c r="AZ478" s="23">
        <f t="shared" si="415"/>
        <v>0</v>
      </c>
      <c r="BA478" s="23">
        <f t="shared" si="416"/>
        <v>0</v>
      </c>
      <c r="BB478" s="23">
        <f t="shared" si="417"/>
        <v>0</v>
      </c>
      <c r="BC478" s="23">
        <f t="shared" si="418"/>
        <v>0</v>
      </c>
      <c r="BD478" s="23">
        <f t="shared" si="419"/>
        <v>0</v>
      </c>
      <c r="BE478" s="23">
        <f t="shared" si="420"/>
        <v>0</v>
      </c>
      <c r="BF478" s="23">
        <f t="shared" ref="BF478:BK478" si="428">BE478+AN478-R478</f>
        <v>0</v>
      </c>
      <c r="BG478" s="23">
        <f t="shared" si="428"/>
        <v>0</v>
      </c>
      <c r="BH478" s="23">
        <f t="shared" si="428"/>
        <v>0</v>
      </c>
      <c r="BI478" s="23">
        <f t="shared" si="428"/>
        <v>0</v>
      </c>
      <c r="BJ478" s="23">
        <f t="shared" si="428"/>
        <v>0</v>
      </c>
      <c r="BK478" s="23">
        <f t="shared" si="428"/>
        <v>0</v>
      </c>
    </row>
    <row r="479" spans="1:63" s="100" customFormat="1" ht="16" customHeight="1">
      <c r="A479" s="28" t="s">
        <v>1008</v>
      </c>
      <c r="B479" s="25" t="s">
        <v>1154</v>
      </c>
      <c r="C479" s="25" t="s">
        <v>1155</v>
      </c>
      <c r="D479" s="27" t="s">
        <v>351</v>
      </c>
      <c r="E479" s="27"/>
      <c r="F479" s="25"/>
      <c r="G479" s="25"/>
      <c r="H479" s="25"/>
      <c r="I479" s="5"/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2</v>
      </c>
      <c r="P479" s="5">
        <v>0</v>
      </c>
      <c r="Q479" s="5"/>
      <c r="R479" s="25"/>
      <c r="S479" s="5"/>
      <c r="T479" s="5"/>
      <c r="U479" s="5"/>
      <c r="V479" s="5"/>
      <c r="W479" s="5"/>
      <c r="X479" s="25">
        <v>0</v>
      </c>
      <c r="Y479" s="25">
        <v>0</v>
      </c>
      <c r="Z479" s="25">
        <f t="shared" si="408"/>
        <v>0</v>
      </c>
      <c r="AA479" s="25"/>
      <c r="AB479" s="25">
        <v>2</v>
      </c>
      <c r="AC479" s="25">
        <v>0</v>
      </c>
      <c r="AD479" s="25">
        <f t="shared" si="409"/>
        <v>2</v>
      </c>
      <c r="AE479" s="23"/>
      <c r="AF479" s="23"/>
      <c r="AG479" s="23"/>
      <c r="AH479" s="23"/>
      <c r="AI479" s="23"/>
      <c r="AJ479" s="23"/>
      <c r="AK479" s="23"/>
      <c r="AL479" s="23">
        <v>2</v>
      </c>
      <c r="AM479" s="23"/>
      <c r="AN479" s="23"/>
      <c r="AO479" s="23"/>
      <c r="AP479" s="23"/>
      <c r="AQ479" s="23"/>
      <c r="AR479" s="23"/>
      <c r="AS479" s="23"/>
      <c r="AT479" s="30">
        <f t="shared" si="410"/>
        <v>2</v>
      </c>
      <c r="AU479" s="25">
        <f t="shared" si="411"/>
        <v>0</v>
      </c>
      <c r="AV479" s="5"/>
      <c r="AW479" s="23">
        <f t="shared" si="412"/>
        <v>0</v>
      </c>
      <c r="AX479" s="23">
        <f t="shared" si="413"/>
        <v>0</v>
      </c>
      <c r="AY479" s="23">
        <f t="shared" si="414"/>
        <v>0</v>
      </c>
      <c r="AZ479" s="23">
        <f t="shared" si="415"/>
        <v>0</v>
      </c>
      <c r="BA479" s="23">
        <f t="shared" si="416"/>
        <v>0</v>
      </c>
      <c r="BB479" s="23">
        <f t="shared" si="417"/>
        <v>0</v>
      </c>
      <c r="BC479" s="23">
        <f t="shared" si="418"/>
        <v>-2</v>
      </c>
      <c r="BD479" s="23">
        <f t="shared" si="419"/>
        <v>0</v>
      </c>
      <c r="BE479" s="23">
        <f t="shared" si="420"/>
        <v>0</v>
      </c>
      <c r="BF479" s="23">
        <f t="shared" si="421"/>
        <v>0</v>
      </c>
      <c r="BG479" s="23">
        <f t="shared" si="422"/>
        <v>0</v>
      </c>
      <c r="BH479" s="23">
        <f>AP479+AJ479-T479</f>
        <v>0</v>
      </c>
      <c r="BI479" s="23">
        <f>AQ479+AK479-U479</f>
        <v>0</v>
      </c>
      <c r="BJ479" s="23">
        <f>AR479+AL479-V479</f>
        <v>2</v>
      </c>
      <c r="BK479" s="23">
        <f>AS479+AM479-W479</f>
        <v>0</v>
      </c>
    </row>
    <row r="480" spans="1:63" s="100" customFormat="1" ht="16" hidden="1" customHeight="1">
      <c r="A480" s="28" t="s">
        <v>1008</v>
      </c>
      <c r="B480" s="25" t="s">
        <v>1156</v>
      </c>
      <c r="C480" s="25" t="s">
        <v>1157</v>
      </c>
      <c r="D480" s="27" t="s">
        <v>351</v>
      </c>
      <c r="E480" s="27"/>
      <c r="F480" s="25"/>
      <c r="G480" s="25"/>
      <c r="H480" s="25"/>
      <c r="I480" s="5"/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/>
      <c r="R480" s="25"/>
      <c r="S480" s="5"/>
      <c r="T480" s="5"/>
      <c r="U480" s="5"/>
      <c r="V480" s="5"/>
      <c r="W480" s="5"/>
      <c r="X480" s="25">
        <v>0</v>
      </c>
      <c r="Y480" s="25">
        <v>0</v>
      </c>
      <c r="Z480" s="25">
        <f t="shared" si="408"/>
        <v>0</v>
      </c>
      <c r="AA480" s="25"/>
      <c r="AB480" s="25">
        <v>0</v>
      </c>
      <c r="AC480" s="25">
        <v>0</v>
      </c>
      <c r="AD480" s="25">
        <f t="shared" si="409"/>
        <v>0</v>
      </c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30">
        <f>SUM(AE480:AS480)</f>
        <v>0</v>
      </c>
      <c r="AU480" s="25">
        <f t="shared" si="411"/>
        <v>0</v>
      </c>
      <c r="AV480" s="5"/>
      <c r="AW480" s="23">
        <f t="shared" si="412"/>
        <v>0</v>
      </c>
      <c r="AX480" s="23">
        <f t="shared" si="413"/>
        <v>0</v>
      </c>
      <c r="AY480" s="23">
        <f t="shared" si="414"/>
        <v>0</v>
      </c>
      <c r="AZ480" s="23">
        <f t="shared" si="415"/>
        <v>0</v>
      </c>
      <c r="BA480" s="23">
        <f t="shared" si="416"/>
        <v>0</v>
      </c>
      <c r="BB480" s="23">
        <f t="shared" si="417"/>
        <v>0</v>
      </c>
      <c r="BC480" s="23">
        <f t="shared" si="418"/>
        <v>0</v>
      </c>
      <c r="BD480" s="23">
        <f t="shared" si="419"/>
        <v>0</v>
      </c>
      <c r="BE480" s="23">
        <f t="shared" si="420"/>
        <v>0</v>
      </c>
      <c r="BF480" s="23">
        <f t="shared" ref="BF480:BK480" si="429">BE480+AN480-R480</f>
        <v>0</v>
      </c>
      <c r="BG480" s="23">
        <f t="shared" si="429"/>
        <v>0</v>
      </c>
      <c r="BH480" s="23">
        <f t="shared" si="429"/>
        <v>0</v>
      </c>
      <c r="BI480" s="23">
        <f t="shared" si="429"/>
        <v>0</v>
      </c>
      <c r="BJ480" s="23">
        <f t="shared" si="429"/>
        <v>0</v>
      </c>
      <c r="BK480" s="23">
        <f t="shared" si="429"/>
        <v>0</v>
      </c>
    </row>
    <row r="481" spans="1:63" s="100" customFormat="1" ht="16" hidden="1" customHeight="1">
      <c r="A481" s="28" t="s">
        <v>1008</v>
      </c>
      <c r="B481" s="25" t="s">
        <v>1158</v>
      </c>
      <c r="C481" s="25" t="s">
        <v>1159</v>
      </c>
      <c r="D481" s="27" t="s">
        <v>351</v>
      </c>
      <c r="E481" s="27"/>
      <c r="F481" s="25"/>
      <c r="G481" s="25"/>
      <c r="H481" s="25"/>
      <c r="I481" s="5"/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/>
      <c r="R481" s="25"/>
      <c r="S481" s="5"/>
      <c r="T481" s="5"/>
      <c r="U481" s="5"/>
      <c r="V481" s="5"/>
      <c r="W481" s="5"/>
      <c r="X481" s="25">
        <v>0</v>
      </c>
      <c r="Y481" s="25">
        <v>0</v>
      </c>
      <c r="Z481" s="25">
        <f t="shared" si="408"/>
        <v>0</v>
      </c>
      <c r="AA481" s="25"/>
      <c r="AB481" s="25">
        <v>0</v>
      </c>
      <c r="AC481" s="25">
        <v>0</v>
      </c>
      <c r="AD481" s="25">
        <f t="shared" si="409"/>
        <v>0</v>
      </c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30">
        <f t="shared" si="410"/>
        <v>0</v>
      </c>
      <c r="AU481" s="25">
        <f t="shared" si="411"/>
        <v>0</v>
      </c>
      <c r="AV481" s="5"/>
      <c r="AW481" s="23">
        <f t="shared" si="412"/>
        <v>0</v>
      </c>
      <c r="AX481" s="23">
        <f t="shared" si="413"/>
        <v>0</v>
      </c>
      <c r="AY481" s="23">
        <f t="shared" si="414"/>
        <v>0</v>
      </c>
      <c r="AZ481" s="23">
        <f t="shared" si="415"/>
        <v>0</v>
      </c>
      <c r="BA481" s="23">
        <f t="shared" si="416"/>
        <v>0</v>
      </c>
      <c r="BB481" s="23">
        <f t="shared" si="417"/>
        <v>0</v>
      </c>
      <c r="BC481" s="23">
        <f t="shared" si="418"/>
        <v>0</v>
      </c>
      <c r="BD481" s="23">
        <f t="shared" si="419"/>
        <v>0</v>
      </c>
      <c r="BE481" s="23">
        <f t="shared" si="420"/>
        <v>0</v>
      </c>
      <c r="BF481" s="23">
        <f t="shared" si="421"/>
        <v>0</v>
      </c>
      <c r="BG481" s="23">
        <f t="shared" si="422"/>
        <v>0</v>
      </c>
      <c r="BH481" s="23">
        <f t="shared" ref="BH481:BH486" si="430">AP481+AJ481-T481</f>
        <v>0</v>
      </c>
      <c r="BI481" s="23">
        <f t="shared" ref="BI481:BI486" si="431">AQ481+AK481-U481</f>
        <v>0</v>
      </c>
      <c r="BJ481" s="23">
        <f t="shared" ref="BJ481:BJ486" si="432">AR481+AL481-V481</f>
        <v>0</v>
      </c>
      <c r="BK481" s="23">
        <f t="shared" ref="BK481:BK486" si="433">AS481+AM481-W481</f>
        <v>0</v>
      </c>
    </row>
    <row r="482" spans="1:63" s="100" customFormat="1" ht="16" hidden="1" customHeight="1">
      <c r="A482" s="28" t="s">
        <v>1008</v>
      </c>
      <c r="B482" s="25" t="s">
        <v>1160</v>
      </c>
      <c r="C482" s="25" t="s">
        <v>1161</v>
      </c>
      <c r="D482" s="27" t="s">
        <v>351</v>
      </c>
      <c r="E482" s="27"/>
      <c r="F482" s="25"/>
      <c r="G482" s="25"/>
      <c r="H482" s="25"/>
      <c r="I482" s="5"/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/>
      <c r="R482" s="25"/>
      <c r="S482" s="5"/>
      <c r="T482" s="5"/>
      <c r="U482" s="5"/>
      <c r="V482" s="5"/>
      <c r="W482" s="5"/>
      <c r="X482" s="25">
        <v>0</v>
      </c>
      <c r="Y482" s="25">
        <v>0</v>
      </c>
      <c r="Z482" s="25">
        <f t="shared" si="408"/>
        <v>0</v>
      </c>
      <c r="AA482" s="25"/>
      <c r="AB482" s="25">
        <v>0</v>
      </c>
      <c r="AC482" s="25">
        <v>0</v>
      </c>
      <c r="AD482" s="25">
        <f t="shared" si="409"/>
        <v>0</v>
      </c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30">
        <f t="shared" si="410"/>
        <v>0</v>
      </c>
      <c r="AU482" s="25">
        <f t="shared" si="411"/>
        <v>0</v>
      </c>
      <c r="AV482" s="5"/>
      <c r="AW482" s="23">
        <f t="shared" si="412"/>
        <v>0</v>
      </c>
      <c r="AX482" s="23">
        <f t="shared" si="413"/>
        <v>0</v>
      </c>
      <c r="AY482" s="23">
        <f t="shared" si="414"/>
        <v>0</v>
      </c>
      <c r="AZ482" s="23">
        <f t="shared" si="415"/>
        <v>0</v>
      </c>
      <c r="BA482" s="23">
        <f t="shared" si="416"/>
        <v>0</v>
      </c>
      <c r="BB482" s="23">
        <f t="shared" si="417"/>
        <v>0</v>
      </c>
      <c r="BC482" s="23">
        <f t="shared" si="418"/>
        <v>0</v>
      </c>
      <c r="BD482" s="23">
        <f t="shared" si="419"/>
        <v>0</v>
      </c>
      <c r="BE482" s="23">
        <f t="shared" si="420"/>
        <v>0</v>
      </c>
      <c r="BF482" s="23">
        <f t="shared" si="421"/>
        <v>0</v>
      </c>
      <c r="BG482" s="23">
        <f t="shared" si="422"/>
        <v>0</v>
      </c>
      <c r="BH482" s="23">
        <f t="shared" si="430"/>
        <v>0</v>
      </c>
      <c r="BI482" s="23">
        <f t="shared" si="431"/>
        <v>0</v>
      </c>
      <c r="BJ482" s="23">
        <f t="shared" si="432"/>
        <v>0</v>
      </c>
      <c r="BK482" s="23">
        <f t="shared" si="433"/>
        <v>0</v>
      </c>
    </row>
    <row r="483" spans="1:63" s="100" customFormat="1" ht="16" hidden="1" customHeight="1">
      <c r="A483" s="28" t="s">
        <v>1008</v>
      </c>
      <c r="B483" s="25" t="s">
        <v>1162</v>
      </c>
      <c r="C483" s="25" t="s">
        <v>1163</v>
      </c>
      <c r="D483" s="27" t="s">
        <v>351</v>
      </c>
      <c r="E483" s="27"/>
      <c r="F483" s="25"/>
      <c r="G483" s="25"/>
      <c r="H483" s="25"/>
      <c r="I483" s="5"/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/>
      <c r="R483" s="25"/>
      <c r="S483" s="5"/>
      <c r="T483" s="5"/>
      <c r="U483" s="5"/>
      <c r="V483" s="5"/>
      <c r="W483" s="5"/>
      <c r="X483" s="25">
        <v>0</v>
      </c>
      <c r="Y483" s="25">
        <v>0</v>
      </c>
      <c r="Z483" s="25">
        <f t="shared" si="408"/>
        <v>0</v>
      </c>
      <c r="AA483" s="25"/>
      <c r="AB483" s="25">
        <v>0</v>
      </c>
      <c r="AC483" s="25">
        <v>0</v>
      </c>
      <c r="AD483" s="25">
        <f t="shared" si="409"/>
        <v>0</v>
      </c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30">
        <f t="shared" si="410"/>
        <v>0</v>
      </c>
      <c r="AU483" s="25">
        <f t="shared" si="411"/>
        <v>0</v>
      </c>
      <c r="AV483" s="5"/>
      <c r="AW483" s="23">
        <f t="shared" si="412"/>
        <v>0</v>
      </c>
      <c r="AX483" s="23">
        <f t="shared" si="413"/>
        <v>0</v>
      </c>
      <c r="AY483" s="23">
        <f t="shared" si="414"/>
        <v>0</v>
      </c>
      <c r="AZ483" s="23">
        <f t="shared" si="415"/>
        <v>0</v>
      </c>
      <c r="BA483" s="23">
        <f t="shared" si="416"/>
        <v>0</v>
      </c>
      <c r="BB483" s="23">
        <f t="shared" si="417"/>
        <v>0</v>
      </c>
      <c r="BC483" s="23">
        <f t="shared" si="418"/>
        <v>0</v>
      </c>
      <c r="BD483" s="23">
        <f t="shared" si="419"/>
        <v>0</v>
      </c>
      <c r="BE483" s="23">
        <f t="shared" si="420"/>
        <v>0</v>
      </c>
      <c r="BF483" s="23">
        <f t="shared" si="421"/>
        <v>0</v>
      </c>
      <c r="BG483" s="23">
        <f t="shared" si="422"/>
        <v>0</v>
      </c>
      <c r="BH483" s="23">
        <f t="shared" si="430"/>
        <v>0</v>
      </c>
      <c r="BI483" s="23">
        <f t="shared" si="431"/>
        <v>0</v>
      </c>
      <c r="BJ483" s="23">
        <f t="shared" si="432"/>
        <v>0</v>
      </c>
      <c r="BK483" s="23">
        <f t="shared" si="433"/>
        <v>0</v>
      </c>
    </row>
    <row r="484" spans="1:63" s="100" customFormat="1" ht="16" hidden="1" customHeight="1">
      <c r="A484" s="28" t="s">
        <v>1008</v>
      </c>
      <c r="B484" s="25" t="s">
        <v>1164</v>
      </c>
      <c r="C484" s="25" t="s">
        <v>1165</v>
      </c>
      <c r="D484" s="27" t="s">
        <v>351</v>
      </c>
      <c r="E484" s="27"/>
      <c r="F484" s="25"/>
      <c r="G484" s="25"/>
      <c r="H484" s="25"/>
      <c r="I484" s="5"/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/>
      <c r="R484" s="25"/>
      <c r="S484" s="5"/>
      <c r="T484" s="5"/>
      <c r="U484" s="5"/>
      <c r="V484" s="5"/>
      <c r="W484" s="5"/>
      <c r="X484" s="25">
        <v>0</v>
      </c>
      <c r="Y484" s="25">
        <v>0</v>
      </c>
      <c r="Z484" s="25">
        <f t="shared" si="408"/>
        <v>0</v>
      </c>
      <c r="AA484" s="25"/>
      <c r="AB484" s="25">
        <v>0</v>
      </c>
      <c r="AC484" s="25">
        <v>0</v>
      </c>
      <c r="AD484" s="25">
        <f t="shared" si="409"/>
        <v>0</v>
      </c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30">
        <f t="shared" si="410"/>
        <v>0</v>
      </c>
      <c r="AU484" s="25">
        <f t="shared" si="411"/>
        <v>0</v>
      </c>
      <c r="AV484" s="5"/>
      <c r="AW484" s="23">
        <f t="shared" si="412"/>
        <v>0</v>
      </c>
      <c r="AX484" s="23">
        <f t="shared" si="413"/>
        <v>0</v>
      </c>
      <c r="AY484" s="23">
        <f t="shared" si="414"/>
        <v>0</v>
      </c>
      <c r="AZ484" s="23">
        <f t="shared" si="415"/>
        <v>0</v>
      </c>
      <c r="BA484" s="23">
        <f t="shared" si="416"/>
        <v>0</v>
      </c>
      <c r="BB484" s="23">
        <f t="shared" si="417"/>
        <v>0</v>
      </c>
      <c r="BC484" s="23">
        <f t="shared" si="418"/>
        <v>0</v>
      </c>
      <c r="BD484" s="23">
        <f t="shared" si="419"/>
        <v>0</v>
      </c>
      <c r="BE484" s="23">
        <f t="shared" si="420"/>
        <v>0</v>
      </c>
      <c r="BF484" s="23">
        <f t="shared" si="421"/>
        <v>0</v>
      </c>
      <c r="BG484" s="23">
        <f t="shared" si="422"/>
        <v>0</v>
      </c>
      <c r="BH484" s="23">
        <f t="shared" si="430"/>
        <v>0</v>
      </c>
      <c r="BI484" s="23">
        <f t="shared" si="431"/>
        <v>0</v>
      </c>
      <c r="BJ484" s="23">
        <f t="shared" si="432"/>
        <v>0</v>
      </c>
      <c r="BK484" s="23">
        <f t="shared" si="433"/>
        <v>0</v>
      </c>
    </row>
    <row r="485" spans="1:63" s="100" customFormat="1" ht="16" hidden="1" customHeight="1">
      <c r="A485" s="28" t="s">
        <v>1008</v>
      </c>
      <c r="B485" s="25" t="s">
        <v>1166</v>
      </c>
      <c r="C485" s="25" t="s">
        <v>1167</v>
      </c>
      <c r="D485" s="27" t="s">
        <v>351</v>
      </c>
      <c r="E485" s="27"/>
      <c r="F485" s="25"/>
      <c r="G485" s="25"/>
      <c r="H485" s="25"/>
      <c r="I485" s="5"/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/>
      <c r="R485" s="25"/>
      <c r="S485" s="5"/>
      <c r="T485" s="5"/>
      <c r="U485" s="5"/>
      <c r="V485" s="5"/>
      <c r="W485" s="5"/>
      <c r="X485" s="25">
        <v>0</v>
      </c>
      <c r="Y485" s="25">
        <v>0</v>
      </c>
      <c r="Z485" s="25">
        <f t="shared" si="408"/>
        <v>0</v>
      </c>
      <c r="AA485" s="25"/>
      <c r="AB485" s="25">
        <v>0</v>
      </c>
      <c r="AC485" s="25">
        <v>0</v>
      </c>
      <c r="AD485" s="25">
        <f t="shared" si="409"/>
        <v>0</v>
      </c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30">
        <f t="shared" si="410"/>
        <v>0</v>
      </c>
      <c r="AU485" s="25">
        <f t="shared" si="411"/>
        <v>0</v>
      </c>
      <c r="AV485" s="5"/>
      <c r="AW485" s="23">
        <f t="shared" si="412"/>
        <v>0</v>
      </c>
      <c r="AX485" s="23">
        <f t="shared" si="413"/>
        <v>0</v>
      </c>
      <c r="AY485" s="23">
        <f t="shared" si="414"/>
        <v>0</v>
      </c>
      <c r="AZ485" s="23">
        <f t="shared" si="415"/>
        <v>0</v>
      </c>
      <c r="BA485" s="23">
        <f t="shared" si="416"/>
        <v>0</v>
      </c>
      <c r="BB485" s="23">
        <f t="shared" si="417"/>
        <v>0</v>
      </c>
      <c r="BC485" s="23">
        <f t="shared" si="418"/>
        <v>0</v>
      </c>
      <c r="BD485" s="23">
        <f t="shared" si="419"/>
        <v>0</v>
      </c>
      <c r="BE485" s="23">
        <f t="shared" si="420"/>
        <v>0</v>
      </c>
      <c r="BF485" s="23">
        <f t="shared" si="421"/>
        <v>0</v>
      </c>
      <c r="BG485" s="23">
        <f t="shared" si="422"/>
        <v>0</v>
      </c>
      <c r="BH485" s="23">
        <f t="shared" si="430"/>
        <v>0</v>
      </c>
      <c r="BI485" s="23">
        <f t="shared" si="431"/>
        <v>0</v>
      </c>
      <c r="BJ485" s="23">
        <f t="shared" si="432"/>
        <v>0</v>
      </c>
      <c r="BK485" s="23">
        <f t="shared" si="433"/>
        <v>0</v>
      </c>
    </row>
    <row r="486" spans="1:63" s="100" customFormat="1" ht="16" hidden="1" customHeight="1">
      <c r="A486" s="28" t="s">
        <v>1008</v>
      </c>
      <c r="B486" s="25" t="s">
        <v>1168</v>
      </c>
      <c r="C486" s="25" t="s">
        <v>1169</v>
      </c>
      <c r="D486" s="27" t="s">
        <v>351</v>
      </c>
      <c r="E486" s="27"/>
      <c r="F486" s="25"/>
      <c r="G486" s="25"/>
      <c r="H486" s="25"/>
      <c r="I486" s="5"/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/>
      <c r="R486" s="25"/>
      <c r="S486" s="5"/>
      <c r="T486" s="5"/>
      <c r="U486" s="5"/>
      <c r="V486" s="5"/>
      <c r="W486" s="5"/>
      <c r="X486" s="25">
        <v>0</v>
      </c>
      <c r="Y486" s="25">
        <v>0</v>
      </c>
      <c r="Z486" s="25">
        <f t="shared" si="408"/>
        <v>0</v>
      </c>
      <c r="AA486" s="25"/>
      <c r="AB486" s="25">
        <v>0</v>
      </c>
      <c r="AC486" s="25">
        <v>0</v>
      </c>
      <c r="AD486" s="25">
        <f t="shared" si="409"/>
        <v>0</v>
      </c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30">
        <f t="shared" si="410"/>
        <v>0</v>
      </c>
      <c r="AU486" s="25">
        <f t="shared" si="411"/>
        <v>0</v>
      </c>
      <c r="AV486" s="5"/>
      <c r="AW486" s="23">
        <f t="shared" si="412"/>
        <v>0</v>
      </c>
      <c r="AX486" s="23">
        <f t="shared" si="413"/>
        <v>0</v>
      </c>
      <c r="AY486" s="23">
        <f t="shared" si="414"/>
        <v>0</v>
      </c>
      <c r="AZ486" s="23">
        <f t="shared" si="415"/>
        <v>0</v>
      </c>
      <c r="BA486" s="23">
        <f t="shared" si="416"/>
        <v>0</v>
      </c>
      <c r="BB486" s="23">
        <f t="shared" si="417"/>
        <v>0</v>
      </c>
      <c r="BC486" s="23">
        <f t="shared" si="418"/>
        <v>0</v>
      </c>
      <c r="BD486" s="23">
        <f t="shared" si="419"/>
        <v>0</v>
      </c>
      <c r="BE486" s="23">
        <f t="shared" si="420"/>
        <v>0</v>
      </c>
      <c r="BF486" s="23">
        <f t="shared" si="421"/>
        <v>0</v>
      </c>
      <c r="BG486" s="23">
        <f t="shared" si="422"/>
        <v>0</v>
      </c>
      <c r="BH486" s="23">
        <f t="shared" si="430"/>
        <v>0</v>
      </c>
      <c r="BI486" s="23">
        <f t="shared" si="431"/>
        <v>0</v>
      </c>
      <c r="BJ486" s="23">
        <f t="shared" si="432"/>
        <v>0</v>
      </c>
      <c r="BK486" s="23">
        <f t="shared" si="433"/>
        <v>0</v>
      </c>
    </row>
    <row r="487" spans="1:63" s="100" customFormat="1" ht="16" customHeight="1">
      <c r="A487" s="28" t="s">
        <v>1008</v>
      </c>
      <c r="B487" s="25" t="s">
        <v>1170</v>
      </c>
      <c r="C487" s="25" t="s">
        <v>1171</v>
      </c>
      <c r="D487" s="27" t="s">
        <v>351</v>
      </c>
      <c r="E487" s="27"/>
      <c r="F487" s="25"/>
      <c r="G487" s="25"/>
      <c r="H487" s="25"/>
      <c r="I487" s="5"/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3</v>
      </c>
      <c r="Q487" s="5"/>
      <c r="R487" s="25"/>
      <c r="S487" s="5"/>
      <c r="T487" s="5"/>
      <c r="U487" s="5"/>
      <c r="V487" s="5"/>
      <c r="W487" s="5"/>
      <c r="X487" s="25">
        <v>0</v>
      </c>
      <c r="Y487" s="25">
        <v>0</v>
      </c>
      <c r="Z487" s="25">
        <f t="shared" si="408"/>
        <v>0</v>
      </c>
      <c r="AA487" s="25"/>
      <c r="AB487" s="25">
        <v>59</v>
      </c>
      <c r="AC487" s="25">
        <v>0</v>
      </c>
      <c r="AD487" s="25">
        <f t="shared" si="409"/>
        <v>59</v>
      </c>
      <c r="AE487" s="23"/>
      <c r="AF487" s="23"/>
      <c r="AG487" s="23"/>
      <c r="AH487" s="23"/>
      <c r="AI487" s="23"/>
      <c r="AJ487" s="23"/>
      <c r="AK487" s="23"/>
      <c r="AL487" s="23">
        <v>59</v>
      </c>
      <c r="AM487" s="23"/>
      <c r="AN487" s="23"/>
      <c r="AO487" s="23"/>
      <c r="AP487" s="23"/>
      <c r="AQ487" s="23"/>
      <c r="AR487" s="23"/>
      <c r="AS487" s="23"/>
      <c r="AT487" s="30">
        <f>SUM(AE487:AS487)</f>
        <v>59</v>
      </c>
      <c r="AU487" s="25">
        <f t="shared" si="411"/>
        <v>0</v>
      </c>
      <c r="AV487" s="5"/>
      <c r="AW487" s="23">
        <f t="shared" si="412"/>
        <v>0</v>
      </c>
      <c r="AX487" s="23">
        <f t="shared" si="413"/>
        <v>0</v>
      </c>
      <c r="AY487" s="23">
        <f t="shared" si="414"/>
        <v>0</v>
      </c>
      <c r="AZ487" s="23">
        <f t="shared" si="415"/>
        <v>0</v>
      </c>
      <c r="BA487" s="23">
        <f t="shared" si="416"/>
        <v>0</v>
      </c>
      <c r="BB487" s="23">
        <f t="shared" si="417"/>
        <v>0</v>
      </c>
      <c r="BC487" s="23">
        <f t="shared" si="418"/>
        <v>0</v>
      </c>
      <c r="BD487" s="23">
        <f t="shared" si="419"/>
        <v>56</v>
      </c>
      <c r="BE487" s="23">
        <f t="shared" si="420"/>
        <v>56</v>
      </c>
      <c r="BF487" s="23">
        <f t="shared" ref="BF487:BK487" si="434">BE487+AN487-R487</f>
        <v>56</v>
      </c>
      <c r="BG487" s="23">
        <f t="shared" si="434"/>
        <v>56</v>
      </c>
      <c r="BH487" s="23">
        <f t="shared" si="434"/>
        <v>56</v>
      </c>
      <c r="BI487" s="23">
        <f t="shared" si="434"/>
        <v>56</v>
      </c>
      <c r="BJ487" s="23">
        <f t="shared" si="434"/>
        <v>56</v>
      </c>
      <c r="BK487" s="23">
        <f t="shared" si="434"/>
        <v>56</v>
      </c>
    </row>
    <row r="488" spans="1:63" s="100" customFormat="1" ht="16" customHeight="1">
      <c r="A488" s="28" t="s">
        <v>1008</v>
      </c>
      <c r="B488" s="25" t="s">
        <v>1172</v>
      </c>
      <c r="C488" s="25" t="s">
        <v>1173</v>
      </c>
      <c r="D488" s="27" t="s">
        <v>351</v>
      </c>
      <c r="E488" s="27"/>
      <c r="F488" s="25"/>
      <c r="G488" s="25"/>
      <c r="H488" s="25"/>
      <c r="I488" s="5"/>
      <c r="J488" s="5">
        <v>0</v>
      </c>
      <c r="K488" s="5">
        <v>0</v>
      </c>
      <c r="L488" s="5">
        <v>3</v>
      </c>
      <c r="M488" s="5">
        <v>0</v>
      </c>
      <c r="N488" s="5">
        <v>3</v>
      </c>
      <c r="O488" s="5">
        <v>0</v>
      </c>
      <c r="P488" s="5">
        <v>0</v>
      </c>
      <c r="Q488" s="5"/>
      <c r="R488" s="25"/>
      <c r="S488" s="5"/>
      <c r="T488" s="5"/>
      <c r="U488" s="5"/>
      <c r="V488" s="5"/>
      <c r="W488" s="5"/>
      <c r="X488" s="25">
        <v>0</v>
      </c>
      <c r="Y488" s="25">
        <v>0</v>
      </c>
      <c r="Z488" s="25">
        <f t="shared" si="408"/>
        <v>0</v>
      </c>
      <c r="AA488" s="25"/>
      <c r="AB488" s="25">
        <v>6</v>
      </c>
      <c r="AC488" s="25">
        <v>0</v>
      </c>
      <c r="AD488" s="25">
        <f t="shared" si="409"/>
        <v>6</v>
      </c>
      <c r="AE488" s="23"/>
      <c r="AF488" s="23"/>
      <c r="AG488" s="23"/>
      <c r="AH488" s="23"/>
      <c r="AI488" s="23"/>
      <c r="AJ488" s="23"/>
      <c r="AK488" s="23"/>
      <c r="AL488" s="23">
        <v>6</v>
      </c>
      <c r="AM488" s="23"/>
      <c r="AN488" s="23"/>
      <c r="AO488" s="23"/>
      <c r="AP488" s="23"/>
      <c r="AQ488" s="23"/>
      <c r="AR488" s="23"/>
      <c r="AS488" s="23"/>
      <c r="AT488" s="30">
        <f>SUM(AE488:AS488)</f>
        <v>6</v>
      </c>
      <c r="AU488" s="25">
        <f t="shared" si="411"/>
        <v>0</v>
      </c>
      <c r="AV488" s="5"/>
      <c r="AW488" s="23">
        <f t="shared" si="412"/>
        <v>0</v>
      </c>
      <c r="AX488" s="23">
        <f t="shared" si="413"/>
        <v>0</v>
      </c>
      <c r="AY488" s="23">
        <f t="shared" si="414"/>
        <v>0</v>
      </c>
      <c r="AZ488" s="23">
        <f t="shared" si="415"/>
        <v>-3</v>
      </c>
      <c r="BA488" s="23">
        <f t="shared" si="416"/>
        <v>-3</v>
      </c>
      <c r="BB488" s="23">
        <f t="shared" si="417"/>
        <v>-6</v>
      </c>
      <c r="BC488" s="23">
        <f t="shared" si="418"/>
        <v>-6</v>
      </c>
      <c r="BD488" s="23">
        <f t="shared" si="419"/>
        <v>0</v>
      </c>
      <c r="BE488" s="23">
        <f t="shared" si="420"/>
        <v>0</v>
      </c>
      <c r="BF488" s="23">
        <f t="shared" ref="BF488:BK488" si="435">BE488+AN488-R488</f>
        <v>0</v>
      </c>
      <c r="BG488" s="23">
        <f t="shared" si="435"/>
        <v>0</v>
      </c>
      <c r="BH488" s="23">
        <f t="shared" si="435"/>
        <v>0</v>
      </c>
      <c r="BI488" s="23">
        <f t="shared" si="435"/>
        <v>0</v>
      </c>
      <c r="BJ488" s="23">
        <f t="shared" si="435"/>
        <v>0</v>
      </c>
      <c r="BK488" s="23">
        <f t="shared" si="435"/>
        <v>0</v>
      </c>
    </row>
    <row r="489" spans="1:63" s="100" customFormat="1" ht="16" hidden="1" customHeight="1">
      <c r="A489" s="28" t="s">
        <v>1008</v>
      </c>
      <c r="B489" s="25" t="s">
        <v>1174</v>
      </c>
      <c r="C489" s="25" t="s">
        <v>1175</v>
      </c>
      <c r="D489" s="27" t="s">
        <v>351</v>
      </c>
      <c r="E489" s="27"/>
      <c r="F489" s="25"/>
      <c r="G489" s="25"/>
      <c r="H489" s="25"/>
      <c r="I489" s="5"/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/>
      <c r="R489" s="25"/>
      <c r="S489" s="5"/>
      <c r="T489" s="5"/>
      <c r="U489" s="5"/>
      <c r="V489" s="5"/>
      <c r="W489" s="5"/>
      <c r="X489" s="25">
        <v>0</v>
      </c>
      <c r="Y489" s="25">
        <v>0</v>
      </c>
      <c r="Z489" s="25">
        <f t="shared" si="408"/>
        <v>0</v>
      </c>
      <c r="AA489" s="25"/>
      <c r="AB489" s="25">
        <v>0</v>
      </c>
      <c r="AC489" s="25">
        <v>0</v>
      </c>
      <c r="AD489" s="25">
        <f t="shared" si="409"/>
        <v>0</v>
      </c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30">
        <f t="shared" si="410"/>
        <v>0</v>
      </c>
      <c r="AU489" s="25">
        <f t="shared" si="411"/>
        <v>0</v>
      </c>
      <c r="AV489" s="5"/>
      <c r="AW489" s="23">
        <f t="shared" si="412"/>
        <v>0</v>
      </c>
      <c r="AX489" s="23">
        <f t="shared" si="413"/>
        <v>0</v>
      </c>
      <c r="AY489" s="23">
        <f t="shared" si="414"/>
        <v>0</v>
      </c>
      <c r="AZ489" s="23">
        <f t="shared" si="415"/>
        <v>0</v>
      </c>
      <c r="BA489" s="23">
        <f t="shared" si="416"/>
        <v>0</v>
      </c>
      <c r="BB489" s="23">
        <f t="shared" si="417"/>
        <v>0</v>
      </c>
      <c r="BC489" s="23">
        <f t="shared" si="418"/>
        <v>0</v>
      </c>
      <c r="BD489" s="23">
        <f t="shared" si="419"/>
        <v>0</v>
      </c>
      <c r="BE489" s="23">
        <f t="shared" si="420"/>
        <v>0</v>
      </c>
      <c r="BF489" s="23">
        <f t="shared" si="421"/>
        <v>0</v>
      </c>
      <c r="BG489" s="23">
        <f t="shared" si="422"/>
        <v>0</v>
      </c>
      <c r="BH489" s="23">
        <f t="shared" ref="BH489:BK490" si="436">AP489+AJ489-T489</f>
        <v>0</v>
      </c>
      <c r="BI489" s="23">
        <f t="shared" si="436"/>
        <v>0</v>
      </c>
      <c r="BJ489" s="23">
        <f t="shared" si="436"/>
        <v>0</v>
      </c>
      <c r="BK489" s="23">
        <f t="shared" si="436"/>
        <v>0</v>
      </c>
    </row>
    <row r="490" spans="1:63" s="100" customFormat="1" ht="16" hidden="1" customHeight="1">
      <c r="A490" s="28" t="s">
        <v>1008</v>
      </c>
      <c r="B490" s="25" t="s">
        <v>1176</v>
      </c>
      <c r="C490" s="25" t="s">
        <v>1177</v>
      </c>
      <c r="D490" s="27" t="s">
        <v>351</v>
      </c>
      <c r="E490" s="27"/>
      <c r="F490" s="25"/>
      <c r="G490" s="25"/>
      <c r="H490" s="25"/>
      <c r="I490" s="5"/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/>
      <c r="R490" s="25"/>
      <c r="S490" s="5"/>
      <c r="T490" s="5"/>
      <c r="U490" s="5"/>
      <c r="V490" s="5"/>
      <c r="W490" s="5"/>
      <c r="X490" s="25">
        <v>0</v>
      </c>
      <c r="Y490" s="25">
        <v>0</v>
      </c>
      <c r="Z490" s="25">
        <f t="shared" si="408"/>
        <v>0</v>
      </c>
      <c r="AA490" s="25"/>
      <c r="AB490" s="25">
        <v>0</v>
      </c>
      <c r="AC490" s="25">
        <v>0</v>
      </c>
      <c r="AD490" s="25">
        <f t="shared" si="409"/>
        <v>0</v>
      </c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30">
        <f t="shared" si="410"/>
        <v>0</v>
      </c>
      <c r="AU490" s="25">
        <f t="shared" si="411"/>
        <v>0</v>
      </c>
      <c r="AV490" s="5"/>
      <c r="AW490" s="23">
        <f t="shared" si="412"/>
        <v>0</v>
      </c>
      <c r="AX490" s="23">
        <f t="shared" si="413"/>
        <v>0</v>
      </c>
      <c r="AY490" s="23">
        <f t="shared" si="414"/>
        <v>0</v>
      </c>
      <c r="AZ490" s="23">
        <f t="shared" si="415"/>
        <v>0</v>
      </c>
      <c r="BA490" s="23">
        <f t="shared" si="416"/>
        <v>0</v>
      </c>
      <c r="BB490" s="23">
        <f t="shared" si="417"/>
        <v>0</v>
      </c>
      <c r="BC490" s="23">
        <f t="shared" si="418"/>
        <v>0</v>
      </c>
      <c r="BD490" s="23">
        <f t="shared" si="419"/>
        <v>0</v>
      </c>
      <c r="BE490" s="23">
        <f t="shared" si="420"/>
        <v>0</v>
      </c>
      <c r="BF490" s="23">
        <f t="shared" si="421"/>
        <v>0</v>
      </c>
      <c r="BG490" s="23">
        <f t="shared" si="422"/>
        <v>0</v>
      </c>
      <c r="BH490" s="23">
        <f t="shared" si="436"/>
        <v>0</v>
      </c>
      <c r="BI490" s="23">
        <f t="shared" si="436"/>
        <v>0</v>
      </c>
      <c r="BJ490" s="23">
        <f t="shared" si="436"/>
        <v>0</v>
      </c>
      <c r="BK490" s="23">
        <f t="shared" si="436"/>
        <v>0</v>
      </c>
    </row>
    <row r="491" spans="1:63" s="100" customFormat="1" ht="16" customHeight="1">
      <c r="A491" s="28" t="s">
        <v>1008</v>
      </c>
      <c r="B491" s="25" t="s">
        <v>1178</v>
      </c>
      <c r="C491" s="25" t="s">
        <v>1179</v>
      </c>
      <c r="D491" s="27" t="s">
        <v>351</v>
      </c>
      <c r="E491" s="27"/>
      <c r="F491" s="25"/>
      <c r="G491" s="25"/>
      <c r="H491" s="25"/>
      <c r="I491" s="5"/>
      <c r="J491" s="5">
        <v>0</v>
      </c>
      <c r="K491" s="5">
        <v>0</v>
      </c>
      <c r="L491" s="5">
        <v>0</v>
      </c>
      <c r="M491" s="5">
        <v>0</v>
      </c>
      <c r="N491" s="5">
        <v>1</v>
      </c>
      <c r="O491" s="5">
        <v>0</v>
      </c>
      <c r="P491" s="5">
        <v>0</v>
      </c>
      <c r="Q491" s="5"/>
      <c r="R491" s="25"/>
      <c r="S491" s="5"/>
      <c r="T491" s="5"/>
      <c r="U491" s="5"/>
      <c r="V491" s="5"/>
      <c r="W491" s="5"/>
      <c r="X491" s="25">
        <v>0</v>
      </c>
      <c r="Y491" s="25">
        <v>0</v>
      </c>
      <c r="Z491" s="25">
        <f t="shared" si="408"/>
        <v>0</v>
      </c>
      <c r="AA491" s="25"/>
      <c r="AB491" s="25">
        <v>1</v>
      </c>
      <c r="AC491" s="25">
        <v>0</v>
      </c>
      <c r="AD491" s="25">
        <f t="shared" si="409"/>
        <v>1</v>
      </c>
      <c r="AE491" s="23"/>
      <c r="AF491" s="23"/>
      <c r="AG491" s="23"/>
      <c r="AH491" s="23"/>
      <c r="AI491" s="23"/>
      <c r="AJ491" s="23"/>
      <c r="AK491" s="23"/>
      <c r="AL491" s="23">
        <v>1</v>
      </c>
      <c r="AM491" s="23"/>
      <c r="AN491" s="23"/>
      <c r="AO491" s="23"/>
      <c r="AP491" s="23"/>
      <c r="AQ491" s="23"/>
      <c r="AR491" s="23"/>
      <c r="AS491" s="23"/>
      <c r="AT491" s="30">
        <f>SUM(AE491:AS491)</f>
        <v>1</v>
      </c>
      <c r="AU491" s="25">
        <f t="shared" si="411"/>
        <v>0</v>
      </c>
      <c r="AV491" s="5"/>
      <c r="AW491" s="23">
        <f t="shared" si="412"/>
        <v>0</v>
      </c>
      <c r="AX491" s="23">
        <f t="shared" si="413"/>
        <v>0</v>
      </c>
      <c r="AY491" s="23">
        <f t="shared" si="414"/>
        <v>0</v>
      </c>
      <c r="AZ491" s="23">
        <f t="shared" si="415"/>
        <v>0</v>
      </c>
      <c r="BA491" s="23">
        <f t="shared" si="416"/>
        <v>0</v>
      </c>
      <c r="BB491" s="23">
        <f t="shared" si="417"/>
        <v>-1</v>
      </c>
      <c r="BC491" s="23">
        <f t="shared" si="418"/>
        <v>-1</v>
      </c>
      <c r="BD491" s="23">
        <f t="shared" si="419"/>
        <v>0</v>
      </c>
      <c r="BE491" s="23">
        <f t="shared" si="420"/>
        <v>0</v>
      </c>
      <c r="BF491" s="23">
        <f t="shared" ref="BF491:BK491" si="437">BE491+AN491-R491</f>
        <v>0</v>
      </c>
      <c r="BG491" s="23">
        <f t="shared" si="437"/>
        <v>0</v>
      </c>
      <c r="BH491" s="23">
        <f t="shared" si="437"/>
        <v>0</v>
      </c>
      <c r="BI491" s="23">
        <f t="shared" si="437"/>
        <v>0</v>
      </c>
      <c r="BJ491" s="23">
        <f t="shared" si="437"/>
        <v>0</v>
      </c>
      <c r="BK491" s="23">
        <f t="shared" si="437"/>
        <v>0</v>
      </c>
    </row>
    <row r="492" spans="1:63" s="100" customFormat="1" ht="16" hidden="1" customHeight="1">
      <c r="A492" s="28" t="s">
        <v>1008</v>
      </c>
      <c r="B492" s="25" t="s">
        <v>1180</v>
      </c>
      <c r="C492" s="25" t="s">
        <v>1181</v>
      </c>
      <c r="D492" s="27" t="s">
        <v>351</v>
      </c>
      <c r="E492" s="27"/>
      <c r="F492" s="25"/>
      <c r="G492" s="25"/>
      <c r="H492" s="25"/>
      <c r="I492" s="5"/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/>
      <c r="R492" s="25"/>
      <c r="S492" s="5"/>
      <c r="T492" s="5"/>
      <c r="U492" s="5"/>
      <c r="V492" s="5"/>
      <c r="W492" s="5"/>
      <c r="X492" s="25">
        <v>0</v>
      </c>
      <c r="Y492" s="25">
        <v>0</v>
      </c>
      <c r="Z492" s="25">
        <f t="shared" si="408"/>
        <v>0</v>
      </c>
      <c r="AA492" s="25"/>
      <c r="AB492" s="25">
        <v>0</v>
      </c>
      <c r="AC492" s="25">
        <v>0</v>
      </c>
      <c r="AD492" s="25">
        <f t="shared" si="409"/>
        <v>0</v>
      </c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30">
        <f>SUM(AE492:AS492)</f>
        <v>0</v>
      </c>
      <c r="AU492" s="25">
        <f t="shared" si="411"/>
        <v>0</v>
      </c>
      <c r="AV492" s="5"/>
      <c r="AW492" s="23">
        <f t="shared" si="412"/>
        <v>0</v>
      </c>
      <c r="AX492" s="23">
        <f t="shared" si="413"/>
        <v>0</v>
      </c>
      <c r="AY492" s="23">
        <f t="shared" si="414"/>
        <v>0</v>
      </c>
      <c r="AZ492" s="23">
        <f t="shared" si="415"/>
        <v>0</v>
      </c>
      <c r="BA492" s="23">
        <f t="shared" si="416"/>
        <v>0</v>
      </c>
      <c r="BB492" s="23">
        <f t="shared" si="417"/>
        <v>0</v>
      </c>
      <c r="BC492" s="23">
        <f t="shared" si="418"/>
        <v>0</v>
      </c>
      <c r="BD492" s="23">
        <f t="shared" si="419"/>
        <v>0</v>
      </c>
      <c r="BE492" s="23">
        <f t="shared" si="420"/>
        <v>0</v>
      </c>
      <c r="BF492" s="23">
        <f t="shared" ref="BF492:BK492" si="438">BE492+AN492-R492</f>
        <v>0</v>
      </c>
      <c r="BG492" s="23">
        <f t="shared" si="438"/>
        <v>0</v>
      </c>
      <c r="BH492" s="23">
        <f t="shared" si="438"/>
        <v>0</v>
      </c>
      <c r="BI492" s="23">
        <f t="shared" si="438"/>
        <v>0</v>
      </c>
      <c r="BJ492" s="23">
        <f t="shared" si="438"/>
        <v>0</v>
      </c>
      <c r="BK492" s="23">
        <f t="shared" si="438"/>
        <v>0</v>
      </c>
    </row>
    <row r="493" spans="1:63" s="100" customFormat="1" ht="16" hidden="1" customHeight="1">
      <c r="A493" s="28" t="s">
        <v>1008</v>
      </c>
      <c r="B493" s="25" t="s">
        <v>1182</v>
      </c>
      <c r="C493" s="25" t="s">
        <v>1183</v>
      </c>
      <c r="D493" s="27" t="s">
        <v>351</v>
      </c>
      <c r="E493" s="27"/>
      <c r="F493" s="25"/>
      <c r="G493" s="25"/>
      <c r="H493" s="25"/>
      <c r="I493" s="5"/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/>
      <c r="R493" s="25"/>
      <c r="S493" s="5"/>
      <c r="T493" s="5"/>
      <c r="U493" s="5"/>
      <c r="V493" s="5"/>
      <c r="W493" s="5"/>
      <c r="X493" s="25">
        <v>0</v>
      </c>
      <c r="Y493" s="25">
        <v>0</v>
      </c>
      <c r="Z493" s="25">
        <f t="shared" si="408"/>
        <v>0</v>
      </c>
      <c r="AA493" s="25"/>
      <c r="AB493" s="25">
        <v>0</v>
      </c>
      <c r="AC493" s="25">
        <v>0</v>
      </c>
      <c r="AD493" s="25">
        <f t="shared" si="409"/>
        <v>0</v>
      </c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30">
        <f t="shared" si="410"/>
        <v>0</v>
      </c>
      <c r="AU493" s="25">
        <f t="shared" si="411"/>
        <v>0</v>
      </c>
      <c r="AV493" s="5"/>
      <c r="AW493" s="23">
        <f t="shared" si="412"/>
        <v>0</v>
      </c>
      <c r="AX493" s="23">
        <f t="shared" si="413"/>
        <v>0</v>
      </c>
      <c r="AY493" s="23">
        <f t="shared" si="414"/>
        <v>0</v>
      </c>
      <c r="AZ493" s="23">
        <f t="shared" si="415"/>
        <v>0</v>
      </c>
      <c r="BA493" s="23">
        <f t="shared" si="416"/>
        <v>0</v>
      </c>
      <c r="BB493" s="23">
        <f t="shared" si="417"/>
        <v>0</v>
      </c>
      <c r="BC493" s="23">
        <f t="shared" si="418"/>
        <v>0</v>
      </c>
      <c r="BD493" s="23">
        <f t="shared" si="419"/>
        <v>0</v>
      </c>
      <c r="BE493" s="23">
        <f t="shared" si="420"/>
        <v>0</v>
      </c>
      <c r="BF493" s="23">
        <f t="shared" si="421"/>
        <v>0</v>
      </c>
      <c r="BG493" s="23">
        <f t="shared" si="422"/>
        <v>0</v>
      </c>
      <c r="BH493" s="23">
        <f t="shared" ref="BH493:BK494" si="439">AP493+AJ493-T493</f>
        <v>0</v>
      </c>
      <c r="BI493" s="23">
        <f t="shared" si="439"/>
        <v>0</v>
      </c>
      <c r="BJ493" s="23">
        <f t="shared" si="439"/>
        <v>0</v>
      </c>
      <c r="BK493" s="23">
        <f t="shared" si="439"/>
        <v>0</v>
      </c>
    </row>
    <row r="494" spans="1:63" s="100" customFormat="1" ht="16" hidden="1" customHeight="1">
      <c r="A494" s="28" t="s">
        <v>1008</v>
      </c>
      <c r="B494" s="25" t="s">
        <v>1184</v>
      </c>
      <c r="C494" s="25" t="s">
        <v>1185</v>
      </c>
      <c r="D494" s="27" t="s">
        <v>351</v>
      </c>
      <c r="E494" s="27"/>
      <c r="F494" s="25"/>
      <c r="G494" s="25"/>
      <c r="H494" s="25"/>
      <c r="I494" s="5"/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/>
      <c r="R494" s="25"/>
      <c r="S494" s="5"/>
      <c r="T494" s="5"/>
      <c r="U494" s="5"/>
      <c r="V494" s="5"/>
      <c r="W494" s="5"/>
      <c r="X494" s="25">
        <v>0</v>
      </c>
      <c r="Y494" s="25">
        <v>0</v>
      </c>
      <c r="Z494" s="25">
        <f t="shared" si="408"/>
        <v>0</v>
      </c>
      <c r="AA494" s="25"/>
      <c r="AB494" s="25">
        <v>0</v>
      </c>
      <c r="AC494" s="25">
        <v>0</v>
      </c>
      <c r="AD494" s="25">
        <f t="shared" si="409"/>
        <v>0</v>
      </c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30">
        <f t="shared" si="410"/>
        <v>0</v>
      </c>
      <c r="AU494" s="25">
        <f t="shared" si="411"/>
        <v>0</v>
      </c>
      <c r="AV494" s="5"/>
      <c r="AW494" s="23">
        <f t="shared" si="412"/>
        <v>0</v>
      </c>
      <c r="AX494" s="23">
        <f t="shared" si="413"/>
        <v>0</v>
      </c>
      <c r="AY494" s="23">
        <f t="shared" si="414"/>
        <v>0</v>
      </c>
      <c r="AZ494" s="23">
        <f t="shared" si="415"/>
        <v>0</v>
      </c>
      <c r="BA494" s="23">
        <f t="shared" si="416"/>
        <v>0</v>
      </c>
      <c r="BB494" s="23">
        <f t="shared" si="417"/>
        <v>0</v>
      </c>
      <c r="BC494" s="23">
        <f t="shared" si="418"/>
        <v>0</v>
      </c>
      <c r="BD494" s="23">
        <f t="shared" si="419"/>
        <v>0</v>
      </c>
      <c r="BE494" s="23">
        <f t="shared" si="420"/>
        <v>0</v>
      </c>
      <c r="BF494" s="23">
        <f t="shared" si="421"/>
        <v>0</v>
      </c>
      <c r="BG494" s="23">
        <f t="shared" si="422"/>
        <v>0</v>
      </c>
      <c r="BH494" s="23">
        <f t="shared" si="439"/>
        <v>0</v>
      </c>
      <c r="BI494" s="23">
        <f t="shared" si="439"/>
        <v>0</v>
      </c>
      <c r="BJ494" s="23">
        <f t="shared" si="439"/>
        <v>0</v>
      </c>
      <c r="BK494" s="23">
        <f t="shared" si="439"/>
        <v>0</v>
      </c>
    </row>
    <row r="495" spans="1:63" s="100" customFormat="1" ht="16" hidden="1" customHeight="1">
      <c r="A495" s="28" t="s">
        <v>1008</v>
      </c>
      <c r="B495" s="25" t="s">
        <v>1186</v>
      </c>
      <c r="C495" s="25" t="s">
        <v>1187</v>
      </c>
      <c r="D495" s="27" t="s">
        <v>384</v>
      </c>
      <c r="E495" s="27"/>
      <c r="F495" s="25"/>
      <c r="G495" s="25"/>
      <c r="H495" s="25"/>
      <c r="I495" s="5"/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/>
      <c r="R495" s="25"/>
      <c r="S495" s="5"/>
      <c r="T495" s="5"/>
      <c r="U495" s="5"/>
      <c r="V495" s="5"/>
      <c r="W495" s="5"/>
      <c r="X495" s="25">
        <v>0</v>
      </c>
      <c r="Y495" s="25">
        <v>0</v>
      </c>
      <c r="Z495" s="25">
        <f t="shared" ref="Z495:Z534" si="440">X495-Y495+AC495</f>
        <v>0</v>
      </c>
      <c r="AA495" s="25"/>
      <c r="AB495" s="25">
        <v>0</v>
      </c>
      <c r="AC495" s="25">
        <v>0</v>
      </c>
      <c r="AD495" s="25">
        <f t="shared" si="409"/>
        <v>0</v>
      </c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30">
        <f>SUM(AE495:AS495)</f>
        <v>0</v>
      </c>
      <c r="AU495" s="25">
        <f t="shared" si="411"/>
        <v>0</v>
      </c>
      <c r="AV495" s="5"/>
      <c r="AW495" s="23">
        <f t="shared" si="412"/>
        <v>0</v>
      </c>
      <c r="AX495" s="23">
        <f t="shared" si="413"/>
        <v>0</v>
      </c>
      <c r="AY495" s="23">
        <f t="shared" si="414"/>
        <v>0</v>
      </c>
      <c r="AZ495" s="23">
        <f t="shared" si="415"/>
        <v>0</v>
      </c>
      <c r="BA495" s="23">
        <f t="shared" si="416"/>
        <v>0</v>
      </c>
      <c r="BB495" s="23">
        <f t="shared" si="417"/>
        <v>0</v>
      </c>
      <c r="BC495" s="23">
        <f t="shared" si="418"/>
        <v>0</v>
      </c>
      <c r="BD495" s="23">
        <f t="shared" si="419"/>
        <v>0</v>
      </c>
      <c r="BE495" s="23">
        <f t="shared" si="420"/>
        <v>0</v>
      </c>
      <c r="BF495" s="23">
        <f t="shared" ref="BF495:BK495" si="441">BE495+AN495-R495</f>
        <v>0</v>
      </c>
      <c r="BG495" s="23">
        <f t="shared" si="441"/>
        <v>0</v>
      </c>
      <c r="BH495" s="23">
        <f t="shared" si="441"/>
        <v>0</v>
      </c>
      <c r="BI495" s="23">
        <f t="shared" si="441"/>
        <v>0</v>
      </c>
      <c r="BJ495" s="23">
        <f t="shared" si="441"/>
        <v>0</v>
      </c>
      <c r="BK495" s="23">
        <f t="shared" si="441"/>
        <v>0</v>
      </c>
    </row>
    <row r="496" spans="1:63" s="100" customFormat="1" ht="16" hidden="1" customHeight="1">
      <c r="A496" s="28" t="s">
        <v>1008</v>
      </c>
      <c r="B496" s="25" t="s">
        <v>1188</v>
      </c>
      <c r="C496" s="25" t="s">
        <v>1189</v>
      </c>
      <c r="D496" s="27" t="s">
        <v>384</v>
      </c>
      <c r="E496" s="27"/>
      <c r="F496" s="25"/>
      <c r="G496" s="25"/>
      <c r="H496" s="25"/>
      <c r="I496" s="5"/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/>
      <c r="R496" s="25"/>
      <c r="S496" s="5"/>
      <c r="T496" s="5"/>
      <c r="U496" s="5"/>
      <c r="V496" s="5"/>
      <c r="W496" s="5"/>
      <c r="X496" s="25">
        <v>0</v>
      </c>
      <c r="Y496" s="25">
        <v>0</v>
      </c>
      <c r="Z496" s="25">
        <f t="shared" si="440"/>
        <v>0</v>
      </c>
      <c r="AA496" s="25"/>
      <c r="AB496" s="25">
        <v>0</v>
      </c>
      <c r="AC496" s="25">
        <v>0</v>
      </c>
      <c r="AD496" s="25">
        <f t="shared" si="409"/>
        <v>0</v>
      </c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30">
        <f t="shared" si="410"/>
        <v>0</v>
      </c>
      <c r="AU496" s="25">
        <f t="shared" si="411"/>
        <v>0</v>
      </c>
      <c r="AV496" s="5"/>
      <c r="AW496" s="23">
        <f t="shared" si="412"/>
        <v>0</v>
      </c>
      <c r="AX496" s="23">
        <f t="shared" si="413"/>
        <v>0</v>
      </c>
      <c r="AY496" s="23">
        <f t="shared" si="414"/>
        <v>0</v>
      </c>
      <c r="AZ496" s="23">
        <f t="shared" si="415"/>
        <v>0</v>
      </c>
      <c r="BA496" s="23">
        <f t="shared" si="416"/>
        <v>0</v>
      </c>
      <c r="BB496" s="23">
        <f t="shared" si="417"/>
        <v>0</v>
      </c>
      <c r="BC496" s="23">
        <f t="shared" si="418"/>
        <v>0</v>
      </c>
      <c r="BD496" s="23">
        <f t="shared" si="419"/>
        <v>0</v>
      </c>
      <c r="BE496" s="23">
        <f t="shared" si="420"/>
        <v>0</v>
      </c>
      <c r="BF496" s="23">
        <f t="shared" si="421"/>
        <v>0</v>
      </c>
      <c r="BG496" s="23">
        <f t="shared" si="422"/>
        <v>0</v>
      </c>
      <c r="BH496" s="23">
        <f t="shared" ref="BH496:BK499" si="442">AP496+AJ496-T496</f>
        <v>0</v>
      </c>
      <c r="BI496" s="23">
        <f t="shared" si="442"/>
        <v>0</v>
      </c>
      <c r="BJ496" s="23">
        <f t="shared" si="442"/>
        <v>0</v>
      </c>
      <c r="BK496" s="23">
        <f t="shared" si="442"/>
        <v>0</v>
      </c>
    </row>
    <row r="497" spans="1:63" s="100" customFormat="1" ht="16" hidden="1" customHeight="1">
      <c r="A497" s="28" t="s">
        <v>1008</v>
      </c>
      <c r="B497" s="25" t="s">
        <v>1190</v>
      </c>
      <c r="C497" s="25" t="s">
        <v>1191</v>
      </c>
      <c r="D497" s="27" t="s">
        <v>393</v>
      </c>
      <c r="E497" s="27"/>
      <c r="F497" s="25"/>
      <c r="G497" s="25"/>
      <c r="H497" s="25"/>
      <c r="I497" s="5"/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/>
      <c r="R497" s="25"/>
      <c r="S497" s="5"/>
      <c r="T497" s="5"/>
      <c r="U497" s="5"/>
      <c r="V497" s="5"/>
      <c r="W497" s="5"/>
      <c r="X497" s="25">
        <v>0</v>
      </c>
      <c r="Y497" s="25">
        <v>0</v>
      </c>
      <c r="Z497" s="25">
        <f t="shared" si="440"/>
        <v>0</v>
      </c>
      <c r="AA497" s="25"/>
      <c r="AB497" s="25">
        <v>0</v>
      </c>
      <c r="AC497" s="25">
        <v>0</v>
      </c>
      <c r="AD497" s="25">
        <f t="shared" si="409"/>
        <v>0</v>
      </c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30">
        <f t="shared" si="410"/>
        <v>0</v>
      </c>
      <c r="AU497" s="25">
        <f t="shared" si="411"/>
        <v>0</v>
      </c>
      <c r="AV497" s="5"/>
      <c r="AW497" s="23">
        <f t="shared" si="412"/>
        <v>0</v>
      </c>
      <c r="AX497" s="23">
        <f t="shared" si="413"/>
        <v>0</v>
      </c>
      <c r="AY497" s="23">
        <f t="shared" si="414"/>
        <v>0</v>
      </c>
      <c r="AZ497" s="23">
        <f t="shared" si="415"/>
        <v>0</v>
      </c>
      <c r="BA497" s="23">
        <f t="shared" si="416"/>
        <v>0</v>
      </c>
      <c r="BB497" s="23">
        <f t="shared" si="417"/>
        <v>0</v>
      </c>
      <c r="BC497" s="23">
        <f t="shared" si="418"/>
        <v>0</v>
      </c>
      <c r="BD497" s="23">
        <f t="shared" si="419"/>
        <v>0</v>
      </c>
      <c r="BE497" s="23">
        <f t="shared" si="420"/>
        <v>0</v>
      </c>
      <c r="BF497" s="23">
        <f t="shared" si="421"/>
        <v>0</v>
      </c>
      <c r="BG497" s="23">
        <f t="shared" si="422"/>
        <v>0</v>
      </c>
      <c r="BH497" s="23">
        <f t="shared" si="442"/>
        <v>0</v>
      </c>
      <c r="BI497" s="23">
        <f t="shared" si="442"/>
        <v>0</v>
      </c>
      <c r="BJ497" s="23">
        <f t="shared" si="442"/>
        <v>0</v>
      </c>
      <c r="BK497" s="23">
        <f t="shared" si="442"/>
        <v>0</v>
      </c>
    </row>
    <row r="498" spans="1:63" s="100" customFormat="1" ht="16" hidden="1" customHeight="1">
      <c r="A498" s="28" t="s">
        <v>1008</v>
      </c>
      <c r="B498" s="25" t="s">
        <v>1192</v>
      </c>
      <c r="C498" s="25" t="s">
        <v>1193</v>
      </c>
      <c r="D498" s="27" t="s">
        <v>393</v>
      </c>
      <c r="E498" s="27"/>
      <c r="F498" s="25"/>
      <c r="G498" s="25"/>
      <c r="H498" s="25"/>
      <c r="I498" s="5"/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/>
      <c r="R498" s="25"/>
      <c r="S498" s="5"/>
      <c r="T498" s="5"/>
      <c r="U498" s="5"/>
      <c r="V498" s="5"/>
      <c r="W498" s="5"/>
      <c r="X498" s="25">
        <v>0</v>
      </c>
      <c r="Y498" s="25">
        <v>0</v>
      </c>
      <c r="Z498" s="25">
        <f t="shared" si="440"/>
        <v>0</v>
      </c>
      <c r="AA498" s="25"/>
      <c r="AB498" s="25">
        <v>0</v>
      </c>
      <c r="AC498" s="25">
        <v>0</v>
      </c>
      <c r="AD498" s="25">
        <f t="shared" si="409"/>
        <v>0</v>
      </c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30">
        <f t="shared" si="410"/>
        <v>0</v>
      </c>
      <c r="AU498" s="25">
        <f t="shared" si="411"/>
        <v>0</v>
      </c>
      <c r="AV498" s="5"/>
      <c r="AW498" s="23">
        <f t="shared" si="412"/>
        <v>0</v>
      </c>
      <c r="AX498" s="23">
        <f t="shared" si="413"/>
        <v>0</v>
      </c>
      <c r="AY498" s="23">
        <f t="shared" si="414"/>
        <v>0</v>
      </c>
      <c r="AZ498" s="23">
        <f t="shared" si="415"/>
        <v>0</v>
      </c>
      <c r="BA498" s="23">
        <f t="shared" si="416"/>
        <v>0</v>
      </c>
      <c r="BB498" s="23">
        <f t="shared" si="417"/>
        <v>0</v>
      </c>
      <c r="BC498" s="23">
        <f t="shared" si="418"/>
        <v>0</v>
      </c>
      <c r="BD498" s="23">
        <f t="shared" si="419"/>
        <v>0</v>
      </c>
      <c r="BE498" s="23">
        <f t="shared" si="420"/>
        <v>0</v>
      </c>
      <c r="BF498" s="23">
        <f t="shared" si="421"/>
        <v>0</v>
      </c>
      <c r="BG498" s="23">
        <f t="shared" si="422"/>
        <v>0</v>
      </c>
      <c r="BH498" s="23">
        <f t="shared" si="442"/>
        <v>0</v>
      </c>
      <c r="BI498" s="23">
        <f t="shared" si="442"/>
        <v>0</v>
      </c>
      <c r="BJ498" s="23">
        <f t="shared" si="442"/>
        <v>0</v>
      </c>
      <c r="BK498" s="23">
        <f t="shared" si="442"/>
        <v>0</v>
      </c>
    </row>
    <row r="499" spans="1:63" s="100" customFormat="1" ht="16" hidden="1" customHeight="1">
      <c r="A499" s="28" t="s">
        <v>1008</v>
      </c>
      <c r="B499" s="25" t="s">
        <v>1194</v>
      </c>
      <c r="C499" s="25" t="s">
        <v>1195</v>
      </c>
      <c r="D499" s="27" t="s">
        <v>393</v>
      </c>
      <c r="E499" s="27"/>
      <c r="F499" s="25"/>
      <c r="G499" s="25"/>
      <c r="H499" s="25"/>
      <c r="I499" s="5"/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/>
      <c r="R499" s="25"/>
      <c r="S499" s="5"/>
      <c r="T499" s="5"/>
      <c r="U499" s="5"/>
      <c r="V499" s="5"/>
      <c r="W499" s="5"/>
      <c r="X499" s="25">
        <v>0</v>
      </c>
      <c r="Y499" s="25">
        <v>0</v>
      </c>
      <c r="Z499" s="25">
        <f t="shared" si="440"/>
        <v>0</v>
      </c>
      <c r="AA499" s="25"/>
      <c r="AB499" s="25">
        <v>0</v>
      </c>
      <c r="AC499" s="25">
        <v>0</v>
      </c>
      <c r="AD499" s="25">
        <f t="shared" si="409"/>
        <v>0</v>
      </c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30">
        <f t="shared" si="410"/>
        <v>0</v>
      </c>
      <c r="AU499" s="25">
        <f t="shared" si="411"/>
        <v>0</v>
      </c>
      <c r="AV499" s="5"/>
      <c r="AW499" s="23">
        <f t="shared" si="412"/>
        <v>0</v>
      </c>
      <c r="AX499" s="23">
        <f t="shared" si="413"/>
        <v>0</v>
      </c>
      <c r="AY499" s="23">
        <f t="shared" si="414"/>
        <v>0</v>
      </c>
      <c r="AZ499" s="23">
        <f t="shared" si="415"/>
        <v>0</v>
      </c>
      <c r="BA499" s="23">
        <f t="shared" si="416"/>
        <v>0</v>
      </c>
      <c r="BB499" s="23">
        <f t="shared" si="417"/>
        <v>0</v>
      </c>
      <c r="BC499" s="23">
        <f t="shared" si="418"/>
        <v>0</v>
      </c>
      <c r="BD499" s="23">
        <f t="shared" si="419"/>
        <v>0</v>
      </c>
      <c r="BE499" s="23">
        <f t="shared" si="420"/>
        <v>0</v>
      </c>
      <c r="BF499" s="23">
        <f t="shared" si="421"/>
        <v>0</v>
      </c>
      <c r="BG499" s="23">
        <f t="shared" si="422"/>
        <v>0</v>
      </c>
      <c r="BH499" s="23">
        <f t="shared" si="442"/>
        <v>0</v>
      </c>
      <c r="BI499" s="23">
        <f t="shared" si="442"/>
        <v>0</v>
      </c>
      <c r="BJ499" s="23">
        <f t="shared" si="442"/>
        <v>0</v>
      </c>
      <c r="BK499" s="23">
        <f t="shared" si="442"/>
        <v>0</v>
      </c>
    </row>
    <row r="500" spans="1:63" s="100" customFormat="1" ht="16" customHeight="1">
      <c r="A500" s="28" t="s">
        <v>1008</v>
      </c>
      <c r="B500" s="25" t="s">
        <v>1196</v>
      </c>
      <c r="C500" s="27" t="s">
        <v>1197</v>
      </c>
      <c r="D500" s="27" t="s">
        <v>414</v>
      </c>
      <c r="E500" s="27"/>
      <c r="F500" s="25"/>
      <c r="G500" s="25"/>
      <c r="H500" s="25"/>
      <c r="I500" s="5"/>
      <c r="J500" s="5">
        <v>0</v>
      </c>
      <c r="K500" s="5">
        <v>0</v>
      </c>
      <c r="L500" s="5">
        <v>4</v>
      </c>
      <c r="M500" s="5">
        <v>0</v>
      </c>
      <c r="N500" s="5">
        <v>11</v>
      </c>
      <c r="O500" s="5">
        <v>0</v>
      </c>
      <c r="P500" s="5">
        <v>0</v>
      </c>
      <c r="Q500" s="5"/>
      <c r="R500" s="25"/>
      <c r="S500" s="5"/>
      <c r="T500" s="5"/>
      <c r="U500" s="5"/>
      <c r="V500" s="5"/>
      <c r="W500" s="5"/>
      <c r="X500" s="25">
        <v>0</v>
      </c>
      <c r="Y500" s="25">
        <v>0</v>
      </c>
      <c r="Z500" s="25">
        <f t="shared" si="440"/>
        <v>0</v>
      </c>
      <c r="AA500" s="25"/>
      <c r="AB500" s="25">
        <v>15</v>
      </c>
      <c r="AC500" s="25">
        <v>0</v>
      </c>
      <c r="AD500" s="25">
        <f t="shared" si="409"/>
        <v>15</v>
      </c>
      <c r="AE500" s="23"/>
      <c r="AF500" s="23"/>
      <c r="AG500" s="23"/>
      <c r="AH500" s="23"/>
      <c r="AI500" s="23">
        <v>15</v>
      </c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30">
        <f t="shared" ref="AT500:AT506" si="443">SUM(AE500:AS500)</f>
        <v>15</v>
      </c>
      <c r="AU500" s="25">
        <f t="shared" si="411"/>
        <v>0</v>
      </c>
      <c r="AV500" s="5"/>
      <c r="AW500" s="23">
        <f t="shared" si="412"/>
        <v>0</v>
      </c>
      <c r="AX500" s="23">
        <f t="shared" si="413"/>
        <v>0</v>
      </c>
      <c r="AY500" s="23">
        <f t="shared" si="414"/>
        <v>0</v>
      </c>
      <c r="AZ500" s="23">
        <f t="shared" si="415"/>
        <v>-4</v>
      </c>
      <c r="BA500" s="23">
        <f t="shared" si="416"/>
        <v>11</v>
      </c>
      <c r="BB500" s="23">
        <f t="shared" si="417"/>
        <v>0</v>
      </c>
      <c r="BC500" s="23">
        <f t="shared" si="418"/>
        <v>0</v>
      </c>
      <c r="BD500" s="23">
        <f t="shared" si="419"/>
        <v>0</v>
      </c>
      <c r="BE500" s="23">
        <f t="shared" si="420"/>
        <v>0</v>
      </c>
      <c r="BF500" s="23">
        <f t="shared" ref="BF500:BK500" si="444">BE500+AN500-R500</f>
        <v>0</v>
      </c>
      <c r="BG500" s="23">
        <f t="shared" si="444"/>
        <v>0</v>
      </c>
      <c r="BH500" s="23">
        <f t="shared" si="444"/>
        <v>0</v>
      </c>
      <c r="BI500" s="23">
        <f t="shared" si="444"/>
        <v>0</v>
      </c>
      <c r="BJ500" s="23">
        <f t="shared" si="444"/>
        <v>0</v>
      </c>
      <c r="BK500" s="23">
        <f t="shared" si="444"/>
        <v>0</v>
      </c>
    </row>
    <row r="501" spans="1:63" s="100" customFormat="1" ht="16" hidden="1" customHeight="1">
      <c r="A501" s="28" t="s">
        <v>1008</v>
      </c>
      <c r="B501" s="28" t="s">
        <v>1198</v>
      </c>
      <c r="C501" s="28" t="s">
        <v>1199</v>
      </c>
      <c r="D501" s="28" t="s">
        <v>414</v>
      </c>
      <c r="E501" s="28"/>
      <c r="F501" s="28"/>
      <c r="G501" s="28"/>
      <c r="H501" s="28"/>
      <c r="I501" s="28"/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28"/>
      <c r="R501" s="28"/>
      <c r="S501" s="28"/>
      <c r="T501" s="28"/>
      <c r="U501" s="28"/>
      <c r="V501" s="28"/>
      <c r="W501" s="28"/>
      <c r="X501" s="25">
        <v>0</v>
      </c>
      <c r="Y501" s="25">
        <v>0</v>
      </c>
      <c r="Z501" s="28">
        <f t="shared" si="440"/>
        <v>0</v>
      </c>
      <c r="AA501" s="28"/>
      <c r="AB501" s="25">
        <v>0</v>
      </c>
      <c r="AC501" s="25">
        <v>0</v>
      </c>
      <c r="AD501" s="28">
        <f t="shared" si="409"/>
        <v>0</v>
      </c>
      <c r="AE501" s="28"/>
      <c r="AF501" s="28"/>
      <c r="AG501" s="28"/>
      <c r="AH501" s="28"/>
      <c r="AI501" s="28"/>
      <c r="AJ501" s="28"/>
      <c r="AK501" s="28"/>
      <c r="AL501" s="23"/>
      <c r="AM501" s="23"/>
      <c r="AN501" s="23"/>
      <c r="AO501" s="23"/>
      <c r="AP501" s="23"/>
      <c r="AQ501" s="23"/>
      <c r="AR501" s="23"/>
      <c r="AS501" s="23"/>
      <c r="AT501" s="30">
        <f t="shared" si="443"/>
        <v>0</v>
      </c>
      <c r="AU501" s="25">
        <f t="shared" si="411"/>
        <v>0</v>
      </c>
      <c r="AV501" s="5"/>
      <c r="AW501" s="23">
        <f t="shared" si="412"/>
        <v>0</v>
      </c>
      <c r="AX501" s="23">
        <f t="shared" si="413"/>
        <v>0</v>
      </c>
      <c r="AY501" s="23">
        <f t="shared" si="414"/>
        <v>0</v>
      </c>
      <c r="AZ501" s="23">
        <f t="shared" si="415"/>
        <v>0</v>
      </c>
      <c r="BA501" s="23">
        <f t="shared" si="416"/>
        <v>0</v>
      </c>
      <c r="BB501" s="23">
        <f t="shared" si="417"/>
        <v>0</v>
      </c>
      <c r="BC501" s="23">
        <f t="shared" si="418"/>
        <v>0</v>
      </c>
      <c r="BD501" s="23">
        <f t="shared" si="419"/>
        <v>0</v>
      </c>
      <c r="BE501" s="23">
        <f t="shared" si="420"/>
        <v>0</v>
      </c>
      <c r="BF501" s="23">
        <f t="shared" ref="BF501:BK501" si="445">BE501+AN501-R501</f>
        <v>0</v>
      </c>
      <c r="BG501" s="23">
        <f t="shared" si="445"/>
        <v>0</v>
      </c>
      <c r="BH501" s="23">
        <f t="shared" si="445"/>
        <v>0</v>
      </c>
      <c r="BI501" s="23">
        <f t="shared" si="445"/>
        <v>0</v>
      </c>
      <c r="BJ501" s="23">
        <f t="shared" si="445"/>
        <v>0</v>
      </c>
      <c r="BK501" s="23">
        <f t="shared" si="445"/>
        <v>0</v>
      </c>
    </row>
    <row r="502" spans="1:63" s="100" customFormat="1" ht="16" hidden="1" customHeight="1">
      <c r="A502" s="28" t="s">
        <v>1008</v>
      </c>
      <c r="B502" s="28" t="s">
        <v>1200</v>
      </c>
      <c r="C502" s="28" t="s">
        <v>1201</v>
      </c>
      <c r="D502" s="28" t="s">
        <v>424</v>
      </c>
      <c r="E502" s="28"/>
      <c r="F502" s="28"/>
      <c r="G502" s="28"/>
      <c r="H502" s="28"/>
      <c r="I502" s="28"/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28"/>
      <c r="R502" s="28"/>
      <c r="S502" s="28"/>
      <c r="T502" s="28"/>
      <c r="U502" s="28"/>
      <c r="V502" s="28"/>
      <c r="W502" s="28"/>
      <c r="X502" s="25">
        <v>0</v>
      </c>
      <c r="Y502" s="25">
        <v>0</v>
      </c>
      <c r="Z502" s="28">
        <f t="shared" si="440"/>
        <v>0</v>
      </c>
      <c r="AA502" s="28"/>
      <c r="AB502" s="25">
        <v>0</v>
      </c>
      <c r="AC502" s="25">
        <v>0</v>
      </c>
      <c r="AD502" s="28">
        <f t="shared" si="409"/>
        <v>0</v>
      </c>
      <c r="AE502" s="28"/>
      <c r="AF502" s="28"/>
      <c r="AG502" s="28"/>
      <c r="AH502" s="28"/>
      <c r="AI502" s="28"/>
      <c r="AJ502" s="28"/>
      <c r="AK502" s="28"/>
      <c r="AL502" s="23"/>
      <c r="AM502" s="23"/>
      <c r="AN502" s="23"/>
      <c r="AO502" s="23"/>
      <c r="AP502" s="23"/>
      <c r="AQ502" s="23"/>
      <c r="AR502" s="23"/>
      <c r="AS502" s="23"/>
      <c r="AT502" s="30">
        <f t="shared" si="443"/>
        <v>0</v>
      </c>
      <c r="AU502" s="25">
        <f t="shared" si="411"/>
        <v>0</v>
      </c>
      <c r="AV502" s="5"/>
      <c r="AW502" s="23">
        <f t="shared" si="412"/>
        <v>0</v>
      </c>
      <c r="AX502" s="23">
        <f t="shared" si="413"/>
        <v>0</v>
      </c>
      <c r="AY502" s="23">
        <f t="shared" si="414"/>
        <v>0</v>
      </c>
      <c r="AZ502" s="23">
        <f t="shared" si="415"/>
        <v>0</v>
      </c>
      <c r="BA502" s="23">
        <f t="shared" si="416"/>
        <v>0</v>
      </c>
      <c r="BB502" s="23">
        <f t="shared" si="417"/>
        <v>0</v>
      </c>
      <c r="BC502" s="23">
        <f t="shared" si="418"/>
        <v>0</v>
      </c>
      <c r="BD502" s="23">
        <f t="shared" si="419"/>
        <v>0</v>
      </c>
      <c r="BE502" s="23">
        <f t="shared" si="420"/>
        <v>0</v>
      </c>
      <c r="BF502" s="23">
        <f t="shared" ref="BF502:BK502" si="446">BE502+AN502-R502</f>
        <v>0</v>
      </c>
      <c r="BG502" s="23">
        <f t="shared" si="446"/>
        <v>0</v>
      </c>
      <c r="BH502" s="23">
        <f t="shared" si="446"/>
        <v>0</v>
      </c>
      <c r="BI502" s="23">
        <f t="shared" si="446"/>
        <v>0</v>
      </c>
      <c r="BJ502" s="23">
        <f t="shared" si="446"/>
        <v>0</v>
      </c>
      <c r="BK502" s="23">
        <f t="shared" si="446"/>
        <v>0</v>
      </c>
    </row>
    <row r="503" spans="1:63" s="100" customFormat="1" ht="16" customHeight="1">
      <c r="A503" s="28" t="s">
        <v>1008</v>
      </c>
      <c r="B503" s="28" t="s">
        <v>1202</v>
      </c>
      <c r="C503" s="28" t="s">
        <v>1203</v>
      </c>
      <c r="D503" s="28" t="s">
        <v>424</v>
      </c>
      <c r="E503" s="28"/>
      <c r="F503" s="28"/>
      <c r="G503" s="28"/>
      <c r="H503" s="28"/>
      <c r="I503" s="28"/>
      <c r="J503" s="5">
        <v>0</v>
      </c>
      <c r="K503" s="5">
        <v>0</v>
      </c>
      <c r="L503" s="5">
        <v>1</v>
      </c>
      <c r="M503" s="5">
        <v>0</v>
      </c>
      <c r="N503" s="5">
        <v>9</v>
      </c>
      <c r="O503" s="5">
        <v>10</v>
      </c>
      <c r="P503" s="5">
        <v>0</v>
      </c>
      <c r="Q503" s="28"/>
      <c r="R503" s="28"/>
      <c r="S503" s="28"/>
      <c r="T503" s="28"/>
      <c r="U503" s="28"/>
      <c r="V503" s="28"/>
      <c r="W503" s="28"/>
      <c r="X503" s="25">
        <v>0</v>
      </c>
      <c r="Y503" s="25">
        <v>0</v>
      </c>
      <c r="Z503" s="28">
        <f t="shared" si="440"/>
        <v>0</v>
      </c>
      <c r="AA503" s="28"/>
      <c r="AB503" s="25">
        <v>20</v>
      </c>
      <c r="AC503" s="25">
        <v>0</v>
      </c>
      <c r="AD503" s="28">
        <f t="shared" si="409"/>
        <v>20</v>
      </c>
      <c r="AE503" s="28"/>
      <c r="AF503" s="28"/>
      <c r="AG503" s="28"/>
      <c r="AH503" s="28"/>
      <c r="AI503" s="28"/>
      <c r="AJ503" s="28"/>
      <c r="AK503" s="28"/>
      <c r="AL503" s="23">
        <v>20</v>
      </c>
      <c r="AM503" s="23"/>
      <c r="AN503" s="23"/>
      <c r="AO503" s="23"/>
      <c r="AP503" s="23"/>
      <c r="AQ503" s="23"/>
      <c r="AR503" s="23"/>
      <c r="AS503" s="23"/>
      <c r="AT503" s="30">
        <f t="shared" si="443"/>
        <v>20</v>
      </c>
      <c r="AU503" s="25">
        <f t="shared" si="411"/>
        <v>0</v>
      </c>
      <c r="AV503" s="5"/>
      <c r="AW503" s="23">
        <f t="shared" si="412"/>
        <v>0</v>
      </c>
      <c r="AX503" s="23">
        <f t="shared" si="413"/>
        <v>0</v>
      </c>
      <c r="AY503" s="23">
        <f t="shared" si="414"/>
        <v>0</v>
      </c>
      <c r="AZ503" s="23">
        <f t="shared" si="415"/>
        <v>-1</v>
      </c>
      <c r="BA503" s="23">
        <f t="shared" si="416"/>
        <v>-1</v>
      </c>
      <c r="BB503" s="23">
        <f t="shared" si="417"/>
        <v>-10</v>
      </c>
      <c r="BC503" s="23">
        <f t="shared" si="418"/>
        <v>-20</v>
      </c>
      <c r="BD503" s="23">
        <f t="shared" si="419"/>
        <v>0</v>
      </c>
      <c r="BE503" s="23">
        <f t="shared" si="420"/>
        <v>0</v>
      </c>
      <c r="BF503" s="23">
        <f t="shared" ref="BF503:BK503" si="447">BE503+AN503-R503</f>
        <v>0</v>
      </c>
      <c r="BG503" s="23">
        <f t="shared" si="447"/>
        <v>0</v>
      </c>
      <c r="BH503" s="23">
        <f t="shared" si="447"/>
        <v>0</v>
      </c>
      <c r="BI503" s="23">
        <f t="shared" si="447"/>
        <v>0</v>
      </c>
      <c r="BJ503" s="23">
        <f t="shared" si="447"/>
        <v>0</v>
      </c>
      <c r="BK503" s="23">
        <f t="shared" si="447"/>
        <v>0</v>
      </c>
    </row>
    <row r="504" spans="1:63" s="100" customFormat="1" ht="16" customHeight="1">
      <c r="A504" s="28" t="s">
        <v>1008</v>
      </c>
      <c r="B504" s="28" t="s">
        <v>609</v>
      </c>
      <c r="C504" s="28" t="s">
        <v>610</v>
      </c>
      <c r="D504" s="28" t="s">
        <v>408</v>
      </c>
      <c r="E504" s="28"/>
      <c r="F504" s="28"/>
      <c r="G504" s="28"/>
      <c r="H504" s="28"/>
      <c r="I504" s="28"/>
      <c r="J504" s="5">
        <v>0</v>
      </c>
      <c r="K504" s="5">
        <v>0</v>
      </c>
      <c r="L504" s="5">
        <v>0</v>
      </c>
      <c r="M504" s="5">
        <v>23</v>
      </c>
      <c r="N504" s="5">
        <v>28</v>
      </c>
      <c r="O504" s="5">
        <v>63</v>
      </c>
      <c r="P504" s="5">
        <v>30</v>
      </c>
      <c r="Q504" s="28"/>
      <c r="R504" s="28"/>
      <c r="S504" s="28"/>
      <c r="T504" s="28"/>
      <c r="U504" s="28"/>
      <c r="V504" s="28"/>
      <c r="W504" s="28"/>
      <c r="X504" s="25">
        <v>0</v>
      </c>
      <c r="Y504" s="25">
        <v>0</v>
      </c>
      <c r="Z504" s="28">
        <f t="shared" si="440"/>
        <v>0</v>
      </c>
      <c r="AA504" s="28"/>
      <c r="AB504" s="25">
        <v>196</v>
      </c>
      <c r="AC504" s="25">
        <v>0</v>
      </c>
      <c r="AD504" s="28">
        <f t="shared" si="409"/>
        <v>196</v>
      </c>
      <c r="AE504" s="28"/>
      <c r="AF504" s="28"/>
      <c r="AG504" s="28"/>
      <c r="AH504" s="28"/>
      <c r="AI504" s="31">
        <v>196</v>
      </c>
      <c r="AJ504" s="28"/>
      <c r="AK504" s="28"/>
      <c r="AL504" s="23"/>
      <c r="AM504" s="23"/>
      <c r="AN504" s="23"/>
      <c r="AO504" s="23"/>
      <c r="AP504" s="23"/>
      <c r="AQ504" s="23"/>
      <c r="AR504" s="23"/>
      <c r="AS504" s="23"/>
      <c r="AT504" s="30">
        <f t="shared" si="443"/>
        <v>196</v>
      </c>
      <c r="AU504" s="25">
        <f t="shared" si="411"/>
        <v>0</v>
      </c>
      <c r="AV504" s="5" t="s">
        <v>1135</v>
      </c>
      <c r="AW504" s="23">
        <f t="shared" si="412"/>
        <v>0</v>
      </c>
      <c r="AX504" s="23">
        <f t="shared" si="413"/>
        <v>0</v>
      </c>
      <c r="AY504" s="23">
        <f t="shared" si="414"/>
        <v>0</v>
      </c>
      <c r="AZ504" s="23">
        <f t="shared" si="415"/>
        <v>0</v>
      </c>
      <c r="BA504" s="23">
        <f t="shared" si="416"/>
        <v>173</v>
      </c>
      <c r="BB504" s="23">
        <f t="shared" si="417"/>
        <v>145</v>
      </c>
      <c r="BC504" s="23">
        <f t="shared" si="418"/>
        <v>82</v>
      </c>
      <c r="BD504" s="23">
        <f t="shared" si="419"/>
        <v>52</v>
      </c>
      <c r="BE504" s="23">
        <f t="shared" si="420"/>
        <v>52</v>
      </c>
      <c r="BF504" s="23">
        <f t="shared" ref="BF504:BK504" si="448">BE504+AN504-R504</f>
        <v>52</v>
      </c>
      <c r="BG504" s="23">
        <f t="shared" si="448"/>
        <v>52</v>
      </c>
      <c r="BH504" s="23">
        <f t="shared" si="448"/>
        <v>52</v>
      </c>
      <c r="BI504" s="23">
        <f t="shared" si="448"/>
        <v>52</v>
      </c>
      <c r="BJ504" s="23">
        <f t="shared" si="448"/>
        <v>52</v>
      </c>
      <c r="BK504" s="23">
        <f t="shared" si="448"/>
        <v>52</v>
      </c>
    </row>
    <row r="505" spans="1:63" s="100" customFormat="1" ht="16" customHeight="1">
      <c r="A505" s="28" t="s">
        <v>1008</v>
      </c>
      <c r="B505" s="28" t="s">
        <v>1204</v>
      </c>
      <c r="C505" s="28" t="s">
        <v>1205</v>
      </c>
      <c r="D505" s="28" t="s">
        <v>428</v>
      </c>
      <c r="E505" s="28"/>
      <c r="F505" s="28"/>
      <c r="G505" s="28"/>
      <c r="H505" s="28"/>
      <c r="I505" s="28"/>
      <c r="J505" s="5">
        <v>0</v>
      </c>
      <c r="K505" s="5">
        <v>0</v>
      </c>
      <c r="L505" s="5">
        <v>0</v>
      </c>
      <c r="M505" s="5">
        <v>0</v>
      </c>
      <c r="N505" s="5">
        <v>20</v>
      </c>
      <c r="O505" s="5">
        <v>39</v>
      </c>
      <c r="P505" s="5">
        <v>2</v>
      </c>
      <c r="Q505" s="28"/>
      <c r="R505" s="28"/>
      <c r="S505" s="28"/>
      <c r="T505" s="28"/>
      <c r="U505" s="28"/>
      <c r="V505" s="28"/>
      <c r="W505" s="28"/>
      <c r="X505" s="25">
        <v>38</v>
      </c>
      <c r="Y505" s="25">
        <v>38</v>
      </c>
      <c r="Z505" s="28">
        <f t="shared" si="440"/>
        <v>7</v>
      </c>
      <c r="AA505" s="28"/>
      <c r="AB505" s="25">
        <v>61</v>
      </c>
      <c r="AC505" s="25">
        <v>7</v>
      </c>
      <c r="AD505" s="28">
        <f t="shared" si="409"/>
        <v>30</v>
      </c>
      <c r="AE505" s="28"/>
      <c r="AF505" s="28"/>
      <c r="AG505" s="28"/>
      <c r="AH505" s="28"/>
      <c r="AI505" s="31">
        <v>30</v>
      </c>
      <c r="AJ505" s="28"/>
      <c r="AK505" s="28"/>
      <c r="AL505" s="23"/>
      <c r="AM505" s="23"/>
      <c r="AN505" s="23"/>
      <c r="AO505" s="23"/>
      <c r="AP505" s="23"/>
      <c r="AQ505" s="23"/>
      <c r="AR505" s="23"/>
      <c r="AS505" s="23"/>
      <c r="AT505" s="30">
        <f t="shared" si="443"/>
        <v>30</v>
      </c>
      <c r="AU505" s="25">
        <f t="shared" si="411"/>
        <v>0</v>
      </c>
      <c r="AV505" s="5" t="s">
        <v>1135</v>
      </c>
      <c r="AW505" s="23">
        <f t="shared" si="412"/>
        <v>38</v>
      </c>
      <c r="AX505" s="23">
        <f t="shared" si="413"/>
        <v>38</v>
      </c>
      <c r="AY505" s="23">
        <f t="shared" si="414"/>
        <v>38</v>
      </c>
      <c r="AZ505" s="23">
        <f t="shared" si="415"/>
        <v>38</v>
      </c>
      <c r="BA505" s="23">
        <f t="shared" si="416"/>
        <v>68</v>
      </c>
      <c r="BB505" s="23">
        <f t="shared" si="417"/>
        <v>48</v>
      </c>
      <c r="BC505" s="23">
        <f t="shared" si="418"/>
        <v>9</v>
      </c>
      <c r="BD505" s="23">
        <f t="shared" si="419"/>
        <v>7</v>
      </c>
      <c r="BE505" s="23">
        <f t="shared" si="420"/>
        <v>7</v>
      </c>
      <c r="BF505" s="23">
        <f t="shared" ref="BF505:BK505" si="449">BE505+AN505-R505</f>
        <v>7</v>
      </c>
      <c r="BG505" s="23">
        <f t="shared" si="449"/>
        <v>7</v>
      </c>
      <c r="BH505" s="23">
        <f t="shared" si="449"/>
        <v>7</v>
      </c>
      <c r="BI505" s="23">
        <f t="shared" si="449"/>
        <v>7</v>
      </c>
      <c r="BJ505" s="23">
        <f t="shared" si="449"/>
        <v>7</v>
      </c>
      <c r="BK505" s="23">
        <f t="shared" si="449"/>
        <v>7</v>
      </c>
    </row>
    <row r="506" spans="1:63" s="100" customFormat="1" ht="16" customHeight="1">
      <c r="A506" s="28" t="s">
        <v>1008</v>
      </c>
      <c r="B506" s="28" t="s">
        <v>1206</v>
      </c>
      <c r="C506" s="28" t="s">
        <v>1207</v>
      </c>
      <c r="D506" s="28" t="s">
        <v>428</v>
      </c>
      <c r="E506" s="28"/>
      <c r="F506" s="28"/>
      <c r="G506" s="28"/>
      <c r="H506" s="28"/>
      <c r="I506" s="28"/>
      <c r="J506" s="5">
        <v>0</v>
      </c>
      <c r="K506" s="5">
        <v>0</v>
      </c>
      <c r="L506" s="5">
        <v>0</v>
      </c>
      <c r="M506" s="5">
        <v>0</v>
      </c>
      <c r="N506" s="5">
        <v>30</v>
      </c>
      <c r="O506" s="5">
        <v>4</v>
      </c>
      <c r="P506" s="5">
        <v>1</v>
      </c>
      <c r="Q506" s="28"/>
      <c r="R506" s="28"/>
      <c r="S506" s="28"/>
      <c r="T506" s="28"/>
      <c r="U506" s="28"/>
      <c r="V506" s="28"/>
      <c r="W506" s="28"/>
      <c r="X506" s="25">
        <v>11</v>
      </c>
      <c r="Y506" s="25">
        <v>11</v>
      </c>
      <c r="Z506" s="28">
        <f t="shared" si="440"/>
        <v>6</v>
      </c>
      <c r="AA506" s="28"/>
      <c r="AB506" s="25">
        <v>35</v>
      </c>
      <c r="AC506" s="25">
        <v>6</v>
      </c>
      <c r="AD506" s="28">
        <f t="shared" si="409"/>
        <v>30</v>
      </c>
      <c r="AE506" s="28"/>
      <c r="AF506" s="28"/>
      <c r="AG506" s="28"/>
      <c r="AH506" s="28"/>
      <c r="AI506" s="31">
        <v>30</v>
      </c>
      <c r="AJ506" s="28"/>
      <c r="AK506" s="28"/>
      <c r="AL506" s="23"/>
      <c r="AM506" s="23"/>
      <c r="AN506" s="23"/>
      <c r="AO506" s="23"/>
      <c r="AP506" s="23"/>
      <c r="AQ506" s="23"/>
      <c r="AR506" s="23"/>
      <c r="AS506" s="23"/>
      <c r="AT506" s="30">
        <f t="shared" si="443"/>
        <v>30</v>
      </c>
      <c r="AU506" s="25">
        <f t="shared" si="411"/>
        <v>0</v>
      </c>
      <c r="AV506" s="5" t="s">
        <v>1135</v>
      </c>
      <c r="AW506" s="23">
        <f t="shared" si="412"/>
        <v>11</v>
      </c>
      <c r="AX506" s="23">
        <f t="shared" si="413"/>
        <v>11</v>
      </c>
      <c r="AY506" s="23">
        <f t="shared" si="414"/>
        <v>11</v>
      </c>
      <c r="AZ506" s="23">
        <f t="shared" si="415"/>
        <v>11</v>
      </c>
      <c r="BA506" s="23">
        <f t="shared" si="416"/>
        <v>41</v>
      </c>
      <c r="BB506" s="23">
        <f t="shared" si="417"/>
        <v>11</v>
      </c>
      <c r="BC506" s="23">
        <f t="shared" si="418"/>
        <v>7</v>
      </c>
      <c r="BD506" s="23">
        <f t="shared" si="419"/>
        <v>6</v>
      </c>
      <c r="BE506" s="23">
        <f t="shared" si="420"/>
        <v>6</v>
      </c>
      <c r="BF506" s="23">
        <f t="shared" ref="BF506:BK506" si="450">BE506+AN506-R506</f>
        <v>6</v>
      </c>
      <c r="BG506" s="23">
        <f t="shared" si="450"/>
        <v>6</v>
      </c>
      <c r="BH506" s="23">
        <f t="shared" si="450"/>
        <v>6</v>
      </c>
      <c r="BI506" s="23">
        <f t="shared" si="450"/>
        <v>6</v>
      </c>
      <c r="BJ506" s="23">
        <f t="shared" si="450"/>
        <v>6</v>
      </c>
      <c r="BK506" s="23">
        <f t="shared" si="450"/>
        <v>6</v>
      </c>
    </row>
    <row r="507" spans="1:63" s="100" customFormat="1" ht="16" customHeight="1">
      <c r="A507" s="28" t="s">
        <v>1008</v>
      </c>
      <c r="B507" s="28" t="s">
        <v>1208</v>
      </c>
      <c r="C507" s="28" t="s">
        <v>1209</v>
      </c>
      <c r="D507" s="28" t="s">
        <v>435</v>
      </c>
      <c r="E507" s="28"/>
      <c r="F507" s="28"/>
      <c r="G507" s="28"/>
      <c r="H507" s="28"/>
      <c r="I507" s="28"/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28"/>
      <c r="R507" s="28"/>
      <c r="S507" s="28"/>
      <c r="T507" s="28"/>
      <c r="U507" s="28"/>
      <c r="V507" s="28"/>
      <c r="W507" s="28"/>
      <c r="X507" s="25">
        <v>0</v>
      </c>
      <c r="Y507" s="25">
        <v>0</v>
      </c>
      <c r="Z507" s="28">
        <f t="shared" si="440"/>
        <v>0</v>
      </c>
      <c r="AA507" s="28"/>
      <c r="AB507" s="25">
        <v>1</v>
      </c>
      <c r="AC507" s="25">
        <v>0</v>
      </c>
      <c r="AD507" s="28">
        <f t="shared" si="409"/>
        <v>1</v>
      </c>
      <c r="AE507" s="28"/>
      <c r="AF507" s="28"/>
      <c r="AG507" s="28"/>
      <c r="AH507" s="28"/>
      <c r="AI507" s="28"/>
      <c r="AJ507" s="28"/>
      <c r="AK507" s="28"/>
      <c r="AL507" s="23">
        <v>1</v>
      </c>
      <c r="AM507" s="23"/>
      <c r="AN507" s="23"/>
      <c r="AO507" s="23"/>
      <c r="AP507" s="23"/>
      <c r="AQ507" s="23"/>
      <c r="AR507" s="23"/>
      <c r="AS507" s="23"/>
      <c r="AT507" s="30">
        <f t="shared" si="410"/>
        <v>1</v>
      </c>
      <c r="AU507" s="25">
        <f t="shared" si="411"/>
        <v>0</v>
      </c>
      <c r="AV507" s="5"/>
      <c r="AW507" s="23">
        <f t="shared" si="412"/>
        <v>0</v>
      </c>
      <c r="AX507" s="23">
        <f t="shared" si="413"/>
        <v>0</v>
      </c>
      <c r="AY507" s="23">
        <f t="shared" si="414"/>
        <v>0</v>
      </c>
      <c r="AZ507" s="23">
        <f t="shared" si="415"/>
        <v>0</v>
      </c>
      <c r="BA507" s="23">
        <f t="shared" si="416"/>
        <v>0</v>
      </c>
      <c r="BB507" s="23">
        <f t="shared" si="417"/>
        <v>0</v>
      </c>
      <c r="BC507" s="23">
        <f t="shared" si="418"/>
        <v>0</v>
      </c>
      <c r="BD507" s="23">
        <f t="shared" si="419"/>
        <v>1</v>
      </c>
      <c r="BE507" s="23">
        <f t="shared" si="420"/>
        <v>1</v>
      </c>
      <c r="BF507" s="23">
        <f t="shared" si="421"/>
        <v>1</v>
      </c>
      <c r="BG507" s="23">
        <f t="shared" si="422"/>
        <v>1</v>
      </c>
      <c r="BH507" s="23">
        <f>AP507+AJ507-T507</f>
        <v>0</v>
      </c>
      <c r="BI507" s="23">
        <f>AQ507+AK507-U507</f>
        <v>0</v>
      </c>
      <c r="BJ507" s="23">
        <f>AR507+AL507-V507</f>
        <v>1</v>
      </c>
      <c r="BK507" s="23">
        <f>AS507+AM507-W507</f>
        <v>0</v>
      </c>
    </row>
    <row r="508" spans="1:63" s="100" customFormat="1" ht="16" hidden="1" customHeight="1">
      <c r="A508" s="28" t="s">
        <v>1008</v>
      </c>
      <c r="B508" s="28" t="s">
        <v>1210</v>
      </c>
      <c r="C508" s="28" t="s">
        <v>1211</v>
      </c>
      <c r="D508" s="28" t="s">
        <v>435</v>
      </c>
      <c r="E508" s="28"/>
      <c r="F508" s="28"/>
      <c r="G508" s="28"/>
      <c r="H508" s="28"/>
      <c r="I508" s="28"/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28"/>
      <c r="R508" s="28"/>
      <c r="S508" s="28"/>
      <c r="T508" s="28"/>
      <c r="U508" s="28"/>
      <c r="V508" s="28"/>
      <c r="W508" s="28"/>
      <c r="X508" s="25">
        <v>0</v>
      </c>
      <c r="Y508" s="25">
        <v>0</v>
      </c>
      <c r="Z508" s="28">
        <f t="shared" si="440"/>
        <v>0</v>
      </c>
      <c r="AA508" s="28"/>
      <c r="AB508" s="25">
        <v>0</v>
      </c>
      <c r="AC508" s="25">
        <v>0</v>
      </c>
      <c r="AD508" s="28">
        <f t="shared" si="409"/>
        <v>0</v>
      </c>
      <c r="AE508" s="28"/>
      <c r="AF508" s="28"/>
      <c r="AG508" s="28"/>
      <c r="AH508" s="28"/>
      <c r="AI508" s="28"/>
      <c r="AJ508" s="28"/>
      <c r="AK508" s="28"/>
      <c r="AL508" s="23"/>
      <c r="AM508" s="23"/>
      <c r="AN508" s="23"/>
      <c r="AO508" s="23"/>
      <c r="AP508" s="23"/>
      <c r="AQ508" s="23"/>
      <c r="AR508" s="23"/>
      <c r="AS508" s="23"/>
      <c r="AT508" s="30">
        <f>SUM(AE508:AS508)</f>
        <v>0</v>
      </c>
      <c r="AU508" s="25">
        <f t="shared" si="411"/>
        <v>0</v>
      </c>
      <c r="AV508" s="5"/>
      <c r="AW508" s="23">
        <f t="shared" si="412"/>
        <v>0</v>
      </c>
      <c r="AX508" s="23">
        <f t="shared" si="413"/>
        <v>0</v>
      </c>
      <c r="AY508" s="23">
        <f t="shared" si="414"/>
        <v>0</v>
      </c>
      <c r="AZ508" s="23">
        <f t="shared" si="415"/>
        <v>0</v>
      </c>
      <c r="BA508" s="23">
        <f t="shared" si="416"/>
        <v>0</v>
      </c>
      <c r="BB508" s="23">
        <f t="shared" si="417"/>
        <v>0</v>
      </c>
      <c r="BC508" s="23">
        <f t="shared" si="418"/>
        <v>0</v>
      </c>
      <c r="BD508" s="23">
        <f t="shared" si="419"/>
        <v>0</v>
      </c>
      <c r="BE508" s="23">
        <f t="shared" si="420"/>
        <v>0</v>
      </c>
      <c r="BF508" s="23">
        <f t="shared" ref="BF508:BK508" si="451">BE508+AN508-R508</f>
        <v>0</v>
      </c>
      <c r="BG508" s="23">
        <f t="shared" si="451"/>
        <v>0</v>
      </c>
      <c r="BH508" s="23">
        <f t="shared" si="451"/>
        <v>0</v>
      </c>
      <c r="BI508" s="23">
        <f t="shared" si="451"/>
        <v>0</v>
      </c>
      <c r="BJ508" s="23">
        <f t="shared" si="451"/>
        <v>0</v>
      </c>
      <c r="BK508" s="23">
        <f t="shared" si="451"/>
        <v>0</v>
      </c>
    </row>
    <row r="509" spans="1:63" s="100" customFormat="1" ht="16" customHeight="1">
      <c r="A509" s="28" t="s">
        <v>1008</v>
      </c>
      <c r="B509" s="28" t="s">
        <v>1212</v>
      </c>
      <c r="C509" s="28" t="s">
        <v>1213</v>
      </c>
      <c r="D509" s="28" t="s">
        <v>384</v>
      </c>
      <c r="E509" s="28"/>
      <c r="F509" s="28"/>
      <c r="G509" s="28"/>
      <c r="H509" s="28"/>
      <c r="I509" s="28"/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1</v>
      </c>
      <c r="P509" s="5">
        <v>2</v>
      </c>
      <c r="Q509" s="28"/>
      <c r="R509" s="28"/>
      <c r="S509" s="28"/>
      <c r="T509" s="28"/>
      <c r="U509" s="28"/>
      <c r="V509" s="28"/>
      <c r="W509" s="28"/>
      <c r="X509" s="25">
        <v>0</v>
      </c>
      <c r="Y509" s="25">
        <v>0</v>
      </c>
      <c r="Z509" s="28">
        <f t="shared" si="440"/>
        <v>0</v>
      </c>
      <c r="AA509" s="28"/>
      <c r="AB509" s="25">
        <v>9</v>
      </c>
      <c r="AC509" s="25">
        <v>0</v>
      </c>
      <c r="AD509" s="28">
        <f t="shared" si="409"/>
        <v>9</v>
      </c>
      <c r="AE509" s="28"/>
      <c r="AF509" s="28"/>
      <c r="AG509" s="28"/>
      <c r="AH509" s="28"/>
      <c r="AI509" s="28"/>
      <c r="AJ509" s="28"/>
      <c r="AK509" s="28"/>
      <c r="AL509" s="26">
        <v>9</v>
      </c>
      <c r="AM509" s="23"/>
      <c r="AN509" s="23"/>
      <c r="AO509" s="23"/>
      <c r="AP509" s="23"/>
      <c r="AQ509" s="23"/>
      <c r="AR509" s="23"/>
      <c r="AS509" s="23"/>
      <c r="AT509" s="30">
        <f>SUM(AE509:AS509)</f>
        <v>9</v>
      </c>
      <c r="AU509" s="25">
        <f t="shared" si="411"/>
        <v>0</v>
      </c>
      <c r="AV509" s="5"/>
      <c r="AW509" s="23">
        <f t="shared" si="412"/>
        <v>0</v>
      </c>
      <c r="AX509" s="23">
        <f t="shared" si="413"/>
        <v>0</v>
      </c>
      <c r="AY509" s="23">
        <f t="shared" si="414"/>
        <v>0</v>
      </c>
      <c r="AZ509" s="23">
        <f t="shared" si="415"/>
        <v>0</v>
      </c>
      <c r="BA509" s="23">
        <f t="shared" si="416"/>
        <v>0</v>
      </c>
      <c r="BB509" s="23">
        <f t="shared" si="417"/>
        <v>0</v>
      </c>
      <c r="BC509" s="23">
        <f t="shared" si="418"/>
        <v>-1</v>
      </c>
      <c r="BD509" s="23">
        <f t="shared" si="419"/>
        <v>6</v>
      </c>
      <c r="BE509" s="23">
        <f t="shared" si="420"/>
        <v>6</v>
      </c>
      <c r="BF509" s="23">
        <f t="shared" ref="BF509:BK509" si="452">BE509+AN509-R509</f>
        <v>6</v>
      </c>
      <c r="BG509" s="23">
        <f t="shared" si="452"/>
        <v>6</v>
      </c>
      <c r="BH509" s="23">
        <f t="shared" si="452"/>
        <v>6</v>
      </c>
      <c r="BI509" s="23">
        <f t="shared" si="452"/>
        <v>6</v>
      </c>
      <c r="BJ509" s="23">
        <f t="shared" si="452"/>
        <v>6</v>
      </c>
      <c r="BK509" s="23">
        <f t="shared" si="452"/>
        <v>6</v>
      </c>
    </row>
    <row r="510" spans="1:63" s="100" customFormat="1" ht="16" hidden="1" customHeight="1">
      <c r="A510" s="28" t="s">
        <v>1008</v>
      </c>
      <c r="B510" s="28" t="s">
        <v>1214</v>
      </c>
      <c r="C510" s="28" t="s">
        <v>1215</v>
      </c>
      <c r="D510" s="28" t="s">
        <v>384</v>
      </c>
      <c r="E510" s="28"/>
      <c r="F510" s="28"/>
      <c r="G510" s="28"/>
      <c r="H510" s="28"/>
      <c r="I510" s="28"/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28"/>
      <c r="R510" s="28"/>
      <c r="S510" s="28"/>
      <c r="T510" s="28"/>
      <c r="U510" s="28"/>
      <c r="V510" s="28"/>
      <c r="W510" s="28"/>
      <c r="X510" s="25">
        <v>0</v>
      </c>
      <c r="Y510" s="25">
        <v>0</v>
      </c>
      <c r="Z510" s="28">
        <f t="shared" si="440"/>
        <v>0</v>
      </c>
      <c r="AA510" s="28"/>
      <c r="AB510" s="25">
        <v>0</v>
      </c>
      <c r="AC510" s="25">
        <v>0</v>
      </c>
      <c r="AD510" s="28">
        <f t="shared" si="409"/>
        <v>0</v>
      </c>
      <c r="AE510" s="28"/>
      <c r="AF510" s="28"/>
      <c r="AG510" s="28"/>
      <c r="AH510" s="28"/>
      <c r="AI510" s="28"/>
      <c r="AJ510" s="28"/>
      <c r="AK510" s="28"/>
      <c r="AL510" s="23"/>
      <c r="AM510" s="23"/>
      <c r="AN510" s="23"/>
      <c r="AO510" s="23"/>
      <c r="AP510" s="23"/>
      <c r="AQ510" s="23"/>
      <c r="AR510" s="23"/>
      <c r="AS510" s="23"/>
      <c r="AT510" s="30">
        <f t="shared" si="410"/>
        <v>0</v>
      </c>
      <c r="AU510" s="25">
        <f t="shared" si="411"/>
        <v>0</v>
      </c>
      <c r="AV510" s="5"/>
      <c r="AW510" s="23">
        <f t="shared" si="412"/>
        <v>0</v>
      </c>
      <c r="AX510" s="23">
        <f t="shared" si="413"/>
        <v>0</v>
      </c>
      <c r="AY510" s="23">
        <f t="shared" si="414"/>
        <v>0</v>
      </c>
      <c r="AZ510" s="23">
        <f t="shared" si="415"/>
        <v>0</v>
      </c>
      <c r="BA510" s="23">
        <f t="shared" si="416"/>
        <v>0</v>
      </c>
      <c r="BB510" s="23">
        <f t="shared" si="417"/>
        <v>0</v>
      </c>
      <c r="BC510" s="23">
        <f t="shared" si="418"/>
        <v>0</v>
      </c>
      <c r="BD510" s="23">
        <f t="shared" si="419"/>
        <v>0</v>
      </c>
      <c r="BE510" s="23">
        <f t="shared" si="420"/>
        <v>0</v>
      </c>
      <c r="BF510" s="23">
        <f t="shared" si="421"/>
        <v>0</v>
      </c>
      <c r="BG510" s="23">
        <f t="shared" si="422"/>
        <v>0</v>
      </c>
      <c r="BH510" s="23">
        <f>AP510+AJ510-T510</f>
        <v>0</v>
      </c>
      <c r="BI510" s="23">
        <f>AQ510+AK510-U510</f>
        <v>0</v>
      </c>
      <c r="BJ510" s="23">
        <f>AR510+AL510-V510</f>
        <v>0</v>
      </c>
      <c r="BK510" s="23">
        <f>AS510+AM510-W510</f>
        <v>0</v>
      </c>
    </row>
    <row r="511" spans="1:63" s="100" customFormat="1" ht="16" customHeight="1">
      <c r="A511" s="28" t="s">
        <v>1008</v>
      </c>
      <c r="B511" s="28" t="s">
        <v>1216</v>
      </c>
      <c r="C511" s="28" t="s">
        <v>1217</v>
      </c>
      <c r="D511" s="28" t="s">
        <v>384</v>
      </c>
      <c r="E511" s="28"/>
      <c r="F511" s="28"/>
      <c r="G511" s="28"/>
      <c r="H511" s="28"/>
      <c r="I511" s="28"/>
      <c r="J511" s="5">
        <v>0</v>
      </c>
      <c r="K511" s="5">
        <v>0</v>
      </c>
      <c r="L511" s="5">
        <v>0</v>
      </c>
      <c r="M511" s="5">
        <v>0</v>
      </c>
      <c r="N511" s="5">
        <v>4</v>
      </c>
      <c r="O511" s="5">
        <v>20</v>
      </c>
      <c r="P511" s="5">
        <v>4</v>
      </c>
      <c r="Q511" s="28"/>
      <c r="R511" s="28"/>
      <c r="S511" s="28"/>
      <c r="T511" s="28"/>
      <c r="U511" s="28"/>
      <c r="V511" s="28"/>
      <c r="W511" s="28"/>
      <c r="X511" s="25">
        <v>0</v>
      </c>
      <c r="Y511" s="25">
        <v>0</v>
      </c>
      <c r="Z511" s="28">
        <f t="shared" si="440"/>
        <v>0</v>
      </c>
      <c r="AA511" s="28"/>
      <c r="AB511" s="25">
        <v>28</v>
      </c>
      <c r="AC511" s="25">
        <v>0</v>
      </c>
      <c r="AD511" s="28">
        <f t="shared" si="409"/>
        <v>28</v>
      </c>
      <c r="AE511" s="28"/>
      <c r="AF511" s="28"/>
      <c r="AG511" s="28"/>
      <c r="AH511" s="28"/>
      <c r="AI511" s="28"/>
      <c r="AJ511" s="29"/>
      <c r="AK511" s="28"/>
      <c r="AL511" s="26">
        <v>28</v>
      </c>
      <c r="AM511" s="23"/>
      <c r="AN511" s="23"/>
      <c r="AO511" s="23"/>
      <c r="AP511" s="23"/>
      <c r="AQ511" s="23"/>
      <c r="AR511" s="23"/>
      <c r="AS511" s="23"/>
      <c r="AT511" s="30">
        <f>SUM(AE511:AS511)</f>
        <v>28</v>
      </c>
      <c r="AU511" s="25">
        <f t="shared" si="411"/>
        <v>0</v>
      </c>
      <c r="AV511" s="5"/>
      <c r="AW511" s="23">
        <f t="shared" si="412"/>
        <v>0</v>
      </c>
      <c r="AX511" s="23">
        <f t="shared" si="413"/>
        <v>0</v>
      </c>
      <c r="AY511" s="23">
        <f t="shared" si="414"/>
        <v>0</v>
      </c>
      <c r="AZ511" s="23">
        <f t="shared" si="415"/>
        <v>0</v>
      </c>
      <c r="BA511" s="23">
        <f t="shared" si="416"/>
        <v>0</v>
      </c>
      <c r="BB511" s="23">
        <f t="shared" si="417"/>
        <v>-4</v>
      </c>
      <c r="BC511" s="23">
        <f t="shared" si="418"/>
        <v>-24</v>
      </c>
      <c r="BD511" s="23">
        <f t="shared" si="419"/>
        <v>0</v>
      </c>
      <c r="BE511" s="23">
        <f t="shared" si="420"/>
        <v>0</v>
      </c>
      <c r="BF511" s="23">
        <f t="shared" ref="BF511:BK511" si="453">BE511+AN511-R511</f>
        <v>0</v>
      </c>
      <c r="BG511" s="23">
        <f t="shared" si="453"/>
        <v>0</v>
      </c>
      <c r="BH511" s="23">
        <f t="shared" si="453"/>
        <v>0</v>
      </c>
      <c r="BI511" s="23">
        <f t="shared" si="453"/>
        <v>0</v>
      </c>
      <c r="BJ511" s="23">
        <f t="shared" si="453"/>
        <v>0</v>
      </c>
      <c r="BK511" s="23">
        <f t="shared" si="453"/>
        <v>0</v>
      </c>
    </row>
    <row r="512" spans="1:63" s="100" customFormat="1" ht="16" customHeight="1">
      <c r="A512" s="28" t="s">
        <v>1008</v>
      </c>
      <c r="B512" s="28" t="s">
        <v>1218</v>
      </c>
      <c r="C512" s="28" t="s">
        <v>1219</v>
      </c>
      <c r="D512" s="28" t="s">
        <v>384</v>
      </c>
      <c r="E512" s="28"/>
      <c r="F512" s="28"/>
      <c r="G512" s="28"/>
      <c r="H512" s="28"/>
      <c r="I512" s="28"/>
      <c r="J512" s="5">
        <v>7</v>
      </c>
      <c r="K512" s="5">
        <v>7</v>
      </c>
      <c r="L512" s="5">
        <v>2</v>
      </c>
      <c r="M512" s="5">
        <v>0</v>
      </c>
      <c r="N512" s="5">
        <v>17</v>
      </c>
      <c r="O512" s="5">
        <v>2</v>
      </c>
      <c r="P512" s="5">
        <v>0</v>
      </c>
      <c r="Q512" s="28"/>
      <c r="R512" s="28"/>
      <c r="S512" s="28"/>
      <c r="T512" s="28"/>
      <c r="U512" s="28"/>
      <c r="V512" s="28"/>
      <c r="W512" s="28"/>
      <c r="X512" s="25">
        <v>0</v>
      </c>
      <c r="Y512" s="25">
        <v>0</v>
      </c>
      <c r="Z512" s="28">
        <f t="shared" si="440"/>
        <v>0</v>
      </c>
      <c r="AA512" s="28"/>
      <c r="AB512" s="25">
        <v>28</v>
      </c>
      <c r="AC512" s="25">
        <v>0</v>
      </c>
      <c r="AD512" s="28">
        <f t="shared" si="409"/>
        <v>28</v>
      </c>
      <c r="AE512" s="28"/>
      <c r="AF512" s="28"/>
      <c r="AG512" s="28"/>
      <c r="AH512" s="28"/>
      <c r="AI512" s="28"/>
      <c r="AJ512" s="31">
        <v>28</v>
      </c>
      <c r="AK512" s="28"/>
      <c r="AL512" s="23"/>
      <c r="AM512" s="23"/>
      <c r="AN512" s="23"/>
      <c r="AO512" s="23"/>
      <c r="AP512" s="23"/>
      <c r="AQ512" s="23"/>
      <c r="AR512" s="23"/>
      <c r="AS512" s="23"/>
      <c r="AT512" s="30">
        <f>SUM(AE512:AS512)</f>
        <v>28</v>
      </c>
      <c r="AU512" s="25">
        <f t="shared" si="411"/>
        <v>0</v>
      </c>
      <c r="AV512" s="5"/>
      <c r="AW512" s="23">
        <f t="shared" si="412"/>
        <v>0</v>
      </c>
      <c r="AX512" s="23">
        <f t="shared" si="413"/>
        <v>-7</v>
      </c>
      <c r="AY512" s="23">
        <f t="shared" si="414"/>
        <v>-14</v>
      </c>
      <c r="AZ512" s="23">
        <f t="shared" si="415"/>
        <v>-16</v>
      </c>
      <c r="BA512" s="23">
        <f t="shared" si="416"/>
        <v>-16</v>
      </c>
      <c r="BB512" s="23">
        <f t="shared" si="417"/>
        <v>-5</v>
      </c>
      <c r="BC512" s="23">
        <f t="shared" si="418"/>
        <v>-7</v>
      </c>
      <c r="BD512" s="23">
        <f t="shared" si="419"/>
        <v>-7</v>
      </c>
      <c r="BE512" s="23">
        <f t="shared" si="420"/>
        <v>-7</v>
      </c>
      <c r="BF512" s="23">
        <f t="shared" ref="BF512:BK512" si="454">BE512+AN512-R512</f>
        <v>-7</v>
      </c>
      <c r="BG512" s="23">
        <f t="shared" si="454"/>
        <v>-7</v>
      </c>
      <c r="BH512" s="23">
        <f t="shared" si="454"/>
        <v>-7</v>
      </c>
      <c r="BI512" s="23">
        <f t="shared" si="454"/>
        <v>-7</v>
      </c>
      <c r="BJ512" s="23">
        <f t="shared" si="454"/>
        <v>-7</v>
      </c>
      <c r="BK512" s="23">
        <f t="shared" si="454"/>
        <v>-7</v>
      </c>
    </row>
    <row r="513" spans="1:63" s="100" customFormat="1" ht="16" customHeight="1">
      <c r="A513" s="28" t="s">
        <v>1008</v>
      </c>
      <c r="B513" s="28" t="s">
        <v>1220</v>
      </c>
      <c r="C513" s="28" t="s">
        <v>1221</v>
      </c>
      <c r="D513" s="28" t="s">
        <v>384</v>
      </c>
      <c r="E513" s="28"/>
      <c r="F513" s="28"/>
      <c r="G513" s="28"/>
      <c r="H513" s="28"/>
      <c r="I513" s="28"/>
      <c r="J513" s="5">
        <v>0</v>
      </c>
      <c r="K513" s="5">
        <v>0</v>
      </c>
      <c r="L513" s="5">
        <v>0</v>
      </c>
      <c r="M513" s="5">
        <v>0</v>
      </c>
      <c r="N513" s="5">
        <v>1</v>
      </c>
      <c r="O513" s="5">
        <v>2</v>
      </c>
      <c r="P513" s="5">
        <v>0</v>
      </c>
      <c r="Q513" s="28"/>
      <c r="R513" s="28"/>
      <c r="S513" s="28"/>
      <c r="T513" s="28"/>
      <c r="U513" s="28"/>
      <c r="V513" s="28"/>
      <c r="W513" s="28"/>
      <c r="X513" s="25">
        <v>0</v>
      </c>
      <c r="Y513" s="25">
        <v>0</v>
      </c>
      <c r="Z513" s="28">
        <f t="shared" si="440"/>
        <v>0</v>
      </c>
      <c r="AA513" s="28"/>
      <c r="AB513" s="25">
        <v>3</v>
      </c>
      <c r="AC513" s="25">
        <v>0</v>
      </c>
      <c r="AD513" s="28">
        <f t="shared" si="409"/>
        <v>3</v>
      </c>
      <c r="AE513" s="28"/>
      <c r="AF513" s="28"/>
      <c r="AG513" s="28"/>
      <c r="AH513" s="28"/>
      <c r="AI513" s="28"/>
      <c r="AJ513" s="31">
        <v>3</v>
      </c>
      <c r="AK513" s="28"/>
      <c r="AL513" s="23"/>
      <c r="AM513" s="23"/>
      <c r="AN513" s="23"/>
      <c r="AO513" s="23"/>
      <c r="AP513" s="23"/>
      <c r="AQ513" s="23"/>
      <c r="AR513" s="23"/>
      <c r="AS513" s="23"/>
      <c r="AT513" s="30">
        <f>SUM(AE513:AS513)</f>
        <v>3</v>
      </c>
      <c r="AU513" s="25">
        <f t="shared" si="411"/>
        <v>0</v>
      </c>
      <c r="AV513" s="5"/>
      <c r="AW513" s="23">
        <f t="shared" si="412"/>
        <v>0</v>
      </c>
      <c r="AX513" s="23">
        <f t="shared" si="413"/>
        <v>0</v>
      </c>
      <c r="AY513" s="23">
        <f t="shared" si="414"/>
        <v>0</v>
      </c>
      <c r="AZ513" s="23">
        <f t="shared" si="415"/>
        <v>0</v>
      </c>
      <c r="BA513" s="23">
        <f t="shared" si="416"/>
        <v>0</v>
      </c>
      <c r="BB513" s="23">
        <f t="shared" si="417"/>
        <v>2</v>
      </c>
      <c r="BC513" s="23">
        <f t="shared" si="418"/>
        <v>0</v>
      </c>
      <c r="BD513" s="23">
        <f t="shared" si="419"/>
        <v>0</v>
      </c>
      <c r="BE513" s="23">
        <f t="shared" si="420"/>
        <v>0</v>
      </c>
      <c r="BF513" s="23">
        <f t="shared" ref="BF513:BK513" si="455">BE513+AN513-R513</f>
        <v>0</v>
      </c>
      <c r="BG513" s="23">
        <f t="shared" si="455"/>
        <v>0</v>
      </c>
      <c r="BH513" s="23">
        <f t="shared" si="455"/>
        <v>0</v>
      </c>
      <c r="BI513" s="23">
        <f t="shared" si="455"/>
        <v>0</v>
      </c>
      <c r="BJ513" s="23">
        <f t="shared" si="455"/>
        <v>0</v>
      </c>
      <c r="BK513" s="23">
        <f t="shared" si="455"/>
        <v>0</v>
      </c>
    </row>
    <row r="514" spans="1:63" s="100" customFormat="1" ht="16" hidden="1" customHeight="1">
      <c r="A514" s="28" t="s">
        <v>1008</v>
      </c>
      <c r="B514" s="28" t="s">
        <v>1222</v>
      </c>
      <c r="C514" s="28" t="s">
        <v>1223</v>
      </c>
      <c r="D514" s="28" t="s">
        <v>455</v>
      </c>
      <c r="E514" s="28"/>
      <c r="F514" s="28"/>
      <c r="G514" s="28"/>
      <c r="H514" s="28"/>
      <c r="I514" s="28"/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28"/>
      <c r="R514" s="28"/>
      <c r="S514" s="28"/>
      <c r="T514" s="28"/>
      <c r="U514" s="28"/>
      <c r="V514" s="28"/>
      <c r="W514" s="28"/>
      <c r="X514" s="25">
        <v>0</v>
      </c>
      <c r="Y514" s="25">
        <v>0</v>
      </c>
      <c r="Z514" s="28">
        <f t="shared" si="440"/>
        <v>0</v>
      </c>
      <c r="AA514" s="28"/>
      <c r="AB514" s="25">
        <v>0</v>
      </c>
      <c r="AC514" s="25">
        <v>0</v>
      </c>
      <c r="AD514" s="28">
        <f t="shared" si="409"/>
        <v>0</v>
      </c>
      <c r="AE514" s="28"/>
      <c r="AF514" s="28"/>
      <c r="AG514" s="28"/>
      <c r="AH514" s="28"/>
      <c r="AI514" s="28"/>
      <c r="AJ514" s="28"/>
      <c r="AK514" s="28"/>
      <c r="AL514" s="23"/>
      <c r="AM514" s="23"/>
      <c r="AN514" s="23"/>
      <c r="AO514" s="23"/>
      <c r="AP514" s="23"/>
      <c r="AQ514" s="23"/>
      <c r="AR514" s="23"/>
      <c r="AS514" s="23"/>
      <c r="AT514" s="30">
        <f t="shared" si="410"/>
        <v>0</v>
      </c>
      <c r="AU514" s="25">
        <f t="shared" si="411"/>
        <v>0</v>
      </c>
      <c r="AV514" s="5"/>
      <c r="AW514" s="23">
        <f t="shared" si="412"/>
        <v>0</v>
      </c>
      <c r="AX514" s="23">
        <f t="shared" si="413"/>
        <v>0</v>
      </c>
      <c r="AY514" s="23">
        <f t="shared" si="414"/>
        <v>0</v>
      </c>
      <c r="AZ514" s="23">
        <f t="shared" si="415"/>
        <v>0</v>
      </c>
      <c r="BA514" s="23">
        <f t="shared" si="416"/>
        <v>0</v>
      </c>
      <c r="BB514" s="23">
        <f t="shared" si="417"/>
        <v>0</v>
      </c>
      <c r="BC514" s="23">
        <f t="shared" si="418"/>
        <v>0</v>
      </c>
      <c r="BD514" s="23">
        <f t="shared" si="419"/>
        <v>0</v>
      </c>
      <c r="BE514" s="23">
        <f t="shared" si="420"/>
        <v>0</v>
      </c>
      <c r="BF514" s="23">
        <f t="shared" si="421"/>
        <v>0</v>
      </c>
      <c r="BG514" s="23">
        <f t="shared" si="422"/>
        <v>0</v>
      </c>
      <c r="BH514" s="23">
        <f t="shared" ref="BH514:BK515" si="456">AP514+AJ514-T514</f>
        <v>0</v>
      </c>
      <c r="BI514" s="23">
        <f t="shared" si="456"/>
        <v>0</v>
      </c>
      <c r="BJ514" s="23">
        <f t="shared" si="456"/>
        <v>0</v>
      </c>
      <c r="BK514" s="23">
        <f t="shared" si="456"/>
        <v>0</v>
      </c>
    </row>
    <row r="515" spans="1:63" s="100" customFormat="1" ht="16" customHeight="1">
      <c r="A515" s="28" t="s">
        <v>1008</v>
      </c>
      <c r="B515" s="28" t="s">
        <v>1224</v>
      </c>
      <c r="C515" s="28" t="s">
        <v>1225</v>
      </c>
      <c r="D515" s="28" t="s">
        <v>455</v>
      </c>
      <c r="E515" s="28"/>
      <c r="F515" s="28"/>
      <c r="G515" s="28"/>
      <c r="H515" s="28"/>
      <c r="I515" s="28"/>
      <c r="J515" s="5">
        <v>0</v>
      </c>
      <c r="K515" s="5">
        <v>0</v>
      </c>
      <c r="L515" s="5">
        <v>0</v>
      </c>
      <c r="M515" s="5">
        <v>0</v>
      </c>
      <c r="N515" s="5">
        <v>1</v>
      </c>
      <c r="O515" s="5">
        <v>0</v>
      </c>
      <c r="P515" s="5">
        <v>3</v>
      </c>
      <c r="Q515" s="28"/>
      <c r="R515" s="28"/>
      <c r="S515" s="28"/>
      <c r="T515" s="28"/>
      <c r="U515" s="28"/>
      <c r="V515" s="28"/>
      <c r="W515" s="28"/>
      <c r="X515" s="25">
        <v>0</v>
      </c>
      <c r="Y515" s="25">
        <v>0</v>
      </c>
      <c r="Z515" s="28">
        <f t="shared" si="440"/>
        <v>0</v>
      </c>
      <c r="AA515" s="28"/>
      <c r="AB515" s="25">
        <v>4</v>
      </c>
      <c r="AC515" s="25">
        <v>0</v>
      </c>
      <c r="AD515" s="28">
        <f t="shared" si="409"/>
        <v>4</v>
      </c>
      <c r="AE515" s="28"/>
      <c r="AF515" s="28"/>
      <c r="AG515" s="28"/>
      <c r="AH515" s="28"/>
      <c r="AI515" s="28"/>
      <c r="AJ515" s="28"/>
      <c r="AK515" s="28"/>
      <c r="AL515" s="23">
        <v>4</v>
      </c>
      <c r="AM515" s="23"/>
      <c r="AN515" s="23"/>
      <c r="AO515" s="23"/>
      <c r="AP515" s="23"/>
      <c r="AQ515" s="23"/>
      <c r="AR515" s="23"/>
      <c r="AS515" s="23"/>
      <c r="AT515" s="30">
        <f t="shared" si="410"/>
        <v>4</v>
      </c>
      <c r="AU515" s="25">
        <f t="shared" si="411"/>
        <v>0</v>
      </c>
      <c r="AV515" s="5"/>
      <c r="AW515" s="23">
        <f t="shared" si="412"/>
        <v>0</v>
      </c>
      <c r="AX515" s="23">
        <f t="shared" si="413"/>
        <v>0</v>
      </c>
      <c r="AY515" s="23">
        <f t="shared" si="414"/>
        <v>0</v>
      </c>
      <c r="AZ515" s="23">
        <f t="shared" si="415"/>
        <v>0</v>
      </c>
      <c r="BA515" s="23">
        <f t="shared" si="416"/>
        <v>0</v>
      </c>
      <c r="BB515" s="23">
        <f t="shared" si="417"/>
        <v>-1</v>
      </c>
      <c r="BC515" s="23">
        <f t="shared" si="418"/>
        <v>-1</v>
      </c>
      <c r="BD515" s="23">
        <f t="shared" si="419"/>
        <v>0</v>
      </c>
      <c r="BE515" s="23">
        <f t="shared" si="420"/>
        <v>0</v>
      </c>
      <c r="BF515" s="23">
        <f t="shared" si="421"/>
        <v>0</v>
      </c>
      <c r="BG515" s="23">
        <f t="shared" si="422"/>
        <v>0</v>
      </c>
      <c r="BH515" s="23">
        <f t="shared" si="456"/>
        <v>0</v>
      </c>
      <c r="BI515" s="23">
        <f t="shared" si="456"/>
        <v>0</v>
      </c>
      <c r="BJ515" s="23">
        <f t="shared" si="456"/>
        <v>4</v>
      </c>
      <c r="BK515" s="23">
        <f t="shared" si="456"/>
        <v>0</v>
      </c>
    </row>
    <row r="516" spans="1:63" s="100" customFormat="1" ht="16" customHeight="1">
      <c r="A516" s="28" t="s">
        <v>1008</v>
      </c>
      <c r="B516" s="28" t="s">
        <v>1226</v>
      </c>
      <c r="C516" s="28" t="s">
        <v>1227</v>
      </c>
      <c r="D516" s="28" t="s">
        <v>330</v>
      </c>
      <c r="E516" s="28"/>
      <c r="F516" s="28"/>
      <c r="G516" s="28"/>
      <c r="H516" s="28"/>
      <c r="I516" s="28"/>
      <c r="J516" s="5">
        <v>0</v>
      </c>
      <c r="K516" s="5">
        <v>0</v>
      </c>
      <c r="L516" s="5">
        <v>10</v>
      </c>
      <c r="M516" s="5">
        <v>5</v>
      </c>
      <c r="N516" s="5">
        <v>35</v>
      </c>
      <c r="O516" s="5">
        <v>5</v>
      </c>
      <c r="P516" s="5">
        <v>0</v>
      </c>
      <c r="Q516" s="28"/>
      <c r="R516" s="28"/>
      <c r="S516" s="28"/>
      <c r="T516" s="28"/>
      <c r="U516" s="28"/>
      <c r="V516" s="28"/>
      <c r="W516" s="28"/>
      <c r="X516" s="25">
        <v>0</v>
      </c>
      <c r="Y516" s="25">
        <v>0</v>
      </c>
      <c r="Z516" s="28">
        <f t="shared" si="440"/>
        <v>5</v>
      </c>
      <c r="AA516" s="28"/>
      <c r="AB516" s="25">
        <v>55</v>
      </c>
      <c r="AC516" s="25">
        <v>5</v>
      </c>
      <c r="AD516" s="28">
        <f t="shared" si="409"/>
        <v>60</v>
      </c>
      <c r="AE516" s="28"/>
      <c r="AF516" s="28"/>
      <c r="AG516" s="28"/>
      <c r="AH516" s="28"/>
      <c r="AI516" s="28"/>
      <c r="AJ516" s="28"/>
      <c r="AK516" s="28"/>
      <c r="AL516" s="23">
        <v>60</v>
      </c>
      <c r="AM516" s="23"/>
      <c r="AN516" s="23"/>
      <c r="AO516" s="23"/>
      <c r="AP516" s="23"/>
      <c r="AQ516" s="23"/>
      <c r="AR516" s="23"/>
      <c r="AS516" s="23"/>
      <c r="AT516" s="30">
        <f>SUM(AE516:AS516)</f>
        <v>60</v>
      </c>
      <c r="AU516" s="25">
        <f t="shared" si="411"/>
        <v>0</v>
      </c>
      <c r="AV516" s="5" t="s">
        <v>1135</v>
      </c>
      <c r="AW516" s="23">
        <f t="shared" si="412"/>
        <v>0</v>
      </c>
      <c r="AX516" s="23">
        <f t="shared" si="413"/>
        <v>0</v>
      </c>
      <c r="AY516" s="23">
        <f t="shared" si="414"/>
        <v>0</v>
      </c>
      <c r="AZ516" s="23">
        <f t="shared" si="415"/>
        <v>-10</v>
      </c>
      <c r="BA516" s="23">
        <f t="shared" si="416"/>
        <v>-15</v>
      </c>
      <c r="BB516" s="23">
        <f t="shared" si="417"/>
        <v>-50</v>
      </c>
      <c r="BC516" s="23">
        <f t="shared" si="418"/>
        <v>-55</v>
      </c>
      <c r="BD516" s="23">
        <f t="shared" si="419"/>
        <v>5</v>
      </c>
      <c r="BE516" s="23">
        <f t="shared" si="420"/>
        <v>5</v>
      </c>
      <c r="BF516" s="23">
        <f t="shared" ref="BF516:BK516" si="457">BE516+AN516-R516</f>
        <v>5</v>
      </c>
      <c r="BG516" s="23">
        <f t="shared" si="457"/>
        <v>5</v>
      </c>
      <c r="BH516" s="23">
        <f t="shared" si="457"/>
        <v>5</v>
      </c>
      <c r="BI516" s="23">
        <f t="shared" si="457"/>
        <v>5</v>
      </c>
      <c r="BJ516" s="23">
        <f t="shared" si="457"/>
        <v>5</v>
      </c>
      <c r="BK516" s="23">
        <f t="shared" si="457"/>
        <v>5</v>
      </c>
    </row>
    <row r="517" spans="1:63" s="100" customFormat="1" ht="16" customHeight="1">
      <c r="A517" s="28" t="s">
        <v>1008</v>
      </c>
      <c r="B517" s="28" t="s">
        <v>1228</v>
      </c>
      <c r="C517" s="28" t="s">
        <v>1229</v>
      </c>
      <c r="D517" s="28" t="s">
        <v>330</v>
      </c>
      <c r="E517" s="28"/>
      <c r="F517" s="28"/>
      <c r="G517" s="28"/>
      <c r="H517" s="28"/>
      <c r="I517" s="28"/>
      <c r="J517" s="5">
        <v>0</v>
      </c>
      <c r="K517" s="5">
        <v>0</v>
      </c>
      <c r="L517" s="5">
        <v>3</v>
      </c>
      <c r="M517" s="5">
        <v>4</v>
      </c>
      <c r="N517" s="5">
        <v>2</v>
      </c>
      <c r="O517" s="5">
        <v>0</v>
      </c>
      <c r="P517" s="5">
        <v>0</v>
      </c>
      <c r="Q517" s="28"/>
      <c r="R517" s="28"/>
      <c r="S517" s="28"/>
      <c r="T517" s="28"/>
      <c r="U517" s="28"/>
      <c r="V517" s="28"/>
      <c r="W517" s="28"/>
      <c r="X517" s="25">
        <v>0</v>
      </c>
      <c r="Y517" s="25">
        <v>0</v>
      </c>
      <c r="Z517" s="28">
        <f t="shared" si="440"/>
        <v>11</v>
      </c>
      <c r="AA517" s="28"/>
      <c r="AB517" s="25">
        <v>9</v>
      </c>
      <c r="AC517" s="25">
        <v>11</v>
      </c>
      <c r="AD517" s="28">
        <f t="shared" si="409"/>
        <v>20</v>
      </c>
      <c r="AE517" s="28"/>
      <c r="AF517" s="28"/>
      <c r="AG517" s="28"/>
      <c r="AH517" s="28"/>
      <c r="AI517" s="28"/>
      <c r="AJ517" s="28"/>
      <c r="AK517" s="28"/>
      <c r="AL517" s="23">
        <v>20</v>
      </c>
      <c r="AM517" s="23"/>
      <c r="AN517" s="23"/>
      <c r="AO517" s="23"/>
      <c r="AP517" s="23"/>
      <c r="AQ517" s="23"/>
      <c r="AR517" s="23"/>
      <c r="AS517" s="23"/>
      <c r="AT517" s="30">
        <f>SUM(AE517:AS517)</f>
        <v>20</v>
      </c>
      <c r="AU517" s="25">
        <f t="shared" si="411"/>
        <v>0</v>
      </c>
      <c r="AV517" s="5" t="s">
        <v>1135</v>
      </c>
      <c r="AW517" s="23">
        <f t="shared" si="412"/>
        <v>0</v>
      </c>
      <c r="AX517" s="23">
        <f t="shared" si="413"/>
        <v>0</v>
      </c>
      <c r="AY517" s="23">
        <f t="shared" si="414"/>
        <v>0</v>
      </c>
      <c r="AZ517" s="23">
        <f t="shared" si="415"/>
        <v>-3</v>
      </c>
      <c r="BA517" s="23">
        <f t="shared" si="416"/>
        <v>-7</v>
      </c>
      <c r="BB517" s="23">
        <f t="shared" si="417"/>
        <v>-9</v>
      </c>
      <c r="BC517" s="23">
        <f t="shared" si="418"/>
        <v>-9</v>
      </c>
      <c r="BD517" s="23">
        <f t="shared" si="419"/>
        <v>11</v>
      </c>
      <c r="BE517" s="23">
        <f t="shared" si="420"/>
        <v>11</v>
      </c>
      <c r="BF517" s="23">
        <f t="shared" ref="BF517:BK517" si="458">BE517+AN517-R517</f>
        <v>11</v>
      </c>
      <c r="BG517" s="23">
        <f t="shared" si="458"/>
        <v>11</v>
      </c>
      <c r="BH517" s="23">
        <f t="shared" si="458"/>
        <v>11</v>
      </c>
      <c r="BI517" s="23">
        <f t="shared" si="458"/>
        <v>11</v>
      </c>
      <c r="BJ517" s="23">
        <f t="shared" si="458"/>
        <v>11</v>
      </c>
      <c r="BK517" s="23">
        <f t="shared" si="458"/>
        <v>11</v>
      </c>
    </row>
    <row r="518" spans="1:63" s="100" customFormat="1" ht="16" hidden="1" customHeight="1">
      <c r="A518" s="28" t="s">
        <v>1008</v>
      </c>
      <c r="B518" s="28" t="s">
        <v>1230</v>
      </c>
      <c r="C518" s="28" t="s">
        <v>1231</v>
      </c>
      <c r="D518" s="28" t="s">
        <v>455</v>
      </c>
      <c r="E518" s="28"/>
      <c r="F518" s="28"/>
      <c r="G518" s="28"/>
      <c r="H518" s="28"/>
      <c r="I518" s="28"/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28"/>
      <c r="R518" s="28"/>
      <c r="S518" s="28"/>
      <c r="T518" s="28"/>
      <c r="U518" s="28"/>
      <c r="V518" s="28"/>
      <c r="W518" s="28"/>
      <c r="X518" s="25">
        <v>0</v>
      </c>
      <c r="Y518" s="25">
        <v>0</v>
      </c>
      <c r="Z518" s="28">
        <f t="shared" si="440"/>
        <v>0</v>
      </c>
      <c r="AA518" s="28"/>
      <c r="AB518" s="25">
        <v>0</v>
      </c>
      <c r="AC518" s="25">
        <v>0</v>
      </c>
      <c r="AD518" s="28">
        <f t="shared" ref="AD518:AD530" si="459">AB518-Y518+AA518+AC518</f>
        <v>0</v>
      </c>
      <c r="AE518" s="28"/>
      <c r="AF518" s="28"/>
      <c r="AG518" s="28"/>
      <c r="AH518" s="28"/>
      <c r="AI518" s="28"/>
      <c r="AJ518" s="28"/>
      <c r="AK518" s="28"/>
      <c r="AL518" s="23"/>
      <c r="AM518" s="23"/>
      <c r="AN518" s="23"/>
      <c r="AO518" s="23"/>
      <c r="AP518" s="23"/>
      <c r="AQ518" s="23"/>
      <c r="AR518" s="23"/>
      <c r="AS518" s="23"/>
      <c r="AT518" s="30">
        <f>SUM(AE518:AS518)</f>
        <v>0</v>
      </c>
      <c r="AU518" s="25">
        <f t="shared" ref="AU518:AU530" si="460">AD518-AT518</f>
        <v>0</v>
      </c>
      <c r="AV518" s="5"/>
      <c r="AW518" s="23">
        <f t="shared" ref="AW518:AW528" si="461">AE518+Y518-I518</f>
        <v>0</v>
      </c>
      <c r="AX518" s="23">
        <f t="shared" si="413"/>
        <v>0</v>
      </c>
      <c r="AY518" s="23">
        <f t="shared" si="414"/>
        <v>0</v>
      </c>
      <c r="AZ518" s="23">
        <f t="shared" si="415"/>
        <v>0</v>
      </c>
      <c r="BA518" s="23">
        <f t="shared" si="416"/>
        <v>0</v>
      </c>
      <c r="BB518" s="23">
        <f t="shared" si="417"/>
        <v>0</v>
      </c>
      <c r="BC518" s="23">
        <f t="shared" si="418"/>
        <v>0</v>
      </c>
      <c r="BD518" s="23">
        <f t="shared" si="419"/>
        <v>0</v>
      </c>
      <c r="BE518" s="23">
        <f t="shared" si="420"/>
        <v>0</v>
      </c>
      <c r="BF518" s="23">
        <f t="shared" ref="BF518:BK518" si="462">BE518+AN518-R518</f>
        <v>0</v>
      </c>
      <c r="BG518" s="23">
        <f t="shared" si="462"/>
        <v>0</v>
      </c>
      <c r="BH518" s="23">
        <f t="shared" si="462"/>
        <v>0</v>
      </c>
      <c r="BI518" s="23">
        <f t="shared" si="462"/>
        <v>0</v>
      </c>
      <c r="BJ518" s="23">
        <f t="shared" si="462"/>
        <v>0</v>
      </c>
      <c r="BK518" s="23">
        <f t="shared" si="462"/>
        <v>0</v>
      </c>
    </row>
    <row r="519" spans="1:63" s="100" customFormat="1" ht="16" hidden="1" customHeight="1">
      <c r="A519" s="28" t="s">
        <v>1008</v>
      </c>
      <c r="B519" s="28" t="s">
        <v>1232</v>
      </c>
      <c r="C519" s="28" t="s">
        <v>1233</v>
      </c>
      <c r="D519" s="28" t="s">
        <v>455</v>
      </c>
      <c r="E519" s="28"/>
      <c r="F519" s="28"/>
      <c r="G519" s="28"/>
      <c r="H519" s="28"/>
      <c r="I519" s="28"/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28"/>
      <c r="R519" s="28"/>
      <c r="S519" s="28"/>
      <c r="T519" s="28"/>
      <c r="U519" s="28"/>
      <c r="V519" s="28"/>
      <c r="W519" s="28"/>
      <c r="X519" s="25">
        <v>0</v>
      </c>
      <c r="Y519" s="25">
        <v>0</v>
      </c>
      <c r="Z519" s="28">
        <f t="shared" si="440"/>
        <v>0</v>
      </c>
      <c r="AA519" s="28"/>
      <c r="AB519" s="25">
        <v>0</v>
      </c>
      <c r="AC519" s="25">
        <v>0</v>
      </c>
      <c r="AD519" s="28">
        <f t="shared" si="459"/>
        <v>0</v>
      </c>
      <c r="AE519" s="28"/>
      <c r="AF519" s="28"/>
      <c r="AG519" s="28"/>
      <c r="AH519" s="28"/>
      <c r="AI519" s="28"/>
      <c r="AJ519" s="28"/>
      <c r="AK519" s="28"/>
      <c r="AL519" s="23"/>
      <c r="AM519" s="23"/>
      <c r="AN519" s="23"/>
      <c r="AO519" s="23"/>
      <c r="AP519" s="23"/>
      <c r="AQ519" s="23"/>
      <c r="AR519" s="23"/>
      <c r="AS519" s="23"/>
      <c r="AT519" s="30">
        <f>SUM(AE519:AR519)</f>
        <v>0</v>
      </c>
      <c r="AU519" s="25">
        <f t="shared" si="460"/>
        <v>0</v>
      </c>
      <c r="AV519" s="5"/>
      <c r="AW519" s="23">
        <f t="shared" si="461"/>
        <v>0</v>
      </c>
      <c r="AX519" s="23">
        <f t="shared" si="413"/>
        <v>0</v>
      </c>
      <c r="AY519" s="23">
        <f t="shared" si="414"/>
        <v>0</v>
      </c>
      <c r="AZ519" s="23">
        <f t="shared" si="415"/>
        <v>0</v>
      </c>
      <c r="BA519" s="23">
        <f t="shared" si="416"/>
        <v>0</v>
      </c>
      <c r="BB519" s="23">
        <f t="shared" si="417"/>
        <v>0</v>
      </c>
      <c r="BC519" s="23">
        <f t="shared" si="418"/>
        <v>0</v>
      </c>
      <c r="BD519" s="23">
        <f t="shared" si="419"/>
        <v>0</v>
      </c>
      <c r="BE519" s="23">
        <f t="shared" si="420"/>
        <v>0</v>
      </c>
      <c r="BF519" s="23">
        <f t="shared" si="421"/>
        <v>0</v>
      </c>
      <c r="BG519" s="23">
        <f t="shared" si="422"/>
        <v>0</v>
      </c>
      <c r="BH519" s="23">
        <f t="shared" ref="BH519:BK520" si="463">AP519+AJ519-T519</f>
        <v>0</v>
      </c>
      <c r="BI519" s="23">
        <f t="shared" si="463"/>
        <v>0</v>
      </c>
      <c r="BJ519" s="23">
        <f t="shared" si="463"/>
        <v>0</v>
      </c>
      <c r="BK519" s="23">
        <f t="shared" si="463"/>
        <v>0</v>
      </c>
    </row>
    <row r="520" spans="1:63" s="100" customFormat="1" ht="16" customHeight="1">
      <c r="A520" s="28" t="s">
        <v>1008</v>
      </c>
      <c r="B520" s="28" t="s">
        <v>1234</v>
      </c>
      <c r="C520" s="28" t="s">
        <v>1235</v>
      </c>
      <c r="D520" s="28" t="s">
        <v>455</v>
      </c>
      <c r="E520" s="28"/>
      <c r="F520" s="28"/>
      <c r="G520" s="28"/>
      <c r="H520" s="28"/>
      <c r="I520" s="28"/>
      <c r="J520" s="5">
        <v>0</v>
      </c>
      <c r="K520" s="5">
        <v>0</v>
      </c>
      <c r="L520" s="5">
        <v>0</v>
      </c>
      <c r="M520" s="5">
        <v>1</v>
      </c>
      <c r="N520" s="5">
        <v>0</v>
      </c>
      <c r="O520" s="5">
        <v>0</v>
      </c>
      <c r="P520" s="5">
        <v>0</v>
      </c>
      <c r="Q520" s="28"/>
      <c r="R520" s="28"/>
      <c r="S520" s="28"/>
      <c r="T520" s="28"/>
      <c r="U520" s="28"/>
      <c r="V520" s="28"/>
      <c r="W520" s="28"/>
      <c r="X520" s="25">
        <v>0</v>
      </c>
      <c r="Y520" s="25">
        <v>0</v>
      </c>
      <c r="Z520" s="28">
        <f t="shared" si="440"/>
        <v>9</v>
      </c>
      <c r="AA520" s="28"/>
      <c r="AB520" s="25">
        <v>1</v>
      </c>
      <c r="AC520" s="25">
        <v>9</v>
      </c>
      <c r="AD520" s="28">
        <f t="shared" si="459"/>
        <v>10</v>
      </c>
      <c r="AE520" s="28"/>
      <c r="AF520" s="28"/>
      <c r="AG520" s="28"/>
      <c r="AH520" s="28"/>
      <c r="AI520" s="28"/>
      <c r="AJ520" s="28"/>
      <c r="AK520" s="28"/>
      <c r="AL520" s="23">
        <v>10</v>
      </c>
      <c r="AM520" s="23"/>
      <c r="AN520" s="23"/>
      <c r="AO520" s="23"/>
      <c r="AP520" s="23"/>
      <c r="AQ520" s="23"/>
      <c r="AR520" s="23"/>
      <c r="AS520" s="23"/>
      <c r="AT520" s="30">
        <f>SUM(AE520:AR520)</f>
        <v>10</v>
      </c>
      <c r="AU520" s="25">
        <f t="shared" si="460"/>
        <v>0</v>
      </c>
      <c r="AV520" s="5" t="s">
        <v>1135</v>
      </c>
      <c r="AW520" s="23">
        <f t="shared" si="461"/>
        <v>0</v>
      </c>
      <c r="AX520" s="23">
        <f t="shared" si="413"/>
        <v>0</v>
      </c>
      <c r="AY520" s="23">
        <f t="shared" si="414"/>
        <v>0</v>
      </c>
      <c r="AZ520" s="23">
        <f t="shared" si="415"/>
        <v>0</v>
      </c>
      <c r="BA520" s="23">
        <f t="shared" si="416"/>
        <v>-1</v>
      </c>
      <c r="BB520" s="23">
        <f t="shared" si="417"/>
        <v>-1</v>
      </c>
      <c r="BC520" s="23">
        <f t="shared" si="418"/>
        <v>-1</v>
      </c>
      <c r="BD520" s="23">
        <f t="shared" si="419"/>
        <v>9</v>
      </c>
      <c r="BE520" s="23">
        <f t="shared" si="420"/>
        <v>9</v>
      </c>
      <c r="BF520" s="23">
        <f t="shared" si="421"/>
        <v>9</v>
      </c>
      <c r="BG520" s="23">
        <f t="shared" si="422"/>
        <v>9</v>
      </c>
      <c r="BH520" s="23">
        <f t="shared" si="463"/>
        <v>0</v>
      </c>
      <c r="BI520" s="23">
        <f t="shared" si="463"/>
        <v>0</v>
      </c>
      <c r="BJ520" s="23">
        <f t="shared" si="463"/>
        <v>10</v>
      </c>
      <c r="BK520" s="23">
        <f t="shared" si="463"/>
        <v>0</v>
      </c>
    </row>
    <row r="521" spans="1:63" s="100" customFormat="1" ht="16" customHeight="1">
      <c r="A521" s="28" t="s">
        <v>1008</v>
      </c>
      <c r="B521" s="28" t="s">
        <v>1236</v>
      </c>
      <c r="C521" s="28" t="s">
        <v>1237</v>
      </c>
      <c r="D521" s="28" t="s">
        <v>455</v>
      </c>
      <c r="E521" s="28"/>
      <c r="F521" s="28"/>
      <c r="G521" s="28"/>
      <c r="H521" s="28"/>
      <c r="I521" s="28"/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10</v>
      </c>
      <c r="P521" s="5">
        <v>0</v>
      </c>
      <c r="Q521" s="28"/>
      <c r="R521" s="28"/>
      <c r="S521" s="28"/>
      <c r="T521" s="28"/>
      <c r="U521" s="28"/>
      <c r="V521" s="28"/>
      <c r="W521" s="28"/>
      <c r="X521" s="25">
        <v>0</v>
      </c>
      <c r="Y521" s="25">
        <v>0</v>
      </c>
      <c r="Z521" s="28">
        <f t="shared" si="440"/>
        <v>0</v>
      </c>
      <c r="AA521" s="28"/>
      <c r="AB521" s="25">
        <v>10</v>
      </c>
      <c r="AC521" s="25">
        <v>0</v>
      </c>
      <c r="AD521" s="28">
        <f t="shared" si="459"/>
        <v>10</v>
      </c>
      <c r="AE521" s="28"/>
      <c r="AF521" s="28"/>
      <c r="AG521" s="28"/>
      <c r="AH521" s="28"/>
      <c r="AI521" s="28"/>
      <c r="AJ521" s="28"/>
      <c r="AK521" s="28"/>
      <c r="AL521" s="23">
        <v>10</v>
      </c>
      <c r="AM521" s="23"/>
      <c r="AN521" s="23"/>
      <c r="AO521" s="23"/>
      <c r="AP521" s="23"/>
      <c r="AQ521" s="23"/>
      <c r="AR521" s="23"/>
      <c r="AS521" s="23"/>
      <c r="AT521" s="30">
        <f>SUM(AE521:AS521)</f>
        <v>10</v>
      </c>
      <c r="AU521" s="25">
        <f t="shared" si="460"/>
        <v>0</v>
      </c>
      <c r="AV521" s="5"/>
      <c r="AW521" s="23">
        <f t="shared" si="461"/>
        <v>0</v>
      </c>
      <c r="AX521" s="23">
        <f t="shared" si="413"/>
        <v>0</v>
      </c>
      <c r="AY521" s="23">
        <f t="shared" si="414"/>
        <v>0</v>
      </c>
      <c r="AZ521" s="23">
        <f t="shared" si="415"/>
        <v>0</v>
      </c>
      <c r="BA521" s="23">
        <f t="shared" si="416"/>
        <v>0</v>
      </c>
      <c r="BB521" s="23">
        <f t="shared" si="417"/>
        <v>0</v>
      </c>
      <c r="BC521" s="23">
        <f t="shared" si="418"/>
        <v>-10</v>
      </c>
      <c r="BD521" s="23">
        <f t="shared" si="419"/>
        <v>0</v>
      </c>
      <c r="BE521" s="23">
        <f t="shared" si="420"/>
        <v>0</v>
      </c>
      <c r="BF521" s="23">
        <f t="shared" ref="BF521:BK521" si="464">BE521+AN521-R521</f>
        <v>0</v>
      </c>
      <c r="BG521" s="23">
        <f t="shared" si="464"/>
        <v>0</v>
      </c>
      <c r="BH521" s="23">
        <f t="shared" si="464"/>
        <v>0</v>
      </c>
      <c r="BI521" s="23">
        <f t="shared" si="464"/>
        <v>0</v>
      </c>
      <c r="BJ521" s="23">
        <f t="shared" si="464"/>
        <v>0</v>
      </c>
      <c r="BK521" s="23">
        <f t="shared" si="464"/>
        <v>0</v>
      </c>
    </row>
    <row r="522" spans="1:63" s="100" customFormat="1" ht="16" hidden="1" customHeight="1">
      <c r="A522" s="28" t="s">
        <v>1008</v>
      </c>
      <c r="B522" s="28" t="s">
        <v>1238</v>
      </c>
      <c r="C522" s="28" t="s">
        <v>1239</v>
      </c>
      <c r="D522" s="28" t="s">
        <v>455</v>
      </c>
      <c r="E522" s="28"/>
      <c r="F522" s="28"/>
      <c r="G522" s="28"/>
      <c r="H522" s="28"/>
      <c r="I522" s="28"/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28"/>
      <c r="R522" s="28"/>
      <c r="S522" s="28"/>
      <c r="T522" s="28"/>
      <c r="U522" s="28"/>
      <c r="V522" s="28"/>
      <c r="W522" s="28"/>
      <c r="X522" s="25">
        <v>0</v>
      </c>
      <c r="Y522" s="25">
        <v>0</v>
      </c>
      <c r="Z522" s="28">
        <f t="shared" si="440"/>
        <v>0</v>
      </c>
      <c r="AA522" s="28"/>
      <c r="AB522" s="25">
        <v>0</v>
      </c>
      <c r="AC522" s="25">
        <v>0</v>
      </c>
      <c r="AD522" s="28">
        <f t="shared" si="459"/>
        <v>0</v>
      </c>
      <c r="AE522" s="28"/>
      <c r="AF522" s="28"/>
      <c r="AG522" s="28"/>
      <c r="AH522" s="28"/>
      <c r="AI522" s="28"/>
      <c r="AJ522" s="28"/>
      <c r="AK522" s="28"/>
      <c r="AL522" s="23"/>
      <c r="AM522" s="23"/>
      <c r="AN522" s="23"/>
      <c r="AO522" s="23"/>
      <c r="AP522" s="23"/>
      <c r="AQ522" s="23"/>
      <c r="AR522" s="23"/>
      <c r="AS522" s="23"/>
      <c r="AT522" s="30">
        <f>SUM(AE522:AR522)</f>
        <v>0</v>
      </c>
      <c r="AU522" s="25">
        <f t="shared" si="460"/>
        <v>0</v>
      </c>
      <c r="AV522" s="5"/>
      <c r="AW522" s="23">
        <f t="shared" si="461"/>
        <v>0</v>
      </c>
      <c r="AX522" s="23">
        <f t="shared" si="413"/>
        <v>0</v>
      </c>
      <c r="AY522" s="23">
        <f t="shared" si="414"/>
        <v>0</v>
      </c>
      <c r="AZ522" s="23">
        <f t="shared" si="415"/>
        <v>0</v>
      </c>
      <c r="BA522" s="23">
        <f t="shared" si="416"/>
        <v>0</v>
      </c>
      <c r="BB522" s="23">
        <f t="shared" si="417"/>
        <v>0</v>
      </c>
      <c r="BC522" s="23">
        <f t="shared" si="418"/>
        <v>0</v>
      </c>
      <c r="BD522" s="23">
        <f t="shared" si="419"/>
        <v>0</v>
      </c>
      <c r="BE522" s="23">
        <f t="shared" si="420"/>
        <v>0</v>
      </c>
      <c r="BF522" s="23">
        <f t="shared" si="421"/>
        <v>0</v>
      </c>
      <c r="BG522" s="23">
        <f t="shared" si="422"/>
        <v>0</v>
      </c>
      <c r="BH522" s="23">
        <f>AP522+AJ522-T522</f>
        <v>0</v>
      </c>
      <c r="BI522" s="23">
        <f>AQ522+AK522-U522</f>
        <v>0</v>
      </c>
      <c r="BJ522" s="23">
        <f>AR522+AL522-V522</f>
        <v>0</v>
      </c>
      <c r="BK522" s="23">
        <f>AS522+AM522-W522</f>
        <v>0</v>
      </c>
    </row>
    <row r="523" spans="1:63" s="100" customFormat="1" ht="16" customHeight="1">
      <c r="A523" s="28" t="s">
        <v>1008</v>
      </c>
      <c r="B523" s="28" t="s">
        <v>1240</v>
      </c>
      <c r="C523" s="28" t="s">
        <v>1241</v>
      </c>
      <c r="D523" s="28" t="s">
        <v>455</v>
      </c>
      <c r="E523" s="28"/>
      <c r="F523" s="28"/>
      <c r="G523" s="28"/>
      <c r="H523" s="28"/>
      <c r="I523" s="28"/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1</v>
      </c>
      <c r="Q523" s="28"/>
      <c r="R523" s="28"/>
      <c r="S523" s="28"/>
      <c r="T523" s="28"/>
      <c r="U523" s="28"/>
      <c r="V523" s="28"/>
      <c r="W523" s="28"/>
      <c r="X523" s="25">
        <v>0</v>
      </c>
      <c r="Y523" s="25">
        <v>0</v>
      </c>
      <c r="Z523" s="28">
        <f t="shared" si="440"/>
        <v>0</v>
      </c>
      <c r="AA523" s="28"/>
      <c r="AB523" s="25">
        <v>1</v>
      </c>
      <c r="AC523" s="25">
        <v>0</v>
      </c>
      <c r="AD523" s="28">
        <f t="shared" si="459"/>
        <v>1</v>
      </c>
      <c r="AE523" s="28"/>
      <c r="AF523" s="28"/>
      <c r="AG523" s="28"/>
      <c r="AH523" s="28"/>
      <c r="AI523" s="28"/>
      <c r="AJ523" s="28"/>
      <c r="AK523" s="28"/>
      <c r="AL523" s="23">
        <v>1</v>
      </c>
      <c r="AM523" s="23"/>
      <c r="AN523" s="23"/>
      <c r="AO523" s="23"/>
      <c r="AP523" s="23"/>
      <c r="AQ523" s="23"/>
      <c r="AR523" s="23"/>
      <c r="AS523" s="23"/>
      <c r="AT523" s="30">
        <f t="shared" ref="AT523:AT528" si="465">SUM(AE523:AS523)</f>
        <v>1</v>
      </c>
      <c r="AU523" s="25">
        <f t="shared" si="460"/>
        <v>0</v>
      </c>
      <c r="AV523" s="5"/>
      <c r="AW523" s="23">
        <f t="shared" si="461"/>
        <v>0</v>
      </c>
      <c r="AX523" s="23">
        <f t="shared" si="413"/>
        <v>0</v>
      </c>
      <c r="AY523" s="23">
        <f t="shared" si="414"/>
        <v>0</v>
      </c>
      <c r="AZ523" s="23">
        <f t="shared" si="415"/>
        <v>0</v>
      </c>
      <c r="BA523" s="23">
        <f t="shared" si="416"/>
        <v>0</v>
      </c>
      <c r="BB523" s="23">
        <f t="shared" si="417"/>
        <v>0</v>
      </c>
      <c r="BC523" s="23">
        <f t="shared" si="418"/>
        <v>0</v>
      </c>
      <c r="BD523" s="23">
        <f t="shared" si="419"/>
        <v>0</v>
      </c>
      <c r="BE523" s="23">
        <f t="shared" si="420"/>
        <v>0</v>
      </c>
      <c r="BF523" s="23">
        <f t="shared" ref="BF523:BK523" si="466">BE523+AN523-R523</f>
        <v>0</v>
      </c>
      <c r="BG523" s="23">
        <f t="shared" si="466"/>
        <v>0</v>
      </c>
      <c r="BH523" s="23">
        <f t="shared" si="466"/>
        <v>0</v>
      </c>
      <c r="BI523" s="23">
        <f t="shared" si="466"/>
        <v>0</v>
      </c>
      <c r="BJ523" s="23">
        <f t="shared" si="466"/>
        <v>0</v>
      </c>
      <c r="BK523" s="23">
        <f t="shared" si="466"/>
        <v>0</v>
      </c>
    </row>
    <row r="524" spans="1:63" s="100" customFormat="1" ht="16" customHeight="1">
      <c r="A524" s="28" t="s">
        <v>1008</v>
      </c>
      <c r="B524" s="28" t="s">
        <v>1242</v>
      </c>
      <c r="C524" s="28" t="s">
        <v>1243</v>
      </c>
      <c r="D524" s="28"/>
      <c r="E524" s="28"/>
      <c r="F524" s="28"/>
      <c r="G524" s="28"/>
      <c r="H524" s="28"/>
      <c r="I524" s="28"/>
      <c r="J524" s="5">
        <v>0</v>
      </c>
      <c r="K524" s="5">
        <v>0</v>
      </c>
      <c r="L524" s="5">
        <v>0</v>
      </c>
      <c r="M524" s="5">
        <v>0</v>
      </c>
      <c r="N524" s="5">
        <v>3</v>
      </c>
      <c r="O524" s="5">
        <v>0</v>
      </c>
      <c r="P524" s="5">
        <v>6</v>
      </c>
      <c r="Q524" s="28"/>
      <c r="R524" s="28"/>
      <c r="S524" s="28"/>
      <c r="T524" s="28"/>
      <c r="U524" s="28"/>
      <c r="V524" s="28"/>
      <c r="W524" s="28"/>
      <c r="X524" s="25">
        <v>68</v>
      </c>
      <c r="Y524" s="25">
        <v>68</v>
      </c>
      <c r="Z524" s="28">
        <f t="shared" si="440"/>
        <v>76</v>
      </c>
      <c r="AA524" s="28"/>
      <c r="AB524" s="25">
        <v>92</v>
      </c>
      <c r="AC524" s="25">
        <v>76</v>
      </c>
      <c r="AD524" s="28">
        <f t="shared" si="459"/>
        <v>100</v>
      </c>
      <c r="AE524" s="28"/>
      <c r="AF524" s="28"/>
      <c r="AG524" s="28"/>
      <c r="AH524" s="28"/>
      <c r="AI524" s="31">
        <v>100</v>
      </c>
      <c r="AJ524" s="28"/>
      <c r="AK524" s="28"/>
      <c r="AL524" s="23"/>
      <c r="AM524" s="23"/>
      <c r="AN524" s="23"/>
      <c r="AO524" s="23"/>
      <c r="AP524" s="23"/>
      <c r="AQ524" s="23"/>
      <c r="AR524" s="23"/>
      <c r="AS524" s="23"/>
      <c r="AT524" s="30">
        <f t="shared" si="465"/>
        <v>100</v>
      </c>
      <c r="AU524" s="25">
        <f t="shared" si="460"/>
        <v>0</v>
      </c>
      <c r="AV524" s="5" t="s">
        <v>1135</v>
      </c>
      <c r="AW524" s="23">
        <f t="shared" si="461"/>
        <v>68</v>
      </c>
      <c r="AX524" s="23">
        <f t="shared" ref="AX524:BE524" si="467">AW524+AF524-J524</f>
        <v>68</v>
      </c>
      <c r="AY524" s="23">
        <f t="shared" si="467"/>
        <v>68</v>
      </c>
      <c r="AZ524" s="23">
        <f t="shared" si="467"/>
        <v>68</v>
      </c>
      <c r="BA524" s="23">
        <f t="shared" si="467"/>
        <v>168</v>
      </c>
      <c r="BB524" s="23">
        <f t="shared" si="467"/>
        <v>165</v>
      </c>
      <c r="BC524" s="23">
        <f t="shared" si="467"/>
        <v>165</v>
      </c>
      <c r="BD524" s="23">
        <f t="shared" si="467"/>
        <v>159</v>
      </c>
      <c r="BE524" s="23">
        <f t="shared" si="467"/>
        <v>159</v>
      </c>
      <c r="BF524" s="23">
        <f t="shared" ref="BF524:BK524" si="468">BE524+AN524-R524</f>
        <v>159</v>
      </c>
      <c r="BG524" s="23">
        <f t="shared" si="468"/>
        <v>159</v>
      </c>
      <c r="BH524" s="23">
        <f t="shared" si="468"/>
        <v>159</v>
      </c>
      <c r="BI524" s="23">
        <f t="shared" si="468"/>
        <v>159</v>
      </c>
      <c r="BJ524" s="23">
        <f t="shared" si="468"/>
        <v>159</v>
      </c>
      <c r="BK524" s="23">
        <f t="shared" si="468"/>
        <v>159</v>
      </c>
    </row>
    <row r="525" spans="1:63" s="100" customFormat="1" ht="16" hidden="1" customHeight="1">
      <c r="A525" s="28" t="s">
        <v>1008</v>
      </c>
      <c r="B525" s="28" t="s">
        <v>1244</v>
      </c>
      <c r="C525" s="28" t="s">
        <v>1245</v>
      </c>
      <c r="D525" s="28"/>
      <c r="E525" s="28"/>
      <c r="F525" s="28"/>
      <c r="G525" s="28"/>
      <c r="H525" s="28"/>
      <c r="I525" s="28"/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3</v>
      </c>
      <c r="P525" s="5">
        <v>1</v>
      </c>
      <c r="Q525" s="28"/>
      <c r="R525" s="28"/>
      <c r="S525" s="28"/>
      <c r="T525" s="28"/>
      <c r="U525" s="28"/>
      <c r="V525" s="28"/>
      <c r="W525" s="28"/>
      <c r="X525" s="25">
        <v>35</v>
      </c>
      <c r="Y525" s="25">
        <v>31</v>
      </c>
      <c r="Z525" s="28">
        <f t="shared" si="440"/>
        <v>4</v>
      </c>
      <c r="AA525" s="28"/>
      <c r="AB525" s="25">
        <v>31</v>
      </c>
      <c r="AC525" s="25">
        <v>0</v>
      </c>
      <c r="AD525" s="28">
        <f t="shared" si="459"/>
        <v>0</v>
      </c>
      <c r="AE525" s="28"/>
      <c r="AF525" s="28"/>
      <c r="AG525" s="28"/>
      <c r="AH525" s="28"/>
      <c r="AI525" s="28"/>
      <c r="AJ525" s="28"/>
      <c r="AK525" s="28"/>
      <c r="AL525" s="23"/>
      <c r="AM525" s="23"/>
      <c r="AN525" s="23"/>
      <c r="AO525" s="23"/>
      <c r="AP525" s="23"/>
      <c r="AQ525" s="23"/>
      <c r="AR525" s="23"/>
      <c r="AS525" s="23"/>
      <c r="AT525" s="30">
        <f t="shared" si="465"/>
        <v>0</v>
      </c>
      <c r="AU525" s="25">
        <f t="shared" si="460"/>
        <v>0</v>
      </c>
      <c r="AV525" s="5"/>
      <c r="AW525" s="23">
        <f t="shared" si="461"/>
        <v>31</v>
      </c>
      <c r="AX525" s="23">
        <f t="shared" ref="AX525:BE525" si="469">AW525+AF525-J525</f>
        <v>31</v>
      </c>
      <c r="AY525" s="23">
        <f t="shared" si="469"/>
        <v>31</v>
      </c>
      <c r="AZ525" s="23">
        <f t="shared" si="469"/>
        <v>31</v>
      </c>
      <c r="BA525" s="23">
        <f t="shared" si="469"/>
        <v>31</v>
      </c>
      <c r="BB525" s="23">
        <f t="shared" si="469"/>
        <v>31</v>
      </c>
      <c r="BC525" s="23">
        <f t="shared" si="469"/>
        <v>28</v>
      </c>
      <c r="BD525" s="23">
        <f t="shared" si="469"/>
        <v>27</v>
      </c>
      <c r="BE525" s="23">
        <f t="shared" si="469"/>
        <v>27</v>
      </c>
      <c r="BF525" s="23">
        <f t="shared" ref="BF525:BK525" si="470">BE525+AN525-R525</f>
        <v>27</v>
      </c>
      <c r="BG525" s="23">
        <f t="shared" si="470"/>
        <v>27</v>
      </c>
      <c r="BH525" s="23">
        <f t="shared" si="470"/>
        <v>27</v>
      </c>
      <c r="BI525" s="23">
        <f t="shared" si="470"/>
        <v>27</v>
      </c>
      <c r="BJ525" s="23">
        <f t="shared" si="470"/>
        <v>27</v>
      </c>
      <c r="BK525" s="23">
        <f t="shared" si="470"/>
        <v>27</v>
      </c>
    </row>
    <row r="526" spans="1:63" s="100" customFormat="1" ht="16" customHeight="1">
      <c r="A526" s="28" t="s">
        <v>1008</v>
      </c>
      <c r="B526" s="28" t="s">
        <v>1246</v>
      </c>
      <c r="C526" s="28" t="s">
        <v>1247</v>
      </c>
      <c r="D526" s="28"/>
      <c r="E526" s="28"/>
      <c r="F526" s="28"/>
      <c r="G526" s="28"/>
      <c r="H526" s="28"/>
      <c r="I526" s="28"/>
      <c r="J526" s="5">
        <v>0</v>
      </c>
      <c r="K526" s="5">
        <v>0</v>
      </c>
      <c r="L526" s="5">
        <v>4</v>
      </c>
      <c r="M526" s="5">
        <v>0</v>
      </c>
      <c r="N526" s="5">
        <v>0</v>
      </c>
      <c r="O526" s="5">
        <v>0</v>
      </c>
      <c r="P526" s="5">
        <v>0</v>
      </c>
      <c r="Q526" s="28"/>
      <c r="R526" s="28"/>
      <c r="S526" s="28"/>
      <c r="T526" s="28"/>
      <c r="U526" s="28"/>
      <c r="V526" s="28"/>
      <c r="W526" s="28"/>
      <c r="X526" s="25">
        <v>0</v>
      </c>
      <c r="Y526" s="25">
        <v>0</v>
      </c>
      <c r="Z526" s="28">
        <f t="shared" si="440"/>
        <v>6</v>
      </c>
      <c r="AA526" s="28"/>
      <c r="AB526" s="25">
        <v>4</v>
      </c>
      <c r="AC526" s="25">
        <v>6</v>
      </c>
      <c r="AD526" s="28">
        <f t="shared" si="459"/>
        <v>10</v>
      </c>
      <c r="AE526" s="28"/>
      <c r="AF526" s="28"/>
      <c r="AG526" s="28"/>
      <c r="AH526" s="28"/>
      <c r="AI526" s="28"/>
      <c r="AJ526" s="28"/>
      <c r="AK526" s="28"/>
      <c r="AL526" s="23">
        <v>10</v>
      </c>
      <c r="AM526" s="23"/>
      <c r="AN526" s="23"/>
      <c r="AO526" s="23"/>
      <c r="AP526" s="23"/>
      <c r="AQ526" s="23"/>
      <c r="AR526" s="23"/>
      <c r="AS526" s="23"/>
      <c r="AT526" s="30">
        <f t="shared" si="465"/>
        <v>10</v>
      </c>
      <c r="AU526" s="25">
        <f t="shared" si="460"/>
        <v>0</v>
      </c>
      <c r="AV526" s="5" t="s">
        <v>1135</v>
      </c>
      <c r="AW526" s="23">
        <f t="shared" si="461"/>
        <v>0</v>
      </c>
      <c r="AX526" s="23">
        <f t="shared" ref="AX526:BE526" si="471">AW526+AF526-J526</f>
        <v>0</v>
      </c>
      <c r="AY526" s="23">
        <f t="shared" si="471"/>
        <v>0</v>
      </c>
      <c r="AZ526" s="23">
        <f t="shared" si="471"/>
        <v>-4</v>
      </c>
      <c r="BA526" s="23">
        <f t="shared" si="471"/>
        <v>-4</v>
      </c>
      <c r="BB526" s="23">
        <f t="shared" si="471"/>
        <v>-4</v>
      </c>
      <c r="BC526" s="23">
        <f t="shared" si="471"/>
        <v>-4</v>
      </c>
      <c r="BD526" s="23">
        <f t="shared" si="471"/>
        <v>6</v>
      </c>
      <c r="BE526" s="23">
        <f t="shared" si="471"/>
        <v>6</v>
      </c>
      <c r="BF526" s="23">
        <f t="shared" ref="BF526:BK526" si="472">BE526+AN526-R526</f>
        <v>6</v>
      </c>
      <c r="BG526" s="23">
        <f t="shared" si="472"/>
        <v>6</v>
      </c>
      <c r="BH526" s="23">
        <f t="shared" si="472"/>
        <v>6</v>
      </c>
      <c r="BI526" s="23">
        <f t="shared" si="472"/>
        <v>6</v>
      </c>
      <c r="BJ526" s="23">
        <f t="shared" si="472"/>
        <v>6</v>
      </c>
      <c r="BK526" s="23">
        <f t="shared" si="472"/>
        <v>6</v>
      </c>
    </row>
    <row r="527" spans="1:63" s="100" customFormat="1" ht="16" hidden="1" customHeight="1">
      <c r="A527" s="28" t="s">
        <v>1008</v>
      </c>
      <c r="B527" s="28" t="s">
        <v>1248</v>
      </c>
      <c r="C527" s="28" t="s">
        <v>1249</v>
      </c>
      <c r="D527" s="28"/>
      <c r="E527" s="28"/>
      <c r="F527" s="28"/>
      <c r="G527" s="28"/>
      <c r="H527" s="28"/>
      <c r="I527" s="28"/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28"/>
      <c r="R527" s="28"/>
      <c r="S527" s="28"/>
      <c r="T527" s="28"/>
      <c r="U527" s="28"/>
      <c r="V527" s="28"/>
      <c r="W527" s="28"/>
      <c r="X527" s="25">
        <v>0</v>
      </c>
      <c r="Y527" s="25">
        <v>0</v>
      </c>
      <c r="Z527" s="28">
        <f t="shared" si="440"/>
        <v>0</v>
      </c>
      <c r="AA527" s="28"/>
      <c r="AB527" s="25">
        <v>0</v>
      </c>
      <c r="AC527" s="25">
        <v>0</v>
      </c>
      <c r="AD527" s="28">
        <f t="shared" si="459"/>
        <v>0</v>
      </c>
      <c r="AE527" s="28"/>
      <c r="AF527" s="28"/>
      <c r="AG527" s="28"/>
      <c r="AH527" s="28"/>
      <c r="AI527" s="28"/>
      <c r="AJ527" s="28"/>
      <c r="AK527" s="28"/>
      <c r="AL527" s="23"/>
      <c r="AM527" s="23"/>
      <c r="AN527" s="23"/>
      <c r="AO527" s="23"/>
      <c r="AP527" s="23"/>
      <c r="AQ527" s="23"/>
      <c r="AR527" s="23"/>
      <c r="AS527" s="23"/>
      <c r="AT527" s="30">
        <f t="shared" si="465"/>
        <v>0</v>
      </c>
      <c r="AU527" s="25">
        <f t="shared" si="460"/>
        <v>0</v>
      </c>
      <c r="AV527" s="5"/>
      <c r="AW527" s="23">
        <f t="shared" si="461"/>
        <v>0</v>
      </c>
      <c r="AX527" s="23">
        <f t="shared" ref="AX527:BK527" si="473">AW527+AF527-J527</f>
        <v>0</v>
      </c>
      <c r="AY527" s="23">
        <f t="shared" si="473"/>
        <v>0</v>
      </c>
      <c r="AZ527" s="23">
        <f t="shared" si="473"/>
        <v>0</v>
      </c>
      <c r="BA527" s="23">
        <f t="shared" si="473"/>
        <v>0</v>
      </c>
      <c r="BB527" s="23">
        <f t="shared" si="473"/>
        <v>0</v>
      </c>
      <c r="BC527" s="23">
        <f t="shared" si="473"/>
        <v>0</v>
      </c>
      <c r="BD527" s="23">
        <f t="shared" si="473"/>
        <v>0</v>
      </c>
      <c r="BE527" s="23">
        <f t="shared" si="473"/>
        <v>0</v>
      </c>
      <c r="BF527" s="23">
        <f t="shared" si="473"/>
        <v>0</v>
      </c>
      <c r="BG527" s="23">
        <f t="shared" si="473"/>
        <v>0</v>
      </c>
      <c r="BH527" s="23">
        <f t="shared" si="473"/>
        <v>0</v>
      </c>
      <c r="BI527" s="23">
        <f t="shared" si="473"/>
        <v>0</v>
      </c>
      <c r="BJ527" s="23">
        <f t="shared" si="473"/>
        <v>0</v>
      </c>
      <c r="BK527" s="23">
        <f t="shared" si="473"/>
        <v>0</v>
      </c>
    </row>
    <row r="528" spans="1:63" s="100" customFormat="1" ht="16" hidden="1" customHeight="1">
      <c r="A528" s="28" t="s">
        <v>1008</v>
      </c>
      <c r="B528" s="28" t="s">
        <v>1250</v>
      </c>
      <c r="C528" s="28" t="s">
        <v>1251</v>
      </c>
      <c r="D528" s="28"/>
      <c r="E528" s="28"/>
      <c r="F528" s="28"/>
      <c r="G528" s="28"/>
      <c r="H528" s="28"/>
      <c r="I528" s="28"/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28"/>
      <c r="R528" s="28"/>
      <c r="S528" s="28"/>
      <c r="T528" s="28"/>
      <c r="U528" s="28"/>
      <c r="V528" s="28"/>
      <c r="W528" s="28"/>
      <c r="X528" s="25">
        <v>0</v>
      </c>
      <c r="Y528" s="25">
        <v>0</v>
      </c>
      <c r="Z528" s="28">
        <f t="shared" si="440"/>
        <v>0</v>
      </c>
      <c r="AA528" s="28"/>
      <c r="AB528" s="25">
        <v>0</v>
      </c>
      <c r="AC528" s="25">
        <v>0</v>
      </c>
      <c r="AD528" s="28">
        <f t="shared" si="459"/>
        <v>0</v>
      </c>
      <c r="AE528" s="28"/>
      <c r="AF528" s="28"/>
      <c r="AG528" s="28"/>
      <c r="AH528" s="28"/>
      <c r="AI528" s="28"/>
      <c r="AJ528" s="28"/>
      <c r="AK528" s="28"/>
      <c r="AL528" s="23"/>
      <c r="AM528" s="23"/>
      <c r="AN528" s="23"/>
      <c r="AO528" s="23"/>
      <c r="AP528" s="23"/>
      <c r="AQ528" s="23"/>
      <c r="AR528" s="23"/>
      <c r="AS528" s="23"/>
      <c r="AT528" s="30">
        <f t="shared" si="465"/>
        <v>0</v>
      </c>
      <c r="AU528" s="25">
        <f t="shared" si="460"/>
        <v>0</v>
      </c>
      <c r="AV528" s="5"/>
      <c r="AW528" s="23">
        <f t="shared" si="461"/>
        <v>0</v>
      </c>
      <c r="AX528" s="23">
        <f t="shared" ref="AX528:BK528" si="474">AW528+AF528-J528</f>
        <v>0</v>
      </c>
      <c r="AY528" s="23">
        <f t="shared" si="474"/>
        <v>0</v>
      </c>
      <c r="AZ528" s="23">
        <f t="shared" si="474"/>
        <v>0</v>
      </c>
      <c r="BA528" s="23">
        <f t="shared" si="474"/>
        <v>0</v>
      </c>
      <c r="BB528" s="23">
        <f t="shared" si="474"/>
        <v>0</v>
      </c>
      <c r="BC528" s="23">
        <f t="shared" si="474"/>
        <v>0</v>
      </c>
      <c r="BD528" s="23">
        <f t="shared" si="474"/>
        <v>0</v>
      </c>
      <c r="BE528" s="23">
        <f t="shared" si="474"/>
        <v>0</v>
      </c>
      <c r="BF528" s="23">
        <f t="shared" si="474"/>
        <v>0</v>
      </c>
      <c r="BG528" s="23">
        <f t="shared" si="474"/>
        <v>0</v>
      </c>
      <c r="BH528" s="23">
        <f t="shared" si="474"/>
        <v>0</v>
      </c>
      <c r="BI528" s="23">
        <f t="shared" si="474"/>
        <v>0</v>
      </c>
      <c r="BJ528" s="23">
        <f t="shared" si="474"/>
        <v>0</v>
      </c>
      <c r="BK528" s="23">
        <f t="shared" si="474"/>
        <v>0</v>
      </c>
    </row>
    <row r="529" spans="1:63" s="100" customFormat="1" ht="16" hidden="1" customHeight="1">
      <c r="A529" s="28" t="s">
        <v>1008</v>
      </c>
      <c r="B529" s="28" t="s">
        <v>1252</v>
      </c>
      <c r="C529" s="28" t="s">
        <v>1253</v>
      </c>
      <c r="D529" s="28" t="s">
        <v>484</v>
      </c>
      <c r="E529" s="28"/>
      <c r="F529" s="28"/>
      <c r="G529" s="28"/>
      <c r="H529" s="28"/>
      <c r="I529" s="28"/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28"/>
      <c r="R529" s="28"/>
      <c r="S529" s="28"/>
      <c r="T529" s="28"/>
      <c r="U529" s="28"/>
      <c r="V529" s="28"/>
      <c r="W529" s="28"/>
      <c r="X529" s="25">
        <v>0</v>
      </c>
      <c r="Y529" s="25">
        <v>0</v>
      </c>
      <c r="Z529" s="28">
        <f t="shared" si="440"/>
        <v>0</v>
      </c>
      <c r="AA529" s="28"/>
      <c r="AB529" s="25">
        <v>0</v>
      </c>
      <c r="AC529" s="25">
        <v>0</v>
      </c>
      <c r="AD529" s="28">
        <f t="shared" si="459"/>
        <v>0</v>
      </c>
      <c r="AE529" s="28"/>
      <c r="AF529" s="28"/>
      <c r="AG529" s="28"/>
      <c r="AH529" s="28"/>
      <c r="AI529" s="28"/>
      <c r="AJ529" s="28"/>
      <c r="AK529" s="28"/>
      <c r="AL529" s="23"/>
      <c r="AM529" s="23"/>
      <c r="AN529" s="23"/>
      <c r="AO529" s="23"/>
      <c r="AP529" s="23"/>
      <c r="AQ529" s="23"/>
      <c r="AR529" s="23"/>
      <c r="AS529" s="23"/>
      <c r="AT529" s="30">
        <f t="shared" ref="AT529:AT534" si="475">SUM(AE529:AR529)</f>
        <v>0</v>
      </c>
      <c r="AU529" s="25">
        <f t="shared" si="460"/>
        <v>0</v>
      </c>
      <c r="AV529" s="5"/>
      <c r="AW529" s="23">
        <f t="shared" ref="AW529:AW553" si="476">AE529+Y529-I529</f>
        <v>0</v>
      </c>
      <c r="AX529" s="23">
        <f t="shared" ref="AX529:AX579" si="477">AW529+AF529-J529</f>
        <v>0</v>
      </c>
      <c r="AY529" s="23">
        <f t="shared" ref="AY529:AY579" si="478">AX529+AG529-K529</f>
        <v>0</v>
      </c>
      <c r="AZ529" s="23">
        <f t="shared" ref="AZ529:AZ579" si="479">AY529+AH529-L529</f>
        <v>0</v>
      </c>
      <c r="BA529" s="23">
        <f t="shared" ref="BA529:BA579" si="480">AZ529+AI529-M529</f>
        <v>0</v>
      </c>
      <c r="BB529" s="23">
        <f t="shared" ref="BB529:BB579" si="481">BA529+AJ529-N529</f>
        <v>0</v>
      </c>
      <c r="BC529" s="23">
        <f t="shared" ref="BC529:BC579" si="482">BB529+AK529-O529</f>
        <v>0</v>
      </c>
      <c r="BD529" s="23">
        <f t="shared" ref="BD529:BD579" si="483">BC529+AL529-P529</f>
        <v>0</v>
      </c>
      <c r="BE529" s="23">
        <f t="shared" ref="BE529:BE579" si="484">BD529+AM529-Q529</f>
        <v>0</v>
      </c>
      <c r="BF529" s="23">
        <f t="shared" ref="BF529:BF579" si="485">BE529+AN529-R529</f>
        <v>0</v>
      </c>
      <c r="BG529" s="23">
        <f t="shared" ref="BG529:BG579" si="486">BF529+AO529-S529</f>
        <v>0</v>
      </c>
      <c r="BH529" s="23">
        <f t="shared" ref="BH529:BH539" si="487">AP529+AJ529-T529</f>
        <v>0</v>
      </c>
      <c r="BI529" s="23">
        <f t="shared" ref="BI529:BI539" si="488">AQ529+AK529-U529</f>
        <v>0</v>
      </c>
      <c r="BJ529" s="23">
        <f t="shared" ref="BJ529:BJ539" si="489">AR529+AL529-V529</f>
        <v>0</v>
      </c>
      <c r="BK529" s="23">
        <f t="shared" ref="BK529:BK539" si="490">AS529+AM529-W529</f>
        <v>0</v>
      </c>
    </row>
    <row r="530" spans="1:63" s="100" customFormat="1" ht="16" hidden="1" customHeight="1">
      <c r="A530" s="28" t="s">
        <v>1008</v>
      </c>
      <c r="B530" s="28" t="s">
        <v>1254</v>
      </c>
      <c r="C530" s="28" t="s">
        <v>1255</v>
      </c>
      <c r="D530" s="28" t="s">
        <v>484</v>
      </c>
      <c r="E530" s="28"/>
      <c r="F530" s="28"/>
      <c r="G530" s="28"/>
      <c r="H530" s="28"/>
      <c r="I530" s="28"/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28"/>
      <c r="R530" s="28"/>
      <c r="S530" s="28"/>
      <c r="T530" s="28"/>
      <c r="U530" s="28"/>
      <c r="V530" s="28"/>
      <c r="W530" s="28"/>
      <c r="X530" s="25">
        <v>0</v>
      </c>
      <c r="Y530" s="25">
        <v>0</v>
      </c>
      <c r="Z530" s="28">
        <f t="shared" si="440"/>
        <v>0</v>
      </c>
      <c r="AA530" s="28"/>
      <c r="AB530" s="25">
        <v>0</v>
      </c>
      <c r="AC530" s="25">
        <v>0</v>
      </c>
      <c r="AD530" s="28">
        <f t="shared" si="459"/>
        <v>0</v>
      </c>
      <c r="AE530" s="28"/>
      <c r="AF530" s="28"/>
      <c r="AG530" s="28"/>
      <c r="AH530" s="28"/>
      <c r="AI530" s="28"/>
      <c r="AJ530" s="28"/>
      <c r="AK530" s="28"/>
      <c r="AL530" s="23"/>
      <c r="AM530" s="23"/>
      <c r="AN530" s="23"/>
      <c r="AO530" s="23"/>
      <c r="AP530" s="23"/>
      <c r="AQ530" s="23"/>
      <c r="AR530" s="23"/>
      <c r="AS530" s="23"/>
      <c r="AT530" s="30">
        <f t="shared" si="475"/>
        <v>0</v>
      </c>
      <c r="AU530" s="25">
        <f t="shared" si="460"/>
        <v>0</v>
      </c>
      <c r="AV530" s="5"/>
      <c r="AW530" s="23">
        <f t="shared" si="476"/>
        <v>0</v>
      </c>
      <c r="AX530" s="23">
        <f t="shared" si="477"/>
        <v>0</v>
      </c>
      <c r="AY530" s="23">
        <f t="shared" si="478"/>
        <v>0</v>
      </c>
      <c r="AZ530" s="23">
        <f t="shared" si="479"/>
        <v>0</v>
      </c>
      <c r="BA530" s="23">
        <f t="shared" si="480"/>
        <v>0</v>
      </c>
      <c r="BB530" s="23">
        <f t="shared" si="481"/>
        <v>0</v>
      </c>
      <c r="BC530" s="23">
        <f t="shared" si="482"/>
        <v>0</v>
      </c>
      <c r="BD530" s="23">
        <f t="shared" si="483"/>
        <v>0</v>
      </c>
      <c r="BE530" s="23">
        <f t="shared" si="484"/>
        <v>0</v>
      </c>
      <c r="BF530" s="23">
        <f t="shared" si="485"/>
        <v>0</v>
      </c>
      <c r="BG530" s="23">
        <f t="shared" si="486"/>
        <v>0</v>
      </c>
      <c r="BH530" s="23">
        <f t="shared" si="487"/>
        <v>0</v>
      </c>
      <c r="BI530" s="23">
        <f t="shared" si="488"/>
        <v>0</v>
      </c>
      <c r="BJ530" s="23">
        <f t="shared" si="489"/>
        <v>0</v>
      </c>
      <c r="BK530" s="23">
        <f t="shared" si="490"/>
        <v>0</v>
      </c>
    </row>
    <row r="531" spans="1:63" s="100" customFormat="1" ht="16" hidden="1" customHeight="1">
      <c r="A531" s="28" t="s">
        <v>1008</v>
      </c>
      <c r="B531" s="28" t="s">
        <v>1256</v>
      </c>
      <c r="C531" s="28" t="s">
        <v>1257</v>
      </c>
      <c r="D531" s="28" t="s">
        <v>484</v>
      </c>
      <c r="E531" s="28"/>
      <c r="F531" s="28"/>
      <c r="G531" s="28"/>
      <c r="H531" s="28"/>
      <c r="I531" s="28"/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28"/>
      <c r="R531" s="28"/>
      <c r="S531" s="28"/>
      <c r="T531" s="28"/>
      <c r="U531" s="28"/>
      <c r="V531" s="28"/>
      <c r="W531" s="28"/>
      <c r="X531" s="25">
        <v>0</v>
      </c>
      <c r="Y531" s="25">
        <v>0</v>
      </c>
      <c r="Z531" s="28">
        <f t="shared" si="440"/>
        <v>0</v>
      </c>
      <c r="AA531" s="28"/>
      <c r="AB531" s="25">
        <v>0</v>
      </c>
      <c r="AC531" s="25">
        <v>0</v>
      </c>
      <c r="AD531" s="28">
        <f t="shared" ref="AD531:AD537" si="491">AB531-Y531+AA531+AC531</f>
        <v>0</v>
      </c>
      <c r="AE531" s="28"/>
      <c r="AF531" s="28"/>
      <c r="AG531" s="28"/>
      <c r="AH531" s="28"/>
      <c r="AI531" s="28"/>
      <c r="AJ531" s="28"/>
      <c r="AK531" s="28"/>
      <c r="AL531" s="23"/>
      <c r="AM531" s="23"/>
      <c r="AN531" s="23"/>
      <c r="AO531" s="23"/>
      <c r="AP531" s="23"/>
      <c r="AQ531" s="23"/>
      <c r="AR531" s="23"/>
      <c r="AS531" s="23"/>
      <c r="AT531" s="30">
        <f t="shared" si="475"/>
        <v>0</v>
      </c>
      <c r="AU531" s="25">
        <f t="shared" ref="AU531:AU537" si="492">AD531-AT531</f>
        <v>0</v>
      </c>
      <c r="AV531" s="5"/>
      <c r="AW531" s="23">
        <f t="shared" si="476"/>
        <v>0</v>
      </c>
      <c r="AX531" s="23">
        <f t="shared" si="477"/>
        <v>0</v>
      </c>
      <c r="AY531" s="23">
        <f t="shared" si="478"/>
        <v>0</v>
      </c>
      <c r="AZ531" s="23">
        <f t="shared" si="479"/>
        <v>0</v>
      </c>
      <c r="BA531" s="23">
        <f t="shared" si="480"/>
        <v>0</v>
      </c>
      <c r="BB531" s="23">
        <f t="shared" si="481"/>
        <v>0</v>
      </c>
      <c r="BC531" s="23">
        <f t="shared" si="482"/>
        <v>0</v>
      </c>
      <c r="BD531" s="23">
        <f t="shared" si="483"/>
        <v>0</v>
      </c>
      <c r="BE531" s="23">
        <f t="shared" si="484"/>
        <v>0</v>
      </c>
      <c r="BF531" s="23">
        <f t="shared" si="485"/>
        <v>0</v>
      </c>
      <c r="BG531" s="23">
        <f t="shared" si="486"/>
        <v>0</v>
      </c>
      <c r="BH531" s="23">
        <f t="shared" si="487"/>
        <v>0</v>
      </c>
      <c r="BI531" s="23">
        <f t="shared" si="488"/>
        <v>0</v>
      </c>
      <c r="BJ531" s="23">
        <f t="shared" si="489"/>
        <v>0</v>
      </c>
      <c r="BK531" s="23">
        <f t="shared" si="490"/>
        <v>0</v>
      </c>
    </row>
    <row r="532" spans="1:63" s="100" customFormat="1" ht="16" hidden="1" customHeight="1">
      <c r="A532" s="28" t="s">
        <v>1008</v>
      </c>
      <c r="B532" s="28" t="s">
        <v>1258</v>
      </c>
      <c r="C532" s="28" t="s">
        <v>1259</v>
      </c>
      <c r="D532" s="28" t="s">
        <v>484</v>
      </c>
      <c r="E532" s="28"/>
      <c r="F532" s="28"/>
      <c r="G532" s="28"/>
      <c r="H532" s="28"/>
      <c r="I532" s="28"/>
      <c r="J532" s="5">
        <v>0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28"/>
      <c r="R532" s="28"/>
      <c r="S532" s="28"/>
      <c r="T532" s="28"/>
      <c r="U532" s="28"/>
      <c r="V532" s="28"/>
      <c r="W532" s="28"/>
      <c r="X532" s="25">
        <v>0</v>
      </c>
      <c r="Y532" s="25">
        <v>0</v>
      </c>
      <c r="Z532" s="28">
        <f t="shared" si="440"/>
        <v>0</v>
      </c>
      <c r="AA532" s="28"/>
      <c r="AB532" s="25">
        <v>0</v>
      </c>
      <c r="AC532" s="25">
        <v>0</v>
      </c>
      <c r="AD532" s="28">
        <f t="shared" si="491"/>
        <v>0</v>
      </c>
      <c r="AE532" s="28"/>
      <c r="AF532" s="28"/>
      <c r="AG532" s="28"/>
      <c r="AH532" s="28"/>
      <c r="AI532" s="28"/>
      <c r="AJ532" s="28"/>
      <c r="AK532" s="28"/>
      <c r="AL532" s="23"/>
      <c r="AM532" s="23"/>
      <c r="AN532" s="23"/>
      <c r="AO532" s="23"/>
      <c r="AP532" s="23"/>
      <c r="AQ532" s="23"/>
      <c r="AR532" s="23"/>
      <c r="AS532" s="23"/>
      <c r="AT532" s="30">
        <f t="shared" si="475"/>
        <v>0</v>
      </c>
      <c r="AU532" s="25">
        <f t="shared" si="492"/>
        <v>0</v>
      </c>
      <c r="AV532" s="5"/>
      <c r="AW532" s="23">
        <f t="shared" si="476"/>
        <v>0</v>
      </c>
      <c r="AX532" s="23">
        <f t="shared" si="477"/>
        <v>0</v>
      </c>
      <c r="AY532" s="23">
        <f t="shared" si="478"/>
        <v>0</v>
      </c>
      <c r="AZ532" s="23">
        <f t="shared" si="479"/>
        <v>0</v>
      </c>
      <c r="BA532" s="23">
        <f t="shared" si="480"/>
        <v>0</v>
      </c>
      <c r="BB532" s="23">
        <f t="shared" si="481"/>
        <v>0</v>
      </c>
      <c r="BC532" s="23">
        <f t="shared" si="482"/>
        <v>0</v>
      </c>
      <c r="BD532" s="23">
        <f t="shared" si="483"/>
        <v>0</v>
      </c>
      <c r="BE532" s="23">
        <f t="shared" si="484"/>
        <v>0</v>
      </c>
      <c r="BF532" s="23">
        <f t="shared" si="485"/>
        <v>0</v>
      </c>
      <c r="BG532" s="23">
        <f t="shared" si="486"/>
        <v>0</v>
      </c>
      <c r="BH532" s="23">
        <f t="shared" si="487"/>
        <v>0</v>
      </c>
      <c r="BI532" s="23">
        <f t="shared" si="488"/>
        <v>0</v>
      </c>
      <c r="BJ532" s="23">
        <f t="shared" si="489"/>
        <v>0</v>
      </c>
      <c r="BK532" s="23">
        <f t="shared" si="490"/>
        <v>0</v>
      </c>
    </row>
    <row r="533" spans="1:63" s="100" customFormat="1" ht="16" hidden="1" customHeight="1">
      <c r="A533" s="28" t="s">
        <v>1008</v>
      </c>
      <c r="B533" s="28" t="s">
        <v>1260</v>
      </c>
      <c r="C533" s="28" t="s">
        <v>1261</v>
      </c>
      <c r="D533" s="28" t="s">
        <v>484</v>
      </c>
      <c r="E533" s="28"/>
      <c r="F533" s="28"/>
      <c r="G533" s="28"/>
      <c r="H533" s="28"/>
      <c r="I533" s="28"/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28"/>
      <c r="R533" s="28"/>
      <c r="S533" s="28"/>
      <c r="T533" s="28"/>
      <c r="U533" s="28"/>
      <c r="V533" s="28"/>
      <c r="W533" s="28"/>
      <c r="X533" s="25">
        <v>0</v>
      </c>
      <c r="Y533" s="25">
        <v>0</v>
      </c>
      <c r="Z533" s="28">
        <f t="shared" si="440"/>
        <v>0</v>
      </c>
      <c r="AA533" s="28"/>
      <c r="AB533" s="25">
        <v>0</v>
      </c>
      <c r="AC533" s="25">
        <v>0</v>
      </c>
      <c r="AD533" s="28">
        <f t="shared" si="491"/>
        <v>0</v>
      </c>
      <c r="AE533" s="28"/>
      <c r="AF533" s="28"/>
      <c r="AG533" s="28"/>
      <c r="AH533" s="28"/>
      <c r="AI533" s="28"/>
      <c r="AJ533" s="28"/>
      <c r="AK533" s="28"/>
      <c r="AL533" s="23"/>
      <c r="AM533" s="23"/>
      <c r="AN533" s="23"/>
      <c r="AO533" s="23"/>
      <c r="AP533" s="23"/>
      <c r="AQ533" s="23"/>
      <c r="AR533" s="23"/>
      <c r="AS533" s="23"/>
      <c r="AT533" s="30">
        <f t="shared" si="475"/>
        <v>0</v>
      </c>
      <c r="AU533" s="25">
        <f t="shared" si="492"/>
        <v>0</v>
      </c>
      <c r="AV533" s="5"/>
      <c r="AW533" s="23">
        <f t="shared" si="476"/>
        <v>0</v>
      </c>
      <c r="AX533" s="23">
        <f t="shared" si="477"/>
        <v>0</v>
      </c>
      <c r="AY533" s="23">
        <f t="shared" si="478"/>
        <v>0</v>
      </c>
      <c r="AZ533" s="23">
        <f t="shared" si="479"/>
        <v>0</v>
      </c>
      <c r="BA533" s="23">
        <f t="shared" si="480"/>
        <v>0</v>
      </c>
      <c r="BB533" s="23">
        <f t="shared" si="481"/>
        <v>0</v>
      </c>
      <c r="BC533" s="23">
        <f t="shared" si="482"/>
        <v>0</v>
      </c>
      <c r="BD533" s="23">
        <f t="shared" si="483"/>
        <v>0</v>
      </c>
      <c r="BE533" s="23">
        <f t="shared" si="484"/>
        <v>0</v>
      </c>
      <c r="BF533" s="23">
        <f t="shared" si="485"/>
        <v>0</v>
      </c>
      <c r="BG533" s="23">
        <f t="shared" si="486"/>
        <v>0</v>
      </c>
      <c r="BH533" s="23">
        <f t="shared" si="487"/>
        <v>0</v>
      </c>
      <c r="BI533" s="23">
        <f t="shared" si="488"/>
        <v>0</v>
      </c>
      <c r="BJ533" s="23">
        <f t="shared" si="489"/>
        <v>0</v>
      </c>
      <c r="BK533" s="23">
        <f t="shared" si="490"/>
        <v>0</v>
      </c>
    </row>
    <row r="534" spans="1:63" s="100" customFormat="1" ht="16" hidden="1" customHeight="1">
      <c r="A534" s="28" t="s">
        <v>1008</v>
      </c>
      <c r="B534" s="28" t="s">
        <v>1262</v>
      </c>
      <c r="C534" s="28" t="s">
        <v>1263</v>
      </c>
      <c r="D534" s="28" t="s">
        <v>484</v>
      </c>
      <c r="E534" s="28"/>
      <c r="F534" s="28"/>
      <c r="G534" s="28"/>
      <c r="H534" s="28"/>
      <c r="I534" s="28"/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28"/>
      <c r="R534" s="28"/>
      <c r="S534" s="28"/>
      <c r="T534" s="28"/>
      <c r="U534" s="28"/>
      <c r="V534" s="28"/>
      <c r="W534" s="28"/>
      <c r="X534" s="25">
        <v>0</v>
      </c>
      <c r="Y534" s="25">
        <v>0</v>
      </c>
      <c r="Z534" s="28">
        <f t="shared" si="440"/>
        <v>0</v>
      </c>
      <c r="AA534" s="28"/>
      <c r="AB534" s="25">
        <v>0</v>
      </c>
      <c r="AC534" s="25">
        <v>0</v>
      </c>
      <c r="AD534" s="28">
        <f t="shared" si="491"/>
        <v>0</v>
      </c>
      <c r="AE534" s="28"/>
      <c r="AF534" s="28"/>
      <c r="AG534" s="28"/>
      <c r="AH534" s="28"/>
      <c r="AI534" s="28"/>
      <c r="AJ534" s="28"/>
      <c r="AK534" s="28"/>
      <c r="AL534" s="23"/>
      <c r="AM534" s="23"/>
      <c r="AN534" s="23"/>
      <c r="AO534" s="23"/>
      <c r="AP534" s="23"/>
      <c r="AQ534" s="23"/>
      <c r="AR534" s="23"/>
      <c r="AS534" s="23"/>
      <c r="AT534" s="30">
        <f t="shared" si="475"/>
        <v>0</v>
      </c>
      <c r="AU534" s="25">
        <f t="shared" si="492"/>
        <v>0</v>
      </c>
      <c r="AV534" s="5"/>
      <c r="AW534" s="23">
        <f t="shared" si="476"/>
        <v>0</v>
      </c>
      <c r="AX534" s="23">
        <f t="shared" si="477"/>
        <v>0</v>
      </c>
      <c r="AY534" s="23">
        <f t="shared" si="478"/>
        <v>0</v>
      </c>
      <c r="AZ534" s="23">
        <f t="shared" si="479"/>
        <v>0</v>
      </c>
      <c r="BA534" s="23">
        <f t="shared" si="480"/>
        <v>0</v>
      </c>
      <c r="BB534" s="23">
        <f t="shared" si="481"/>
        <v>0</v>
      </c>
      <c r="BC534" s="23">
        <f t="shared" si="482"/>
        <v>0</v>
      </c>
      <c r="BD534" s="23">
        <f t="shared" si="483"/>
        <v>0</v>
      </c>
      <c r="BE534" s="23">
        <f t="shared" si="484"/>
        <v>0</v>
      </c>
      <c r="BF534" s="23">
        <f t="shared" si="485"/>
        <v>0</v>
      </c>
      <c r="BG534" s="23">
        <f t="shared" si="486"/>
        <v>0</v>
      </c>
      <c r="BH534" s="23">
        <f t="shared" si="487"/>
        <v>0</v>
      </c>
      <c r="BI534" s="23">
        <f t="shared" si="488"/>
        <v>0</v>
      </c>
      <c r="BJ534" s="23">
        <f t="shared" si="489"/>
        <v>0</v>
      </c>
      <c r="BK534" s="23">
        <f t="shared" si="490"/>
        <v>0</v>
      </c>
    </row>
    <row r="535" spans="1:63" s="100" customFormat="1" ht="16" hidden="1" customHeight="1">
      <c r="A535" s="28" t="s">
        <v>1008</v>
      </c>
      <c r="B535" s="28" t="s">
        <v>1264</v>
      </c>
      <c r="C535" s="28" t="s">
        <v>1265</v>
      </c>
      <c r="D535" s="28" t="s">
        <v>484</v>
      </c>
      <c r="E535" s="28"/>
      <c r="F535" s="28"/>
      <c r="G535" s="28"/>
      <c r="H535" s="28"/>
      <c r="I535" s="28"/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28"/>
      <c r="R535" s="28"/>
      <c r="S535" s="28"/>
      <c r="T535" s="28"/>
      <c r="U535" s="28"/>
      <c r="V535" s="28"/>
      <c r="W535" s="28"/>
      <c r="X535" s="25">
        <v>0</v>
      </c>
      <c r="Y535" s="25">
        <v>0</v>
      </c>
      <c r="Z535" s="28">
        <f t="shared" ref="Z535:Z579" si="493">X535-Y535+AC535</f>
        <v>0</v>
      </c>
      <c r="AA535" s="28"/>
      <c r="AB535" s="25">
        <v>0</v>
      </c>
      <c r="AC535" s="25">
        <v>0</v>
      </c>
      <c r="AD535" s="28">
        <f t="shared" si="491"/>
        <v>0</v>
      </c>
      <c r="AE535" s="28"/>
      <c r="AF535" s="28"/>
      <c r="AG535" s="28"/>
      <c r="AH535" s="28"/>
      <c r="AI535" s="28"/>
      <c r="AJ535" s="28"/>
      <c r="AK535" s="28"/>
      <c r="AL535" s="23"/>
      <c r="AM535" s="23"/>
      <c r="AN535" s="23"/>
      <c r="AO535" s="23"/>
      <c r="AP535" s="23"/>
      <c r="AQ535" s="23"/>
      <c r="AR535" s="23"/>
      <c r="AS535" s="23"/>
      <c r="AT535" s="30">
        <f t="shared" ref="AT535:AT579" si="494">SUM(AE535:AR535)</f>
        <v>0</v>
      </c>
      <c r="AU535" s="25">
        <f t="shared" si="492"/>
        <v>0</v>
      </c>
      <c r="AV535" s="5"/>
      <c r="AW535" s="23">
        <f t="shared" si="476"/>
        <v>0</v>
      </c>
      <c r="AX535" s="23">
        <f t="shared" si="477"/>
        <v>0</v>
      </c>
      <c r="AY535" s="23">
        <f t="shared" si="478"/>
        <v>0</v>
      </c>
      <c r="AZ535" s="23">
        <f t="shared" si="479"/>
        <v>0</v>
      </c>
      <c r="BA535" s="23">
        <f t="shared" si="480"/>
        <v>0</v>
      </c>
      <c r="BB535" s="23">
        <f t="shared" si="481"/>
        <v>0</v>
      </c>
      <c r="BC535" s="23">
        <f t="shared" si="482"/>
        <v>0</v>
      </c>
      <c r="BD535" s="23">
        <f t="shared" si="483"/>
        <v>0</v>
      </c>
      <c r="BE535" s="23">
        <f t="shared" si="484"/>
        <v>0</v>
      </c>
      <c r="BF535" s="23">
        <f t="shared" si="485"/>
        <v>0</v>
      </c>
      <c r="BG535" s="23">
        <f t="shared" si="486"/>
        <v>0</v>
      </c>
      <c r="BH535" s="23">
        <f t="shared" si="487"/>
        <v>0</v>
      </c>
      <c r="BI535" s="23">
        <f t="shared" si="488"/>
        <v>0</v>
      </c>
      <c r="BJ535" s="23">
        <f t="shared" si="489"/>
        <v>0</v>
      </c>
      <c r="BK535" s="23">
        <f t="shared" si="490"/>
        <v>0</v>
      </c>
    </row>
    <row r="536" spans="1:63" s="100" customFormat="1" ht="16" hidden="1" customHeight="1">
      <c r="A536" s="28" t="s">
        <v>1008</v>
      </c>
      <c r="B536" s="28" t="s">
        <v>1266</v>
      </c>
      <c r="C536" s="28" t="s">
        <v>1267</v>
      </c>
      <c r="D536" s="28" t="s">
        <v>484</v>
      </c>
      <c r="E536" s="28"/>
      <c r="F536" s="28"/>
      <c r="G536" s="28"/>
      <c r="H536" s="28"/>
      <c r="I536" s="28"/>
      <c r="J536" s="5">
        <v>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28"/>
      <c r="R536" s="28"/>
      <c r="S536" s="28"/>
      <c r="T536" s="28"/>
      <c r="U536" s="28"/>
      <c r="V536" s="28"/>
      <c r="W536" s="28"/>
      <c r="X536" s="25">
        <v>0</v>
      </c>
      <c r="Y536" s="25">
        <v>0</v>
      </c>
      <c r="Z536" s="28">
        <f t="shared" si="493"/>
        <v>0</v>
      </c>
      <c r="AA536" s="28"/>
      <c r="AB536" s="25">
        <v>0</v>
      </c>
      <c r="AC536" s="25">
        <v>0</v>
      </c>
      <c r="AD536" s="28">
        <f t="shared" si="491"/>
        <v>0</v>
      </c>
      <c r="AE536" s="28"/>
      <c r="AF536" s="28"/>
      <c r="AG536" s="28"/>
      <c r="AH536" s="28"/>
      <c r="AI536" s="28"/>
      <c r="AJ536" s="28"/>
      <c r="AK536" s="28"/>
      <c r="AL536" s="23"/>
      <c r="AM536" s="23"/>
      <c r="AN536" s="23"/>
      <c r="AO536" s="23"/>
      <c r="AP536" s="23"/>
      <c r="AQ536" s="23"/>
      <c r="AR536" s="23"/>
      <c r="AS536" s="23"/>
      <c r="AT536" s="30">
        <f t="shared" si="494"/>
        <v>0</v>
      </c>
      <c r="AU536" s="25">
        <f t="shared" si="492"/>
        <v>0</v>
      </c>
      <c r="AV536" s="5"/>
      <c r="AW536" s="23">
        <f t="shared" si="476"/>
        <v>0</v>
      </c>
      <c r="AX536" s="23">
        <f t="shared" si="477"/>
        <v>0</v>
      </c>
      <c r="AY536" s="23">
        <f t="shared" si="478"/>
        <v>0</v>
      </c>
      <c r="AZ536" s="23">
        <f t="shared" si="479"/>
        <v>0</v>
      </c>
      <c r="BA536" s="23">
        <f t="shared" si="480"/>
        <v>0</v>
      </c>
      <c r="BB536" s="23">
        <f t="shared" si="481"/>
        <v>0</v>
      </c>
      <c r="BC536" s="23">
        <f t="shared" si="482"/>
        <v>0</v>
      </c>
      <c r="BD536" s="23">
        <f t="shared" si="483"/>
        <v>0</v>
      </c>
      <c r="BE536" s="23">
        <f t="shared" si="484"/>
        <v>0</v>
      </c>
      <c r="BF536" s="23">
        <f t="shared" si="485"/>
        <v>0</v>
      </c>
      <c r="BG536" s="23">
        <f t="shared" si="486"/>
        <v>0</v>
      </c>
      <c r="BH536" s="23">
        <f t="shared" si="487"/>
        <v>0</v>
      </c>
      <c r="BI536" s="23">
        <f t="shared" si="488"/>
        <v>0</v>
      </c>
      <c r="BJ536" s="23">
        <f t="shared" si="489"/>
        <v>0</v>
      </c>
      <c r="BK536" s="23">
        <f t="shared" si="490"/>
        <v>0</v>
      </c>
    </row>
    <row r="537" spans="1:63" s="100" customFormat="1" ht="16" hidden="1" customHeight="1">
      <c r="A537" s="28" t="s">
        <v>1008</v>
      </c>
      <c r="B537" s="28" t="s">
        <v>1268</v>
      </c>
      <c r="C537" s="28" t="s">
        <v>1269</v>
      </c>
      <c r="D537" s="28" t="s">
        <v>484</v>
      </c>
      <c r="E537" s="28"/>
      <c r="F537" s="28"/>
      <c r="G537" s="28"/>
      <c r="H537" s="28"/>
      <c r="I537" s="28"/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28"/>
      <c r="R537" s="28"/>
      <c r="S537" s="28"/>
      <c r="T537" s="28"/>
      <c r="U537" s="28"/>
      <c r="V537" s="28"/>
      <c r="W537" s="28"/>
      <c r="X537" s="25">
        <v>0</v>
      </c>
      <c r="Y537" s="25">
        <v>0</v>
      </c>
      <c r="Z537" s="28">
        <f t="shared" si="493"/>
        <v>0</v>
      </c>
      <c r="AA537" s="28"/>
      <c r="AB537" s="25">
        <v>0</v>
      </c>
      <c r="AC537" s="25">
        <v>0</v>
      </c>
      <c r="AD537" s="28">
        <f t="shared" si="491"/>
        <v>0</v>
      </c>
      <c r="AE537" s="28"/>
      <c r="AF537" s="28"/>
      <c r="AG537" s="28"/>
      <c r="AH537" s="28"/>
      <c r="AI537" s="28"/>
      <c r="AJ537" s="28"/>
      <c r="AK537" s="28"/>
      <c r="AL537" s="23"/>
      <c r="AM537" s="23"/>
      <c r="AN537" s="23"/>
      <c r="AO537" s="23"/>
      <c r="AP537" s="23"/>
      <c r="AQ537" s="23"/>
      <c r="AR537" s="23"/>
      <c r="AS537" s="23"/>
      <c r="AT537" s="30">
        <f t="shared" si="494"/>
        <v>0</v>
      </c>
      <c r="AU537" s="25">
        <f t="shared" si="492"/>
        <v>0</v>
      </c>
      <c r="AV537" s="5"/>
      <c r="AW537" s="23">
        <f t="shared" si="476"/>
        <v>0</v>
      </c>
      <c r="AX537" s="23">
        <f t="shared" si="477"/>
        <v>0</v>
      </c>
      <c r="AY537" s="23">
        <f t="shared" si="478"/>
        <v>0</v>
      </c>
      <c r="AZ537" s="23">
        <f t="shared" si="479"/>
        <v>0</v>
      </c>
      <c r="BA537" s="23">
        <f t="shared" si="480"/>
        <v>0</v>
      </c>
      <c r="BB537" s="23">
        <f t="shared" si="481"/>
        <v>0</v>
      </c>
      <c r="BC537" s="23">
        <f t="shared" si="482"/>
        <v>0</v>
      </c>
      <c r="BD537" s="23">
        <f t="shared" si="483"/>
        <v>0</v>
      </c>
      <c r="BE537" s="23">
        <f t="shared" si="484"/>
        <v>0</v>
      </c>
      <c r="BF537" s="23">
        <f t="shared" si="485"/>
        <v>0</v>
      </c>
      <c r="BG537" s="23">
        <f t="shared" si="486"/>
        <v>0</v>
      </c>
      <c r="BH537" s="23">
        <f t="shared" si="487"/>
        <v>0</v>
      </c>
      <c r="BI537" s="23">
        <f t="shared" si="488"/>
        <v>0</v>
      </c>
      <c r="BJ537" s="23">
        <f t="shared" si="489"/>
        <v>0</v>
      </c>
      <c r="BK537" s="23">
        <f t="shared" si="490"/>
        <v>0</v>
      </c>
    </row>
    <row r="538" spans="1:63" s="100" customFormat="1" ht="16" hidden="1" customHeight="1">
      <c r="A538" s="28" t="s">
        <v>1008</v>
      </c>
      <c r="B538" s="28" t="s">
        <v>1270</v>
      </c>
      <c r="C538" s="28" t="s">
        <v>1271</v>
      </c>
      <c r="D538" s="28" t="s">
        <v>484</v>
      </c>
      <c r="E538" s="28"/>
      <c r="F538" s="28"/>
      <c r="G538" s="28"/>
      <c r="H538" s="28"/>
      <c r="I538" s="28"/>
      <c r="J538" s="5">
        <v>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28"/>
      <c r="R538" s="28"/>
      <c r="S538" s="28"/>
      <c r="T538" s="28"/>
      <c r="U538" s="28"/>
      <c r="V538" s="28"/>
      <c r="W538" s="28"/>
      <c r="X538" s="25">
        <v>0</v>
      </c>
      <c r="Y538" s="25">
        <v>0</v>
      </c>
      <c r="Z538" s="28">
        <f t="shared" si="493"/>
        <v>0</v>
      </c>
      <c r="AA538" s="28"/>
      <c r="AB538" s="25">
        <v>0</v>
      </c>
      <c r="AC538" s="25">
        <v>0</v>
      </c>
      <c r="AD538" s="28">
        <f t="shared" ref="AD538:AD543" si="495">AB538-Y538+AA538+AC538</f>
        <v>0</v>
      </c>
      <c r="AE538" s="28"/>
      <c r="AF538" s="28"/>
      <c r="AG538" s="28"/>
      <c r="AH538" s="28"/>
      <c r="AI538" s="28"/>
      <c r="AJ538" s="28"/>
      <c r="AK538" s="28"/>
      <c r="AL538" s="23"/>
      <c r="AM538" s="23"/>
      <c r="AN538" s="23"/>
      <c r="AO538" s="23"/>
      <c r="AP538" s="23"/>
      <c r="AQ538" s="23"/>
      <c r="AR538" s="23"/>
      <c r="AS538" s="23"/>
      <c r="AT538" s="30">
        <f t="shared" si="494"/>
        <v>0</v>
      </c>
      <c r="AU538" s="25">
        <f t="shared" ref="AU538:AU543" si="496">AD538-AT538</f>
        <v>0</v>
      </c>
      <c r="AV538" s="5"/>
      <c r="AW538" s="23">
        <f t="shared" si="476"/>
        <v>0</v>
      </c>
      <c r="AX538" s="23">
        <f t="shared" si="477"/>
        <v>0</v>
      </c>
      <c r="AY538" s="23">
        <f t="shared" si="478"/>
        <v>0</v>
      </c>
      <c r="AZ538" s="23">
        <f t="shared" si="479"/>
        <v>0</v>
      </c>
      <c r="BA538" s="23">
        <f t="shared" si="480"/>
        <v>0</v>
      </c>
      <c r="BB538" s="23">
        <f t="shared" si="481"/>
        <v>0</v>
      </c>
      <c r="BC538" s="23">
        <f t="shared" si="482"/>
        <v>0</v>
      </c>
      <c r="BD538" s="23">
        <f t="shared" si="483"/>
        <v>0</v>
      </c>
      <c r="BE538" s="23">
        <f t="shared" si="484"/>
        <v>0</v>
      </c>
      <c r="BF538" s="23">
        <f t="shared" si="485"/>
        <v>0</v>
      </c>
      <c r="BG538" s="23">
        <f t="shared" si="486"/>
        <v>0</v>
      </c>
      <c r="BH538" s="23">
        <f t="shared" si="487"/>
        <v>0</v>
      </c>
      <c r="BI538" s="23">
        <f t="shared" si="488"/>
        <v>0</v>
      </c>
      <c r="BJ538" s="23">
        <f t="shared" si="489"/>
        <v>0</v>
      </c>
      <c r="BK538" s="23">
        <f t="shared" si="490"/>
        <v>0</v>
      </c>
    </row>
    <row r="539" spans="1:63" s="100" customFormat="1" ht="16" hidden="1" customHeight="1">
      <c r="A539" s="28" t="s">
        <v>1008</v>
      </c>
      <c r="B539" s="28" t="s">
        <v>1272</v>
      </c>
      <c r="C539" s="28" t="s">
        <v>1273</v>
      </c>
      <c r="D539" s="28" t="s">
        <v>484</v>
      </c>
      <c r="E539" s="28"/>
      <c r="F539" s="28"/>
      <c r="G539" s="28"/>
      <c r="H539" s="28"/>
      <c r="I539" s="28"/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28"/>
      <c r="R539" s="28"/>
      <c r="S539" s="28"/>
      <c r="T539" s="28"/>
      <c r="U539" s="28"/>
      <c r="V539" s="28"/>
      <c r="W539" s="28"/>
      <c r="X539" s="25">
        <v>0</v>
      </c>
      <c r="Y539" s="25">
        <v>0</v>
      </c>
      <c r="Z539" s="28">
        <f t="shared" si="493"/>
        <v>0</v>
      </c>
      <c r="AA539" s="28"/>
      <c r="AB539" s="25">
        <v>0</v>
      </c>
      <c r="AC539" s="25">
        <v>0</v>
      </c>
      <c r="AD539" s="28">
        <f t="shared" si="495"/>
        <v>0</v>
      </c>
      <c r="AE539" s="28"/>
      <c r="AF539" s="28"/>
      <c r="AG539" s="28"/>
      <c r="AH539" s="28"/>
      <c r="AI539" s="28"/>
      <c r="AJ539" s="28"/>
      <c r="AK539" s="28"/>
      <c r="AL539" s="23"/>
      <c r="AM539" s="23"/>
      <c r="AN539" s="23"/>
      <c r="AO539" s="23"/>
      <c r="AP539" s="23"/>
      <c r="AQ539" s="23"/>
      <c r="AR539" s="23"/>
      <c r="AS539" s="23"/>
      <c r="AT539" s="30">
        <f t="shared" si="494"/>
        <v>0</v>
      </c>
      <c r="AU539" s="25">
        <f t="shared" si="496"/>
        <v>0</v>
      </c>
      <c r="AV539" s="5"/>
      <c r="AW539" s="23">
        <f t="shared" si="476"/>
        <v>0</v>
      </c>
      <c r="AX539" s="23">
        <f t="shared" si="477"/>
        <v>0</v>
      </c>
      <c r="AY539" s="23">
        <f t="shared" si="478"/>
        <v>0</v>
      </c>
      <c r="AZ539" s="23">
        <f t="shared" si="479"/>
        <v>0</v>
      </c>
      <c r="BA539" s="23">
        <f t="shared" si="480"/>
        <v>0</v>
      </c>
      <c r="BB539" s="23">
        <f t="shared" si="481"/>
        <v>0</v>
      </c>
      <c r="BC539" s="23">
        <f t="shared" si="482"/>
        <v>0</v>
      </c>
      <c r="BD539" s="23">
        <f t="shared" si="483"/>
        <v>0</v>
      </c>
      <c r="BE539" s="23">
        <f t="shared" si="484"/>
        <v>0</v>
      </c>
      <c r="BF539" s="23">
        <f t="shared" si="485"/>
        <v>0</v>
      </c>
      <c r="BG539" s="23">
        <f t="shared" si="486"/>
        <v>0</v>
      </c>
      <c r="BH539" s="23">
        <f t="shared" si="487"/>
        <v>0</v>
      </c>
      <c r="BI539" s="23">
        <f t="shared" si="488"/>
        <v>0</v>
      </c>
      <c r="BJ539" s="23">
        <f t="shared" si="489"/>
        <v>0</v>
      </c>
      <c r="BK539" s="23">
        <f t="shared" si="490"/>
        <v>0</v>
      </c>
    </row>
    <row r="540" spans="1:63" s="100" customFormat="1" ht="16" hidden="1" customHeight="1">
      <c r="A540" s="28" t="s">
        <v>1008</v>
      </c>
      <c r="B540" s="28" t="s">
        <v>1274</v>
      </c>
      <c r="C540" s="28" t="s">
        <v>1275</v>
      </c>
      <c r="D540" s="28" t="s">
        <v>484</v>
      </c>
      <c r="E540" s="28"/>
      <c r="F540" s="28"/>
      <c r="G540" s="28"/>
      <c r="H540" s="28"/>
      <c r="I540" s="28"/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28"/>
      <c r="R540" s="28"/>
      <c r="S540" s="28"/>
      <c r="T540" s="28"/>
      <c r="U540" s="28"/>
      <c r="V540" s="28"/>
      <c r="W540" s="28"/>
      <c r="X540" s="25">
        <v>0</v>
      </c>
      <c r="Y540" s="25">
        <v>0</v>
      </c>
      <c r="Z540" s="28">
        <f t="shared" si="493"/>
        <v>0</v>
      </c>
      <c r="AA540" s="28"/>
      <c r="AB540" s="25">
        <v>0</v>
      </c>
      <c r="AC540" s="25">
        <v>0</v>
      </c>
      <c r="AD540" s="28">
        <f t="shared" si="495"/>
        <v>0</v>
      </c>
      <c r="AE540" s="28"/>
      <c r="AF540" s="28"/>
      <c r="AG540" s="28"/>
      <c r="AH540" s="28"/>
      <c r="AI540" s="28"/>
      <c r="AJ540" s="28"/>
      <c r="AK540" s="28"/>
      <c r="AL540" s="23"/>
      <c r="AM540" s="23"/>
      <c r="AN540" s="23"/>
      <c r="AO540" s="23"/>
      <c r="AP540" s="23"/>
      <c r="AQ540" s="23"/>
      <c r="AR540" s="23"/>
      <c r="AS540" s="23"/>
      <c r="AT540" s="30">
        <f>SUM(AE540:AS540)</f>
        <v>0</v>
      </c>
      <c r="AU540" s="25">
        <f t="shared" si="496"/>
        <v>0</v>
      </c>
      <c r="AV540" s="5"/>
      <c r="AW540" s="23">
        <f t="shared" si="476"/>
        <v>0</v>
      </c>
      <c r="AX540" s="23">
        <f t="shared" si="477"/>
        <v>0</v>
      </c>
      <c r="AY540" s="23">
        <f t="shared" si="478"/>
        <v>0</v>
      </c>
      <c r="AZ540" s="23">
        <f t="shared" si="479"/>
        <v>0</v>
      </c>
      <c r="BA540" s="23">
        <f t="shared" si="480"/>
        <v>0</v>
      </c>
      <c r="BB540" s="23">
        <f t="shared" si="481"/>
        <v>0</v>
      </c>
      <c r="BC540" s="23">
        <f t="shared" si="482"/>
        <v>0</v>
      </c>
      <c r="BD540" s="23">
        <f t="shared" si="483"/>
        <v>0</v>
      </c>
      <c r="BE540" s="23">
        <f t="shared" si="484"/>
        <v>0</v>
      </c>
      <c r="BF540" s="23">
        <f t="shared" ref="BF540:BK540" si="497">BE540+AN540-R540</f>
        <v>0</v>
      </c>
      <c r="BG540" s="23">
        <f t="shared" si="497"/>
        <v>0</v>
      </c>
      <c r="BH540" s="23">
        <f t="shared" si="497"/>
        <v>0</v>
      </c>
      <c r="BI540" s="23">
        <f t="shared" si="497"/>
        <v>0</v>
      </c>
      <c r="BJ540" s="23">
        <f t="shared" si="497"/>
        <v>0</v>
      </c>
      <c r="BK540" s="23">
        <f t="shared" si="497"/>
        <v>0</v>
      </c>
    </row>
    <row r="541" spans="1:63" s="100" customFormat="1" ht="16" hidden="1" customHeight="1">
      <c r="A541" s="28" t="s">
        <v>1008</v>
      </c>
      <c r="B541" s="28" t="s">
        <v>1276</v>
      </c>
      <c r="C541" s="28" t="s">
        <v>1277</v>
      </c>
      <c r="D541" s="28" t="s">
        <v>484</v>
      </c>
      <c r="E541" s="28"/>
      <c r="F541" s="28"/>
      <c r="G541" s="28"/>
      <c r="H541" s="28"/>
      <c r="I541" s="28"/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28"/>
      <c r="R541" s="28"/>
      <c r="S541" s="28"/>
      <c r="T541" s="28"/>
      <c r="U541" s="28"/>
      <c r="V541" s="28"/>
      <c r="W541" s="28"/>
      <c r="X541" s="25">
        <v>0</v>
      </c>
      <c r="Y541" s="25">
        <v>0</v>
      </c>
      <c r="Z541" s="28">
        <f t="shared" si="493"/>
        <v>0</v>
      </c>
      <c r="AA541" s="28"/>
      <c r="AB541" s="25">
        <v>0</v>
      </c>
      <c r="AC541" s="25">
        <v>0</v>
      </c>
      <c r="AD541" s="28">
        <f t="shared" si="495"/>
        <v>0</v>
      </c>
      <c r="AE541" s="28"/>
      <c r="AF541" s="28"/>
      <c r="AG541" s="28"/>
      <c r="AH541" s="28"/>
      <c r="AI541" s="28"/>
      <c r="AJ541" s="28"/>
      <c r="AK541" s="28"/>
      <c r="AL541" s="23"/>
      <c r="AM541" s="23"/>
      <c r="AN541" s="23"/>
      <c r="AO541" s="23"/>
      <c r="AP541" s="23"/>
      <c r="AQ541" s="23"/>
      <c r="AR541" s="23"/>
      <c r="AS541" s="23"/>
      <c r="AT541" s="30">
        <f t="shared" si="494"/>
        <v>0</v>
      </c>
      <c r="AU541" s="25">
        <f t="shared" si="496"/>
        <v>0</v>
      </c>
      <c r="AV541" s="5"/>
      <c r="AW541" s="23">
        <f t="shared" si="476"/>
        <v>0</v>
      </c>
      <c r="AX541" s="23">
        <f t="shared" si="477"/>
        <v>0</v>
      </c>
      <c r="AY541" s="23">
        <f t="shared" si="478"/>
        <v>0</v>
      </c>
      <c r="AZ541" s="23">
        <f t="shared" si="479"/>
        <v>0</v>
      </c>
      <c r="BA541" s="23">
        <f t="shared" si="480"/>
        <v>0</v>
      </c>
      <c r="BB541" s="23">
        <f t="shared" si="481"/>
        <v>0</v>
      </c>
      <c r="BC541" s="23">
        <f t="shared" si="482"/>
        <v>0</v>
      </c>
      <c r="BD541" s="23">
        <f t="shared" si="483"/>
        <v>0</v>
      </c>
      <c r="BE541" s="23">
        <f t="shared" si="484"/>
        <v>0</v>
      </c>
      <c r="BF541" s="23">
        <f t="shared" si="485"/>
        <v>0</v>
      </c>
      <c r="BG541" s="23">
        <f t="shared" si="486"/>
        <v>0</v>
      </c>
      <c r="BH541" s="23">
        <f t="shared" ref="BH541:BH569" si="498">AP541+AJ541-T541</f>
        <v>0</v>
      </c>
      <c r="BI541" s="23">
        <f t="shared" ref="BI541:BI569" si="499">AQ541+AK541-U541</f>
        <v>0</v>
      </c>
      <c r="BJ541" s="23">
        <f t="shared" ref="BJ541:BJ569" si="500">AR541+AL541-V541</f>
        <v>0</v>
      </c>
      <c r="BK541" s="23">
        <f t="shared" ref="BK541:BK569" si="501">AS541+AM541-W541</f>
        <v>0</v>
      </c>
    </row>
    <row r="542" spans="1:63" s="100" customFormat="1" ht="16" hidden="1" customHeight="1">
      <c r="A542" s="28" t="s">
        <v>1008</v>
      </c>
      <c r="B542" s="28" t="s">
        <v>1278</v>
      </c>
      <c r="C542" s="28" t="s">
        <v>1279</v>
      </c>
      <c r="D542" s="28" t="s">
        <v>484</v>
      </c>
      <c r="E542" s="28"/>
      <c r="F542" s="28"/>
      <c r="G542" s="28"/>
      <c r="H542" s="28"/>
      <c r="I542" s="28"/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28"/>
      <c r="R542" s="28"/>
      <c r="S542" s="28"/>
      <c r="T542" s="28"/>
      <c r="U542" s="28"/>
      <c r="V542" s="28"/>
      <c r="W542" s="28"/>
      <c r="X542" s="25">
        <v>0</v>
      </c>
      <c r="Y542" s="25">
        <v>0</v>
      </c>
      <c r="Z542" s="28">
        <f t="shared" si="493"/>
        <v>0</v>
      </c>
      <c r="AA542" s="28"/>
      <c r="AB542" s="25">
        <v>0</v>
      </c>
      <c r="AC542" s="25">
        <v>0</v>
      </c>
      <c r="AD542" s="28">
        <f t="shared" si="495"/>
        <v>0</v>
      </c>
      <c r="AE542" s="28"/>
      <c r="AF542" s="28"/>
      <c r="AG542" s="28"/>
      <c r="AH542" s="28"/>
      <c r="AI542" s="28"/>
      <c r="AJ542" s="28"/>
      <c r="AK542" s="28"/>
      <c r="AL542" s="23"/>
      <c r="AM542" s="23"/>
      <c r="AN542" s="23"/>
      <c r="AO542" s="23"/>
      <c r="AP542" s="23"/>
      <c r="AQ542" s="23"/>
      <c r="AR542" s="23"/>
      <c r="AS542" s="23"/>
      <c r="AT542" s="30">
        <f t="shared" si="494"/>
        <v>0</v>
      </c>
      <c r="AU542" s="25">
        <f t="shared" si="496"/>
        <v>0</v>
      </c>
      <c r="AV542" s="5"/>
      <c r="AW542" s="23">
        <f t="shared" si="476"/>
        <v>0</v>
      </c>
      <c r="AX542" s="23">
        <f t="shared" si="477"/>
        <v>0</v>
      </c>
      <c r="AY542" s="23">
        <f t="shared" si="478"/>
        <v>0</v>
      </c>
      <c r="AZ542" s="23">
        <f t="shared" si="479"/>
        <v>0</v>
      </c>
      <c r="BA542" s="23">
        <f t="shared" si="480"/>
        <v>0</v>
      </c>
      <c r="BB542" s="23">
        <f t="shared" si="481"/>
        <v>0</v>
      </c>
      <c r="BC542" s="23">
        <f t="shared" si="482"/>
        <v>0</v>
      </c>
      <c r="BD542" s="23">
        <f t="shared" si="483"/>
        <v>0</v>
      </c>
      <c r="BE542" s="23">
        <f t="shared" si="484"/>
        <v>0</v>
      </c>
      <c r="BF542" s="23">
        <f t="shared" si="485"/>
        <v>0</v>
      </c>
      <c r="BG542" s="23">
        <f t="shared" si="486"/>
        <v>0</v>
      </c>
      <c r="BH542" s="23">
        <f t="shared" si="498"/>
        <v>0</v>
      </c>
      <c r="BI542" s="23">
        <f t="shared" si="499"/>
        <v>0</v>
      </c>
      <c r="BJ542" s="23">
        <f t="shared" si="500"/>
        <v>0</v>
      </c>
      <c r="BK542" s="23">
        <f t="shared" si="501"/>
        <v>0</v>
      </c>
    </row>
    <row r="543" spans="1:63" s="100" customFormat="1" ht="16" hidden="1" customHeight="1">
      <c r="A543" s="29" t="s">
        <v>1008</v>
      </c>
      <c r="B543" s="29" t="s">
        <v>1280</v>
      </c>
      <c r="C543" s="29" t="s">
        <v>1281</v>
      </c>
      <c r="D543" s="29" t="s">
        <v>484</v>
      </c>
      <c r="E543" s="27"/>
      <c r="F543" s="25"/>
      <c r="G543" s="25"/>
      <c r="H543" s="25"/>
      <c r="I543" s="5"/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/>
      <c r="R543" s="25"/>
      <c r="S543" s="5"/>
      <c r="T543" s="5"/>
      <c r="U543" s="5"/>
      <c r="V543" s="5"/>
      <c r="W543" s="5"/>
      <c r="X543" s="25">
        <v>0</v>
      </c>
      <c r="Y543" s="25">
        <v>0</v>
      </c>
      <c r="Z543" s="25">
        <f t="shared" si="493"/>
        <v>0</v>
      </c>
      <c r="AA543" s="25"/>
      <c r="AB543" s="25">
        <v>0</v>
      </c>
      <c r="AC543" s="25">
        <v>0</v>
      </c>
      <c r="AD543" s="25">
        <f t="shared" si="495"/>
        <v>0</v>
      </c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30">
        <f t="shared" si="494"/>
        <v>0</v>
      </c>
      <c r="AU543" s="25">
        <f t="shared" si="496"/>
        <v>0</v>
      </c>
      <c r="AV543" s="5"/>
      <c r="AW543" s="23">
        <f t="shared" si="476"/>
        <v>0</v>
      </c>
      <c r="AX543" s="23">
        <f t="shared" si="477"/>
        <v>0</v>
      </c>
      <c r="AY543" s="23">
        <f t="shared" si="478"/>
        <v>0</v>
      </c>
      <c r="AZ543" s="23">
        <f t="shared" si="479"/>
        <v>0</v>
      </c>
      <c r="BA543" s="23">
        <f t="shared" si="480"/>
        <v>0</v>
      </c>
      <c r="BB543" s="23">
        <f t="shared" si="481"/>
        <v>0</v>
      </c>
      <c r="BC543" s="23">
        <f t="shared" si="482"/>
        <v>0</v>
      </c>
      <c r="BD543" s="23">
        <f t="shared" si="483"/>
        <v>0</v>
      </c>
      <c r="BE543" s="23">
        <f t="shared" si="484"/>
        <v>0</v>
      </c>
      <c r="BF543" s="23">
        <f t="shared" si="485"/>
        <v>0</v>
      </c>
      <c r="BG543" s="23">
        <f t="shared" si="486"/>
        <v>0</v>
      </c>
      <c r="BH543" s="23">
        <f t="shared" si="498"/>
        <v>0</v>
      </c>
      <c r="BI543" s="23">
        <f t="shared" si="499"/>
        <v>0</v>
      </c>
      <c r="BJ543" s="23">
        <f t="shared" si="500"/>
        <v>0</v>
      </c>
      <c r="BK543" s="23">
        <f t="shared" si="501"/>
        <v>0</v>
      </c>
    </row>
    <row r="544" spans="1:63" s="100" customFormat="1" ht="16" hidden="1" customHeight="1">
      <c r="A544" s="29" t="s">
        <v>1008</v>
      </c>
      <c r="B544" s="29" t="s">
        <v>1282</v>
      </c>
      <c r="C544" s="29" t="s">
        <v>1283</v>
      </c>
      <c r="D544" s="29" t="s">
        <v>484</v>
      </c>
      <c r="E544" s="27"/>
      <c r="F544" s="25"/>
      <c r="G544" s="25"/>
      <c r="H544" s="25"/>
      <c r="I544" s="5"/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/>
      <c r="R544" s="25"/>
      <c r="S544" s="5"/>
      <c r="T544" s="5"/>
      <c r="U544" s="5"/>
      <c r="V544" s="5"/>
      <c r="W544" s="5"/>
      <c r="X544" s="25">
        <v>0</v>
      </c>
      <c r="Y544" s="25">
        <v>0</v>
      </c>
      <c r="Z544" s="25">
        <f t="shared" si="493"/>
        <v>0</v>
      </c>
      <c r="AA544" s="25"/>
      <c r="AB544" s="25">
        <v>0</v>
      </c>
      <c r="AC544" s="25">
        <v>0</v>
      </c>
      <c r="AD544" s="25">
        <f t="shared" ref="AD544:AD553" si="502">AB544-Y544+AA544+AC544</f>
        <v>0</v>
      </c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30">
        <f t="shared" si="494"/>
        <v>0</v>
      </c>
      <c r="AU544" s="25">
        <f t="shared" ref="AU544:AU553" si="503">AD544-AT544</f>
        <v>0</v>
      </c>
      <c r="AV544" s="5"/>
      <c r="AW544" s="23">
        <f t="shared" si="476"/>
        <v>0</v>
      </c>
      <c r="AX544" s="23">
        <f t="shared" si="477"/>
        <v>0</v>
      </c>
      <c r="AY544" s="23">
        <f t="shared" si="478"/>
        <v>0</v>
      </c>
      <c r="AZ544" s="23">
        <f t="shared" si="479"/>
        <v>0</v>
      </c>
      <c r="BA544" s="23">
        <f t="shared" si="480"/>
        <v>0</v>
      </c>
      <c r="BB544" s="23">
        <f t="shared" si="481"/>
        <v>0</v>
      </c>
      <c r="BC544" s="23">
        <f t="shared" si="482"/>
        <v>0</v>
      </c>
      <c r="BD544" s="23">
        <f t="shared" si="483"/>
        <v>0</v>
      </c>
      <c r="BE544" s="23">
        <f t="shared" si="484"/>
        <v>0</v>
      </c>
      <c r="BF544" s="23">
        <f t="shared" si="485"/>
        <v>0</v>
      </c>
      <c r="BG544" s="23">
        <f t="shared" si="486"/>
        <v>0</v>
      </c>
      <c r="BH544" s="23">
        <f t="shared" si="498"/>
        <v>0</v>
      </c>
      <c r="BI544" s="23">
        <f t="shared" si="499"/>
        <v>0</v>
      </c>
      <c r="BJ544" s="23">
        <f t="shared" si="500"/>
        <v>0</v>
      </c>
      <c r="BK544" s="23">
        <f t="shared" si="501"/>
        <v>0</v>
      </c>
    </row>
    <row r="545" spans="1:63" s="100" customFormat="1" ht="16" hidden="1" customHeight="1">
      <c r="A545" s="29" t="s">
        <v>1008</v>
      </c>
      <c r="B545" s="29" t="s">
        <v>1284</v>
      </c>
      <c r="C545" s="29" t="s">
        <v>1285</v>
      </c>
      <c r="D545" s="29" t="s">
        <v>484</v>
      </c>
      <c r="E545" s="27"/>
      <c r="F545" s="25"/>
      <c r="G545" s="25"/>
      <c r="H545" s="25"/>
      <c r="I545" s="5"/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/>
      <c r="R545" s="25"/>
      <c r="S545" s="5"/>
      <c r="T545" s="5"/>
      <c r="U545" s="5"/>
      <c r="V545" s="5"/>
      <c r="W545" s="5"/>
      <c r="X545" s="25">
        <v>0</v>
      </c>
      <c r="Y545" s="25">
        <v>0</v>
      </c>
      <c r="Z545" s="25">
        <f t="shared" si="493"/>
        <v>0</v>
      </c>
      <c r="AA545" s="25"/>
      <c r="AB545" s="25">
        <v>0</v>
      </c>
      <c r="AC545" s="25">
        <v>0</v>
      </c>
      <c r="AD545" s="25">
        <f t="shared" si="502"/>
        <v>0</v>
      </c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30">
        <f t="shared" si="494"/>
        <v>0</v>
      </c>
      <c r="AU545" s="25">
        <f t="shared" si="503"/>
        <v>0</v>
      </c>
      <c r="AV545" s="5"/>
      <c r="AW545" s="23">
        <f t="shared" si="476"/>
        <v>0</v>
      </c>
      <c r="AX545" s="23">
        <f t="shared" si="477"/>
        <v>0</v>
      </c>
      <c r="AY545" s="23">
        <f t="shared" si="478"/>
        <v>0</v>
      </c>
      <c r="AZ545" s="23">
        <f t="shared" si="479"/>
        <v>0</v>
      </c>
      <c r="BA545" s="23">
        <f t="shared" si="480"/>
        <v>0</v>
      </c>
      <c r="BB545" s="23">
        <f t="shared" si="481"/>
        <v>0</v>
      </c>
      <c r="BC545" s="23">
        <f t="shared" si="482"/>
        <v>0</v>
      </c>
      <c r="BD545" s="23">
        <f t="shared" si="483"/>
        <v>0</v>
      </c>
      <c r="BE545" s="23">
        <f t="shared" si="484"/>
        <v>0</v>
      </c>
      <c r="BF545" s="23">
        <f t="shared" si="485"/>
        <v>0</v>
      </c>
      <c r="BG545" s="23">
        <f t="shared" si="486"/>
        <v>0</v>
      </c>
      <c r="BH545" s="23">
        <f t="shared" si="498"/>
        <v>0</v>
      </c>
      <c r="BI545" s="23">
        <f t="shared" si="499"/>
        <v>0</v>
      </c>
      <c r="BJ545" s="23">
        <f t="shared" si="500"/>
        <v>0</v>
      </c>
      <c r="BK545" s="23">
        <f t="shared" si="501"/>
        <v>0</v>
      </c>
    </row>
    <row r="546" spans="1:63" s="100" customFormat="1" ht="16" hidden="1" customHeight="1">
      <c r="A546" s="29" t="s">
        <v>1008</v>
      </c>
      <c r="B546" s="29" t="s">
        <v>1286</v>
      </c>
      <c r="C546" s="29" t="s">
        <v>1287</v>
      </c>
      <c r="D546" s="29" t="s">
        <v>484</v>
      </c>
      <c r="E546" s="27"/>
      <c r="F546" s="25"/>
      <c r="G546" s="25"/>
      <c r="H546" s="25"/>
      <c r="I546" s="5"/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/>
      <c r="R546" s="25"/>
      <c r="S546" s="5"/>
      <c r="T546" s="5"/>
      <c r="U546" s="5"/>
      <c r="V546" s="5"/>
      <c r="W546" s="5"/>
      <c r="X546" s="25">
        <v>0</v>
      </c>
      <c r="Y546" s="25">
        <v>0</v>
      </c>
      <c r="Z546" s="25">
        <f t="shared" si="493"/>
        <v>0</v>
      </c>
      <c r="AA546" s="25"/>
      <c r="AB546" s="25">
        <v>0</v>
      </c>
      <c r="AC546" s="25">
        <v>0</v>
      </c>
      <c r="AD546" s="25">
        <f t="shared" si="502"/>
        <v>0</v>
      </c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30">
        <f t="shared" si="494"/>
        <v>0</v>
      </c>
      <c r="AU546" s="25">
        <f t="shared" si="503"/>
        <v>0</v>
      </c>
      <c r="AV546" s="5"/>
      <c r="AW546" s="23">
        <f t="shared" si="476"/>
        <v>0</v>
      </c>
      <c r="AX546" s="23">
        <f t="shared" si="477"/>
        <v>0</v>
      </c>
      <c r="AY546" s="23">
        <f t="shared" si="478"/>
        <v>0</v>
      </c>
      <c r="AZ546" s="23">
        <f t="shared" si="479"/>
        <v>0</v>
      </c>
      <c r="BA546" s="23">
        <f t="shared" si="480"/>
        <v>0</v>
      </c>
      <c r="BB546" s="23">
        <f t="shared" si="481"/>
        <v>0</v>
      </c>
      <c r="BC546" s="23">
        <f t="shared" si="482"/>
        <v>0</v>
      </c>
      <c r="BD546" s="23">
        <f t="shared" si="483"/>
        <v>0</v>
      </c>
      <c r="BE546" s="23">
        <f t="shared" si="484"/>
        <v>0</v>
      </c>
      <c r="BF546" s="23">
        <f t="shared" si="485"/>
        <v>0</v>
      </c>
      <c r="BG546" s="23">
        <f t="shared" si="486"/>
        <v>0</v>
      </c>
      <c r="BH546" s="23">
        <f t="shared" si="498"/>
        <v>0</v>
      </c>
      <c r="BI546" s="23">
        <f t="shared" si="499"/>
        <v>0</v>
      </c>
      <c r="BJ546" s="23">
        <f t="shared" si="500"/>
        <v>0</v>
      </c>
      <c r="BK546" s="23">
        <f t="shared" si="501"/>
        <v>0</v>
      </c>
    </row>
    <row r="547" spans="1:63" s="100" customFormat="1" ht="16" hidden="1" customHeight="1">
      <c r="A547" s="29" t="s">
        <v>1008</v>
      </c>
      <c r="B547" s="29" t="s">
        <v>1288</v>
      </c>
      <c r="C547" s="29" t="s">
        <v>1289</v>
      </c>
      <c r="D547" s="29" t="s">
        <v>484</v>
      </c>
      <c r="E547" s="27"/>
      <c r="F547" s="25"/>
      <c r="G547" s="25"/>
      <c r="H547" s="25"/>
      <c r="I547" s="5"/>
      <c r="J547" s="5">
        <v>0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/>
      <c r="R547" s="25"/>
      <c r="S547" s="5"/>
      <c r="T547" s="5"/>
      <c r="U547" s="5"/>
      <c r="V547" s="5"/>
      <c r="W547" s="5"/>
      <c r="X547" s="25">
        <v>0</v>
      </c>
      <c r="Y547" s="25">
        <v>0</v>
      </c>
      <c r="Z547" s="25">
        <f t="shared" si="493"/>
        <v>0</v>
      </c>
      <c r="AA547" s="25"/>
      <c r="AB547" s="25">
        <v>0</v>
      </c>
      <c r="AC547" s="25">
        <v>0</v>
      </c>
      <c r="AD547" s="25">
        <f t="shared" si="502"/>
        <v>0</v>
      </c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30">
        <f t="shared" si="494"/>
        <v>0</v>
      </c>
      <c r="AU547" s="25">
        <f t="shared" si="503"/>
        <v>0</v>
      </c>
      <c r="AV547" s="5"/>
      <c r="AW547" s="23">
        <f t="shared" si="476"/>
        <v>0</v>
      </c>
      <c r="AX547" s="23">
        <f t="shared" si="477"/>
        <v>0</v>
      </c>
      <c r="AY547" s="23">
        <f t="shared" si="478"/>
        <v>0</v>
      </c>
      <c r="AZ547" s="23">
        <f t="shared" si="479"/>
        <v>0</v>
      </c>
      <c r="BA547" s="23">
        <f t="shared" si="480"/>
        <v>0</v>
      </c>
      <c r="BB547" s="23">
        <f t="shared" si="481"/>
        <v>0</v>
      </c>
      <c r="BC547" s="23">
        <f t="shared" si="482"/>
        <v>0</v>
      </c>
      <c r="BD547" s="23">
        <f t="shared" si="483"/>
        <v>0</v>
      </c>
      <c r="BE547" s="23">
        <f t="shared" si="484"/>
        <v>0</v>
      </c>
      <c r="BF547" s="23">
        <f t="shared" si="485"/>
        <v>0</v>
      </c>
      <c r="BG547" s="23">
        <f t="shared" si="486"/>
        <v>0</v>
      </c>
      <c r="BH547" s="23">
        <f t="shared" si="498"/>
        <v>0</v>
      </c>
      <c r="BI547" s="23">
        <f t="shared" si="499"/>
        <v>0</v>
      </c>
      <c r="BJ547" s="23">
        <f t="shared" si="500"/>
        <v>0</v>
      </c>
      <c r="BK547" s="23">
        <f t="shared" si="501"/>
        <v>0</v>
      </c>
    </row>
    <row r="548" spans="1:63" s="100" customFormat="1" ht="16" hidden="1" customHeight="1">
      <c r="A548" s="29" t="s">
        <v>1008</v>
      </c>
      <c r="B548" s="29" t="s">
        <v>1290</v>
      </c>
      <c r="C548" s="29" t="s">
        <v>1291</v>
      </c>
      <c r="D548" s="29" t="s">
        <v>484</v>
      </c>
      <c r="E548" s="27"/>
      <c r="F548" s="25"/>
      <c r="G548" s="25"/>
      <c r="H548" s="25"/>
      <c r="I548" s="5"/>
      <c r="J548" s="5">
        <v>0</v>
      </c>
      <c r="K548" s="5">
        <v>0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/>
      <c r="R548" s="25"/>
      <c r="S548" s="5"/>
      <c r="T548" s="5"/>
      <c r="U548" s="5"/>
      <c r="V548" s="5"/>
      <c r="W548" s="5"/>
      <c r="X548" s="25">
        <v>0</v>
      </c>
      <c r="Y548" s="25">
        <v>0</v>
      </c>
      <c r="Z548" s="25">
        <f t="shared" si="493"/>
        <v>0</v>
      </c>
      <c r="AA548" s="25"/>
      <c r="AB548" s="25">
        <v>0</v>
      </c>
      <c r="AC548" s="25">
        <v>0</v>
      </c>
      <c r="AD548" s="25">
        <f t="shared" si="502"/>
        <v>0</v>
      </c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30">
        <f t="shared" si="494"/>
        <v>0</v>
      </c>
      <c r="AU548" s="25">
        <f t="shared" si="503"/>
        <v>0</v>
      </c>
      <c r="AV548" s="5"/>
      <c r="AW548" s="23">
        <f t="shared" si="476"/>
        <v>0</v>
      </c>
      <c r="AX548" s="23">
        <f t="shared" si="477"/>
        <v>0</v>
      </c>
      <c r="AY548" s="23">
        <f t="shared" si="478"/>
        <v>0</v>
      </c>
      <c r="AZ548" s="23">
        <f t="shared" si="479"/>
        <v>0</v>
      </c>
      <c r="BA548" s="23">
        <f t="shared" si="480"/>
        <v>0</v>
      </c>
      <c r="BB548" s="23">
        <f t="shared" si="481"/>
        <v>0</v>
      </c>
      <c r="BC548" s="23">
        <f t="shared" si="482"/>
        <v>0</v>
      </c>
      <c r="BD548" s="23">
        <f t="shared" si="483"/>
        <v>0</v>
      </c>
      <c r="BE548" s="23">
        <f t="shared" si="484"/>
        <v>0</v>
      </c>
      <c r="BF548" s="23">
        <f t="shared" si="485"/>
        <v>0</v>
      </c>
      <c r="BG548" s="23">
        <f t="shared" si="486"/>
        <v>0</v>
      </c>
      <c r="BH548" s="23">
        <f t="shared" si="498"/>
        <v>0</v>
      </c>
      <c r="BI548" s="23">
        <f t="shared" si="499"/>
        <v>0</v>
      </c>
      <c r="BJ548" s="23">
        <f t="shared" si="500"/>
        <v>0</v>
      </c>
      <c r="BK548" s="23">
        <f t="shared" si="501"/>
        <v>0</v>
      </c>
    </row>
    <row r="549" spans="1:63" s="100" customFormat="1" ht="16" hidden="1" customHeight="1">
      <c r="A549" s="29" t="s">
        <v>1008</v>
      </c>
      <c r="B549" s="29" t="s">
        <v>1292</v>
      </c>
      <c r="C549" s="29" t="s">
        <v>1293</v>
      </c>
      <c r="D549" s="29" t="s">
        <v>484</v>
      </c>
      <c r="E549" s="27"/>
      <c r="F549" s="25"/>
      <c r="G549" s="25"/>
      <c r="H549" s="25"/>
      <c r="I549" s="5"/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/>
      <c r="R549" s="25"/>
      <c r="S549" s="5"/>
      <c r="T549" s="5"/>
      <c r="U549" s="5"/>
      <c r="V549" s="5"/>
      <c r="W549" s="5"/>
      <c r="X549" s="25">
        <v>0</v>
      </c>
      <c r="Y549" s="25">
        <v>0</v>
      </c>
      <c r="Z549" s="25">
        <f t="shared" si="493"/>
        <v>0</v>
      </c>
      <c r="AA549" s="25"/>
      <c r="AB549" s="25">
        <v>0</v>
      </c>
      <c r="AC549" s="25">
        <v>0</v>
      </c>
      <c r="AD549" s="25">
        <f t="shared" si="502"/>
        <v>0</v>
      </c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30">
        <f t="shared" si="494"/>
        <v>0</v>
      </c>
      <c r="AU549" s="25">
        <f t="shared" si="503"/>
        <v>0</v>
      </c>
      <c r="AV549" s="5"/>
      <c r="AW549" s="23">
        <f t="shared" si="476"/>
        <v>0</v>
      </c>
      <c r="AX549" s="23">
        <f t="shared" si="477"/>
        <v>0</v>
      </c>
      <c r="AY549" s="23">
        <f t="shared" si="478"/>
        <v>0</v>
      </c>
      <c r="AZ549" s="23">
        <f t="shared" si="479"/>
        <v>0</v>
      </c>
      <c r="BA549" s="23">
        <f t="shared" si="480"/>
        <v>0</v>
      </c>
      <c r="BB549" s="23">
        <f t="shared" si="481"/>
        <v>0</v>
      </c>
      <c r="BC549" s="23">
        <f t="shared" si="482"/>
        <v>0</v>
      </c>
      <c r="BD549" s="23">
        <f t="shared" si="483"/>
        <v>0</v>
      </c>
      <c r="BE549" s="23">
        <f t="shared" si="484"/>
        <v>0</v>
      </c>
      <c r="BF549" s="23">
        <f t="shared" si="485"/>
        <v>0</v>
      </c>
      <c r="BG549" s="23">
        <f t="shared" si="486"/>
        <v>0</v>
      </c>
      <c r="BH549" s="23">
        <f t="shared" si="498"/>
        <v>0</v>
      </c>
      <c r="BI549" s="23">
        <f t="shared" si="499"/>
        <v>0</v>
      </c>
      <c r="BJ549" s="23">
        <f t="shared" si="500"/>
        <v>0</v>
      </c>
      <c r="BK549" s="23">
        <f t="shared" si="501"/>
        <v>0</v>
      </c>
    </row>
    <row r="550" spans="1:63" s="100" customFormat="1" ht="16" customHeight="1">
      <c r="A550" s="29" t="s">
        <v>1008</v>
      </c>
      <c r="B550" s="29" t="s">
        <v>1294</v>
      </c>
      <c r="C550" s="29" t="s">
        <v>1295</v>
      </c>
      <c r="D550" s="29" t="s">
        <v>484</v>
      </c>
      <c r="E550" s="27"/>
      <c r="F550" s="25"/>
      <c r="G550" s="25"/>
      <c r="H550" s="25"/>
      <c r="I550" s="5"/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3</v>
      </c>
      <c r="P550" s="5">
        <v>0</v>
      </c>
      <c r="Q550" s="5"/>
      <c r="R550" s="25"/>
      <c r="S550" s="5"/>
      <c r="T550" s="5"/>
      <c r="U550" s="5"/>
      <c r="V550" s="5"/>
      <c r="W550" s="5"/>
      <c r="X550" s="25">
        <v>0</v>
      </c>
      <c r="Y550" s="25">
        <v>0</v>
      </c>
      <c r="Z550" s="25">
        <f t="shared" si="493"/>
        <v>0</v>
      </c>
      <c r="AA550" s="25"/>
      <c r="AB550" s="25">
        <v>3</v>
      </c>
      <c r="AC550" s="25">
        <v>0</v>
      </c>
      <c r="AD550" s="25">
        <f t="shared" si="502"/>
        <v>3</v>
      </c>
      <c r="AE550" s="23"/>
      <c r="AF550" s="23"/>
      <c r="AG550" s="23"/>
      <c r="AH550" s="23"/>
      <c r="AI550" s="23"/>
      <c r="AJ550" s="23"/>
      <c r="AK550" s="23"/>
      <c r="AL550" s="23">
        <v>3</v>
      </c>
      <c r="AM550" s="23"/>
      <c r="AN550" s="23"/>
      <c r="AO550" s="23"/>
      <c r="AP550" s="23"/>
      <c r="AQ550" s="23"/>
      <c r="AR550" s="23"/>
      <c r="AS550" s="23"/>
      <c r="AT550" s="30">
        <f t="shared" si="494"/>
        <v>3</v>
      </c>
      <c r="AU550" s="25">
        <f t="shared" si="503"/>
        <v>0</v>
      </c>
      <c r="AV550" s="5"/>
      <c r="AW550" s="23">
        <f t="shared" si="476"/>
        <v>0</v>
      </c>
      <c r="AX550" s="23">
        <f t="shared" si="477"/>
        <v>0</v>
      </c>
      <c r="AY550" s="23">
        <f t="shared" si="478"/>
        <v>0</v>
      </c>
      <c r="AZ550" s="23">
        <f t="shared" si="479"/>
        <v>0</v>
      </c>
      <c r="BA550" s="23">
        <f t="shared" si="480"/>
        <v>0</v>
      </c>
      <c r="BB550" s="23">
        <f t="shared" si="481"/>
        <v>0</v>
      </c>
      <c r="BC550" s="23">
        <f t="shared" si="482"/>
        <v>-3</v>
      </c>
      <c r="BD550" s="23">
        <f t="shared" si="483"/>
        <v>0</v>
      </c>
      <c r="BE550" s="23">
        <f t="shared" si="484"/>
        <v>0</v>
      </c>
      <c r="BF550" s="23">
        <f t="shared" si="485"/>
        <v>0</v>
      </c>
      <c r="BG550" s="23">
        <f t="shared" si="486"/>
        <v>0</v>
      </c>
      <c r="BH550" s="23">
        <f t="shared" si="498"/>
        <v>0</v>
      </c>
      <c r="BI550" s="23">
        <f t="shared" si="499"/>
        <v>0</v>
      </c>
      <c r="BJ550" s="23">
        <f t="shared" si="500"/>
        <v>3</v>
      </c>
      <c r="BK550" s="23">
        <f t="shared" si="501"/>
        <v>0</v>
      </c>
    </row>
    <row r="551" spans="1:63" s="100" customFormat="1" ht="16" hidden="1" customHeight="1">
      <c r="A551" s="29" t="s">
        <v>1008</v>
      </c>
      <c r="B551" s="29" t="s">
        <v>1296</v>
      </c>
      <c r="C551" s="29" t="s">
        <v>1297</v>
      </c>
      <c r="D551" s="29" t="s">
        <v>484</v>
      </c>
      <c r="E551" s="27"/>
      <c r="F551" s="25"/>
      <c r="G551" s="25"/>
      <c r="H551" s="25"/>
      <c r="I551" s="5"/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/>
      <c r="R551" s="25"/>
      <c r="S551" s="5"/>
      <c r="T551" s="5"/>
      <c r="U551" s="5"/>
      <c r="V551" s="5"/>
      <c r="W551" s="5"/>
      <c r="X551" s="25">
        <v>0</v>
      </c>
      <c r="Y551" s="25">
        <v>0</v>
      </c>
      <c r="Z551" s="25">
        <f t="shared" si="493"/>
        <v>0</v>
      </c>
      <c r="AA551" s="25"/>
      <c r="AB551" s="25">
        <v>0</v>
      </c>
      <c r="AC551" s="25">
        <v>0</v>
      </c>
      <c r="AD551" s="25">
        <f t="shared" si="502"/>
        <v>0</v>
      </c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30">
        <f t="shared" si="494"/>
        <v>0</v>
      </c>
      <c r="AU551" s="25">
        <f t="shared" si="503"/>
        <v>0</v>
      </c>
      <c r="AV551" s="5"/>
      <c r="AW551" s="23">
        <f t="shared" si="476"/>
        <v>0</v>
      </c>
      <c r="AX551" s="23">
        <f t="shared" si="477"/>
        <v>0</v>
      </c>
      <c r="AY551" s="23">
        <f t="shared" si="478"/>
        <v>0</v>
      </c>
      <c r="AZ551" s="23">
        <f t="shared" si="479"/>
        <v>0</v>
      </c>
      <c r="BA551" s="23">
        <f t="shared" si="480"/>
        <v>0</v>
      </c>
      <c r="BB551" s="23">
        <f t="shared" si="481"/>
        <v>0</v>
      </c>
      <c r="BC551" s="23">
        <f t="shared" si="482"/>
        <v>0</v>
      </c>
      <c r="BD551" s="23">
        <f t="shared" si="483"/>
        <v>0</v>
      </c>
      <c r="BE551" s="23">
        <f t="shared" si="484"/>
        <v>0</v>
      </c>
      <c r="BF551" s="23">
        <f t="shared" si="485"/>
        <v>0</v>
      </c>
      <c r="BG551" s="23">
        <f t="shared" si="486"/>
        <v>0</v>
      </c>
      <c r="BH551" s="23">
        <f t="shared" si="498"/>
        <v>0</v>
      </c>
      <c r="BI551" s="23">
        <f t="shared" si="499"/>
        <v>0</v>
      </c>
      <c r="BJ551" s="23">
        <f t="shared" si="500"/>
        <v>0</v>
      </c>
      <c r="BK551" s="23">
        <f t="shared" si="501"/>
        <v>0</v>
      </c>
    </row>
    <row r="552" spans="1:63" s="100" customFormat="1" ht="16" hidden="1" customHeight="1">
      <c r="A552" s="29" t="s">
        <v>1008</v>
      </c>
      <c r="B552" s="29" t="s">
        <v>1298</v>
      </c>
      <c r="C552" s="29" t="s">
        <v>1299</v>
      </c>
      <c r="D552" s="29" t="s">
        <v>484</v>
      </c>
      <c r="E552" s="27"/>
      <c r="F552" s="25"/>
      <c r="G552" s="25"/>
      <c r="H552" s="25"/>
      <c r="I552" s="5"/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/>
      <c r="R552" s="25"/>
      <c r="S552" s="5"/>
      <c r="T552" s="5"/>
      <c r="U552" s="5"/>
      <c r="V552" s="5"/>
      <c r="W552" s="5"/>
      <c r="X552" s="25">
        <v>0</v>
      </c>
      <c r="Y552" s="25">
        <v>0</v>
      </c>
      <c r="Z552" s="25">
        <f t="shared" si="493"/>
        <v>0</v>
      </c>
      <c r="AA552" s="25"/>
      <c r="AB552" s="25">
        <v>0</v>
      </c>
      <c r="AC552" s="25">
        <v>0</v>
      </c>
      <c r="AD552" s="25">
        <f t="shared" si="502"/>
        <v>0</v>
      </c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30">
        <f t="shared" si="494"/>
        <v>0</v>
      </c>
      <c r="AU552" s="25">
        <f t="shared" si="503"/>
        <v>0</v>
      </c>
      <c r="AV552" s="5"/>
      <c r="AW552" s="23">
        <f t="shared" si="476"/>
        <v>0</v>
      </c>
      <c r="AX552" s="23">
        <f t="shared" si="477"/>
        <v>0</v>
      </c>
      <c r="AY552" s="23">
        <f t="shared" si="478"/>
        <v>0</v>
      </c>
      <c r="AZ552" s="23">
        <f t="shared" si="479"/>
        <v>0</v>
      </c>
      <c r="BA552" s="23">
        <f t="shared" si="480"/>
        <v>0</v>
      </c>
      <c r="BB552" s="23">
        <f t="shared" si="481"/>
        <v>0</v>
      </c>
      <c r="BC552" s="23">
        <f t="shared" si="482"/>
        <v>0</v>
      </c>
      <c r="BD552" s="23">
        <f t="shared" si="483"/>
        <v>0</v>
      </c>
      <c r="BE552" s="23">
        <f t="shared" si="484"/>
        <v>0</v>
      </c>
      <c r="BF552" s="23">
        <f t="shared" si="485"/>
        <v>0</v>
      </c>
      <c r="BG552" s="23">
        <f t="shared" si="486"/>
        <v>0</v>
      </c>
      <c r="BH552" s="23">
        <f t="shared" si="498"/>
        <v>0</v>
      </c>
      <c r="BI552" s="23">
        <f t="shared" si="499"/>
        <v>0</v>
      </c>
      <c r="BJ552" s="23">
        <f t="shared" si="500"/>
        <v>0</v>
      </c>
      <c r="BK552" s="23">
        <f t="shared" si="501"/>
        <v>0</v>
      </c>
    </row>
    <row r="553" spans="1:63" s="100" customFormat="1" ht="16" hidden="1" customHeight="1">
      <c r="A553" s="29" t="s">
        <v>1008</v>
      </c>
      <c r="B553" s="29" t="s">
        <v>1300</v>
      </c>
      <c r="C553" s="29" t="s">
        <v>1301</v>
      </c>
      <c r="D553" s="29" t="s">
        <v>477</v>
      </c>
      <c r="E553" s="27"/>
      <c r="F553" s="25"/>
      <c r="G553" s="25"/>
      <c r="H553" s="25"/>
      <c r="I553" s="5"/>
      <c r="J553" s="5">
        <v>0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/>
      <c r="R553" s="25"/>
      <c r="S553" s="5"/>
      <c r="T553" s="5"/>
      <c r="U553" s="5"/>
      <c r="V553" s="5"/>
      <c r="W553" s="5"/>
      <c r="X553" s="25">
        <v>0</v>
      </c>
      <c r="Y553" s="25">
        <v>0</v>
      </c>
      <c r="Z553" s="25">
        <f t="shared" si="493"/>
        <v>0</v>
      </c>
      <c r="AA553" s="25"/>
      <c r="AB553" s="25">
        <v>0</v>
      </c>
      <c r="AC553" s="25">
        <v>0</v>
      </c>
      <c r="AD553" s="25">
        <f t="shared" si="502"/>
        <v>0</v>
      </c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30">
        <f t="shared" si="494"/>
        <v>0</v>
      </c>
      <c r="AU553" s="25">
        <f t="shared" si="503"/>
        <v>0</v>
      </c>
      <c r="AV553" s="5"/>
      <c r="AW553" s="23">
        <f t="shared" si="476"/>
        <v>0</v>
      </c>
      <c r="AX553" s="23">
        <f t="shared" si="477"/>
        <v>0</v>
      </c>
      <c r="AY553" s="23">
        <f t="shared" si="478"/>
        <v>0</v>
      </c>
      <c r="AZ553" s="23">
        <f t="shared" si="479"/>
        <v>0</v>
      </c>
      <c r="BA553" s="23">
        <f t="shared" si="480"/>
        <v>0</v>
      </c>
      <c r="BB553" s="23">
        <f t="shared" si="481"/>
        <v>0</v>
      </c>
      <c r="BC553" s="23">
        <f t="shared" si="482"/>
        <v>0</v>
      </c>
      <c r="BD553" s="23">
        <f t="shared" si="483"/>
        <v>0</v>
      </c>
      <c r="BE553" s="23">
        <f t="shared" si="484"/>
        <v>0</v>
      </c>
      <c r="BF553" s="23">
        <f t="shared" si="485"/>
        <v>0</v>
      </c>
      <c r="BG553" s="23">
        <f t="shared" si="486"/>
        <v>0</v>
      </c>
      <c r="BH553" s="23">
        <f t="shared" si="498"/>
        <v>0</v>
      </c>
      <c r="BI553" s="23">
        <f t="shared" si="499"/>
        <v>0</v>
      </c>
      <c r="BJ553" s="23">
        <f t="shared" si="500"/>
        <v>0</v>
      </c>
      <c r="BK553" s="23">
        <f t="shared" si="501"/>
        <v>0</v>
      </c>
    </row>
    <row r="554" spans="1:63" s="100" customFormat="1" ht="16" hidden="1" customHeight="1">
      <c r="A554" s="29" t="s">
        <v>1008</v>
      </c>
      <c r="B554" s="29" t="s">
        <v>1302</v>
      </c>
      <c r="C554" s="29" t="s">
        <v>1303</v>
      </c>
      <c r="D554" s="29" t="s">
        <v>477</v>
      </c>
      <c r="E554" s="27"/>
      <c r="F554" s="25"/>
      <c r="G554" s="25"/>
      <c r="H554" s="25"/>
      <c r="I554" s="5"/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/>
      <c r="R554" s="25"/>
      <c r="S554" s="5"/>
      <c r="T554" s="5"/>
      <c r="U554" s="5"/>
      <c r="V554" s="5"/>
      <c r="W554" s="5"/>
      <c r="X554" s="25">
        <v>0</v>
      </c>
      <c r="Y554" s="25">
        <v>0</v>
      </c>
      <c r="Z554" s="25">
        <f t="shared" si="493"/>
        <v>0</v>
      </c>
      <c r="AA554" s="25"/>
      <c r="AB554" s="25">
        <v>0</v>
      </c>
      <c r="AC554" s="25">
        <v>0</v>
      </c>
      <c r="AD554" s="25">
        <f t="shared" ref="AD554:AD572" si="504">AB554-Y554+AA554+AC554</f>
        <v>0</v>
      </c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30">
        <f t="shared" si="494"/>
        <v>0</v>
      </c>
      <c r="AU554" s="25">
        <f t="shared" ref="AU554:AU574" si="505">AD554-AT554</f>
        <v>0</v>
      </c>
      <c r="AV554" s="5"/>
      <c r="AW554" s="23">
        <f t="shared" ref="AW554:AW579" si="506">AE554+Y554-I554</f>
        <v>0</v>
      </c>
      <c r="AX554" s="23">
        <f t="shared" si="477"/>
        <v>0</v>
      </c>
      <c r="AY554" s="23">
        <f t="shared" si="478"/>
        <v>0</v>
      </c>
      <c r="AZ554" s="23">
        <f t="shared" si="479"/>
        <v>0</v>
      </c>
      <c r="BA554" s="23">
        <f t="shared" si="480"/>
        <v>0</v>
      </c>
      <c r="BB554" s="23">
        <f t="shared" si="481"/>
        <v>0</v>
      </c>
      <c r="BC554" s="23">
        <f t="shared" si="482"/>
        <v>0</v>
      </c>
      <c r="BD554" s="23">
        <f t="shared" si="483"/>
        <v>0</v>
      </c>
      <c r="BE554" s="23">
        <f t="shared" si="484"/>
        <v>0</v>
      </c>
      <c r="BF554" s="23">
        <f t="shared" si="485"/>
        <v>0</v>
      </c>
      <c r="BG554" s="23">
        <f t="shared" si="486"/>
        <v>0</v>
      </c>
      <c r="BH554" s="23">
        <f t="shared" si="498"/>
        <v>0</v>
      </c>
      <c r="BI554" s="23">
        <f t="shared" si="499"/>
        <v>0</v>
      </c>
      <c r="BJ554" s="23">
        <f t="shared" si="500"/>
        <v>0</v>
      </c>
      <c r="BK554" s="23">
        <f t="shared" si="501"/>
        <v>0</v>
      </c>
    </row>
    <row r="555" spans="1:63" s="100" customFormat="1" ht="16" hidden="1" customHeight="1">
      <c r="A555" s="29" t="s">
        <v>1008</v>
      </c>
      <c r="B555" s="29" t="s">
        <v>1304</v>
      </c>
      <c r="C555" s="29" t="s">
        <v>1305</v>
      </c>
      <c r="D555" s="29" t="s">
        <v>477</v>
      </c>
      <c r="E555" s="27"/>
      <c r="F555" s="25"/>
      <c r="G555" s="25"/>
      <c r="H555" s="25"/>
      <c r="I555" s="5"/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/>
      <c r="R555" s="25"/>
      <c r="S555" s="5"/>
      <c r="T555" s="5"/>
      <c r="U555" s="5"/>
      <c r="V555" s="5"/>
      <c r="W555" s="5"/>
      <c r="X555" s="25">
        <v>0</v>
      </c>
      <c r="Y555" s="25">
        <v>0</v>
      </c>
      <c r="Z555" s="25">
        <f t="shared" si="493"/>
        <v>0</v>
      </c>
      <c r="AA555" s="25"/>
      <c r="AB555" s="25">
        <v>0</v>
      </c>
      <c r="AC555" s="25">
        <v>0</v>
      </c>
      <c r="AD555" s="25">
        <f t="shared" si="504"/>
        <v>0</v>
      </c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30">
        <f t="shared" si="494"/>
        <v>0</v>
      </c>
      <c r="AU555" s="25">
        <f t="shared" si="505"/>
        <v>0</v>
      </c>
      <c r="AV555" s="5"/>
      <c r="AW555" s="23">
        <f t="shared" si="506"/>
        <v>0</v>
      </c>
      <c r="AX555" s="23">
        <f t="shared" si="477"/>
        <v>0</v>
      </c>
      <c r="AY555" s="23">
        <f t="shared" si="478"/>
        <v>0</v>
      </c>
      <c r="AZ555" s="23">
        <f t="shared" si="479"/>
        <v>0</v>
      </c>
      <c r="BA555" s="23">
        <f t="shared" si="480"/>
        <v>0</v>
      </c>
      <c r="BB555" s="23">
        <f t="shared" si="481"/>
        <v>0</v>
      </c>
      <c r="BC555" s="23">
        <f t="shared" si="482"/>
        <v>0</v>
      </c>
      <c r="BD555" s="23">
        <f t="shared" si="483"/>
        <v>0</v>
      </c>
      <c r="BE555" s="23">
        <f t="shared" si="484"/>
        <v>0</v>
      </c>
      <c r="BF555" s="23">
        <f t="shared" si="485"/>
        <v>0</v>
      </c>
      <c r="BG555" s="23">
        <f t="shared" si="486"/>
        <v>0</v>
      </c>
      <c r="BH555" s="23">
        <f t="shared" si="498"/>
        <v>0</v>
      </c>
      <c r="BI555" s="23">
        <f t="shared" si="499"/>
        <v>0</v>
      </c>
      <c r="BJ555" s="23">
        <f t="shared" si="500"/>
        <v>0</v>
      </c>
      <c r="BK555" s="23">
        <f t="shared" si="501"/>
        <v>0</v>
      </c>
    </row>
    <row r="556" spans="1:63" s="100" customFormat="1" ht="16" hidden="1" customHeight="1">
      <c r="A556" s="29" t="s">
        <v>1008</v>
      </c>
      <c r="B556" s="29" t="s">
        <v>1306</v>
      </c>
      <c r="C556" s="29" t="s">
        <v>1307</v>
      </c>
      <c r="D556" s="29" t="s">
        <v>477</v>
      </c>
      <c r="E556" s="28"/>
      <c r="F556" s="28"/>
      <c r="G556" s="25"/>
      <c r="H556" s="25"/>
      <c r="I556" s="5"/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/>
      <c r="R556" s="25"/>
      <c r="S556" s="5"/>
      <c r="T556" s="5"/>
      <c r="U556" s="5"/>
      <c r="V556" s="5"/>
      <c r="W556" s="5"/>
      <c r="X556" s="25">
        <v>0</v>
      </c>
      <c r="Y556" s="25">
        <v>0</v>
      </c>
      <c r="Z556" s="25">
        <f t="shared" si="493"/>
        <v>0</v>
      </c>
      <c r="AA556" s="25"/>
      <c r="AB556" s="25">
        <v>0</v>
      </c>
      <c r="AC556" s="25">
        <v>0</v>
      </c>
      <c r="AD556" s="25">
        <f t="shared" si="504"/>
        <v>0</v>
      </c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30">
        <f t="shared" si="494"/>
        <v>0</v>
      </c>
      <c r="AU556" s="28">
        <f t="shared" si="505"/>
        <v>0</v>
      </c>
      <c r="AV556" s="5"/>
      <c r="AW556" s="23">
        <f t="shared" si="506"/>
        <v>0</v>
      </c>
      <c r="AX556" s="23">
        <f t="shared" si="477"/>
        <v>0</v>
      </c>
      <c r="AY556" s="23">
        <f t="shared" si="478"/>
        <v>0</v>
      </c>
      <c r="AZ556" s="23">
        <f t="shared" si="479"/>
        <v>0</v>
      </c>
      <c r="BA556" s="23">
        <f t="shared" si="480"/>
        <v>0</v>
      </c>
      <c r="BB556" s="23">
        <f t="shared" si="481"/>
        <v>0</v>
      </c>
      <c r="BC556" s="23">
        <f t="shared" si="482"/>
        <v>0</v>
      </c>
      <c r="BD556" s="23">
        <f t="shared" si="483"/>
        <v>0</v>
      </c>
      <c r="BE556" s="23">
        <f t="shared" si="484"/>
        <v>0</v>
      </c>
      <c r="BF556" s="23">
        <f t="shared" si="485"/>
        <v>0</v>
      </c>
      <c r="BG556" s="23">
        <f t="shared" si="486"/>
        <v>0</v>
      </c>
      <c r="BH556" s="23">
        <f t="shared" si="498"/>
        <v>0</v>
      </c>
      <c r="BI556" s="23">
        <f t="shared" si="499"/>
        <v>0</v>
      </c>
      <c r="BJ556" s="23">
        <f t="shared" si="500"/>
        <v>0</v>
      </c>
      <c r="BK556" s="23">
        <f t="shared" si="501"/>
        <v>0</v>
      </c>
    </row>
    <row r="557" spans="1:63" s="100" customFormat="1" ht="16" hidden="1" customHeight="1">
      <c r="A557" s="29" t="s">
        <v>1008</v>
      </c>
      <c r="B557" s="29" t="s">
        <v>1308</v>
      </c>
      <c r="C557" s="29" t="s">
        <v>1309</v>
      </c>
      <c r="D557" s="29" t="s">
        <v>477</v>
      </c>
      <c r="E557" s="28"/>
      <c r="F557" s="28"/>
      <c r="G557" s="25"/>
      <c r="H557" s="25"/>
      <c r="I557" s="5"/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/>
      <c r="R557" s="25"/>
      <c r="S557" s="5"/>
      <c r="T557" s="5"/>
      <c r="U557" s="5"/>
      <c r="V557" s="5"/>
      <c r="W557" s="5"/>
      <c r="X557" s="25">
        <v>0</v>
      </c>
      <c r="Y557" s="25">
        <v>0</v>
      </c>
      <c r="Z557" s="25">
        <f t="shared" si="493"/>
        <v>0</v>
      </c>
      <c r="AA557" s="25"/>
      <c r="AB557" s="25">
        <v>0</v>
      </c>
      <c r="AC557" s="25">
        <v>0</v>
      </c>
      <c r="AD557" s="25">
        <f t="shared" si="504"/>
        <v>0</v>
      </c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30">
        <f t="shared" si="494"/>
        <v>0</v>
      </c>
      <c r="AU557" s="28">
        <f t="shared" si="505"/>
        <v>0</v>
      </c>
      <c r="AV557" s="5"/>
      <c r="AW557" s="23">
        <f t="shared" si="506"/>
        <v>0</v>
      </c>
      <c r="AX557" s="23">
        <f t="shared" si="477"/>
        <v>0</v>
      </c>
      <c r="AY557" s="23">
        <f t="shared" si="478"/>
        <v>0</v>
      </c>
      <c r="AZ557" s="23">
        <f t="shared" si="479"/>
        <v>0</v>
      </c>
      <c r="BA557" s="23">
        <f t="shared" si="480"/>
        <v>0</v>
      </c>
      <c r="BB557" s="23">
        <f t="shared" si="481"/>
        <v>0</v>
      </c>
      <c r="BC557" s="23">
        <f t="shared" si="482"/>
        <v>0</v>
      </c>
      <c r="BD557" s="23">
        <f t="shared" si="483"/>
        <v>0</v>
      </c>
      <c r="BE557" s="23">
        <f t="shared" si="484"/>
        <v>0</v>
      </c>
      <c r="BF557" s="23">
        <f t="shared" si="485"/>
        <v>0</v>
      </c>
      <c r="BG557" s="23">
        <f t="shared" si="486"/>
        <v>0</v>
      </c>
      <c r="BH557" s="23">
        <f t="shared" si="498"/>
        <v>0</v>
      </c>
      <c r="BI557" s="23">
        <f t="shared" si="499"/>
        <v>0</v>
      </c>
      <c r="BJ557" s="23">
        <f t="shared" si="500"/>
        <v>0</v>
      </c>
      <c r="BK557" s="23">
        <f t="shared" si="501"/>
        <v>0</v>
      </c>
    </row>
    <row r="558" spans="1:63" s="100" customFormat="1" ht="16" hidden="1" customHeight="1">
      <c r="A558" s="29" t="s">
        <v>1008</v>
      </c>
      <c r="B558" s="29" t="s">
        <v>1310</v>
      </c>
      <c r="C558" s="29" t="s">
        <v>1311</v>
      </c>
      <c r="D558" s="29" t="s">
        <v>477</v>
      </c>
      <c r="E558" s="28"/>
      <c r="F558" s="28"/>
      <c r="G558" s="25"/>
      <c r="H558" s="25"/>
      <c r="I558" s="5"/>
      <c r="J558" s="5">
        <v>0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/>
      <c r="R558" s="25"/>
      <c r="S558" s="5"/>
      <c r="T558" s="5"/>
      <c r="U558" s="5"/>
      <c r="V558" s="5"/>
      <c r="W558" s="5"/>
      <c r="X558" s="25">
        <v>0</v>
      </c>
      <c r="Y558" s="25">
        <v>0</v>
      </c>
      <c r="Z558" s="25">
        <f t="shared" si="493"/>
        <v>0</v>
      </c>
      <c r="AA558" s="25"/>
      <c r="AB558" s="25">
        <v>0</v>
      </c>
      <c r="AC558" s="25">
        <v>0</v>
      </c>
      <c r="AD558" s="25">
        <f t="shared" si="504"/>
        <v>0</v>
      </c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30">
        <f t="shared" si="494"/>
        <v>0</v>
      </c>
      <c r="AU558" s="28">
        <f t="shared" si="505"/>
        <v>0</v>
      </c>
      <c r="AV558" s="5"/>
      <c r="AW558" s="23">
        <f t="shared" si="506"/>
        <v>0</v>
      </c>
      <c r="AX558" s="23">
        <f t="shared" si="477"/>
        <v>0</v>
      </c>
      <c r="AY558" s="23">
        <f t="shared" si="478"/>
        <v>0</v>
      </c>
      <c r="AZ558" s="23">
        <f t="shared" si="479"/>
        <v>0</v>
      </c>
      <c r="BA558" s="23">
        <f t="shared" si="480"/>
        <v>0</v>
      </c>
      <c r="BB558" s="23">
        <f t="shared" si="481"/>
        <v>0</v>
      </c>
      <c r="BC558" s="23">
        <f t="shared" si="482"/>
        <v>0</v>
      </c>
      <c r="BD558" s="23">
        <f t="shared" si="483"/>
        <v>0</v>
      </c>
      <c r="BE558" s="23">
        <f t="shared" si="484"/>
        <v>0</v>
      </c>
      <c r="BF558" s="23">
        <f t="shared" si="485"/>
        <v>0</v>
      </c>
      <c r="BG558" s="23">
        <f t="shared" si="486"/>
        <v>0</v>
      </c>
      <c r="BH558" s="23">
        <f t="shared" si="498"/>
        <v>0</v>
      </c>
      <c r="BI558" s="23">
        <f t="shared" si="499"/>
        <v>0</v>
      </c>
      <c r="BJ558" s="23">
        <f t="shared" si="500"/>
        <v>0</v>
      </c>
      <c r="BK558" s="23">
        <f t="shared" si="501"/>
        <v>0</v>
      </c>
    </row>
    <row r="559" spans="1:63" s="100" customFormat="1" ht="16" hidden="1" customHeight="1">
      <c r="A559" s="29" t="s">
        <v>1008</v>
      </c>
      <c r="B559" s="29" t="s">
        <v>1312</v>
      </c>
      <c r="C559" s="29" t="s">
        <v>1313</v>
      </c>
      <c r="D559" s="29" t="s">
        <v>477</v>
      </c>
      <c r="E559" s="27"/>
      <c r="F559" s="25"/>
      <c r="G559" s="25"/>
      <c r="H559" s="25"/>
      <c r="I559" s="5"/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/>
      <c r="R559" s="25"/>
      <c r="S559" s="5"/>
      <c r="T559" s="5"/>
      <c r="U559" s="5"/>
      <c r="V559" s="5"/>
      <c r="W559" s="5"/>
      <c r="X559" s="25">
        <v>0</v>
      </c>
      <c r="Y559" s="25">
        <v>0</v>
      </c>
      <c r="Z559" s="25">
        <f t="shared" si="493"/>
        <v>0</v>
      </c>
      <c r="AA559" s="25"/>
      <c r="AB559" s="25">
        <v>0</v>
      </c>
      <c r="AC559" s="25">
        <v>0</v>
      </c>
      <c r="AD559" s="25">
        <f t="shared" si="504"/>
        <v>0</v>
      </c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30">
        <f t="shared" si="494"/>
        <v>0</v>
      </c>
      <c r="AU559" s="25">
        <f t="shared" si="505"/>
        <v>0</v>
      </c>
      <c r="AV559" s="5"/>
      <c r="AW559" s="23">
        <f t="shared" si="506"/>
        <v>0</v>
      </c>
      <c r="AX559" s="23">
        <f t="shared" si="477"/>
        <v>0</v>
      </c>
      <c r="AY559" s="23">
        <f t="shared" si="478"/>
        <v>0</v>
      </c>
      <c r="AZ559" s="23">
        <f t="shared" si="479"/>
        <v>0</v>
      </c>
      <c r="BA559" s="23">
        <f t="shared" si="480"/>
        <v>0</v>
      </c>
      <c r="BB559" s="23">
        <f t="shared" si="481"/>
        <v>0</v>
      </c>
      <c r="BC559" s="23">
        <f t="shared" si="482"/>
        <v>0</v>
      </c>
      <c r="BD559" s="23">
        <f t="shared" si="483"/>
        <v>0</v>
      </c>
      <c r="BE559" s="23">
        <f t="shared" si="484"/>
        <v>0</v>
      </c>
      <c r="BF559" s="23">
        <f t="shared" si="485"/>
        <v>0</v>
      </c>
      <c r="BG559" s="23">
        <f t="shared" si="486"/>
        <v>0</v>
      </c>
      <c r="BH559" s="23">
        <f t="shared" si="498"/>
        <v>0</v>
      </c>
      <c r="BI559" s="23">
        <f t="shared" si="499"/>
        <v>0</v>
      </c>
      <c r="BJ559" s="23">
        <f t="shared" si="500"/>
        <v>0</v>
      </c>
      <c r="BK559" s="23">
        <f t="shared" si="501"/>
        <v>0</v>
      </c>
    </row>
    <row r="560" spans="1:63" s="100" customFormat="1" ht="16" hidden="1" customHeight="1">
      <c r="A560" s="29" t="s">
        <v>1008</v>
      </c>
      <c r="B560" s="29" t="s">
        <v>1314</v>
      </c>
      <c r="C560" s="29" t="s">
        <v>1315</v>
      </c>
      <c r="D560" s="29" t="s">
        <v>477</v>
      </c>
      <c r="E560" s="27"/>
      <c r="F560" s="25"/>
      <c r="G560" s="25"/>
      <c r="H560" s="25"/>
      <c r="I560" s="5"/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/>
      <c r="R560" s="25"/>
      <c r="S560" s="5"/>
      <c r="T560" s="5"/>
      <c r="U560" s="5"/>
      <c r="V560" s="5"/>
      <c r="W560" s="5"/>
      <c r="X560" s="25">
        <v>0</v>
      </c>
      <c r="Y560" s="25">
        <v>0</v>
      </c>
      <c r="Z560" s="25">
        <f t="shared" si="493"/>
        <v>0</v>
      </c>
      <c r="AA560" s="25"/>
      <c r="AB560" s="25">
        <v>0</v>
      </c>
      <c r="AC560" s="25">
        <v>0</v>
      </c>
      <c r="AD560" s="25">
        <f t="shared" si="504"/>
        <v>0</v>
      </c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30">
        <f t="shared" si="494"/>
        <v>0</v>
      </c>
      <c r="AU560" s="25">
        <f t="shared" si="505"/>
        <v>0</v>
      </c>
      <c r="AV560" s="5"/>
      <c r="AW560" s="23">
        <f t="shared" si="506"/>
        <v>0</v>
      </c>
      <c r="AX560" s="23">
        <f t="shared" si="477"/>
        <v>0</v>
      </c>
      <c r="AY560" s="23">
        <f t="shared" si="478"/>
        <v>0</v>
      </c>
      <c r="AZ560" s="23">
        <f t="shared" si="479"/>
        <v>0</v>
      </c>
      <c r="BA560" s="23">
        <f t="shared" si="480"/>
        <v>0</v>
      </c>
      <c r="BB560" s="23">
        <f t="shared" si="481"/>
        <v>0</v>
      </c>
      <c r="BC560" s="23">
        <f t="shared" si="482"/>
        <v>0</v>
      </c>
      <c r="BD560" s="23">
        <f t="shared" si="483"/>
        <v>0</v>
      </c>
      <c r="BE560" s="23">
        <f t="shared" si="484"/>
        <v>0</v>
      </c>
      <c r="BF560" s="23">
        <f t="shared" si="485"/>
        <v>0</v>
      </c>
      <c r="BG560" s="23">
        <f t="shared" si="486"/>
        <v>0</v>
      </c>
      <c r="BH560" s="23">
        <f t="shared" si="498"/>
        <v>0</v>
      </c>
      <c r="BI560" s="23">
        <f t="shared" si="499"/>
        <v>0</v>
      </c>
      <c r="BJ560" s="23">
        <f t="shared" si="500"/>
        <v>0</v>
      </c>
      <c r="BK560" s="23">
        <f t="shared" si="501"/>
        <v>0</v>
      </c>
    </row>
    <row r="561" spans="1:63" s="100" customFormat="1" ht="16" hidden="1" customHeight="1">
      <c r="A561" s="29" t="s">
        <v>1008</v>
      </c>
      <c r="B561" s="29" t="s">
        <v>1316</v>
      </c>
      <c r="C561" s="29" t="s">
        <v>1317</v>
      </c>
      <c r="D561" s="29" t="s">
        <v>529</v>
      </c>
      <c r="E561" s="27"/>
      <c r="F561" s="25"/>
      <c r="G561" s="25"/>
      <c r="H561" s="25"/>
      <c r="I561" s="5"/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/>
      <c r="R561" s="25"/>
      <c r="S561" s="5"/>
      <c r="T561" s="5"/>
      <c r="U561" s="5"/>
      <c r="V561" s="5"/>
      <c r="W561" s="5"/>
      <c r="X561" s="25">
        <v>0</v>
      </c>
      <c r="Y561" s="25">
        <v>0</v>
      </c>
      <c r="Z561" s="25">
        <f t="shared" si="493"/>
        <v>0</v>
      </c>
      <c r="AA561" s="25"/>
      <c r="AB561" s="25">
        <v>0</v>
      </c>
      <c r="AC561" s="25">
        <v>0</v>
      </c>
      <c r="AD561" s="25">
        <f t="shared" si="504"/>
        <v>0</v>
      </c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30">
        <f t="shared" si="494"/>
        <v>0</v>
      </c>
      <c r="AU561" s="25">
        <f t="shared" si="505"/>
        <v>0</v>
      </c>
      <c r="AV561" s="5"/>
      <c r="AW561" s="23">
        <f t="shared" si="506"/>
        <v>0</v>
      </c>
      <c r="AX561" s="23">
        <f t="shared" si="477"/>
        <v>0</v>
      </c>
      <c r="AY561" s="23">
        <f t="shared" si="478"/>
        <v>0</v>
      </c>
      <c r="AZ561" s="23">
        <f t="shared" si="479"/>
        <v>0</v>
      </c>
      <c r="BA561" s="23">
        <f t="shared" si="480"/>
        <v>0</v>
      </c>
      <c r="BB561" s="23">
        <f t="shared" si="481"/>
        <v>0</v>
      </c>
      <c r="BC561" s="23">
        <f t="shared" si="482"/>
        <v>0</v>
      </c>
      <c r="BD561" s="23">
        <f t="shared" si="483"/>
        <v>0</v>
      </c>
      <c r="BE561" s="23">
        <f t="shared" si="484"/>
        <v>0</v>
      </c>
      <c r="BF561" s="23">
        <f t="shared" si="485"/>
        <v>0</v>
      </c>
      <c r="BG561" s="23">
        <f t="shared" si="486"/>
        <v>0</v>
      </c>
      <c r="BH561" s="23">
        <f t="shared" si="498"/>
        <v>0</v>
      </c>
      <c r="BI561" s="23">
        <f t="shared" si="499"/>
        <v>0</v>
      </c>
      <c r="BJ561" s="23">
        <f t="shared" si="500"/>
        <v>0</v>
      </c>
      <c r="BK561" s="23">
        <f t="shared" si="501"/>
        <v>0</v>
      </c>
    </row>
    <row r="562" spans="1:63" s="100" customFormat="1" ht="16" hidden="1" customHeight="1">
      <c r="A562" s="29" t="s">
        <v>1008</v>
      </c>
      <c r="B562" s="29" t="s">
        <v>1318</v>
      </c>
      <c r="C562" s="29" t="s">
        <v>1319</v>
      </c>
      <c r="D562" s="29" t="s">
        <v>529</v>
      </c>
      <c r="E562" s="27"/>
      <c r="F562" s="25"/>
      <c r="G562" s="25"/>
      <c r="H562" s="25"/>
      <c r="I562" s="5"/>
      <c r="J562" s="5">
        <v>0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/>
      <c r="R562" s="25"/>
      <c r="S562" s="5"/>
      <c r="T562" s="5"/>
      <c r="U562" s="5"/>
      <c r="V562" s="5"/>
      <c r="W562" s="5"/>
      <c r="X562" s="25">
        <v>0</v>
      </c>
      <c r="Y562" s="25">
        <v>0</v>
      </c>
      <c r="Z562" s="25">
        <f t="shared" si="493"/>
        <v>0</v>
      </c>
      <c r="AA562" s="25"/>
      <c r="AB562" s="25">
        <v>0</v>
      </c>
      <c r="AC562" s="25">
        <v>0</v>
      </c>
      <c r="AD562" s="25">
        <f t="shared" si="504"/>
        <v>0</v>
      </c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30">
        <f t="shared" si="494"/>
        <v>0</v>
      </c>
      <c r="AU562" s="25">
        <f t="shared" si="505"/>
        <v>0</v>
      </c>
      <c r="AV562" s="5"/>
      <c r="AW562" s="23">
        <f t="shared" si="506"/>
        <v>0</v>
      </c>
      <c r="AX562" s="23">
        <f t="shared" si="477"/>
        <v>0</v>
      </c>
      <c r="AY562" s="23">
        <f t="shared" si="478"/>
        <v>0</v>
      </c>
      <c r="AZ562" s="23">
        <f t="shared" si="479"/>
        <v>0</v>
      </c>
      <c r="BA562" s="23">
        <f t="shared" si="480"/>
        <v>0</v>
      </c>
      <c r="BB562" s="23">
        <f t="shared" si="481"/>
        <v>0</v>
      </c>
      <c r="BC562" s="23">
        <f t="shared" si="482"/>
        <v>0</v>
      </c>
      <c r="BD562" s="23">
        <f t="shared" si="483"/>
        <v>0</v>
      </c>
      <c r="BE562" s="23">
        <f t="shared" si="484"/>
        <v>0</v>
      </c>
      <c r="BF562" s="23">
        <f t="shared" si="485"/>
        <v>0</v>
      </c>
      <c r="BG562" s="23">
        <f t="shared" si="486"/>
        <v>0</v>
      </c>
      <c r="BH562" s="23">
        <f t="shared" si="498"/>
        <v>0</v>
      </c>
      <c r="BI562" s="23">
        <f t="shared" si="499"/>
        <v>0</v>
      </c>
      <c r="BJ562" s="23">
        <f t="shared" si="500"/>
        <v>0</v>
      </c>
      <c r="BK562" s="23">
        <f t="shared" si="501"/>
        <v>0</v>
      </c>
    </row>
    <row r="563" spans="1:63" s="100" customFormat="1" ht="16" hidden="1" customHeight="1">
      <c r="A563" s="29" t="s">
        <v>1008</v>
      </c>
      <c r="B563" s="29" t="s">
        <v>1320</v>
      </c>
      <c r="C563" s="29" t="s">
        <v>1321</v>
      </c>
      <c r="D563" s="29" t="s">
        <v>529</v>
      </c>
      <c r="E563" s="27"/>
      <c r="F563" s="25"/>
      <c r="G563" s="25"/>
      <c r="H563" s="25"/>
      <c r="I563" s="5"/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/>
      <c r="R563" s="25"/>
      <c r="S563" s="5"/>
      <c r="T563" s="5"/>
      <c r="U563" s="5"/>
      <c r="V563" s="5"/>
      <c r="W563" s="5"/>
      <c r="X563" s="25">
        <v>0</v>
      </c>
      <c r="Y563" s="25">
        <v>0</v>
      </c>
      <c r="Z563" s="25">
        <f t="shared" si="493"/>
        <v>0</v>
      </c>
      <c r="AA563" s="25"/>
      <c r="AB563" s="25">
        <v>0</v>
      </c>
      <c r="AC563" s="25">
        <v>0</v>
      </c>
      <c r="AD563" s="25">
        <f t="shared" si="504"/>
        <v>0</v>
      </c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30">
        <f t="shared" si="494"/>
        <v>0</v>
      </c>
      <c r="AU563" s="25">
        <f t="shared" si="505"/>
        <v>0</v>
      </c>
      <c r="AV563" s="5"/>
      <c r="AW563" s="23">
        <f t="shared" si="506"/>
        <v>0</v>
      </c>
      <c r="AX563" s="23">
        <f t="shared" si="477"/>
        <v>0</v>
      </c>
      <c r="AY563" s="23">
        <f t="shared" si="478"/>
        <v>0</v>
      </c>
      <c r="AZ563" s="23">
        <f t="shared" si="479"/>
        <v>0</v>
      </c>
      <c r="BA563" s="23">
        <f t="shared" si="480"/>
        <v>0</v>
      </c>
      <c r="BB563" s="23">
        <f t="shared" si="481"/>
        <v>0</v>
      </c>
      <c r="BC563" s="23">
        <f t="shared" si="482"/>
        <v>0</v>
      </c>
      <c r="BD563" s="23">
        <f t="shared" si="483"/>
        <v>0</v>
      </c>
      <c r="BE563" s="23">
        <f t="shared" si="484"/>
        <v>0</v>
      </c>
      <c r="BF563" s="23">
        <f t="shared" si="485"/>
        <v>0</v>
      </c>
      <c r="BG563" s="23">
        <f t="shared" si="486"/>
        <v>0</v>
      </c>
      <c r="BH563" s="23">
        <f t="shared" si="498"/>
        <v>0</v>
      </c>
      <c r="BI563" s="23">
        <f t="shared" si="499"/>
        <v>0</v>
      </c>
      <c r="BJ563" s="23">
        <f t="shared" si="500"/>
        <v>0</v>
      </c>
      <c r="BK563" s="23">
        <f t="shared" si="501"/>
        <v>0</v>
      </c>
    </row>
    <row r="564" spans="1:63" s="100" customFormat="1" ht="16" hidden="1" customHeight="1">
      <c r="A564" s="29" t="s">
        <v>1008</v>
      </c>
      <c r="B564" s="29" t="s">
        <v>1322</v>
      </c>
      <c r="C564" s="29" t="s">
        <v>1323</v>
      </c>
      <c r="D564" s="29" t="s">
        <v>529</v>
      </c>
      <c r="E564" s="27"/>
      <c r="F564" s="25"/>
      <c r="G564" s="25"/>
      <c r="H564" s="25"/>
      <c r="I564" s="5"/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/>
      <c r="R564" s="25"/>
      <c r="S564" s="5"/>
      <c r="T564" s="5"/>
      <c r="U564" s="5"/>
      <c r="V564" s="5"/>
      <c r="W564" s="5"/>
      <c r="X564" s="25">
        <v>0</v>
      </c>
      <c r="Y564" s="25">
        <v>0</v>
      </c>
      <c r="Z564" s="25">
        <f t="shared" si="493"/>
        <v>0</v>
      </c>
      <c r="AA564" s="25"/>
      <c r="AB564" s="25">
        <v>0</v>
      </c>
      <c r="AC564" s="25">
        <v>0</v>
      </c>
      <c r="AD564" s="25">
        <f t="shared" si="504"/>
        <v>0</v>
      </c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30">
        <f t="shared" si="494"/>
        <v>0</v>
      </c>
      <c r="AU564" s="25">
        <f t="shared" si="505"/>
        <v>0</v>
      </c>
      <c r="AV564" s="5"/>
      <c r="AW564" s="23">
        <f t="shared" si="506"/>
        <v>0</v>
      </c>
      <c r="AX564" s="23">
        <f t="shared" si="477"/>
        <v>0</v>
      </c>
      <c r="AY564" s="23">
        <f t="shared" si="478"/>
        <v>0</v>
      </c>
      <c r="AZ564" s="23">
        <f t="shared" si="479"/>
        <v>0</v>
      </c>
      <c r="BA564" s="23">
        <f t="shared" si="480"/>
        <v>0</v>
      </c>
      <c r="BB564" s="23">
        <f t="shared" si="481"/>
        <v>0</v>
      </c>
      <c r="BC564" s="23">
        <f t="shared" si="482"/>
        <v>0</v>
      </c>
      <c r="BD564" s="23">
        <f t="shared" si="483"/>
        <v>0</v>
      </c>
      <c r="BE564" s="23">
        <f t="shared" si="484"/>
        <v>0</v>
      </c>
      <c r="BF564" s="23">
        <f t="shared" si="485"/>
        <v>0</v>
      </c>
      <c r="BG564" s="23">
        <f t="shared" si="486"/>
        <v>0</v>
      </c>
      <c r="BH564" s="23">
        <f t="shared" si="498"/>
        <v>0</v>
      </c>
      <c r="BI564" s="23">
        <f t="shared" si="499"/>
        <v>0</v>
      </c>
      <c r="BJ564" s="23">
        <f t="shared" si="500"/>
        <v>0</v>
      </c>
      <c r="BK564" s="23">
        <f t="shared" si="501"/>
        <v>0</v>
      </c>
    </row>
    <row r="565" spans="1:63" s="100" customFormat="1" ht="16" hidden="1" customHeight="1">
      <c r="A565" s="29" t="s">
        <v>1008</v>
      </c>
      <c r="B565" s="29" t="s">
        <v>1324</v>
      </c>
      <c r="C565" s="29" t="s">
        <v>1325</v>
      </c>
      <c r="D565" s="29" t="s">
        <v>529</v>
      </c>
      <c r="E565" s="27"/>
      <c r="F565" s="25"/>
      <c r="G565" s="25"/>
      <c r="H565" s="25"/>
      <c r="I565" s="5"/>
      <c r="J565" s="5">
        <v>0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/>
      <c r="R565" s="25"/>
      <c r="S565" s="5"/>
      <c r="T565" s="5"/>
      <c r="U565" s="5"/>
      <c r="V565" s="5"/>
      <c r="W565" s="5"/>
      <c r="X565" s="25">
        <v>0</v>
      </c>
      <c r="Y565" s="25">
        <v>0</v>
      </c>
      <c r="Z565" s="25">
        <f t="shared" si="493"/>
        <v>0</v>
      </c>
      <c r="AA565" s="25"/>
      <c r="AB565" s="25">
        <v>0</v>
      </c>
      <c r="AC565" s="25">
        <v>0</v>
      </c>
      <c r="AD565" s="25">
        <f t="shared" si="504"/>
        <v>0</v>
      </c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30">
        <f t="shared" si="494"/>
        <v>0</v>
      </c>
      <c r="AU565" s="25">
        <f t="shared" si="505"/>
        <v>0</v>
      </c>
      <c r="AV565" s="5"/>
      <c r="AW565" s="23">
        <f t="shared" si="506"/>
        <v>0</v>
      </c>
      <c r="AX565" s="23">
        <f t="shared" si="477"/>
        <v>0</v>
      </c>
      <c r="AY565" s="23">
        <f t="shared" si="478"/>
        <v>0</v>
      </c>
      <c r="AZ565" s="23">
        <f t="shared" si="479"/>
        <v>0</v>
      </c>
      <c r="BA565" s="23">
        <f t="shared" si="480"/>
        <v>0</v>
      </c>
      <c r="BB565" s="23">
        <f t="shared" si="481"/>
        <v>0</v>
      </c>
      <c r="BC565" s="23">
        <f t="shared" si="482"/>
        <v>0</v>
      </c>
      <c r="BD565" s="23">
        <f t="shared" si="483"/>
        <v>0</v>
      </c>
      <c r="BE565" s="23">
        <f t="shared" si="484"/>
        <v>0</v>
      </c>
      <c r="BF565" s="23">
        <f t="shared" si="485"/>
        <v>0</v>
      </c>
      <c r="BG565" s="23">
        <f t="shared" si="486"/>
        <v>0</v>
      </c>
      <c r="BH565" s="23">
        <f t="shared" si="498"/>
        <v>0</v>
      </c>
      <c r="BI565" s="23">
        <f t="shared" si="499"/>
        <v>0</v>
      </c>
      <c r="BJ565" s="23">
        <f t="shared" si="500"/>
        <v>0</v>
      </c>
      <c r="BK565" s="23">
        <f t="shared" si="501"/>
        <v>0</v>
      </c>
    </row>
    <row r="566" spans="1:63" s="100" customFormat="1" ht="16" hidden="1" customHeight="1">
      <c r="A566" s="29" t="s">
        <v>1008</v>
      </c>
      <c r="B566" s="29" t="s">
        <v>1326</v>
      </c>
      <c r="C566" s="29" t="s">
        <v>1327</v>
      </c>
      <c r="D566" s="29" t="s">
        <v>529</v>
      </c>
      <c r="E566" s="27"/>
      <c r="F566" s="25"/>
      <c r="G566" s="25"/>
      <c r="H566" s="25"/>
      <c r="I566" s="5"/>
      <c r="J566" s="5">
        <v>0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/>
      <c r="R566" s="25"/>
      <c r="S566" s="5"/>
      <c r="T566" s="5"/>
      <c r="U566" s="5"/>
      <c r="V566" s="5"/>
      <c r="W566" s="5"/>
      <c r="X566" s="25">
        <v>0</v>
      </c>
      <c r="Y566" s="25">
        <v>0</v>
      </c>
      <c r="Z566" s="25">
        <f t="shared" si="493"/>
        <v>0</v>
      </c>
      <c r="AA566" s="25"/>
      <c r="AB566" s="25">
        <v>0</v>
      </c>
      <c r="AC566" s="25">
        <v>0</v>
      </c>
      <c r="AD566" s="25">
        <f t="shared" si="504"/>
        <v>0</v>
      </c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30">
        <f t="shared" si="494"/>
        <v>0</v>
      </c>
      <c r="AU566" s="25">
        <f t="shared" si="505"/>
        <v>0</v>
      </c>
      <c r="AV566" s="5"/>
      <c r="AW566" s="23">
        <f t="shared" si="506"/>
        <v>0</v>
      </c>
      <c r="AX566" s="23">
        <f t="shared" si="477"/>
        <v>0</v>
      </c>
      <c r="AY566" s="23">
        <f t="shared" si="478"/>
        <v>0</v>
      </c>
      <c r="AZ566" s="23">
        <f t="shared" si="479"/>
        <v>0</v>
      </c>
      <c r="BA566" s="23">
        <f t="shared" si="480"/>
        <v>0</v>
      </c>
      <c r="BB566" s="23">
        <f t="shared" si="481"/>
        <v>0</v>
      </c>
      <c r="BC566" s="23">
        <f t="shared" si="482"/>
        <v>0</v>
      </c>
      <c r="BD566" s="23">
        <f t="shared" si="483"/>
        <v>0</v>
      </c>
      <c r="BE566" s="23">
        <f t="shared" si="484"/>
        <v>0</v>
      </c>
      <c r="BF566" s="23">
        <f t="shared" si="485"/>
        <v>0</v>
      </c>
      <c r="BG566" s="23">
        <f t="shared" si="486"/>
        <v>0</v>
      </c>
      <c r="BH566" s="23">
        <f t="shared" si="498"/>
        <v>0</v>
      </c>
      <c r="BI566" s="23">
        <f t="shared" si="499"/>
        <v>0</v>
      </c>
      <c r="BJ566" s="23">
        <f t="shared" si="500"/>
        <v>0</v>
      </c>
      <c r="BK566" s="23">
        <f t="shared" si="501"/>
        <v>0</v>
      </c>
    </row>
    <row r="567" spans="1:63" s="100" customFormat="1" ht="16" hidden="1" customHeight="1">
      <c r="A567" s="29" t="s">
        <v>1008</v>
      </c>
      <c r="B567" s="29" t="s">
        <v>1328</v>
      </c>
      <c r="C567" s="29" t="s">
        <v>1329</v>
      </c>
      <c r="D567" s="29" t="s">
        <v>529</v>
      </c>
      <c r="E567" s="27"/>
      <c r="F567" s="25"/>
      <c r="G567" s="25"/>
      <c r="H567" s="25"/>
      <c r="I567" s="5"/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/>
      <c r="R567" s="25"/>
      <c r="S567" s="5"/>
      <c r="T567" s="5"/>
      <c r="U567" s="5"/>
      <c r="V567" s="5"/>
      <c r="W567" s="5"/>
      <c r="X567" s="25">
        <v>0</v>
      </c>
      <c r="Y567" s="25">
        <v>0</v>
      </c>
      <c r="Z567" s="25">
        <f t="shared" si="493"/>
        <v>0</v>
      </c>
      <c r="AA567" s="25"/>
      <c r="AB567" s="25">
        <v>0</v>
      </c>
      <c r="AC567" s="25">
        <v>0</v>
      </c>
      <c r="AD567" s="25">
        <f t="shared" si="504"/>
        <v>0</v>
      </c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30">
        <f t="shared" si="494"/>
        <v>0</v>
      </c>
      <c r="AU567" s="25">
        <f t="shared" si="505"/>
        <v>0</v>
      </c>
      <c r="AV567" s="5"/>
      <c r="AW567" s="23">
        <f t="shared" si="506"/>
        <v>0</v>
      </c>
      <c r="AX567" s="23">
        <f t="shared" si="477"/>
        <v>0</v>
      </c>
      <c r="AY567" s="23">
        <f t="shared" si="478"/>
        <v>0</v>
      </c>
      <c r="AZ567" s="23">
        <f t="shared" si="479"/>
        <v>0</v>
      </c>
      <c r="BA567" s="23">
        <f t="shared" si="480"/>
        <v>0</v>
      </c>
      <c r="BB567" s="23">
        <f t="shared" si="481"/>
        <v>0</v>
      </c>
      <c r="BC567" s="23">
        <f t="shared" si="482"/>
        <v>0</v>
      </c>
      <c r="BD567" s="23">
        <f t="shared" si="483"/>
        <v>0</v>
      </c>
      <c r="BE567" s="23">
        <f t="shared" si="484"/>
        <v>0</v>
      </c>
      <c r="BF567" s="23">
        <f t="shared" si="485"/>
        <v>0</v>
      </c>
      <c r="BG567" s="23">
        <f t="shared" si="486"/>
        <v>0</v>
      </c>
      <c r="BH567" s="23">
        <f t="shared" si="498"/>
        <v>0</v>
      </c>
      <c r="BI567" s="23">
        <f t="shared" si="499"/>
        <v>0</v>
      </c>
      <c r="BJ567" s="23">
        <f t="shared" si="500"/>
        <v>0</v>
      </c>
      <c r="BK567" s="23">
        <f t="shared" si="501"/>
        <v>0</v>
      </c>
    </row>
    <row r="568" spans="1:63" s="100" customFormat="1" ht="16" hidden="1" customHeight="1">
      <c r="A568" s="29" t="s">
        <v>1008</v>
      </c>
      <c r="B568" s="29" t="s">
        <v>1330</v>
      </c>
      <c r="C568" s="29" t="s">
        <v>1331</v>
      </c>
      <c r="D568" s="29" t="s">
        <v>529</v>
      </c>
      <c r="E568" s="27"/>
      <c r="F568" s="25"/>
      <c r="G568" s="25"/>
      <c r="H568" s="25"/>
      <c r="I568" s="5"/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/>
      <c r="R568" s="25"/>
      <c r="S568" s="5"/>
      <c r="T568" s="5"/>
      <c r="U568" s="5"/>
      <c r="V568" s="5"/>
      <c r="W568" s="5"/>
      <c r="X568" s="25">
        <v>0</v>
      </c>
      <c r="Y568" s="25">
        <v>0</v>
      </c>
      <c r="Z568" s="25">
        <f t="shared" si="493"/>
        <v>0</v>
      </c>
      <c r="AA568" s="25"/>
      <c r="AB568" s="25">
        <v>0</v>
      </c>
      <c r="AC568" s="25">
        <v>0</v>
      </c>
      <c r="AD568" s="25">
        <f t="shared" si="504"/>
        <v>0</v>
      </c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30">
        <f t="shared" si="494"/>
        <v>0</v>
      </c>
      <c r="AU568" s="25">
        <f t="shared" si="505"/>
        <v>0</v>
      </c>
      <c r="AV568" s="5"/>
      <c r="AW568" s="23">
        <f t="shared" si="506"/>
        <v>0</v>
      </c>
      <c r="AX568" s="23">
        <f t="shared" si="477"/>
        <v>0</v>
      </c>
      <c r="AY568" s="23">
        <f t="shared" si="478"/>
        <v>0</v>
      </c>
      <c r="AZ568" s="23">
        <f t="shared" si="479"/>
        <v>0</v>
      </c>
      <c r="BA568" s="23">
        <f t="shared" si="480"/>
        <v>0</v>
      </c>
      <c r="BB568" s="23">
        <f t="shared" si="481"/>
        <v>0</v>
      </c>
      <c r="BC568" s="23">
        <f t="shared" si="482"/>
        <v>0</v>
      </c>
      <c r="BD568" s="23">
        <f t="shared" si="483"/>
        <v>0</v>
      </c>
      <c r="BE568" s="23">
        <f t="shared" si="484"/>
        <v>0</v>
      </c>
      <c r="BF568" s="23">
        <f t="shared" si="485"/>
        <v>0</v>
      </c>
      <c r="BG568" s="23">
        <f t="shared" si="486"/>
        <v>0</v>
      </c>
      <c r="BH568" s="23">
        <f t="shared" si="498"/>
        <v>0</v>
      </c>
      <c r="BI568" s="23">
        <f t="shared" si="499"/>
        <v>0</v>
      </c>
      <c r="BJ568" s="23">
        <f t="shared" si="500"/>
        <v>0</v>
      </c>
      <c r="BK568" s="23">
        <f t="shared" si="501"/>
        <v>0</v>
      </c>
    </row>
    <row r="569" spans="1:63" s="100" customFormat="1" ht="16" hidden="1" customHeight="1">
      <c r="A569" s="29" t="s">
        <v>1008</v>
      </c>
      <c r="B569" s="29" t="s">
        <v>1332</v>
      </c>
      <c r="C569" s="29" t="s">
        <v>1333</v>
      </c>
      <c r="D569" s="29" t="s">
        <v>529</v>
      </c>
      <c r="E569" s="27"/>
      <c r="F569" s="25"/>
      <c r="G569" s="25"/>
      <c r="H569" s="25"/>
      <c r="I569" s="5"/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/>
      <c r="R569" s="25"/>
      <c r="S569" s="5"/>
      <c r="T569" s="5"/>
      <c r="U569" s="5"/>
      <c r="V569" s="5"/>
      <c r="W569" s="5"/>
      <c r="X569" s="25">
        <v>0</v>
      </c>
      <c r="Y569" s="25">
        <v>0</v>
      </c>
      <c r="Z569" s="25">
        <f t="shared" si="493"/>
        <v>0</v>
      </c>
      <c r="AA569" s="25"/>
      <c r="AB569" s="25">
        <v>0</v>
      </c>
      <c r="AC569" s="25">
        <v>0</v>
      </c>
      <c r="AD569" s="25">
        <f t="shared" si="504"/>
        <v>0</v>
      </c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30">
        <f t="shared" si="494"/>
        <v>0</v>
      </c>
      <c r="AU569" s="25">
        <f t="shared" si="505"/>
        <v>0</v>
      </c>
      <c r="AV569" s="5"/>
      <c r="AW569" s="23">
        <f t="shared" si="506"/>
        <v>0</v>
      </c>
      <c r="AX569" s="23">
        <f t="shared" si="477"/>
        <v>0</v>
      </c>
      <c r="AY569" s="23">
        <f t="shared" si="478"/>
        <v>0</v>
      </c>
      <c r="AZ569" s="23">
        <f t="shared" si="479"/>
        <v>0</v>
      </c>
      <c r="BA569" s="23">
        <f t="shared" si="480"/>
        <v>0</v>
      </c>
      <c r="BB569" s="23">
        <f t="shared" si="481"/>
        <v>0</v>
      </c>
      <c r="BC569" s="23">
        <f t="shared" si="482"/>
        <v>0</v>
      </c>
      <c r="BD569" s="23">
        <f t="shared" si="483"/>
        <v>0</v>
      </c>
      <c r="BE569" s="23">
        <f t="shared" si="484"/>
        <v>0</v>
      </c>
      <c r="BF569" s="23">
        <f t="shared" si="485"/>
        <v>0</v>
      </c>
      <c r="BG569" s="23">
        <f t="shared" si="486"/>
        <v>0</v>
      </c>
      <c r="BH569" s="23">
        <f t="shared" si="498"/>
        <v>0</v>
      </c>
      <c r="BI569" s="23">
        <f t="shared" si="499"/>
        <v>0</v>
      </c>
      <c r="BJ569" s="23">
        <f t="shared" si="500"/>
        <v>0</v>
      </c>
      <c r="BK569" s="23">
        <f t="shared" si="501"/>
        <v>0</v>
      </c>
    </row>
    <row r="570" spans="1:63" s="100" customFormat="1" ht="16" customHeight="1">
      <c r="A570" s="29" t="s">
        <v>1008</v>
      </c>
      <c r="B570" s="29" t="s">
        <v>628</v>
      </c>
      <c r="C570" s="29" t="s">
        <v>629</v>
      </c>
      <c r="D570" s="29" t="s">
        <v>529</v>
      </c>
      <c r="E570" s="27"/>
      <c r="F570" s="25"/>
      <c r="G570" s="25"/>
      <c r="H570" s="25"/>
      <c r="I570" s="5"/>
      <c r="J570" s="5">
        <v>0</v>
      </c>
      <c r="K570" s="5">
        <v>0</v>
      </c>
      <c r="L570" s="5">
        <v>4</v>
      </c>
      <c r="M570" s="5">
        <v>0</v>
      </c>
      <c r="N570" s="5">
        <v>0</v>
      </c>
      <c r="O570" s="5">
        <v>20</v>
      </c>
      <c r="P570" s="5">
        <v>1</v>
      </c>
      <c r="Q570" s="5"/>
      <c r="R570" s="25"/>
      <c r="S570" s="5"/>
      <c r="T570" s="5"/>
      <c r="U570" s="5"/>
      <c r="V570" s="5"/>
      <c r="W570" s="5"/>
      <c r="X570" s="25">
        <v>0</v>
      </c>
      <c r="Y570" s="25">
        <v>0</v>
      </c>
      <c r="Z570" s="25">
        <f t="shared" si="493"/>
        <v>0</v>
      </c>
      <c r="AA570" s="25"/>
      <c r="AB570" s="25">
        <v>30</v>
      </c>
      <c r="AC570" s="25">
        <v>0</v>
      </c>
      <c r="AD570" s="25">
        <f t="shared" si="504"/>
        <v>30</v>
      </c>
      <c r="AE570" s="23"/>
      <c r="AF570" s="23"/>
      <c r="AG570" s="23"/>
      <c r="AH570" s="23"/>
      <c r="AI570" s="23"/>
      <c r="AJ570" s="23"/>
      <c r="AK570" s="23"/>
      <c r="AL570" s="23">
        <v>30</v>
      </c>
      <c r="AM570" s="23"/>
      <c r="AN570" s="23"/>
      <c r="AO570" s="23"/>
      <c r="AP570" s="23"/>
      <c r="AQ570" s="23"/>
      <c r="AR570" s="23"/>
      <c r="AS570" s="23"/>
      <c r="AT570" s="30">
        <f>SUM(AE570:AS570)</f>
        <v>30</v>
      </c>
      <c r="AU570" s="25">
        <f t="shared" si="505"/>
        <v>0</v>
      </c>
      <c r="AV570" s="5"/>
      <c r="AW570" s="23">
        <f t="shared" si="506"/>
        <v>0</v>
      </c>
      <c r="AX570" s="23">
        <f t="shared" si="477"/>
        <v>0</v>
      </c>
      <c r="AY570" s="23">
        <f t="shared" si="478"/>
        <v>0</v>
      </c>
      <c r="AZ570" s="23">
        <f t="shared" si="479"/>
        <v>-4</v>
      </c>
      <c r="BA570" s="23">
        <f t="shared" si="480"/>
        <v>-4</v>
      </c>
      <c r="BB570" s="23">
        <f t="shared" si="481"/>
        <v>-4</v>
      </c>
      <c r="BC570" s="23">
        <f t="shared" si="482"/>
        <v>-24</v>
      </c>
      <c r="BD570" s="23">
        <f t="shared" si="483"/>
        <v>5</v>
      </c>
      <c r="BE570" s="23">
        <f t="shared" si="484"/>
        <v>5</v>
      </c>
      <c r="BF570" s="23">
        <f t="shared" ref="BF570:BK570" si="507">BE570+AN570-R570</f>
        <v>5</v>
      </c>
      <c r="BG570" s="23">
        <f t="shared" si="507"/>
        <v>5</v>
      </c>
      <c r="BH570" s="23">
        <f t="shared" si="507"/>
        <v>5</v>
      </c>
      <c r="BI570" s="23">
        <f t="shared" si="507"/>
        <v>5</v>
      </c>
      <c r="BJ570" s="23">
        <f t="shared" si="507"/>
        <v>5</v>
      </c>
      <c r="BK570" s="23">
        <f t="shared" si="507"/>
        <v>5</v>
      </c>
    </row>
    <row r="571" spans="1:63" s="100" customFormat="1" ht="16" customHeight="1">
      <c r="A571" s="29" t="s">
        <v>1008</v>
      </c>
      <c r="B571" s="29" t="s">
        <v>1334</v>
      </c>
      <c r="C571" s="29" t="s">
        <v>1335</v>
      </c>
      <c r="D571" s="29" t="s">
        <v>529</v>
      </c>
      <c r="E571" s="27"/>
      <c r="F571" s="25"/>
      <c r="G571" s="25"/>
      <c r="H571" s="25"/>
      <c r="I571" s="5"/>
      <c r="J571" s="5">
        <v>0</v>
      </c>
      <c r="K571" s="5">
        <v>0</v>
      </c>
      <c r="L571" s="5">
        <v>0</v>
      </c>
      <c r="M571" s="5">
        <v>0</v>
      </c>
      <c r="N571" s="5">
        <v>2</v>
      </c>
      <c r="O571" s="5">
        <v>0</v>
      </c>
      <c r="P571" s="5">
        <v>0</v>
      </c>
      <c r="Q571" s="5"/>
      <c r="R571" s="25"/>
      <c r="S571" s="5"/>
      <c r="T571" s="5"/>
      <c r="U571" s="5"/>
      <c r="V571" s="5"/>
      <c r="W571" s="5"/>
      <c r="X571" s="25">
        <v>0</v>
      </c>
      <c r="Y571" s="25">
        <v>0</v>
      </c>
      <c r="Z571" s="25">
        <f t="shared" si="493"/>
        <v>0</v>
      </c>
      <c r="AA571" s="25"/>
      <c r="AB571" s="25">
        <v>8</v>
      </c>
      <c r="AC571" s="25">
        <v>0</v>
      </c>
      <c r="AD571" s="25">
        <f t="shared" si="504"/>
        <v>8</v>
      </c>
      <c r="AE571" s="23"/>
      <c r="AF571" s="23"/>
      <c r="AG571" s="23"/>
      <c r="AH571" s="23"/>
      <c r="AI571" s="23"/>
      <c r="AJ571" s="23"/>
      <c r="AK571" s="23"/>
      <c r="AL571" s="23">
        <v>8</v>
      </c>
      <c r="AM571" s="23"/>
      <c r="AN571" s="23"/>
      <c r="AO571" s="23"/>
      <c r="AP571" s="23"/>
      <c r="AQ571" s="23"/>
      <c r="AR571" s="23"/>
      <c r="AS571" s="23"/>
      <c r="AT571" s="30">
        <f t="shared" si="494"/>
        <v>8</v>
      </c>
      <c r="AU571" s="25">
        <f t="shared" si="505"/>
        <v>0</v>
      </c>
      <c r="AV571" s="5"/>
      <c r="AW571" s="23">
        <f t="shared" si="506"/>
        <v>0</v>
      </c>
      <c r="AX571" s="23">
        <f t="shared" si="477"/>
        <v>0</v>
      </c>
      <c r="AY571" s="23">
        <f t="shared" si="478"/>
        <v>0</v>
      </c>
      <c r="AZ571" s="23">
        <f t="shared" si="479"/>
        <v>0</v>
      </c>
      <c r="BA571" s="23">
        <f t="shared" si="480"/>
        <v>0</v>
      </c>
      <c r="BB571" s="23">
        <f t="shared" si="481"/>
        <v>-2</v>
      </c>
      <c r="BC571" s="23">
        <f t="shared" si="482"/>
        <v>-2</v>
      </c>
      <c r="BD571" s="23">
        <f t="shared" si="483"/>
        <v>6</v>
      </c>
      <c r="BE571" s="23">
        <f t="shared" si="484"/>
        <v>6</v>
      </c>
      <c r="BF571" s="23">
        <f t="shared" si="485"/>
        <v>6</v>
      </c>
      <c r="BG571" s="23">
        <f t="shared" si="486"/>
        <v>6</v>
      </c>
      <c r="BH571" s="25">
        <f t="shared" ref="BH571:BH579" si="508">AP571+AJ571-T571</f>
        <v>0</v>
      </c>
      <c r="BI571" s="25">
        <f t="shared" ref="BI571:BI579" si="509">AQ571+AK571-U571</f>
        <v>0</v>
      </c>
      <c r="BJ571" s="25">
        <f t="shared" ref="BJ571:BJ579" si="510">AR571+AL571-V571</f>
        <v>8</v>
      </c>
      <c r="BK571" s="25">
        <f t="shared" ref="BK571:BK579" si="511">AS571+AM571-W571</f>
        <v>0</v>
      </c>
    </row>
    <row r="572" spans="1:63" s="100" customFormat="1" ht="16" hidden="1" customHeight="1">
      <c r="A572" s="29" t="s">
        <v>1008</v>
      </c>
      <c r="B572" s="29" t="s">
        <v>626</v>
      </c>
      <c r="C572" s="29" t="s">
        <v>627</v>
      </c>
      <c r="D572" s="29" t="s">
        <v>529</v>
      </c>
      <c r="E572" s="27"/>
      <c r="F572" s="25"/>
      <c r="G572" s="25"/>
      <c r="H572" s="25"/>
      <c r="I572" s="5"/>
      <c r="J572" s="5">
        <v>0</v>
      </c>
      <c r="K572" s="5">
        <v>0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/>
      <c r="R572" s="25"/>
      <c r="S572" s="5"/>
      <c r="T572" s="5"/>
      <c r="U572" s="5"/>
      <c r="V572" s="5"/>
      <c r="W572" s="5"/>
      <c r="X572" s="25">
        <v>0</v>
      </c>
      <c r="Y572" s="25">
        <v>0</v>
      </c>
      <c r="Z572" s="25">
        <f t="shared" si="493"/>
        <v>0</v>
      </c>
      <c r="AA572" s="25"/>
      <c r="AB572" s="25">
        <v>0</v>
      </c>
      <c r="AC572" s="25">
        <v>0</v>
      </c>
      <c r="AD572" s="25">
        <f t="shared" si="504"/>
        <v>0</v>
      </c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30">
        <f t="shared" si="494"/>
        <v>0</v>
      </c>
      <c r="AU572" s="25">
        <f t="shared" si="505"/>
        <v>0</v>
      </c>
      <c r="AV572" s="5"/>
      <c r="AW572" s="23">
        <f t="shared" si="506"/>
        <v>0</v>
      </c>
      <c r="AX572" s="23">
        <f t="shared" si="477"/>
        <v>0</v>
      </c>
      <c r="AY572" s="23">
        <f t="shared" si="478"/>
        <v>0</v>
      </c>
      <c r="AZ572" s="23">
        <f t="shared" si="479"/>
        <v>0</v>
      </c>
      <c r="BA572" s="23">
        <f t="shared" si="480"/>
        <v>0</v>
      </c>
      <c r="BB572" s="23">
        <f t="shared" si="481"/>
        <v>0</v>
      </c>
      <c r="BC572" s="23">
        <f t="shared" si="482"/>
        <v>0</v>
      </c>
      <c r="BD572" s="23">
        <f t="shared" si="483"/>
        <v>0</v>
      </c>
      <c r="BE572" s="23">
        <f t="shared" si="484"/>
        <v>0</v>
      </c>
      <c r="BF572" s="23">
        <f t="shared" si="485"/>
        <v>0</v>
      </c>
      <c r="BG572" s="23">
        <f t="shared" si="486"/>
        <v>0</v>
      </c>
      <c r="BH572" s="25">
        <f t="shared" si="508"/>
        <v>0</v>
      </c>
      <c r="BI572" s="25">
        <f t="shared" si="509"/>
        <v>0</v>
      </c>
      <c r="BJ572" s="25">
        <f t="shared" si="510"/>
        <v>0</v>
      </c>
      <c r="BK572" s="25">
        <f t="shared" si="511"/>
        <v>0</v>
      </c>
    </row>
    <row r="573" spans="1:63" s="100" customFormat="1" ht="16" hidden="1" customHeight="1">
      <c r="A573" s="29" t="s">
        <v>1008</v>
      </c>
      <c r="B573" s="29" t="s">
        <v>1336</v>
      </c>
      <c r="C573" s="29" t="s">
        <v>1337</v>
      </c>
      <c r="D573" s="29" t="s">
        <v>259</v>
      </c>
      <c r="E573" s="27"/>
      <c r="F573" s="25"/>
      <c r="G573" s="25"/>
      <c r="H573" s="25"/>
      <c r="I573" s="5"/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/>
      <c r="R573" s="5"/>
      <c r="S573" s="5"/>
      <c r="T573" s="5"/>
      <c r="U573" s="5"/>
      <c r="V573" s="5"/>
      <c r="W573" s="5"/>
      <c r="X573" s="25">
        <v>0</v>
      </c>
      <c r="Y573" s="25">
        <v>0</v>
      </c>
      <c r="Z573" s="25">
        <f t="shared" si="493"/>
        <v>0</v>
      </c>
      <c r="AA573" s="25"/>
      <c r="AB573" s="25">
        <v>0</v>
      </c>
      <c r="AC573" s="25">
        <v>0</v>
      </c>
      <c r="AD573" s="25">
        <f t="shared" ref="AD573:AD579" si="512">AB573-Y573+AA573+AC573</f>
        <v>0</v>
      </c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30">
        <f t="shared" si="494"/>
        <v>0</v>
      </c>
      <c r="AU573" s="25">
        <f t="shared" si="505"/>
        <v>0</v>
      </c>
      <c r="AV573" s="5"/>
      <c r="AW573" s="23">
        <f t="shared" si="506"/>
        <v>0</v>
      </c>
      <c r="AX573" s="23">
        <f t="shared" si="477"/>
        <v>0</v>
      </c>
      <c r="AY573" s="23">
        <f t="shared" si="478"/>
        <v>0</v>
      </c>
      <c r="AZ573" s="23">
        <f t="shared" si="479"/>
        <v>0</v>
      </c>
      <c r="BA573" s="23">
        <f t="shared" si="480"/>
        <v>0</v>
      </c>
      <c r="BB573" s="23">
        <f t="shared" si="481"/>
        <v>0</v>
      </c>
      <c r="BC573" s="23">
        <f t="shared" si="482"/>
        <v>0</v>
      </c>
      <c r="BD573" s="23">
        <f t="shared" si="483"/>
        <v>0</v>
      </c>
      <c r="BE573" s="23">
        <f t="shared" si="484"/>
        <v>0</v>
      </c>
      <c r="BF573" s="23">
        <f t="shared" si="485"/>
        <v>0</v>
      </c>
      <c r="BG573" s="23">
        <f t="shared" si="486"/>
        <v>0</v>
      </c>
      <c r="BH573" s="25">
        <f t="shared" si="508"/>
        <v>0</v>
      </c>
      <c r="BI573" s="25">
        <f t="shared" si="509"/>
        <v>0</v>
      </c>
      <c r="BJ573" s="25">
        <f t="shared" si="510"/>
        <v>0</v>
      </c>
      <c r="BK573" s="25">
        <f t="shared" si="511"/>
        <v>0</v>
      </c>
    </row>
    <row r="574" spans="1:63" s="100" customFormat="1" ht="16" hidden="1" customHeight="1">
      <c r="A574" s="29" t="s">
        <v>1008</v>
      </c>
      <c r="B574" s="29" t="s">
        <v>1338</v>
      </c>
      <c r="C574" s="29" t="s">
        <v>1339</v>
      </c>
      <c r="D574" s="29" t="s">
        <v>259</v>
      </c>
      <c r="E574" s="27"/>
      <c r="F574" s="25"/>
      <c r="G574" s="25"/>
      <c r="H574" s="25"/>
      <c r="I574" s="5"/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/>
      <c r="R574" s="5"/>
      <c r="S574" s="5"/>
      <c r="T574" s="5"/>
      <c r="U574" s="5"/>
      <c r="V574" s="5"/>
      <c r="W574" s="5"/>
      <c r="X574" s="25">
        <v>0</v>
      </c>
      <c r="Y574" s="25">
        <v>0</v>
      </c>
      <c r="Z574" s="25">
        <f t="shared" si="493"/>
        <v>0</v>
      </c>
      <c r="AA574" s="25"/>
      <c r="AB574" s="25">
        <v>0</v>
      </c>
      <c r="AC574" s="25">
        <v>0</v>
      </c>
      <c r="AD574" s="25">
        <f t="shared" si="512"/>
        <v>0</v>
      </c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30">
        <f t="shared" si="494"/>
        <v>0</v>
      </c>
      <c r="AU574" s="25">
        <f t="shared" si="505"/>
        <v>0</v>
      </c>
      <c r="AV574" s="5"/>
      <c r="AW574" s="23">
        <f t="shared" si="506"/>
        <v>0</v>
      </c>
      <c r="AX574" s="23">
        <f t="shared" si="477"/>
        <v>0</v>
      </c>
      <c r="AY574" s="23">
        <f t="shared" si="478"/>
        <v>0</v>
      </c>
      <c r="AZ574" s="23">
        <f t="shared" si="479"/>
        <v>0</v>
      </c>
      <c r="BA574" s="23">
        <f t="shared" si="480"/>
        <v>0</v>
      </c>
      <c r="BB574" s="23">
        <f t="shared" si="481"/>
        <v>0</v>
      </c>
      <c r="BC574" s="23">
        <f t="shared" si="482"/>
        <v>0</v>
      </c>
      <c r="BD574" s="23">
        <f t="shared" si="483"/>
        <v>0</v>
      </c>
      <c r="BE574" s="23">
        <f t="shared" si="484"/>
        <v>0</v>
      </c>
      <c r="BF574" s="23">
        <f t="shared" si="485"/>
        <v>0</v>
      </c>
      <c r="BG574" s="23">
        <f t="shared" si="486"/>
        <v>0</v>
      </c>
      <c r="BH574" s="25">
        <f t="shared" si="508"/>
        <v>0</v>
      </c>
      <c r="BI574" s="25">
        <f t="shared" si="509"/>
        <v>0</v>
      </c>
      <c r="BJ574" s="25">
        <f t="shared" si="510"/>
        <v>0</v>
      </c>
      <c r="BK574" s="25">
        <f t="shared" si="511"/>
        <v>0</v>
      </c>
    </row>
    <row r="575" spans="1:63" s="100" customFormat="1" ht="16" hidden="1" customHeight="1">
      <c r="A575" s="29" t="s">
        <v>1008</v>
      </c>
      <c r="B575" s="29" t="s">
        <v>1340</v>
      </c>
      <c r="C575" s="29" t="s">
        <v>1341</v>
      </c>
      <c r="D575" s="29" t="s">
        <v>259</v>
      </c>
      <c r="E575" s="27"/>
      <c r="F575" s="25"/>
      <c r="G575" s="25"/>
      <c r="H575" s="25"/>
      <c r="I575" s="5"/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/>
      <c r="R575" s="5"/>
      <c r="S575" s="5"/>
      <c r="T575" s="5"/>
      <c r="U575" s="5"/>
      <c r="V575" s="5"/>
      <c r="W575" s="5"/>
      <c r="X575" s="25">
        <v>0</v>
      </c>
      <c r="Y575" s="25">
        <v>0</v>
      </c>
      <c r="Z575" s="25">
        <f t="shared" si="493"/>
        <v>0</v>
      </c>
      <c r="AA575" s="25"/>
      <c r="AB575" s="25">
        <v>0</v>
      </c>
      <c r="AC575" s="25">
        <v>0</v>
      </c>
      <c r="AD575" s="25">
        <f t="shared" si="512"/>
        <v>0</v>
      </c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30">
        <f t="shared" si="494"/>
        <v>0</v>
      </c>
      <c r="AU575" s="25">
        <f t="shared" ref="AU575:AU579" si="513">AD575-AT575</f>
        <v>0</v>
      </c>
      <c r="AV575" s="5"/>
      <c r="AW575" s="23">
        <f t="shared" si="506"/>
        <v>0</v>
      </c>
      <c r="AX575" s="23">
        <f t="shared" si="477"/>
        <v>0</v>
      </c>
      <c r="AY575" s="23">
        <f t="shared" si="478"/>
        <v>0</v>
      </c>
      <c r="AZ575" s="23">
        <f t="shared" si="479"/>
        <v>0</v>
      </c>
      <c r="BA575" s="23">
        <f t="shared" si="480"/>
        <v>0</v>
      </c>
      <c r="BB575" s="23">
        <f t="shared" si="481"/>
        <v>0</v>
      </c>
      <c r="BC575" s="23">
        <f t="shared" si="482"/>
        <v>0</v>
      </c>
      <c r="BD575" s="23">
        <f t="shared" si="483"/>
        <v>0</v>
      </c>
      <c r="BE575" s="23">
        <f t="shared" si="484"/>
        <v>0</v>
      </c>
      <c r="BF575" s="23">
        <f t="shared" si="485"/>
        <v>0</v>
      </c>
      <c r="BG575" s="23">
        <f t="shared" si="486"/>
        <v>0</v>
      </c>
      <c r="BH575" s="25">
        <f t="shared" si="508"/>
        <v>0</v>
      </c>
      <c r="BI575" s="25">
        <f t="shared" si="509"/>
        <v>0</v>
      </c>
      <c r="BJ575" s="25">
        <f t="shared" si="510"/>
        <v>0</v>
      </c>
      <c r="BK575" s="25">
        <f t="shared" si="511"/>
        <v>0</v>
      </c>
    </row>
    <row r="576" spans="1:63" s="100" customFormat="1" ht="16" hidden="1" customHeight="1">
      <c r="A576" s="29" t="s">
        <v>1008</v>
      </c>
      <c r="B576" s="29" t="s">
        <v>1342</v>
      </c>
      <c r="C576" s="29" t="s">
        <v>1343</v>
      </c>
      <c r="D576" s="29" t="s">
        <v>259</v>
      </c>
      <c r="E576" s="27"/>
      <c r="F576" s="25"/>
      <c r="G576" s="25"/>
      <c r="H576" s="25"/>
      <c r="I576" s="5"/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/>
      <c r="R576" s="5"/>
      <c r="S576" s="5"/>
      <c r="T576" s="5"/>
      <c r="U576" s="5"/>
      <c r="V576" s="5"/>
      <c r="W576" s="5"/>
      <c r="X576" s="25">
        <v>0</v>
      </c>
      <c r="Y576" s="25">
        <v>0</v>
      </c>
      <c r="Z576" s="25">
        <f t="shared" si="493"/>
        <v>0</v>
      </c>
      <c r="AA576" s="25"/>
      <c r="AB576" s="25">
        <v>0</v>
      </c>
      <c r="AC576" s="25">
        <v>0</v>
      </c>
      <c r="AD576" s="25">
        <f t="shared" si="512"/>
        <v>0</v>
      </c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30">
        <f t="shared" si="494"/>
        <v>0</v>
      </c>
      <c r="AU576" s="25">
        <f t="shared" si="513"/>
        <v>0</v>
      </c>
      <c r="AV576" s="5"/>
      <c r="AW576" s="23">
        <f t="shared" si="506"/>
        <v>0</v>
      </c>
      <c r="AX576" s="23">
        <f t="shared" si="477"/>
        <v>0</v>
      </c>
      <c r="AY576" s="23">
        <f t="shared" si="478"/>
        <v>0</v>
      </c>
      <c r="AZ576" s="23">
        <f t="shared" si="479"/>
        <v>0</v>
      </c>
      <c r="BA576" s="23">
        <f t="shared" si="480"/>
        <v>0</v>
      </c>
      <c r="BB576" s="23">
        <f t="shared" si="481"/>
        <v>0</v>
      </c>
      <c r="BC576" s="23">
        <f t="shared" si="482"/>
        <v>0</v>
      </c>
      <c r="BD576" s="23">
        <f t="shared" si="483"/>
        <v>0</v>
      </c>
      <c r="BE576" s="23">
        <f t="shared" si="484"/>
        <v>0</v>
      </c>
      <c r="BF576" s="23">
        <f t="shared" si="485"/>
        <v>0</v>
      </c>
      <c r="BG576" s="23">
        <f t="shared" si="486"/>
        <v>0</v>
      </c>
      <c r="BH576" s="25">
        <f t="shared" si="508"/>
        <v>0</v>
      </c>
      <c r="BI576" s="25">
        <f t="shared" si="509"/>
        <v>0</v>
      </c>
      <c r="BJ576" s="25">
        <f t="shared" si="510"/>
        <v>0</v>
      </c>
      <c r="BK576" s="25">
        <f t="shared" si="511"/>
        <v>0</v>
      </c>
    </row>
    <row r="577" spans="1:63" s="100" customFormat="1" ht="16" hidden="1" customHeight="1">
      <c r="A577" s="29" t="s">
        <v>1008</v>
      </c>
      <c r="B577" s="29" t="s">
        <v>1344</v>
      </c>
      <c r="C577" s="29" t="s">
        <v>1345</v>
      </c>
      <c r="D577" s="29" t="s">
        <v>259</v>
      </c>
      <c r="E577" s="27"/>
      <c r="F577" s="25"/>
      <c r="G577" s="25"/>
      <c r="H577" s="25"/>
      <c r="I577" s="5"/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/>
      <c r="R577" s="5"/>
      <c r="S577" s="5"/>
      <c r="T577" s="5"/>
      <c r="U577" s="5"/>
      <c r="V577" s="5"/>
      <c r="W577" s="5"/>
      <c r="X577" s="25">
        <v>0</v>
      </c>
      <c r="Y577" s="25">
        <v>0</v>
      </c>
      <c r="Z577" s="25">
        <f t="shared" si="493"/>
        <v>0</v>
      </c>
      <c r="AA577" s="25"/>
      <c r="AB577" s="25">
        <v>0</v>
      </c>
      <c r="AC577" s="25">
        <v>0</v>
      </c>
      <c r="AD577" s="25">
        <f t="shared" si="512"/>
        <v>0</v>
      </c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30">
        <f t="shared" si="494"/>
        <v>0</v>
      </c>
      <c r="AU577" s="25">
        <f t="shared" si="513"/>
        <v>0</v>
      </c>
      <c r="AV577" s="5"/>
      <c r="AW577" s="23">
        <f t="shared" si="506"/>
        <v>0</v>
      </c>
      <c r="AX577" s="23">
        <f t="shared" si="477"/>
        <v>0</v>
      </c>
      <c r="AY577" s="23">
        <f t="shared" si="478"/>
        <v>0</v>
      </c>
      <c r="AZ577" s="23">
        <f t="shared" si="479"/>
        <v>0</v>
      </c>
      <c r="BA577" s="23">
        <f t="shared" si="480"/>
        <v>0</v>
      </c>
      <c r="BB577" s="23">
        <f t="shared" si="481"/>
        <v>0</v>
      </c>
      <c r="BC577" s="23">
        <f t="shared" si="482"/>
        <v>0</v>
      </c>
      <c r="BD577" s="23">
        <f t="shared" si="483"/>
        <v>0</v>
      </c>
      <c r="BE577" s="23">
        <f t="shared" si="484"/>
        <v>0</v>
      </c>
      <c r="BF577" s="23">
        <f t="shared" si="485"/>
        <v>0</v>
      </c>
      <c r="BG577" s="23">
        <f t="shared" si="486"/>
        <v>0</v>
      </c>
      <c r="BH577" s="25">
        <f t="shared" si="508"/>
        <v>0</v>
      </c>
      <c r="BI577" s="25">
        <f t="shared" si="509"/>
        <v>0</v>
      </c>
      <c r="BJ577" s="25">
        <f t="shared" si="510"/>
        <v>0</v>
      </c>
      <c r="BK577" s="25">
        <f t="shared" si="511"/>
        <v>0</v>
      </c>
    </row>
    <row r="578" spans="1:63" s="100" customFormat="1" ht="16" hidden="1" customHeight="1">
      <c r="A578" s="29" t="s">
        <v>1008</v>
      </c>
      <c r="B578" s="29" t="s">
        <v>1346</v>
      </c>
      <c r="C578" s="29" t="s">
        <v>1347</v>
      </c>
      <c r="D578" s="29" t="s">
        <v>259</v>
      </c>
      <c r="E578" s="27"/>
      <c r="F578" s="25"/>
      <c r="G578" s="25"/>
      <c r="H578" s="25"/>
      <c r="I578" s="5"/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/>
      <c r="R578" s="5"/>
      <c r="S578" s="5"/>
      <c r="T578" s="5"/>
      <c r="U578" s="5"/>
      <c r="V578" s="5"/>
      <c r="W578" s="5"/>
      <c r="X578" s="25">
        <v>0</v>
      </c>
      <c r="Y578" s="25">
        <v>0</v>
      </c>
      <c r="Z578" s="25">
        <f t="shared" si="493"/>
        <v>0</v>
      </c>
      <c r="AA578" s="25"/>
      <c r="AB578" s="25">
        <v>0</v>
      </c>
      <c r="AC578" s="25">
        <v>0</v>
      </c>
      <c r="AD578" s="25">
        <f t="shared" si="512"/>
        <v>0</v>
      </c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30">
        <f t="shared" si="494"/>
        <v>0</v>
      </c>
      <c r="AU578" s="25">
        <f t="shared" si="513"/>
        <v>0</v>
      </c>
      <c r="AV578" s="5"/>
      <c r="AW578" s="23">
        <f t="shared" si="506"/>
        <v>0</v>
      </c>
      <c r="AX578" s="23">
        <f t="shared" si="477"/>
        <v>0</v>
      </c>
      <c r="AY578" s="23">
        <f t="shared" si="478"/>
        <v>0</v>
      </c>
      <c r="AZ578" s="23">
        <f t="shared" si="479"/>
        <v>0</v>
      </c>
      <c r="BA578" s="23">
        <f t="shared" si="480"/>
        <v>0</v>
      </c>
      <c r="BB578" s="23">
        <f t="shared" si="481"/>
        <v>0</v>
      </c>
      <c r="BC578" s="23">
        <f t="shared" si="482"/>
        <v>0</v>
      </c>
      <c r="BD578" s="23">
        <f t="shared" si="483"/>
        <v>0</v>
      </c>
      <c r="BE578" s="23">
        <f t="shared" si="484"/>
        <v>0</v>
      </c>
      <c r="BF578" s="23">
        <f t="shared" si="485"/>
        <v>0</v>
      </c>
      <c r="BG578" s="23">
        <f t="shared" si="486"/>
        <v>0</v>
      </c>
      <c r="BH578" s="25">
        <f t="shared" si="508"/>
        <v>0</v>
      </c>
      <c r="BI578" s="25">
        <f t="shared" si="509"/>
        <v>0</v>
      </c>
      <c r="BJ578" s="25">
        <f t="shared" si="510"/>
        <v>0</v>
      </c>
      <c r="BK578" s="25">
        <f t="shared" si="511"/>
        <v>0</v>
      </c>
    </row>
    <row r="579" spans="1:63" s="100" customFormat="1" ht="16" hidden="1" customHeight="1">
      <c r="A579" s="29" t="s">
        <v>1008</v>
      </c>
      <c r="B579" s="29" t="s">
        <v>1348</v>
      </c>
      <c r="C579" s="29" t="s">
        <v>1349</v>
      </c>
      <c r="D579" s="29" t="s">
        <v>259</v>
      </c>
      <c r="E579" s="27"/>
      <c r="F579" s="25"/>
      <c r="G579" s="25"/>
      <c r="H579" s="141"/>
      <c r="I579" s="5"/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/>
      <c r="R579" s="5"/>
      <c r="S579" s="5"/>
      <c r="T579" s="5"/>
      <c r="U579" s="5"/>
      <c r="V579" s="5"/>
      <c r="W579" s="5"/>
      <c r="X579" s="25">
        <v>0</v>
      </c>
      <c r="Y579" s="25">
        <v>0</v>
      </c>
      <c r="Z579" s="25">
        <f t="shared" si="493"/>
        <v>0</v>
      </c>
      <c r="AA579" s="25"/>
      <c r="AB579" s="25">
        <v>0</v>
      </c>
      <c r="AC579" s="25">
        <v>0</v>
      </c>
      <c r="AD579" s="25">
        <f t="shared" si="512"/>
        <v>0</v>
      </c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30">
        <f t="shared" si="494"/>
        <v>0</v>
      </c>
      <c r="AU579" s="25">
        <f t="shared" si="513"/>
        <v>0</v>
      </c>
      <c r="AV579" s="5"/>
      <c r="AW579" s="23">
        <f t="shared" si="506"/>
        <v>0</v>
      </c>
      <c r="AX579" s="23">
        <f t="shared" si="477"/>
        <v>0</v>
      </c>
      <c r="AY579" s="23">
        <f t="shared" si="478"/>
        <v>0</v>
      </c>
      <c r="AZ579" s="23">
        <f t="shared" si="479"/>
        <v>0</v>
      </c>
      <c r="BA579" s="23">
        <f t="shared" si="480"/>
        <v>0</v>
      </c>
      <c r="BB579" s="23">
        <f t="shared" si="481"/>
        <v>0</v>
      </c>
      <c r="BC579" s="23">
        <f t="shared" si="482"/>
        <v>0</v>
      </c>
      <c r="BD579" s="23">
        <f t="shared" si="483"/>
        <v>0</v>
      </c>
      <c r="BE579" s="23">
        <f t="shared" si="484"/>
        <v>0</v>
      </c>
      <c r="BF579" s="23">
        <f t="shared" si="485"/>
        <v>0</v>
      </c>
      <c r="BG579" s="23">
        <f t="shared" si="486"/>
        <v>0</v>
      </c>
      <c r="BH579" s="25">
        <f t="shared" si="508"/>
        <v>0</v>
      </c>
      <c r="BI579" s="25">
        <f t="shared" si="509"/>
        <v>0</v>
      </c>
      <c r="BJ579" s="25">
        <f t="shared" si="510"/>
        <v>0</v>
      </c>
      <c r="BK579" s="25">
        <f t="shared" si="511"/>
        <v>0</v>
      </c>
    </row>
    <row r="580" spans="1:63">
      <c r="AV580" s="102"/>
    </row>
  </sheetData>
  <autoFilter ref="A6:BK579" xr:uid="{00000000-0009-0000-0000-000001000000}">
    <filterColumn colId="29">
      <filters>
        <filter val="1"/>
        <filter val="10"/>
        <filter val="100"/>
        <filter val="1000"/>
        <filter val="10030"/>
        <filter val="1045"/>
        <filter val="1099"/>
        <filter val="11"/>
        <filter val="1156"/>
        <filter val="1324"/>
        <filter val="1418"/>
        <filter val="15"/>
        <filter val="1599"/>
        <filter val="1669"/>
        <filter val="1700"/>
        <filter val="182"/>
        <filter val="186"/>
        <filter val="1920"/>
        <filter val="1955"/>
        <filter val="196"/>
        <filter val="2"/>
        <filter val="20"/>
        <filter val="200"/>
        <filter val="2000"/>
        <filter val="2020"/>
        <filter val="23"/>
        <filter val="2367"/>
        <filter val="25"/>
        <filter val="26"/>
        <filter val="27"/>
        <filter val="2781"/>
        <filter val="28"/>
        <filter val="3"/>
        <filter val="30"/>
        <filter val="3000"/>
        <filter val="3220"/>
        <filter val="4"/>
        <filter val="400"/>
        <filter val="448"/>
        <filter val="4499"/>
        <filter val="4500"/>
        <filter val="4776"/>
        <filter val="4801"/>
        <filter val="5"/>
        <filter val="5181"/>
        <filter val="5552"/>
        <filter val="59"/>
        <filter val="6"/>
        <filter val="60"/>
        <filter val="62"/>
        <filter val="674"/>
        <filter val="7"/>
        <filter val="8"/>
        <filter val="800"/>
        <filter val="8054"/>
        <filter val="86"/>
        <filter val="869"/>
        <filter val="87"/>
        <filter val="9"/>
      </filters>
    </filterColumn>
  </autoFilter>
  <mergeCells count="18">
    <mergeCell ref="AU1:AU2"/>
    <mergeCell ref="AV1:AV6"/>
    <mergeCell ref="I1:W5"/>
    <mergeCell ref="AW1:BK5"/>
    <mergeCell ref="AA1:AA2"/>
    <mergeCell ref="AB1:AB2"/>
    <mergeCell ref="AC1:AC2"/>
    <mergeCell ref="AD1:AD2"/>
    <mergeCell ref="AT1:AT2"/>
    <mergeCell ref="X1:Z1"/>
    <mergeCell ref="A1:A6"/>
    <mergeCell ref="B1:B6"/>
    <mergeCell ref="C1:C2"/>
    <mergeCell ref="D1:D6"/>
    <mergeCell ref="E1:E6"/>
    <mergeCell ref="F1:F6"/>
    <mergeCell ref="G1:G6"/>
    <mergeCell ref="H1:H6"/>
  </mergeCells>
  <phoneticPr fontId="1" type="noConversion"/>
  <conditionalFormatting sqref="AW263:AW427">
    <cfRule type="cellIs" dxfId="1" priority="1" operator="lessThan">
      <formula>0</formula>
    </cfRule>
  </conditionalFormatting>
  <conditionalFormatting sqref="AW7:BK70 AW71:BG86 AU136:AU138 AX118:BK579 AX87:BG117 BH71:BK117 AU89">
    <cfRule type="cellIs" dxfId="0" priority="75" stopIfTrue="1" operator="lessThan">
      <formula>0</formula>
    </cfRule>
  </conditionalFormatting>
  <printOptions horizontalCentered="1" verticalCentered="1"/>
  <pageMargins left="0.118110236220472" right="0.118110236220472" top="0.15748031496063" bottom="0.15748031496063" header="0.31496062992126" footer="0.31496062992126"/>
  <pageSetup paperSize="9" scale="40" orientation="landscape" horizontalDpi="300" verticalDpi="300"/>
  <ignoredErrors>
    <ignoredError sqref="Z247:AD255 AA256:AD260 AA261:AA262 AC261:AD262 Z263:Z466 AD241:AD246 Z241:Z246 Z61:AA62 Z63:Z236 AD7:AD236 Z469:Z524 AD469:AD524 Z528:Z578 AD528:AD578 AD263:AD466 Z7:Z60" emptyCellReferenc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HQ71"/>
  <sheetViews>
    <sheetView topLeftCell="A34" workbookViewId="0">
      <selection activeCell="AH116" sqref="AH116"/>
    </sheetView>
  </sheetViews>
  <sheetFormatPr defaultColWidth="9" defaultRowHeight="14"/>
  <cols>
    <col min="1" max="1" width="9" style="73"/>
    <col min="2" max="2" width="11.08984375" style="73" customWidth="1"/>
    <col min="3" max="3" width="10.453125" style="73" customWidth="1"/>
    <col min="4" max="4" width="12.08984375" style="73" customWidth="1"/>
    <col min="5" max="5" width="7.54296875" style="73" customWidth="1"/>
    <col min="6" max="6" width="8.1796875" style="73" customWidth="1"/>
    <col min="7" max="8" width="7.54296875" style="73" customWidth="1"/>
    <col min="9" max="10" width="9.36328125" style="73" customWidth="1"/>
    <col min="11" max="11" width="9.54296875" style="73" customWidth="1"/>
    <col min="12" max="15" width="9.36328125" style="73" customWidth="1"/>
    <col min="16" max="16" width="6" style="73" customWidth="1"/>
    <col min="17" max="17" width="9.453125" style="73" customWidth="1"/>
    <col min="18" max="18" width="9" style="73"/>
    <col min="19" max="19" width="12.90625" style="73" customWidth="1"/>
    <col min="20" max="167" width="9" style="73"/>
    <col min="168" max="16384" width="9" style="74"/>
  </cols>
  <sheetData>
    <row r="1" spans="1:169" ht="17.5">
      <c r="B1" s="168" t="s">
        <v>1350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</row>
    <row r="2" spans="1:169" ht="15">
      <c r="B2" s="183" t="s">
        <v>1351</v>
      </c>
      <c r="C2" s="183" t="s">
        <v>1352</v>
      </c>
      <c r="D2" s="183" t="s">
        <v>1353</v>
      </c>
      <c r="E2" s="183" t="s">
        <v>2</v>
      </c>
      <c r="F2" s="183" t="s">
        <v>1354</v>
      </c>
      <c r="G2" s="190" t="s">
        <v>1355</v>
      </c>
      <c r="H2" s="190" t="s">
        <v>1356</v>
      </c>
      <c r="I2" s="76">
        <v>45034</v>
      </c>
      <c r="J2" s="76">
        <v>45035</v>
      </c>
      <c r="K2" s="76">
        <v>45036</v>
      </c>
      <c r="L2" s="76">
        <v>45037</v>
      </c>
      <c r="M2" s="76">
        <v>45038</v>
      </c>
      <c r="N2" s="76">
        <v>45040</v>
      </c>
      <c r="O2" s="193" t="s">
        <v>23</v>
      </c>
      <c r="FL2" s="73"/>
      <c r="FM2" s="73"/>
    </row>
    <row r="3" spans="1:169" ht="15">
      <c r="A3" s="77"/>
      <c r="B3" s="183"/>
      <c r="C3" s="183"/>
      <c r="D3" s="183"/>
      <c r="E3" s="183"/>
      <c r="F3" s="183"/>
      <c r="G3" s="190"/>
      <c r="H3" s="190"/>
      <c r="I3" s="75" t="s">
        <v>15</v>
      </c>
      <c r="J3" s="75" t="s">
        <v>16</v>
      </c>
      <c r="K3" s="75" t="s">
        <v>17</v>
      </c>
      <c r="L3" s="75" t="s">
        <v>18</v>
      </c>
      <c r="M3" s="75" t="s">
        <v>19</v>
      </c>
      <c r="N3" s="75" t="s">
        <v>14</v>
      </c>
      <c r="O3" s="194"/>
      <c r="FL3" s="73"/>
      <c r="FM3" s="73"/>
    </row>
    <row r="4" spans="1:169" ht="14.5">
      <c r="A4" s="77"/>
      <c r="B4" s="170" t="s">
        <v>1357</v>
      </c>
      <c r="C4" s="170"/>
      <c r="D4" s="170"/>
      <c r="E4" s="170"/>
      <c r="F4" s="170"/>
      <c r="G4" s="78"/>
      <c r="H4" s="78"/>
      <c r="I4" s="78">
        <v>5</v>
      </c>
      <c r="J4" s="78">
        <v>5</v>
      </c>
      <c r="K4" s="78">
        <v>5</v>
      </c>
      <c r="L4" s="78">
        <v>5</v>
      </c>
      <c r="M4" s="78">
        <v>5</v>
      </c>
      <c r="N4" s="78">
        <v>5</v>
      </c>
      <c r="O4" s="92"/>
      <c r="FL4" s="73"/>
      <c r="FM4" s="73"/>
    </row>
    <row r="5" spans="1:169" ht="14.5">
      <c r="B5" s="170" t="s">
        <v>1358</v>
      </c>
      <c r="C5" s="170" t="s">
        <v>1359</v>
      </c>
      <c r="D5" s="78" t="s">
        <v>1360</v>
      </c>
      <c r="E5" s="78" t="s">
        <v>30</v>
      </c>
      <c r="F5" s="79">
        <f>H5-G5</f>
        <v>15600</v>
      </c>
      <c r="G5" s="80"/>
      <c r="H5" s="80">
        <f t="shared" ref="H5:H16" si="0">SUM(I5:N5)</f>
        <v>15600</v>
      </c>
      <c r="I5" s="80">
        <v>2600</v>
      </c>
      <c r="J5" s="80">
        <v>2600</v>
      </c>
      <c r="K5" s="80">
        <v>2600</v>
      </c>
      <c r="L5" s="80">
        <v>2600</v>
      </c>
      <c r="M5" s="80">
        <v>2600</v>
      </c>
      <c r="N5" s="80">
        <v>2600</v>
      </c>
      <c r="O5" s="93"/>
      <c r="FL5" s="73"/>
      <c r="FM5" s="73"/>
    </row>
    <row r="6" spans="1:169" ht="14.5">
      <c r="B6" s="170"/>
      <c r="C6" s="170"/>
      <c r="D6" s="78" t="s">
        <v>1361</v>
      </c>
      <c r="E6" s="78" t="s">
        <v>29</v>
      </c>
      <c r="F6" s="79">
        <f>H6-G6</f>
        <v>18900</v>
      </c>
      <c r="G6" s="80"/>
      <c r="H6" s="80">
        <f t="shared" si="0"/>
        <v>18900</v>
      </c>
      <c r="I6" s="80">
        <v>3000</v>
      </c>
      <c r="J6" s="80">
        <v>3000</v>
      </c>
      <c r="K6" s="80">
        <v>3000</v>
      </c>
      <c r="L6" s="80">
        <v>3300</v>
      </c>
      <c r="M6" s="80">
        <v>3300</v>
      </c>
      <c r="N6" s="80">
        <v>3300</v>
      </c>
      <c r="O6" s="93"/>
      <c r="FL6" s="73"/>
      <c r="FM6" s="73"/>
    </row>
    <row r="7" spans="1:169" ht="17" customHeight="1">
      <c r="B7" s="170"/>
      <c r="C7" s="170"/>
      <c r="D7" s="78" t="s">
        <v>1362</v>
      </c>
      <c r="E7" s="78" t="s">
        <v>29</v>
      </c>
      <c r="F7" s="79">
        <f t="shared" ref="F7:F17" si="1">H7-G7</f>
        <v>15600</v>
      </c>
      <c r="G7" s="80"/>
      <c r="H7" s="80">
        <f t="shared" si="0"/>
        <v>15600</v>
      </c>
      <c r="I7" s="80">
        <v>2600</v>
      </c>
      <c r="J7" s="80">
        <v>2600</v>
      </c>
      <c r="K7" s="80">
        <v>2600</v>
      </c>
      <c r="L7" s="80">
        <v>2600</v>
      </c>
      <c r="M7" s="80">
        <v>2600</v>
      </c>
      <c r="N7" s="80">
        <v>2600</v>
      </c>
      <c r="O7" s="93"/>
      <c r="FL7" s="73"/>
      <c r="FM7" s="73"/>
    </row>
    <row r="8" spans="1:169" ht="14.5">
      <c r="B8" s="170"/>
      <c r="C8" s="170" t="s">
        <v>1363</v>
      </c>
      <c r="D8" s="78" t="s">
        <v>1364</v>
      </c>
      <c r="E8" s="78" t="s">
        <v>1365</v>
      </c>
      <c r="F8" s="79">
        <f t="shared" si="1"/>
        <v>21000</v>
      </c>
      <c r="G8" s="80"/>
      <c r="H8" s="80">
        <f t="shared" si="0"/>
        <v>21000</v>
      </c>
      <c r="I8" s="80">
        <v>3500</v>
      </c>
      <c r="J8" s="80">
        <v>3500</v>
      </c>
      <c r="K8" s="80">
        <v>3500</v>
      </c>
      <c r="L8" s="80">
        <v>3500</v>
      </c>
      <c r="M8" s="80">
        <v>3500</v>
      </c>
      <c r="N8" s="80">
        <v>3500</v>
      </c>
      <c r="O8" s="93"/>
      <c r="FL8" s="73"/>
      <c r="FM8" s="73"/>
    </row>
    <row r="9" spans="1:169" ht="14.5">
      <c r="B9" s="170"/>
      <c r="C9" s="170"/>
      <c r="D9" s="78" t="s">
        <v>1366</v>
      </c>
      <c r="E9" s="78" t="s">
        <v>1365</v>
      </c>
      <c r="F9" s="79">
        <f t="shared" si="1"/>
        <v>21000</v>
      </c>
      <c r="G9" s="79"/>
      <c r="H9" s="80">
        <f t="shared" si="0"/>
        <v>21000</v>
      </c>
      <c r="I9" s="80">
        <v>3500</v>
      </c>
      <c r="J9" s="80">
        <v>3500</v>
      </c>
      <c r="K9" s="80">
        <v>3500</v>
      </c>
      <c r="L9" s="80">
        <v>3500</v>
      </c>
      <c r="M9" s="80">
        <v>3500</v>
      </c>
      <c r="N9" s="80">
        <v>3500</v>
      </c>
      <c r="O9" s="93"/>
      <c r="FL9" s="73"/>
      <c r="FM9" s="73"/>
    </row>
    <row r="10" spans="1:169" ht="14.5">
      <c r="B10" s="184" t="s">
        <v>1367</v>
      </c>
      <c r="C10" s="170" t="s">
        <v>1359</v>
      </c>
      <c r="D10" s="78" t="s">
        <v>1368</v>
      </c>
      <c r="E10" s="78" t="s">
        <v>1369</v>
      </c>
      <c r="F10" s="79">
        <f t="shared" si="1"/>
        <v>16800</v>
      </c>
      <c r="G10" s="80"/>
      <c r="H10" s="80">
        <f t="shared" si="0"/>
        <v>16800</v>
      </c>
      <c r="I10" s="80">
        <v>2800</v>
      </c>
      <c r="J10" s="80">
        <v>2800</v>
      </c>
      <c r="K10" s="80">
        <v>2800</v>
      </c>
      <c r="L10" s="80">
        <v>2800</v>
      </c>
      <c r="M10" s="80">
        <v>2800</v>
      </c>
      <c r="N10" s="80">
        <v>2800</v>
      </c>
      <c r="O10" s="93"/>
      <c r="FL10" s="73"/>
      <c r="FM10" s="73"/>
    </row>
    <row r="11" spans="1:169" ht="14.5">
      <c r="B11" s="185"/>
      <c r="C11" s="170"/>
      <c r="D11" s="78" t="s">
        <v>1370</v>
      </c>
      <c r="E11" s="78" t="s">
        <v>30</v>
      </c>
      <c r="F11" s="79">
        <f t="shared" si="1"/>
        <v>13200</v>
      </c>
      <c r="G11" s="80"/>
      <c r="H11" s="80">
        <f t="shared" si="0"/>
        <v>13200</v>
      </c>
      <c r="I11" s="80">
        <v>2200</v>
      </c>
      <c r="J11" s="80">
        <v>2200</v>
      </c>
      <c r="K11" s="80">
        <v>2200</v>
      </c>
      <c r="L11" s="80">
        <v>2200</v>
      </c>
      <c r="M11" s="80">
        <v>2200</v>
      </c>
      <c r="N11" s="80">
        <v>2200</v>
      </c>
      <c r="O11" s="93"/>
      <c r="FL11" s="73"/>
      <c r="FM11" s="73"/>
    </row>
    <row r="12" spans="1:169" ht="14.5">
      <c r="B12" s="185"/>
      <c r="C12" s="170"/>
      <c r="D12" s="78" t="s">
        <v>1371</v>
      </c>
      <c r="E12" s="78" t="s">
        <v>29</v>
      </c>
      <c r="F12" s="79">
        <f t="shared" si="1"/>
        <v>12200</v>
      </c>
      <c r="G12" s="80">
        <v>1000</v>
      </c>
      <c r="H12" s="80">
        <f t="shared" si="0"/>
        <v>13200</v>
      </c>
      <c r="I12" s="80">
        <v>2200</v>
      </c>
      <c r="J12" s="80">
        <v>2200</v>
      </c>
      <c r="K12" s="80">
        <v>2200</v>
      </c>
      <c r="L12" s="80">
        <v>2200</v>
      </c>
      <c r="M12" s="80">
        <v>2200</v>
      </c>
      <c r="N12" s="80">
        <v>2200</v>
      </c>
      <c r="O12" s="93"/>
      <c r="FL12" s="73"/>
      <c r="FM12" s="73"/>
    </row>
    <row r="13" spans="1:169" ht="14.5">
      <c r="B13" s="185"/>
      <c r="C13" s="184" t="s">
        <v>1363</v>
      </c>
      <c r="D13" s="78" t="s">
        <v>1372</v>
      </c>
      <c r="E13" s="78" t="s">
        <v>1365</v>
      </c>
      <c r="F13" s="79">
        <f t="shared" si="1"/>
        <v>25200</v>
      </c>
      <c r="G13" s="80"/>
      <c r="H13" s="80">
        <f t="shared" si="0"/>
        <v>25200</v>
      </c>
      <c r="I13" s="80">
        <v>4200</v>
      </c>
      <c r="J13" s="80">
        <v>4200</v>
      </c>
      <c r="K13" s="80">
        <v>4200</v>
      </c>
      <c r="L13" s="80">
        <v>4200</v>
      </c>
      <c r="M13" s="80">
        <v>4200</v>
      </c>
      <c r="N13" s="80">
        <v>4200</v>
      </c>
      <c r="O13" s="93"/>
      <c r="FL13" s="73"/>
      <c r="FM13" s="73"/>
    </row>
    <row r="14" spans="1:169" ht="14.5">
      <c r="B14" s="186"/>
      <c r="C14" s="186"/>
      <c r="D14" s="78" t="s">
        <v>1373</v>
      </c>
      <c r="E14" s="78" t="s">
        <v>1365</v>
      </c>
      <c r="F14" s="79">
        <f t="shared" si="1"/>
        <v>25200</v>
      </c>
      <c r="G14" s="80"/>
      <c r="H14" s="80">
        <f t="shared" si="0"/>
        <v>25200</v>
      </c>
      <c r="I14" s="80">
        <v>4200</v>
      </c>
      <c r="J14" s="80">
        <v>4200</v>
      </c>
      <c r="K14" s="80">
        <v>4200</v>
      </c>
      <c r="L14" s="80">
        <v>4200</v>
      </c>
      <c r="M14" s="80">
        <v>4200</v>
      </c>
      <c r="N14" s="80">
        <v>4200</v>
      </c>
      <c r="O14" s="93"/>
      <c r="FL14" s="73"/>
      <c r="FM14" s="73"/>
    </row>
    <row r="15" spans="1:169" ht="14.5">
      <c r="B15" s="171" t="s">
        <v>1374</v>
      </c>
      <c r="C15" s="172"/>
      <c r="D15" s="172"/>
      <c r="E15" s="173"/>
      <c r="F15" s="79">
        <f t="shared" si="1"/>
        <v>92100</v>
      </c>
      <c r="G15" s="79">
        <f>SUM(G5:G9)</f>
        <v>0</v>
      </c>
      <c r="H15" s="80">
        <f t="shared" si="0"/>
        <v>92100</v>
      </c>
      <c r="I15" s="79">
        <f t="shared" ref="I15:N15" si="2">SUM(I5:I9)</f>
        <v>15200</v>
      </c>
      <c r="J15" s="79">
        <f t="shared" si="2"/>
        <v>15200</v>
      </c>
      <c r="K15" s="79">
        <f t="shared" si="2"/>
        <v>15200</v>
      </c>
      <c r="L15" s="79">
        <f t="shared" si="2"/>
        <v>15500</v>
      </c>
      <c r="M15" s="79">
        <f t="shared" si="2"/>
        <v>15500</v>
      </c>
      <c r="N15" s="79">
        <f t="shared" si="2"/>
        <v>15500</v>
      </c>
      <c r="O15" s="93"/>
      <c r="FL15" s="73"/>
      <c r="FM15" s="73"/>
    </row>
    <row r="16" spans="1:169" ht="14.5">
      <c r="B16" s="171" t="s">
        <v>1375</v>
      </c>
      <c r="C16" s="172"/>
      <c r="D16" s="172"/>
      <c r="E16" s="173"/>
      <c r="F16" s="79">
        <f t="shared" si="1"/>
        <v>92600</v>
      </c>
      <c r="G16" s="79">
        <f>SUM(G10:G14)</f>
        <v>1000</v>
      </c>
      <c r="H16" s="80">
        <f t="shared" si="0"/>
        <v>93600</v>
      </c>
      <c r="I16" s="79">
        <f t="shared" ref="I16:N16" si="3">SUM(I10:I14)</f>
        <v>15600</v>
      </c>
      <c r="J16" s="79">
        <f t="shared" si="3"/>
        <v>15600</v>
      </c>
      <c r="K16" s="79">
        <f t="shared" si="3"/>
        <v>15600</v>
      </c>
      <c r="L16" s="79">
        <f t="shared" si="3"/>
        <v>15600</v>
      </c>
      <c r="M16" s="79">
        <f t="shared" si="3"/>
        <v>15600</v>
      </c>
      <c r="N16" s="79">
        <f t="shared" si="3"/>
        <v>15600</v>
      </c>
      <c r="O16" s="93"/>
      <c r="FL16" s="73"/>
      <c r="FM16" s="73"/>
    </row>
    <row r="17" spans="2:225" ht="14.5">
      <c r="B17" s="171" t="s">
        <v>1376</v>
      </c>
      <c r="C17" s="172"/>
      <c r="D17" s="172"/>
      <c r="E17" s="173"/>
      <c r="F17" s="79">
        <f t="shared" si="1"/>
        <v>184700</v>
      </c>
      <c r="G17" s="79">
        <f>G15+G16</f>
        <v>1000</v>
      </c>
      <c r="H17" s="79">
        <f>H15+H16</f>
        <v>185700</v>
      </c>
      <c r="I17" s="79">
        <f t="shared" ref="I17:N17" si="4">I15+I16</f>
        <v>30800</v>
      </c>
      <c r="J17" s="79">
        <f t="shared" si="4"/>
        <v>30800</v>
      </c>
      <c r="K17" s="79">
        <f t="shared" si="4"/>
        <v>30800</v>
      </c>
      <c r="L17" s="79">
        <f t="shared" si="4"/>
        <v>31100</v>
      </c>
      <c r="M17" s="79">
        <f t="shared" si="4"/>
        <v>31100</v>
      </c>
      <c r="N17" s="79">
        <f t="shared" si="4"/>
        <v>31100</v>
      </c>
      <c r="O17" s="93"/>
      <c r="FL17" s="73"/>
    </row>
    <row r="18" spans="2:225" ht="14.5">
      <c r="B18" s="171" t="s">
        <v>1377</v>
      </c>
      <c r="C18" s="172"/>
      <c r="D18" s="172"/>
      <c r="E18" s="173"/>
      <c r="F18" s="79">
        <f>F15-F16</f>
        <v>-500</v>
      </c>
      <c r="G18" s="79">
        <f t="shared" ref="G18:N18" si="5">G15-G16</f>
        <v>-1000</v>
      </c>
      <c r="H18" s="79">
        <f t="shared" si="5"/>
        <v>-1500</v>
      </c>
      <c r="I18" s="79">
        <f t="shared" si="5"/>
        <v>-400</v>
      </c>
      <c r="J18" s="79">
        <f t="shared" si="5"/>
        <v>-400</v>
      </c>
      <c r="K18" s="79">
        <f t="shared" si="5"/>
        <v>-400</v>
      </c>
      <c r="L18" s="79">
        <f t="shared" si="5"/>
        <v>-100</v>
      </c>
      <c r="M18" s="79">
        <f t="shared" si="5"/>
        <v>-100</v>
      </c>
      <c r="N18" s="79">
        <f t="shared" si="5"/>
        <v>-100</v>
      </c>
      <c r="O18" s="94"/>
      <c r="FL18" s="73"/>
    </row>
    <row r="19" spans="2:225" customFormat="1"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FG19" s="98"/>
      <c r="FH19" s="98"/>
      <c r="FI19" s="98"/>
      <c r="FJ19" s="98"/>
      <c r="FK19" s="98"/>
      <c r="FL19" s="98"/>
      <c r="FM19" s="74"/>
      <c r="FN19" s="74"/>
      <c r="FO19" s="74"/>
      <c r="FP19" s="74"/>
      <c r="FQ19" s="74"/>
      <c r="FR19" s="74"/>
      <c r="FS19" s="74"/>
      <c r="FT19" s="74"/>
      <c r="FU19" s="74"/>
      <c r="FV19" s="74"/>
      <c r="FW19" s="74"/>
      <c r="FX19" s="74"/>
      <c r="FY19" s="74"/>
      <c r="FZ19" s="74"/>
      <c r="GA19" s="74"/>
      <c r="GB19" s="74"/>
      <c r="GC19" s="74"/>
      <c r="GD19" s="74"/>
      <c r="GE19" s="74"/>
      <c r="GF19" s="74"/>
      <c r="GG19" s="74"/>
      <c r="GH19" s="74"/>
      <c r="GI19" s="74"/>
      <c r="GJ19" s="74"/>
      <c r="GK19" s="74"/>
      <c r="GL19" s="74"/>
      <c r="GM19" s="74"/>
      <c r="GN19" s="74"/>
      <c r="GO19" s="74"/>
      <c r="GP19" s="74"/>
      <c r="GQ19" s="74"/>
      <c r="GR19" s="74"/>
      <c r="GS19" s="74"/>
      <c r="GT19" s="74"/>
      <c r="GU19" s="74"/>
      <c r="GV19" s="74"/>
      <c r="GW19" s="74"/>
      <c r="GX19" s="74"/>
      <c r="GY19" s="74"/>
      <c r="GZ19" s="74"/>
      <c r="HA19" s="74"/>
      <c r="HB19" s="74"/>
      <c r="HC19" s="74"/>
      <c r="HD19" s="74"/>
      <c r="HE19" s="74"/>
      <c r="HF19" s="74"/>
      <c r="HG19" s="74"/>
      <c r="HH19" s="74"/>
      <c r="HI19" s="74"/>
      <c r="HJ19" s="74"/>
      <c r="HK19" s="74"/>
      <c r="HL19" s="74"/>
      <c r="HM19" s="74"/>
      <c r="HN19" s="74"/>
      <c r="HO19" s="74"/>
      <c r="HP19" s="74"/>
      <c r="HQ19" s="74"/>
    </row>
    <row r="20" spans="2:225" customFormat="1">
      <c r="B20" s="174" t="s">
        <v>1378</v>
      </c>
      <c r="C20" s="174"/>
      <c r="D20" s="81" t="s">
        <v>1379</v>
      </c>
      <c r="E20" s="81" t="s">
        <v>1380</v>
      </c>
      <c r="F20" s="81" t="s">
        <v>1355</v>
      </c>
      <c r="G20" s="81" t="s">
        <v>1381</v>
      </c>
      <c r="H20" s="81" t="s">
        <v>26</v>
      </c>
      <c r="I20" s="81" t="s">
        <v>12</v>
      </c>
      <c r="J20" s="81" t="s">
        <v>13</v>
      </c>
      <c r="K20" s="81" t="s">
        <v>1382</v>
      </c>
      <c r="L20" s="81" t="s">
        <v>1383</v>
      </c>
      <c r="M20" s="73"/>
      <c r="N20" s="73"/>
      <c r="O20" s="73"/>
      <c r="P20" s="73"/>
      <c r="Q20" s="73"/>
      <c r="R20" s="73"/>
      <c r="FG20" s="98"/>
      <c r="FH20" s="98"/>
      <c r="FI20" s="98"/>
      <c r="FJ20" s="98"/>
      <c r="FK20" s="98"/>
      <c r="FL20" s="98"/>
      <c r="FM20" s="98"/>
      <c r="FN20" s="74"/>
      <c r="FO20" s="74"/>
      <c r="FP20" s="74"/>
      <c r="FQ20" s="74"/>
      <c r="FR20" s="74"/>
      <c r="FS20" s="74"/>
      <c r="FT20" s="74"/>
      <c r="FU20" s="74"/>
      <c r="FV20" s="74"/>
      <c r="FW20" s="74"/>
      <c r="FX20" s="74"/>
      <c r="FY20" s="74"/>
      <c r="FZ20" s="74"/>
      <c r="GA20" s="74"/>
      <c r="GB20" s="74"/>
      <c r="GC20" s="74"/>
      <c r="GD20" s="74"/>
      <c r="GE20" s="74"/>
      <c r="GF20" s="74"/>
      <c r="GG20" s="74"/>
      <c r="GH20" s="74"/>
      <c r="GI20" s="74"/>
      <c r="GJ20" s="74"/>
      <c r="GK20" s="74"/>
      <c r="GL20" s="74"/>
      <c r="GM20" s="74"/>
      <c r="GN20" s="74"/>
      <c r="GO20" s="74"/>
      <c r="GP20" s="74"/>
      <c r="GQ20" s="74"/>
      <c r="GR20" s="74"/>
      <c r="GS20" s="74"/>
      <c r="GT20" s="74"/>
      <c r="GU20" s="74"/>
      <c r="GV20" s="74"/>
      <c r="GW20" s="74"/>
      <c r="GX20" s="74"/>
      <c r="GY20" s="74"/>
      <c r="GZ20" s="74"/>
      <c r="HA20" s="74"/>
      <c r="HB20" s="74"/>
      <c r="HC20" s="74"/>
      <c r="HD20" s="74"/>
      <c r="HE20" s="74"/>
      <c r="HF20" s="74"/>
      <c r="HG20" s="74"/>
      <c r="HH20" s="74"/>
      <c r="HI20" s="74"/>
      <c r="HJ20" s="74"/>
      <c r="HK20" s="74"/>
      <c r="HL20" s="74"/>
      <c r="HM20" s="74"/>
      <c r="HN20" s="74"/>
      <c r="HO20" s="74"/>
      <c r="HP20" s="74"/>
      <c r="HQ20" s="74"/>
    </row>
    <row r="21" spans="2:225" s="73" customFormat="1">
      <c r="B21" s="189" t="s">
        <v>1384</v>
      </c>
      <c r="C21" s="189"/>
      <c r="D21" s="189" t="s">
        <v>1385</v>
      </c>
      <c r="E21" s="83" t="s">
        <v>1386</v>
      </c>
      <c r="F21" s="83">
        <f>SUM(F22:F24)</f>
        <v>80</v>
      </c>
      <c r="G21" s="83">
        <f>SUM(G22:G24)</f>
        <v>81426</v>
      </c>
      <c r="H21" s="83">
        <f>SUM(H22:H24)</f>
        <v>21381</v>
      </c>
      <c r="I21" s="83">
        <f>SUM(I22:I24)</f>
        <v>21278</v>
      </c>
      <c r="J21" s="83">
        <f t="shared" ref="J21:J29" si="6">G21-H21+I21+F21</f>
        <v>81403</v>
      </c>
      <c r="K21" s="83">
        <f>SUM(K22:K23)</f>
        <v>80400</v>
      </c>
      <c r="L21" s="83">
        <f>SUM(L22:L24)</f>
        <v>1003</v>
      </c>
      <c r="N21" s="92"/>
      <c r="O21" s="92" t="s">
        <v>10</v>
      </c>
      <c r="P21" s="92" t="s">
        <v>1381</v>
      </c>
      <c r="FG21" s="74"/>
      <c r="FH21" s="74"/>
      <c r="FI21" s="74"/>
      <c r="FJ21" s="74"/>
      <c r="FK21" s="74"/>
      <c r="FL21" s="74"/>
      <c r="FM21" s="74"/>
      <c r="FN21" s="74"/>
      <c r="FO21" s="74"/>
      <c r="FP21" s="74"/>
      <c r="FQ21" s="74"/>
      <c r="FR21" s="74"/>
      <c r="FS21" s="74"/>
      <c r="FT21" s="74"/>
      <c r="FU21" s="74"/>
      <c r="FV21" s="74"/>
      <c r="FW21" s="74"/>
      <c r="FX21" s="74"/>
      <c r="FY21" s="74"/>
      <c r="FZ21" s="74"/>
      <c r="GA21" s="74"/>
      <c r="GB21" s="74"/>
      <c r="GC21" s="74"/>
      <c r="GD21" s="74"/>
      <c r="GE21" s="74"/>
      <c r="GF21" s="74"/>
      <c r="GG21" s="74"/>
      <c r="GH21" s="74"/>
      <c r="GI21" s="74"/>
      <c r="GJ21" s="74"/>
      <c r="GK21" s="74"/>
      <c r="GL21" s="74"/>
      <c r="GM21" s="74"/>
      <c r="GN21" s="74"/>
      <c r="GO21" s="74"/>
      <c r="GP21" s="74"/>
      <c r="GQ21" s="74"/>
      <c r="GR21" s="74"/>
      <c r="GS21" s="74"/>
      <c r="GT21" s="74"/>
      <c r="GU21" s="74"/>
      <c r="GV21" s="74"/>
      <c r="GW21" s="74"/>
      <c r="GX21" s="74"/>
      <c r="GY21" s="74"/>
      <c r="GZ21" s="74"/>
      <c r="HA21" s="74"/>
      <c r="HB21" s="74"/>
      <c r="HC21" s="74"/>
      <c r="HD21" s="74"/>
      <c r="HE21" s="74"/>
      <c r="HF21" s="74"/>
      <c r="HG21" s="74"/>
      <c r="HH21" s="74"/>
      <c r="HI21" s="74"/>
      <c r="HJ21" s="74"/>
      <c r="HK21" s="74"/>
      <c r="HL21" s="74"/>
      <c r="HM21" s="74"/>
      <c r="HN21" s="74"/>
      <c r="HO21" s="74"/>
      <c r="HP21" s="74"/>
      <c r="HQ21" s="74"/>
    </row>
    <row r="22" spans="2:225" s="73" customFormat="1">
      <c r="B22" s="189"/>
      <c r="C22" s="189"/>
      <c r="D22" s="189"/>
      <c r="E22" s="82" t="s">
        <v>28</v>
      </c>
      <c r="F22" s="82"/>
      <c r="G22" s="82">
        <v>58286</v>
      </c>
      <c r="H22" s="82">
        <v>12726</v>
      </c>
      <c r="I22" s="82">
        <v>2440</v>
      </c>
      <c r="J22" s="82">
        <f t="shared" si="6"/>
        <v>48000</v>
      </c>
      <c r="K22" s="95">
        <f>8400*6</f>
        <v>50400</v>
      </c>
      <c r="L22" s="96">
        <f t="shared" ref="L22:L29" si="7">J22-K22</f>
        <v>-2400</v>
      </c>
      <c r="N22" s="92" t="s">
        <v>28</v>
      </c>
      <c r="O22" s="92">
        <v>9</v>
      </c>
      <c r="P22" s="92">
        <v>135</v>
      </c>
      <c r="FG22" s="74"/>
      <c r="FH22" s="74"/>
      <c r="FI22" s="74"/>
      <c r="FJ22" s="74"/>
      <c r="FK22" s="74"/>
      <c r="FL22" s="74"/>
      <c r="FM22" s="74"/>
      <c r="FN22" s="74"/>
      <c r="FO22" s="74"/>
      <c r="FP22" s="74"/>
      <c r="FQ22" s="74"/>
      <c r="FR22" s="74"/>
      <c r="FS22" s="74"/>
      <c r="FT22" s="74"/>
      <c r="FU22" s="74"/>
      <c r="FV22" s="74"/>
      <c r="FW22" s="74"/>
      <c r="FX22" s="74"/>
      <c r="FY22" s="74"/>
      <c r="FZ22" s="74"/>
      <c r="GA22" s="74"/>
      <c r="GB22" s="74"/>
      <c r="GC22" s="74"/>
      <c r="GD22" s="74"/>
      <c r="GE22" s="74"/>
      <c r="GF22" s="74"/>
      <c r="GG22" s="74"/>
      <c r="GH22" s="74"/>
      <c r="GI22" s="74"/>
      <c r="GJ22" s="74"/>
      <c r="GK22" s="74"/>
      <c r="GL22" s="74"/>
      <c r="GM22" s="74"/>
      <c r="GN22" s="74"/>
      <c r="GO22" s="74"/>
      <c r="GP22" s="74"/>
      <c r="GQ22" s="74"/>
      <c r="GR22" s="74"/>
      <c r="GS22" s="74"/>
      <c r="GT22" s="74"/>
      <c r="GU22" s="74"/>
      <c r="GV22" s="74"/>
      <c r="GW22" s="74"/>
      <c r="GX22" s="74"/>
      <c r="GY22" s="74"/>
      <c r="GZ22" s="74"/>
      <c r="HA22" s="74"/>
      <c r="HB22" s="74"/>
      <c r="HC22" s="74"/>
      <c r="HD22" s="74"/>
      <c r="HE22" s="74"/>
      <c r="HF22" s="74"/>
      <c r="HG22" s="74"/>
      <c r="HH22" s="74"/>
      <c r="HI22" s="74"/>
      <c r="HJ22" s="74"/>
      <c r="HK22" s="74"/>
      <c r="HL22" s="74"/>
      <c r="HM22" s="74"/>
      <c r="HN22" s="74"/>
      <c r="HO22" s="74"/>
      <c r="HP22" s="74"/>
      <c r="HQ22" s="74"/>
    </row>
    <row r="23" spans="2:225" s="73" customFormat="1">
      <c r="B23" s="189"/>
      <c r="C23" s="189"/>
      <c r="D23" s="189"/>
      <c r="E23" s="82" t="s">
        <v>29</v>
      </c>
      <c r="F23" s="82"/>
      <c r="G23" s="82">
        <v>22216</v>
      </c>
      <c r="H23" s="82">
        <v>8655</v>
      </c>
      <c r="I23" s="82">
        <v>18838</v>
      </c>
      <c r="J23" s="82">
        <f t="shared" si="6"/>
        <v>32399</v>
      </c>
      <c r="K23" s="95">
        <f>5000*6</f>
        <v>30000</v>
      </c>
      <c r="L23" s="88">
        <f t="shared" si="7"/>
        <v>2399</v>
      </c>
      <c r="M23" s="77"/>
      <c r="N23" s="92" t="s">
        <v>29</v>
      </c>
      <c r="O23" s="92">
        <v>71</v>
      </c>
      <c r="P23" s="92">
        <v>789</v>
      </c>
      <c r="FG23" s="74"/>
      <c r="FH23" s="74"/>
      <c r="FI23" s="74"/>
      <c r="FJ23" s="74"/>
      <c r="FK23" s="74"/>
      <c r="FL23" s="74"/>
      <c r="FM23" s="74"/>
      <c r="FN23" s="74"/>
      <c r="FO23" s="74"/>
      <c r="FP23" s="74"/>
      <c r="FQ23" s="74"/>
      <c r="FR23" s="74"/>
      <c r="FS23" s="74"/>
      <c r="FT23" s="74"/>
      <c r="FU23" s="74"/>
      <c r="FV23" s="74"/>
      <c r="FW23" s="74"/>
      <c r="FX23" s="74"/>
      <c r="FY23" s="74"/>
      <c r="FZ23" s="74"/>
      <c r="GA23" s="74"/>
      <c r="GB23" s="74"/>
      <c r="GC23" s="74"/>
      <c r="GD23" s="74"/>
      <c r="GE23" s="74"/>
      <c r="GF23" s="74"/>
      <c r="GG23" s="74"/>
      <c r="GH23" s="74"/>
      <c r="GI23" s="74"/>
      <c r="GJ23" s="74"/>
      <c r="GK23" s="74"/>
      <c r="GL23" s="74"/>
      <c r="GM23" s="74"/>
      <c r="GN23" s="74"/>
      <c r="GO23" s="74"/>
      <c r="GP23" s="74"/>
      <c r="GQ23" s="74"/>
      <c r="GR23" s="74"/>
      <c r="GS23" s="74"/>
      <c r="GT23" s="74"/>
      <c r="GU23" s="74"/>
      <c r="GV23" s="74"/>
      <c r="GW23" s="74"/>
      <c r="GX23" s="74"/>
      <c r="GY23" s="74"/>
      <c r="GZ23" s="74"/>
      <c r="HA23" s="74"/>
      <c r="HB23" s="74"/>
      <c r="HC23" s="74"/>
      <c r="HD23" s="74"/>
      <c r="HE23" s="74"/>
      <c r="HF23" s="74"/>
      <c r="HG23" s="74"/>
      <c r="HH23" s="74"/>
      <c r="HI23" s="74"/>
      <c r="HJ23" s="74"/>
      <c r="HK23" s="74"/>
      <c r="HL23" s="74"/>
      <c r="HM23" s="74"/>
      <c r="HN23" s="74"/>
      <c r="HO23" s="74"/>
      <c r="HP23" s="74"/>
      <c r="HQ23" s="74"/>
    </row>
    <row r="24" spans="2:225" s="73" customFormat="1">
      <c r="B24" s="189"/>
      <c r="C24" s="189"/>
      <c r="D24" s="189"/>
      <c r="E24" s="82" t="s">
        <v>1008</v>
      </c>
      <c r="F24" s="82">
        <v>80</v>
      </c>
      <c r="G24" s="82">
        <v>924</v>
      </c>
      <c r="H24" s="82"/>
      <c r="I24" s="82"/>
      <c r="J24" s="82">
        <f t="shared" si="6"/>
        <v>1004</v>
      </c>
      <c r="K24" s="95"/>
      <c r="L24" s="96">
        <f t="shared" si="7"/>
        <v>1004</v>
      </c>
      <c r="M24" s="77"/>
      <c r="N24" s="92" t="s">
        <v>30</v>
      </c>
      <c r="O24" s="92">
        <v>0</v>
      </c>
      <c r="P24" s="92">
        <v>0</v>
      </c>
      <c r="FG24" s="74"/>
      <c r="FH24" s="74"/>
      <c r="FI24" s="74"/>
      <c r="FJ24" s="74"/>
      <c r="FK24" s="74"/>
      <c r="FL24" s="74"/>
      <c r="FM24" s="74"/>
      <c r="FN24" s="74"/>
      <c r="FO24" s="74"/>
      <c r="FP24" s="74"/>
      <c r="FQ24" s="74"/>
      <c r="FR24" s="74"/>
      <c r="FS24" s="74"/>
      <c r="FT24" s="74"/>
      <c r="FU24" s="74"/>
      <c r="FV24" s="74"/>
      <c r="FW24" s="74"/>
      <c r="FX24" s="74"/>
      <c r="FY24" s="74"/>
      <c r="FZ24" s="74"/>
      <c r="GA24" s="74"/>
      <c r="GB24" s="74"/>
      <c r="GC24" s="74"/>
      <c r="GD24" s="74"/>
      <c r="GE24" s="74"/>
      <c r="GF24" s="74"/>
      <c r="GG24" s="74"/>
      <c r="GH24" s="74"/>
      <c r="GI24" s="74"/>
      <c r="GJ24" s="74"/>
      <c r="GK24" s="74"/>
      <c r="GL24" s="74"/>
      <c r="GM24" s="74"/>
      <c r="GN24" s="74"/>
      <c r="GO24" s="74"/>
      <c r="GP24" s="74"/>
      <c r="GQ24" s="74"/>
      <c r="GR24" s="74"/>
      <c r="GS24" s="74"/>
      <c r="GT24" s="74"/>
      <c r="GU24" s="74"/>
      <c r="GV24" s="74"/>
      <c r="GW24" s="74"/>
      <c r="GX24" s="74"/>
      <c r="GY24" s="74"/>
      <c r="GZ24" s="74"/>
      <c r="HA24" s="74"/>
      <c r="HB24" s="74"/>
      <c r="HC24" s="74"/>
      <c r="HD24" s="74"/>
      <c r="HE24" s="74"/>
      <c r="HF24" s="74"/>
      <c r="HG24" s="74"/>
      <c r="HH24" s="74"/>
      <c r="HI24" s="74"/>
      <c r="HJ24" s="74"/>
      <c r="HK24" s="74"/>
      <c r="HL24" s="74"/>
      <c r="HM24" s="74"/>
      <c r="HN24" s="74"/>
      <c r="HO24" s="74"/>
      <c r="HP24" s="74"/>
      <c r="HQ24" s="74"/>
    </row>
    <row r="25" spans="2:225" s="73" customFormat="1">
      <c r="B25" s="189"/>
      <c r="C25" s="189"/>
      <c r="D25" s="189" t="s">
        <v>1387</v>
      </c>
      <c r="E25" s="83" t="s">
        <v>1386</v>
      </c>
      <c r="F25" s="83">
        <f>SUM(F26:F27)</f>
        <v>0</v>
      </c>
      <c r="G25" s="83">
        <f>SUM(G26:G27)</f>
        <v>80502</v>
      </c>
      <c r="H25" s="83">
        <f>SUM(H26:H27)</f>
        <v>21381</v>
      </c>
      <c r="I25" s="83">
        <f>SUM(I26:I27)</f>
        <v>21278</v>
      </c>
      <c r="J25" s="83">
        <f t="shared" si="6"/>
        <v>80399</v>
      </c>
      <c r="K25" s="83">
        <f>SUM(K26:K27)</f>
        <v>80400</v>
      </c>
      <c r="L25" s="83">
        <f t="shared" si="7"/>
        <v>-1</v>
      </c>
      <c r="M25" s="77"/>
      <c r="FG25" s="74"/>
      <c r="FH25" s="74"/>
      <c r="FI25" s="74"/>
      <c r="FJ25" s="74"/>
      <c r="FK25" s="74"/>
      <c r="FL25" s="74"/>
      <c r="FM25" s="74"/>
      <c r="FN25" s="74"/>
      <c r="FO25" s="74"/>
      <c r="FP25" s="74"/>
      <c r="FQ25" s="74"/>
      <c r="FR25" s="74"/>
      <c r="FS25" s="74"/>
      <c r="FT25" s="74"/>
      <c r="FU25" s="74"/>
      <c r="FV25" s="74"/>
      <c r="FW25" s="74"/>
      <c r="FX25" s="74"/>
      <c r="FY25" s="74"/>
      <c r="FZ25" s="74"/>
      <c r="GA25" s="74"/>
      <c r="GB25" s="74"/>
      <c r="GC25" s="74"/>
      <c r="GD25" s="74"/>
      <c r="GE25" s="74"/>
      <c r="GF25" s="74"/>
      <c r="GG25" s="74"/>
      <c r="GH25" s="74"/>
      <c r="GI25" s="74"/>
      <c r="GJ25" s="74"/>
      <c r="GK25" s="74"/>
      <c r="GL25" s="74"/>
      <c r="GM25" s="74"/>
      <c r="GN25" s="74"/>
      <c r="GO25" s="74"/>
      <c r="GP25" s="74"/>
      <c r="GQ25" s="74"/>
      <c r="GR25" s="74"/>
      <c r="GS25" s="74"/>
      <c r="GT25" s="74"/>
      <c r="GU25" s="74"/>
      <c r="GV25" s="74"/>
      <c r="GW25" s="74"/>
      <c r="GX25" s="74"/>
      <c r="GY25" s="74"/>
      <c r="GZ25" s="74"/>
      <c r="HA25" s="74"/>
      <c r="HB25" s="74"/>
      <c r="HC25" s="74"/>
      <c r="HD25" s="74"/>
      <c r="HE25" s="74"/>
      <c r="HF25" s="74"/>
      <c r="HG25" s="74"/>
      <c r="HH25" s="74"/>
      <c r="HI25" s="74"/>
      <c r="HJ25" s="74"/>
      <c r="HK25" s="74"/>
      <c r="HL25" s="74"/>
      <c r="HM25" s="74"/>
      <c r="HN25" s="74"/>
      <c r="HO25" s="74"/>
      <c r="HP25" s="74"/>
      <c r="HQ25" s="74"/>
    </row>
    <row r="26" spans="2:225" s="73" customFormat="1">
      <c r="B26" s="189"/>
      <c r="C26" s="189"/>
      <c r="D26" s="189"/>
      <c r="E26" s="82" t="s">
        <v>28</v>
      </c>
      <c r="F26" s="82"/>
      <c r="G26" s="82">
        <v>58286</v>
      </c>
      <c r="H26" s="82">
        <v>12726</v>
      </c>
      <c r="I26" s="82">
        <v>2440</v>
      </c>
      <c r="J26" s="82">
        <f t="shared" si="6"/>
        <v>48000</v>
      </c>
      <c r="K26" s="95">
        <v>50400</v>
      </c>
      <c r="L26" s="96">
        <f t="shared" si="7"/>
        <v>-2400</v>
      </c>
      <c r="M26" s="77"/>
      <c r="FG26" s="74"/>
      <c r="FH26" s="74"/>
      <c r="FI26" s="74"/>
      <c r="FJ26" s="74"/>
      <c r="FK26" s="74"/>
      <c r="FL26" s="74"/>
      <c r="FM26" s="74"/>
      <c r="FN26" s="74"/>
      <c r="FO26" s="74"/>
      <c r="FP26" s="74"/>
      <c r="FQ26" s="74"/>
      <c r="FR26" s="74"/>
      <c r="FS26" s="74"/>
      <c r="FT26" s="74"/>
      <c r="FU26" s="74"/>
      <c r="FV26" s="74"/>
      <c r="FW26" s="74"/>
      <c r="FX26" s="74"/>
      <c r="FY26" s="74"/>
      <c r="FZ26" s="74"/>
      <c r="GA26" s="74"/>
      <c r="GB26" s="74"/>
      <c r="GC26" s="74"/>
      <c r="GD26" s="74"/>
      <c r="GE26" s="74"/>
      <c r="GF26" s="74"/>
      <c r="GG26" s="74"/>
      <c r="GH26" s="74"/>
      <c r="GI26" s="74"/>
      <c r="GJ26" s="74"/>
      <c r="GK26" s="74"/>
      <c r="GL26" s="74"/>
      <c r="GM26" s="74"/>
      <c r="GN26" s="74"/>
      <c r="GO26" s="74"/>
      <c r="GP26" s="74"/>
      <c r="GQ26" s="74"/>
      <c r="GR26" s="74"/>
      <c r="GS26" s="74"/>
      <c r="GT26" s="74"/>
      <c r="GU26" s="74"/>
      <c r="GV26" s="74"/>
      <c r="GW26" s="74"/>
      <c r="GX26" s="74"/>
      <c r="GY26" s="74"/>
      <c r="GZ26" s="74"/>
      <c r="HA26" s="74"/>
      <c r="HB26" s="74"/>
      <c r="HC26" s="74"/>
      <c r="HD26" s="74"/>
      <c r="HE26" s="74"/>
      <c r="HF26" s="74"/>
      <c r="HG26" s="74"/>
      <c r="HH26" s="74"/>
      <c r="HI26" s="74"/>
      <c r="HJ26" s="74"/>
      <c r="HK26" s="74"/>
      <c r="HL26" s="74"/>
      <c r="HM26" s="74"/>
      <c r="HN26" s="74"/>
      <c r="HO26" s="74"/>
      <c r="HP26" s="74"/>
      <c r="HQ26" s="74"/>
    </row>
    <row r="27" spans="2:225" s="73" customFormat="1">
      <c r="B27" s="189"/>
      <c r="C27" s="189"/>
      <c r="D27" s="189"/>
      <c r="E27" s="82" t="s">
        <v>29</v>
      </c>
      <c r="F27" s="82"/>
      <c r="G27" s="82">
        <v>22216</v>
      </c>
      <c r="H27" s="82">
        <v>8655</v>
      </c>
      <c r="I27" s="82">
        <v>18838</v>
      </c>
      <c r="J27" s="82">
        <f t="shared" si="6"/>
        <v>32399</v>
      </c>
      <c r="K27" s="95">
        <v>30000</v>
      </c>
      <c r="L27" s="96">
        <f t="shared" si="7"/>
        <v>2399</v>
      </c>
      <c r="M27" s="77"/>
      <c r="FG27" s="74"/>
      <c r="FH27" s="74"/>
      <c r="FI27" s="74"/>
      <c r="FJ27" s="74"/>
      <c r="FK27" s="74"/>
      <c r="FL27" s="74"/>
      <c r="FM27" s="74"/>
      <c r="FN27" s="74"/>
      <c r="FO27" s="74"/>
      <c r="FP27" s="74"/>
      <c r="FQ27" s="74"/>
      <c r="FR27" s="74"/>
      <c r="FS27" s="74"/>
      <c r="FT27" s="74"/>
      <c r="FU27" s="74"/>
      <c r="FV27" s="74"/>
      <c r="FW27" s="74"/>
      <c r="FX27" s="74"/>
      <c r="FY27" s="74"/>
      <c r="FZ27" s="74"/>
      <c r="GA27" s="74"/>
      <c r="GB27" s="74"/>
      <c r="GC27" s="74"/>
      <c r="GD27" s="74"/>
      <c r="GE27" s="74"/>
      <c r="GF27" s="74"/>
      <c r="GG27" s="74"/>
      <c r="GH27" s="74"/>
      <c r="GI27" s="74"/>
      <c r="GJ27" s="74"/>
      <c r="GK27" s="74"/>
      <c r="GL27" s="74"/>
      <c r="GM27" s="74"/>
      <c r="GN27" s="74"/>
      <c r="GO27" s="74"/>
      <c r="GP27" s="74"/>
      <c r="GQ27" s="74"/>
      <c r="GR27" s="74"/>
      <c r="GS27" s="74"/>
      <c r="GT27" s="74"/>
      <c r="GU27" s="74"/>
      <c r="GV27" s="74"/>
      <c r="GW27" s="74"/>
      <c r="GX27" s="74"/>
      <c r="GY27" s="74"/>
      <c r="GZ27" s="74"/>
      <c r="HA27" s="74"/>
      <c r="HB27" s="74"/>
      <c r="HC27" s="74"/>
      <c r="HD27" s="74"/>
      <c r="HE27" s="74"/>
      <c r="HF27" s="74"/>
      <c r="HG27" s="74"/>
      <c r="HH27" s="74"/>
      <c r="HI27" s="74"/>
      <c r="HJ27" s="74"/>
      <c r="HK27" s="74"/>
      <c r="HL27" s="74"/>
      <c r="HM27" s="74"/>
      <c r="HN27" s="74"/>
      <c r="HO27" s="74"/>
      <c r="HP27" s="74"/>
      <c r="HQ27" s="74"/>
    </row>
    <row r="28" spans="2:225" s="73" customFormat="1">
      <c r="B28" s="189" t="s">
        <v>30</v>
      </c>
      <c r="C28" s="189"/>
      <c r="D28" s="82" t="s">
        <v>1385</v>
      </c>
      <c r="E28" s="82" t="s">
        <v>1386</v>
      </c>
      <c r="F28" s="82"/>
      <c r="G28" s="82">
        <v>8539</v>
      </c>
      <c r="H28" s="82">
        <v>7805</v>
      </c>
      <c r="I28" s="82">
        <v>8261</v>
      </c>
      <c r="J28" s="82">
        <f t="shared" si="6"/>
        <v>8995</v>
      </c>
      <c r="K28" s="95">
        <f>2200*6</f>
        <v>13200</v>
      </c>
      <c r="L28" s="88">
        <f t="shared" si="7"/>
        <v>-4205</v>
      </c>
      <c r="M28" s="77"/>
      <c r="FG28" s="74"/>
      <c r="FH28" s="74"/>
      <c r="FI28" s="74"/>
      <c r="FJ28" s="74"/>
      <c r="FK28" s="74"/>
      <c r="FL28" s="74"/>
      <c r="FM28" s="74"/>
      <c r="FN28" s="74"/>
      <c r="FO28" s="74"/>
      <c r="FP28" s="74"/>
      <c r="FQ28" s="74"/>
      <c r="FR28" s="74"/>
      <c r="FS28" s="74"/>
      <c r="FT28" s="74"/>
      <c r="FU28" s="74"/>
      <c r="FV28" s="74"/>
      <c r="FW28" s="74"/>
      <c r="FX28" s="74"/>
      <c r="FY28" s="74"/>
      <c r="FZ28" s="74"/>
      <c r="GA28" s="74"/>
      <c r="GB28" s="74"/>
      <c r="GC28" s="74"/>
      <c r="GD28" s="74"/>
      <c r="GE28" s="74"/>
      <c r="GF28" s="74"/>
      <c r="GG28" s="74"/>
      <c r="GH28" s="74"/>
      <c r="GI28" s="74"/>
      <c r="GJ28" s="74"/>
      <c r="GK28" s="74"/>
      <c r="GL28" s="74"/>
      <c r="GM28" s="74"/>
      <c r="GN28" s="74"/>
      <c r="GO28" s="74"/>
      <c r="GP28" s="74"/>
      <c r="GQ28" s="74"/>
      <c r="GR28" s="74"/>
      <c r="GS28" s="74"/>
      <c r="GT28" s="74"/>
      <c r="GU28" s="74"/>
      <c r="GV28" s="74"/>
      <c r="GW28" s="74"/>
      <c r="GX28" s="74"/>
      <c r="GY28" s="74"/>
      <c r="GZ28" s="74"/>
      <c r="HA28" s="74"/>
      <c r="HB28" s="74"/>
      <c r="HC28" s="74"/>
      <c r="HD28" s="74"/>
      <c r="HE28" s="74"/>
      <c r="HF28" s="74"/>
      <c r="HG28" s="74"/>
      <c r="HH28" s="74"/>
      <c r="HI28" s="74"/>
      <c r="HJ28" s="74"/>
      <c r="HK28" s="74"/>
      <c r="HL28" s="74"/>
      <c r="HM28" s="74"/>
      <c r="HN28" s="74"/>
      <c r="HO28" s="74"/>
      <c r="HP28" s="74"/>
      <c r="HQ28" s="74"/>
    </row>
    <row r="29" spans="2:225" s="73" customFormat="1">
      <c r="B29" s="189"/>
      <c r="C29" s="189"/>
      <c r="D29" s="82" t="s">
        <v>1387</v>
      </c>
      <c r="E29" s="82" t="s">
        <v>1386</v>
      </c>
      <c r="F29" s="82"/>
      <c r="G29" s="82">
        <v>8539</v>
      </c>
      <c r="H29" s="82">
        <v>7805</v>
      </c>
      <c r="I29" s="82">
        <v>8261</v>
      </c>
      <c r="J29" s="82">
        <f t="shared" si="6"/>
        <v>8995</v>
      </c>
      <c r="K29" s="95">
        <f>2200*6</f>
        <v>13200</v>
      </c>
      <c r="L29" s="96">
        <f t="shared" si="7"/>
        <v>-4205</v>
      </c>
      <c r="M29" s="77"/>
      <c r="FG29" s="74"/>
      <c r="FH29" s="74"/>
      <c r="FI29" s="74"/>
      <c r="FJ29" s="74"/>
      <c r="FK29" s="74"/>
      <c r="FL29" s="74"/>
      <c r="FM29" s="74"/>
      <c r="FN29" s="74"/>
      <c r="FO29" s="74"/>
      <c r="FP29" s="74"/>
      <c r="FQ29" s="74"/>
      <c r="FR29" s="74"/>
      <c r="FS29" s="74"/>
      <c r="FT29" s="74"/>
      <c r="FU29" s="74"/>
      <c r="FV29" s="74"/>
      <c r="FW29" s="74"/>
      <c r="FX29" s="74"/>
      <c r="FY29" s="74"/>
      <c r="FZ29" s="74"/>
      <c r="GA29" s="74"/>
      <c r="GB29" s="74"/>
      <c r="GC29" s="74"/>
      <c r="GD29" s="74"/>
      <c r="GE29" s="74"/>
      <c r="GF29" s="74"/>
      <c r="GG29" s="74"/>
      <c r="GH29" s="74"/>
      <c r="GI29" s="74"/>
      <c r="GJ29" s="74"/>
      <c r="GK29" s="74"/>
      <c r="GL29" s="74"/>
      <c r="GM29" s="74"/>
      <c r="GN29" s="74"/>
      <c r="GO29" s="74"/>
      <c r="GP29" s="74"/>
      <c r="GQ29" s="74"/>
      <c r="GR29" s="74"/>
      <c r="GS29" s="74"/>
      <c r="GT29" s="74"/>
      <c r="GU29" s="74"/>
      <c r="GV29" s="74"/>
      <c r="GW29" s="74"/>
      <c r="GX29" s="74"/>
      <c r="GY29" s="74"/>
      <c r="GZ29" s="74"/>
      <c r="HA29" s="74"/>
      <c r="HB29" s="74"/>
      <c r="HC29" s="74"/>
      <c r="HD29" s="74"/>
      <c r="HE29" s="74"/>
      <c r="HF29" s="74"/>
      <c r="HG29" s="74"/>
      <c r="HH29" s="74"/>
      <c r="HI29" s="74"/>
      <c r="HJ29" s="74"/>
      <c r="HK29" s="74"/>
      <c r="HL29" s="74"/>
      <c r="HM29" s="74"/>
      <c r="HN29" s="74"/>
      <c r="HO29" s="74"/>
      <c r="HP29" s="74"/>
      <c r="HQ29" s="74"/>
    </row>
    <row r="30" spans="2:225" s="73" customFormat="1">
      <c r="FG30" s="74"/>
      <c r="FH30" s="74"/>
      <c r="FI30" s="74"/>
      <c r="FJ30" s="74"/>
      <c r="FK30" s="74"/>
      <c r="FL30" s="74"/>
      <c r="FM30" s="74"/>
      <c r="FN30" s="74"/>
      <c r="FO30" s="74"/>
      <c r="FP30" s="74"/>
      <c r="FQ30" s="74"/>
      <c r="FR30" s="74"/>
      <c r="FS30" s="74"/>
      <c r="FT30" s="74"/>
      <c r="FU30" s="74"/>
      <c r="FV30" s="74"/>
      <c r="FW30" s="74"/>
      <c r="FX30" s="74"/>
      <c r="FY30" s="74"/>
      <c r="FZ30" s="74"/>
      <c r="GA30" s="74"/>
      <c r="GB30" s="74"/>
      <c r="GC30" s="74"/>
      <c r="GD30" s="74"/>
      <c r="GE30" s="74"/>
      <c r="GF30" s="74"/>
      <c r="GG30" s="74"/>
      <c r="GH30" s="74"/>
      <c r="GI30" s="74"/>
      <c r="GJ30" s="74"/>
      <c r="GK30" s="74"/>
      <c r="GL30" s="74"/>
      <c r="GM30" s="74"/>
      <c r="GN30" s="74"/>
      <c r="GO30" s="74"/>
      <c r="GP30" s="74"/>
      <c r="GQ30" s="74"/>
      <c r="GR30" s="74"/>
      <c r="GS30" s="74"/>
      <c r="GT30" s="74"/>
      <c r="GU30" s="74"/>
      <c r="GV30" s="74"/>
      <c r="GW30" s="74"/>
      <c r="GX30" s="74"/>
      <c r="GY30" s="74"/>
      <c r="GZ30" s="74"/>
      <c r="HA30" s="74"/>
      <c r="HB30" s="74"/>
      <c r="HC30" s="74"/>
      <c r="HD30" s="74"/>
      <c r="HE30" s="74"/>
      <c r="HF30" s="74"/>
      <c r="HG30" s="74"/>
      <c r="HH30" s="74"/>
      <c r="HI30" s="74"/>
      <c r="HJ30" s="74"/>
      <c r="HK30" s="74"/>
      <c r="HL30" s="74"/>
      <c r="HM30" s="74"/>
      <c r="HN30" s="74"/>
      <c r="HO30" s="74"/>
      <c r="HP30" s="74"/>
      <c r="HQ30" s="74"/>
    </row>
    <row r="31" spans="2:225" s="73" customFormat="1" ht="15">
      <c r="B31" s="175" t="s">
        <v>1388</v>
      </c>
      <c r="C31" s="175"/>
      <c r="D31" s="175"/>
      <c r="E31" s="175"/>
      <c r="F31" s="175"/>
      <c r="G31" s="175"/>
      <c r="H31" s="175"/>
      <c r="FG31" s="74"/>
      <c r="FH31" s="74"/>
      <c r="FI31" s="74"/>
      <c r="FJ31" s="74"/>
      <c r="FK31" s="74"/>
      <c r="FL31" s="74"/>
      <c r="FM31" s="74"/>
      <c r="FN31" s="74"/>
      <c r="FO31" s="74"/>
      <c r="FP31" s="74"/>
      <c r="FQ31" s="74"/>
      <c r="FR31" s="74"/>
      <c r="FS31" s="74"/>
      <c r="FT31" s="74"/>
      <c r="FU31" s="74"/>
      <c r="FV31" s="74"/>
      <c r="FW31" s="74"/>
      <c r="FX31" s="74"/>
      <c r="FY31" s="74"/>
      <c r="FZ31" s="74"/>
      <c r="GA31" s="74"/>
      <c r="GB31" s="74"/>
      <c r="GC31" s="74"/>
      <c r="GD31" s="74"/>
      <c r="GE31" s="74"/>
      <c r="GF31" s="74"/>
      <c r="GG31" s="74"/>
      <c r="GH31" s="74"/>
      <c r="GI31" s="74"/>
      <c r="GJ31" s="74"/>
      <c r="GK31" s="74"/>
      <c r="GL31" s="74"/>
      <c r="GM31" s="74"/>
      <c r="GN31" s="74"/>
      <c r="GO31" s="74"/>
      <c r="GP31" s="74"/>
      <c r="GQ31" s="74"/>
      <c r="GR31" s="74"/>
      <c r="GS31" s="74"/>
      <c r="GT31" s="74"/>
      <c r="GU31" s="74"/>
      <c r="GV31" s="74"/>
      <c r="GW31" s="74"/>
      <c r="GX31" s="74"/>
      <c r="GY31" s="74"/>
      <c r="GZ31" s="74"/>
      <c r="HA31" s="74"/>
      <c r="HB31" s="74"/>
      <c r="HC31" s="74"/>
      <c r="HD31" s="74"/>
      <c r="HE31" s="74"/>
      <c r="HF31" s="74"/>
      <c r="HG31" s="74"/>
      <c r="HH31" s="74"/>
      <c r="HI31" s="74"/>
      <c r="HJ31" s="74"/>
      <c r="HK31" s="74"/>
      <c r="HL31" s="74"/>
      <c r="HM31" s="74"/>
      <c r="HN31" s="74"/>
      <c r="HO31" s="74"/>
      <c r="HP31" s="74"/>
      <c r="HQ31" s="74"/>
    </row>
    <row r="32" spans="2:225" s="73" customFormat="1" ht="15">
      <c r="B32" s="84" t="s">
        <v>1389</v>
      </c>
      <c r="C32" s="84" t="s">
        <v>1380</v>
      </c>
      <c r="D32" s="84" t="s">
        <v>1381</v>
      </c>
      <c r="E32" s="84" t="s">
        <v>26</v>
      </c>
      <c r="F32" s="84" t="s">
        <v>1355</v>
      </c>
      <c r="G32" s="84" t="s">
        <v>12</v>
      </c>
      <c r="H32" s="84" t="s">
        <v>1390</v>
      </c>
      <c r="FJ32" s="74"/>
      <c r="FK32" s="74"/>
      <c r="FL32" s="74"/>
      <c r="FM32" s="74"/>
      <c r="FN32" s="74"/>
      <c r="FO32" s="74"/>
      <c r="FP32" s="74"/>
      <c r="FQ32" s="74"/>
      <c r="FR32" s="74"/>
      <c r="FS32" s="74"/>
      <c r="FT32" s="74"/>
      <c r="FU32" s="74"/>
      <c r="FV32" s="74"/>
      <c r="FW32" s="74"/>
      <c r="FX32" s="74"/>
      <c r="FY32" s="74"/>
      <c r="FZ32" s="74"/>
      <c r="GA32" s="74"/>
      <c r="GB32" s="74"/>
      <c r="GC32" s="74"/>
      <c r="GD32" s="74"/>
      <c r="GE32" s="74"/>
      <c r="GF32" s="74"/>
      <c r="GG32" s="74"/>
      <c r="GH32" s="74"/>
      <c r="GI32" s="74"/>
      <c r="GJ32" s="74"/>
      <c r="GK32" s="74"/>
      <c r="GL32" s="74"/>
      <c r="GM32" s="74"/>
      <c r="GN32" s="74"/>
      <c r="GO32" s="74"/>
      <c r="GP32" s="74"/>
      <c r="GQ32" s="74"/>
      <c r="GR32" s="74"/>
      <c r="GS32" s="74"/>
      <c r="GT32" s="74"/>
      <c r="GU32" s="74"/>
      <c r="GV32" s="74"/>
      <c r="GW32" s="74"/>
      <c r="GX32" s="74"/>
      <c r="GY32" s="74"/>
      <c r="GZ32" s="74"/>
      <c r="HA32" s="74"/>
      <c r="HB32" s="74"/>
      <c r="HC32" s="74"/>
      <c r="HD32" s="74"/>
      <c r="HE32" s="74"/>
      <c r="HF32" s="74"/>
      <c r="HG32" s="74"/>
      <c r="HH32" s="74"/>
      <c r="HI32" s="74"/>
      <c r="HJ32" s="74"/>
      <c r="HK32" s="74"/>
      <c r="HL32" s="74"/>
      <c r="HM32" s="74"/>
      <c r="HN32" s="74"/>
      <c r="HO32" s="74"/>
      <c r="HP32" s="74"/>
      <c r="HQ32" s="74"/>
    </row>
    <row r="33" spans="2:225" s="73" customFormat="1" ht="15">
      <c r="B33" s="178" t="s">
        <v>30</v>
      </c>
      <c r="C33" s="85" t="s">
        <v>529</v>
      </c>
      <c r="D33" s="85">
        <f>SUMIFS('3月'!$AB$263:$AB$427,'3月'!$D$263:$D$427,$D$3)</f>
        <v>0</v>
      </c>
      <c r="E33" s="85" t="e">
        <f>SUMIFS('3月'!$X$287:$X$579,'3月'!$D$263:$D$427,$D$3)</f>
        <v>#VALUE!</v>
      </c>
      <c r="F33" s="85">
        <f>SUMIFS('3月'!$AA$263:$AA$427,'3月'!$D$263:$D$427,$D$3)</f>
        <v>0</v>
      </c>
      <c r="G33" s="85" t="e">
        <f>SUMIFS('3月'!#REF!,'3月'!$D$263:$D$427,$D$3)</f>
        <v>#REF!</v>
      </c>
      <c r="H33" s="85" t="e">
        <f t="shared" ref="H33:H41" si="8">D33-E33+F33+G33</f>
        <v>#VALUE!</v>
      </c>
      <c r="FK33" s="74"/>
      <c r="FL33" s="74"/>
      <c r="FM33" s="74"/>
      <c r="FN33" s="74"/>
      <c r="FO33" s="74"/>
      <c r="FP33" s="74"/>
      <c r="FQ33" s="74"/>
      <c r="FR33" s="74"/>
      <c r="FS33" s="74"/>
      <c r="FT33" s="74"/>
      <c r="FU33" s="74"/>
      <c r="FV33" s="74"/>
      <c r="FW33" s="74"/>
      <c r="FX33" s="74"/>
      <c r="FY33" s="74"/>
      <c r="FZ33" s="74"/>
      <c r="GA33" s="74"/>
      <c r="GB33" s="74"/>
      <c r="GC33" s="74"/>
      <c r="GD33" s="74"/>
      <c r="GE33" s="74"/>
      <c r="GF33" s="74"/>
      <c r="GG33" s="74"/>
      <c r="GH33" s="74"/>
      <c r="GI33" s="74"/>
      <c r="GJ33" s="74"/>
      <c r="GK33" s="74"/>
      <c r="GL33" s="74"/>
      <c r="GM33" s="74"/>
      <c r="GN33" s="74"/>
      <c r="GO33" s="74"/>
      <c r="GP33" s="74"/>
      <c r="GQ33" s="74"/>
      <c r="GR33" s="74"/>
      <c r="GS33" s="74"/>
      <c r="GT33" s="74"/>
      <c r="GU33" s="74"/>
      <c r="GV33" s="74"/>
      <c r="GW33" s="74"/>
      <c r="GX33" s="74"/>
      <c r="GY33" s="74"/>
      <c r="GZ33" s="74"/>
      <c r="HA33" s="74"/>
      <c r="HB33" s="74"/>
      <c r="HC33" s="74"/>
      <c r="HD33" s="74"/>
      <c r="HE33" s="74"/>
      <c r="HF33" s="74"/>
      <c r="HG33" s="74"/>
      <c r="HH33" s="74"/>
      <c r="HI33" s="74"/>
      <c r="HJ33" s="74"/>
      <c r="HK33" s="74"/>
      <c r="HL33" s="74"/>
      <c r="HM33" s="74"/>
      <c r="HN33" s="74"/>
      <c r="HO33" s="74"/>
      <c r="HP33" s="74"/>
      <c r="HQ33" s="74"/>
    </row>
    <row r="34" spans="2:225" s="73" customFormat="1" ht="15">
      <c r="B34" s="178"/>
      <c r="C34" s="85" t="s">
        <v>30</v>
      </c>
      <c r="D34" s="85">
        <f>SUMIFS('3月'!$AB$263:$AB$427,'3月'!$D$263:$D$427,$D$4)</f>
        <v>0</v>
      </c>
      <c r="E34" s="85" t="e">
        <f>SUMIFS('3月'!$X$287:X579,'3月'!$D$263:$D$427,$D$4)</f>
        <v>#VALUE!</v>
      </c>
      <c r="F34" s="85">
        <f>SUMIFS('3月'!$AA$263:$AA$427,'3月'!$D$263:$D$427,$D$4)</f>
        <v>0</v>
      </c>
      <c r="G34" s="85" t="e">
        <f>SUMIFS('3月'!#REF!,'3月'!$D$263:$D$427,$D$4)</f>
        <v>#REF!</v>
      </c>
      <c r="H34" s="85" t="e">
        <f t="shared" si="8"/>
        <v>#VALUE!</v>
      </c>
      <c r="FK34" s="74"/>
      <c r="FL34" s="74"/>
      <c r="FM34" s="74"/>
      <c r="FN34" s="74"/>
      <c r="FO34" s="74"/>
      <c r="FP34" s="74"/>
      <c r="FQ34" s="74"/>
      <c r="FR34" s="74"/>
      <c r="FS34" s="74"/>
      <c r="FT34" s="74"/>
      <c r="FU34" s="74"/>
      <c r="FV34" s="74"/>
      <c r="FW34" s="74"/>
      <c r="FX34" s="74"/>
      <c r="FY34" s="74"/>
      <c r="FZ34" s="74"/>
      <c r="GA34" s="74"/>
      <c r="GB34" s="74"/>
      <c r="GC34" s="74"/>
      <c r="GD34" s="74"/>
      <c r="GE34" s="74"/>
      <c r="GF34" s="74"/>
      <c r="GG34" s="74"/>
      <c r="GH34" s="74"/>
      <c r="GI34" s="74"/>
      <c r="GJ34" s="74"/>
      <c r="GK34" s="74"/>
      <c r="GL34" s="74"/>
      <c r="GM34" s="74"/>
      <c r="GN34" s="74"/>
      <c r="GO34" s="74"/>
      <c r="GP34" s="74"/>
      <c r="GQ34" s="74"/>
      <c r="GR34" s="74"/>
      <c r="GS34" s="74"/>
      <c r="GT34" s="74"/>
      <c r="GU34" s="74"/>
      <c r="GV34" s="74"/>
      <c r="GW34" s="74"/>
      <c r="GX34" s="74"/>
      <c r="GY34" s="74"/>
      <c r="GZ34" s="74"/>
      <c r="HA34" s="74"/>
      <c r="HB34" s="74"/>
      <c r="HC34" s="74"/>
      <c r="HD34" s="74"/>
      <c r="HE34" s="74"/>
      <c r="HF34" s="74"/>
      <c r="HG34" s="74"/>
      <c r="HH34" s="74"/>
      <c r="HI34" s="74"/>
      <c r="HJ34" s="74"/>
      <c r="HK34" s="74"/>
      <c r="HL34" s="74"/>
      <c r="HM34" s="74"/>
      <c r="HN34" s="74"/>
      <c r="HO34" s="74"/>
      <c r="HP34" s="74"/>
      <c r="HQ34" s="74"/>
    </row>
    <row r="35" spans="2:225" s="73" customFormat="1" ht="15">
      <c r="B35" s="176" t="s">
        <v>1391</v>
      </c>
      <c r="C35" s="177"/>
      <c r="D35" s="86">
        <f>SUM(D33:D34)</f>
        <v>0</v>
      </c>
      <c r="E35" s="86" t="e">
        <f>SUM(E33:E34)</f>
        <v>#VALUE!</v>
      </c>
      <c r="F35" s="86">
        <f>SUM(F33:F34)</f>
        <v>0</v>
      </c>
      <c r="G35" s="86" t="e">
        <f>SUM(G33:G34)</f>
        <v>#REF!</v>
      </c>
      <c r="H35" s="86" t="e">
        <f>SUM(H33:H34)</f>
        <v>#VALUE!</v>
      </c>
      <c r="FK35" s="74"/>
      <c r="FL35" s="74"/>
      <c r="FM35" s="74"/>
      <c r="FN35" s="74"/>
      <c r="FO35" s="74"/>
      <c r="FP35" s="74"/>
      <c r="FQ35" s="74"/>
      <c r="FR35" s="74"/>
      <c r="FS35" s="74"/>
      <c r="FT35" s="74"/>
      <c r="FU35" s="74"/>
      <c r="FV35" s="74"/>
      <c r="FW35" s="74"/>
      <c r="FX35" s="74"/>
      <c r="FY35" s="74"/>
      <c r="FZ35" s="74"/>
      <c r="GA35" s="74"/>
      <c r="GB35" s="74"/>
      <c r="GC35" s="74"/>
      <c r="GD35" s="74"/>
      <c r="GE35" s="74"/>
      <c r="GF35" s="74"/>
      <c r="GG35" s="74"/>
      <c r="GH35" s="74"/>
      <c r="GI35" s="74"/>
      <c r="GJ35" s="74"/>
      <c r="GK35" s="74"/>
      <c r="GL35" s="74"/>
      <c r="GM35" s="74"/>
      <c r="GN35" s="74"/>
      <c r="GO35" s="74"/>
      <c r="GP35" s="74"/>
      <c r="GQ35" s="74"/>
      <c r="GR35" s="74"/>
      <c r="GS35" s="74"/>
      <c r="GT35" s="74"/>
      <c r="GU35" s="74"/>
      <c r="GV35" s="74"/>
      <c r="GW35" s="74"/>
      <c r="GX35" s="74"/>
      <c r="GY35" s="74"/>
      <c r="GZ35" s="74"/>
      <c r="HA35" s="74"/>
      <c r="HB35" s="74"/>
      <c r="HC35" s="74"/>
      <c r="HD35" s="74"/>
      <c r="HE35" s="74"/>
      <c r="HF35" s="74"/>
      <c r="HG35" s="74"/>
      <c r="HH35" s="74"/>
      <c r="HI35" s="74"/>
      <c r="HJ35" s="74"/>
      <c r="HK35" s="74"/>
      <c r="HL35" s="74"/>
      <c r="HM35" s="74"/>
      <c r="HN35" s="74"/>
      <c r="HO35" s="74"/>
      <c r="HP35" s="74"/>
      <c r="HQ35" s="74"/>
    </row>
    <row r="36" spans="2:225" s="73" customFormat="1" ht="15">
      <c r="B36" s="178" t="s">
        <v>28</v>
      </c>
      <c r="C36" s="85" t="s">
        <v>1392</v>
      </c>
      <c r="D36" s="85">
        <f>SUMIFS('3月'!$AB$7:$AB$77,'3月'!$D$7:$D$77,C36)</f>
        <v>0</v>
      </c>
      <c r="E36" s="85">
        <f>SUMIFS('3月'!$Y$7:$Y$77,'3月'!$D$7:$D$77,C36)</f>
        <v>0</v>
      </c>
      <c r="F36" s="85">
        <f>SUMIFS('3月'!$AA$7:$AA$77,'3月'!$D$7:$D$77,C36)</f>
        <v>0</v>
      </c>
      <c r="G36" s="85">
        <f>SUMIFS('3月'!$AC$7:$AC$77,'3月'!$D$7:$D$77,C36)</f>
        <v>0</v>
      </c>
      <c r="H36" s="85">
        <f t="shared" si="8"/>
        <v>0</v>
      </c>
      <c r="FK36" s="74"/>
      <c r="FL36" s="74"/>
      <c r="FM36" s="74"/>
      <c r="FN36" s="74"/>
      <c r="FO36" s="74"/>
      <c r="FP36" s="74"/>
      <c r="FQ36" s="74"/>
      <c r="FR36" s="74"/>
      <c r="FS36" s="74"/>
      <c r="FT36" s="74"/>
      <c r="FU36" s="74"/>
      <c r="FV36" s="74"/>
      <c r="FW36" s="74"/>
      <c r="FX36" s="74"/>
      <c r="FY36" s="74"/>
      <c r="FZ36" s="74"/>
      <c r="GA36" s="74"/>
      <c r="GB36" s="74"/>
      <c r="GC36" s="74"/>
      <c r="GD36" s="74"/>
      <c r="GE36" s="74"/>
      <c r="GF36" s="74"/>
      <c r="GG36" s="74"/>
      <c r="GH36" s="74"/>
      <c r="GI36" s="74"/>
      <c r="GJ36" s="74"/>
      <c r="GK36" s="74"/>
      <c r="GL36" s="74"/>
      <c r="GM36" s="74"/>
      <c r="GN36" s="74"/>
      <c r="GO36" s="74"/>
      <c r="GP36" s="74"/>
      <c r="GQ36" s="74"/>
      <c r="GR36" s="74"/>
      <c r="GS36" s="74"/>
      <c r="GT36" s="74"/>
      <c r="GU36" s="74"/>
      <c r="GV36" s="74"/>
      <c r="GW36" s="74"/>
      <c r="GX36" s="74"/>
      <c r="GY36" s="74"/>
      <c r="GZ36" s="74"/>
      <c r="HA36" s="74"/>
      <c r="HB36" s="74"/>
      <c r="HC36" s="74"/>
      <c r="HD36" s="74"/>
      <c r="HE36" s="74"/>
      <c r="HF36" s="74"/>
      <c r="HG36" s="74"/>
      <c r="HH36" s="74"/>
      <c r="HI36" s="74"/>
      <c r="HJ36" s="74"/>
      <c r="HK36" s="74"/>
      <c r="HL36" s="74"/>
      <c r="HM36" s="74"/>
      <c r="HN36" s="74"/>
      <c r="HO36" s="74"/>
      <c r="HP36" s="74"/>
      <c r="HQ36" s="74"/>
    </row>
    <row r="37" spans="2:225" s="73" customFormat="1" ht="15">
      <c r="B37" s="178"/>
      <c r="C37" s="85" t="s">
        <v>1393</v>
      </c>
      <c r="D37" s="85">
        <f>SUMIFS('3月'!$AB$7:$AB$77,'3月'!$D$7:$D$77,C37)</f>
        <v>0</v>
      </c>
      <c r="E37" s="85">
        <f>SUMIFS('3月'!$Y$7:$Y$77,'3月'!$D$7:$D$77,C37)</f>
        <v>0</v>
      </c>
      <c r="F37" s="85">
        <f>SUMIFS('3月'!$AA$7:$AA$77,'3月'!$D$7:$D$77,C37)</f>
        <v>0</v>
      </c>
      <c r="G37" s="85">
        <f>SUMIFS('3月'!$AC$7:$AC$77,'3月'!$D$7:$D$77,C37)</f>
        <v>0</v>
      </c>
      <c r="H37" s="85">
        <f t="shared" si="8"/>
        <v>0</v>
      </c>
      <c r="FK37" s="74"/>
      <c r="FL37" s="74"/>
      <c r="FM37" s="74"/>
      <c r="FN37" s="74"/>
      <c r="FO37" s="74"/>
      <c r="FP37" s="74"/>
      <c r="FQ37" s="74"/>
      <c r="FR37" s="74"/>
      <c r="FS37" s="74"/>
      <c r="FT37" s="74"/>
      <c r="FU37" s="74"/>
      <c r="FV37" s="74"/>
      <c r="FW37" s="74"/>
      <c r="FX37" s="74"/>
      <c r="FY37" s="74"/>
      <c r="FZ37" s="74"/>
      <c r="GA37" s="74"/>
      <c r="GB37" s="74"/>
      <c r="GC37" s="74"/>
      <c r="GD37" s="74"/>
      <c r="GE37" s="74"/>
      <c r="GF37" s="74"/>
      <c r="GG37" s="74"/>
      <c r="GH37" s="74"/>
      <c r="GI37" s="74"/>
      <c r="GJ37" s="74"/>
      <c r="GK37" s="74"/>
      <c r="GL37" s="74"/>
      <c r="GM37" s="74"/>
      <c r="GN37" s="74"/>
      <c r="GO37" s="74"/>
      <c r="GP37" s="74"/>
      <c r="GQ37" s="74"/>
      <c r="GR37" s="74"/>
      <c r="GS37" s="74"/>
      <c r="GT37" s="74"/>
      <c r="GU37" s="74"/>
      <c r="GV37" s="74"/>
      <c r="GW37" s="74"/>
      <c r="GX37" s="74"/>
      <c r="GY37" s="74"/>
      <c r="GZ37" s="74"/>
      <c r="HA37" s="74"/>
      <c r="HB37" s="74"/>
      <c r="HC37" s="74"/>
      <c r="HD37" s="74"/>
      <c r="HE37" s="74"/>
      <c r="HF37" s="74"/>
      <c r="HG37" s="74"/>
      <c r="HH37" s="74"/>
      <c r="HI37" s="74"/>
      <c r="HJ37" s="74"/>
      <c r="HK37" s="74"/>
      <c r="HL37" s="74"/>
      <c r="HM37" s="74"/>
      <c r="HN37" s="74"/>
      <c r="HO37" s="74"/>
      <c r="HP37" s="74"/>
      <c r="HQ37" s="74"/>
    </row>
    <row r="38" spans="2:225" s="73" customFormat="1" ht="15">
      <c r="B38" s="178"/>
      <c r="C38" s="85" t="s">
        <v>105</v>
      </c>
      <c r="D38" s="85">
        <f>SUMIFS('3月'!$AB$7:$AB$77,'3月'!$D$7:$D$77,C38)</f>
        <v>0</v>
      </c>
      <c r="E38" s="85">
        <f>SUMIFS('3月'!$Y$7:$Y$77,'3月'!$D$7:$D$77,C38)</f>
        <v>0</v>
      </c>
      <c r="F38" s="85">
        <f>SUMIFS('3月'!$AA$7:$AA$77,'3月'!$D$7:$D$77,C38)</f>
        <v>0</v>
      </c>
      <c r="G38" s="85">
        <f>SUMIFS('3月'!$AC$7:$AC$77,'3月'!$D$7:$D$77,C38)</f>
        <v>0</v>
      </c>
      <c r="H38" s="85">
        <f t="shared" si="8"/>
        <v>0</v>
      </c>
      <c r="FK38" s="74"/>
      <c r="FL38" s="74"/>
      <c r="FM38" s="74"/>
      <c r="FN38" s="74"/>
      <c r="FO38" s="74"/>
      <c r="FP38" s="74"/>
      <c r="FQ38" s="74"/>
      <c r="FR38" s="74"/>
      <c r="FS38" s="74"/>
      <c r="FT38" s="74"/>
      <c r="FU38" s="74"/>
      <c r="FV38" s="74"/>
      <c r="FW38" s="74"/>
      <c r="FX38" s="74"/>
      <c r="FY38" s="74"/>
      <c r="FZ38" s="74"/>
      <c r="GA38" s="74"/>
      <c r="GB38" s="74"/>
      <c r="GC38" s="74"/>
      <c r="GD38" s="74"/>
      <c r="GE38" s="74"/>
      <c r="GF38" s="74"/>
      <c r="GG38" s="74"/>
      <c r="GH38" s="74"/>
      <c r="GI38" s="74"/>
      <c r="GJ38" s="74"/>
      <c r="GK38" s="74"/>
      <c r="GL38" s="74"/>
      <c r="GM38" s="74"/>
      <c r="GN38" s="74"/>
      <c r="GO38" s="74"/>
      <c r="GP38" s="74"/>
      <c r="GQ38" s="74"/>
      <c r="GR38" s="74"/>
      <c r="GS38" s="74"/>
      <c r="GT38" s="74"/>
      <c r="GU38" s="74"/>
      <c r="GV38" s="74"/>
      <c r="GW38" s="74"/>
      <c r="GX38" s="74"/>
      <c r="GY38" s="74"/>
      <c r="GZ38" s="74"/>
      <c r="HA38" s="74"/>
      <c r="HB38" s="74"/>
      <c r="HC38" s="74"/>
      <c r="HD38" s="74"/>
      <c r="HE38" s="74"/>
      <c r="HF38" s="74"/>
      <c r="HG38" s="74"/>
      <c r="HH38" s="74"/>
      <c r="HI38" s="74"/>
      <c r="HJ38" s="74"/>
      <c r="HK38" s="74"/>
      <c r="HL38" s="74"/>
      <c r="HM38" s="74"/>
      <c r="HN38" s="74"/>
      <c r="HO38" s="74"/>
      <c r="HP38" s="74"/>
      <c r="HQ38" s="74"/>
    </row>
    <row r="39" spans="2:225" s="73" customFormat="1" ht="15">
      <c r="B39" s="178"/>
      <c r="C39" s="85" t="s">
        <v>109</v>
      </c>
      <c r="D39" s="85">
        <f>SUMIFS('3月'!$AB$7:$AB$77,'3月'!$D$7:$D$77,C39)</f>
        <v>11663</v>
      </c>
      <c r="E39" s="85">
        <f>SUMIFS('3月'!$Y$7:$Y$77,'3月'!$D$7:$D$77,C39)</f>
        <v>37</v>
      </c>
      <c r="F39" s="85">
        <f>SUMIFS('3月'!$AA$7:$AA$77,'3月'!$D$7:$D$77,C39)</f>
        <v>0</v>
      </c>
      <c r="G39" s="85">
        <f>SUMIFS('3月'!$AC$7:$AC$77,'3月'!$D$7:$D$77,C39)</f>
        <v>560</v>
      </c>
      <c r="H39" s="85">
        <f t="shared" si="8"/>
        <v>12186</v>
      </c>
      <c r="FK39" s="74"/>
      <c r="FL39" s="74"/>
      <c r="FM39" s="74"/>
      <c r="FN39" s="74"/>
      <c r="FO39" s="74"/>
      <c r="FP39" s="74"/>
      <c r="FQ39" s="74"/>
      <c r="FR39" s="74"/>
      <c r="FS39" s="74"/>
      <c r="FT39" s="74"/>
      <c r="FU39" s="74"/>
      <c r="FV39" s="74"/>
      <c r="FW39" s="74"/>
      <c r="FX39" s="74"/>
      <c r="FY39" s="74"/>
      <c r="FZ39" s="74"/>
      <c r="GA39" s="74"/>
      <c r="GB39" s="74"/>
      <c r="GC39" s="74"/>
      <c r="GD39" s="74"/>
      <c r="GE39" s="74"/>
      <c r="GF39" s="74"/>
      <c r="GG39" s="74"/>
      <c r="GH39" s="74"/>
      <c r="GI39" s="74"/>
      <c r="GJ39" s="74"/>
      <c r="GK39" s="74"/>
      <c r="GL39" s="74"/>
      <c r="GM39" s="74"/>
      <c r="GN39" s="74"/>
      <c r="GO39" s="74"/>
      <c r="GP39" s="74"/>
      <c r="GQ39" s="74"/>
      <c r="GR39" s="74"/>
      <c r="GS39" s="74"/>
      <c r="GT39" s="74"/>
      <c r="GU39" s="74"/>
      <c r="GV39" s="74"/>
      <c r="GW39" s="74"/>
      <c r="GX39" s="74"/>
      <c r="GY39" s="74"/>
      <c r="GZ39" s="74"/>
      <c r="HA39" s="74"/>
      <c r="HB39" s="74"/>
      <c r="HC39" s="74"/>
      <c r="HD39" s="74"/>
      <c r="HE39" s="74"/>
      <c r="HF39" s="74"/>
      <c r="HG39" s="74"/>
      <c r="HH39" s="74"/>
      <c r="HI39" s="74"/>
      <c r="HJ39" s="74"/>
      <c r="HK39" s="74"/>
      <c r="HL39" s="74"/>
      <c r="HM39" s="74"/>
      <c r="HN39" s="74"/>
      <c r="HO39" s="74"/>
      <c r="HP39" s="74"/>
      <c r="HQ39" s="74"/>
    </row>
    <row r="40" spans="2:225" s="73" customFormat="1" ht="15">
      <c r="B40" s="178"/>
      <c r="C40" s="85" t="s">
        <v>154</v>
      </c>
      <c r="D40" s="85">
        <f>SUMIFS('3月'!$AB$7:$AB$77,'3月'!$D$7:$D$77,C40)</f>
        <v>0</v>
      </c>
      <c r="E40" s="85">
        <f>SUMIFS('3月'!$Y$7:$Y$77,'3月'!$D$7:$D$77,C40)</f>
        <v>0</v>
      </c>
      <c r="F40" s="85">
        <f>SUMIFS('3月'!$AA$7:$AA$77,'3月'!$D$7:$D$77,C40)</f>
        <v>0</v>
      </c>
      <c r="G40" s="85">
        <f>SUMIFS('3月'!$AC$7:$AC$77,'3月'!$D$7:$D$77,C40)</f>
        <v>0</v>
      </c>
      <c r="H40" s="85">
        <f t="shared" si="8"/>
        <v>0</v>
      </c>
      <c r="FK40" s="74"/>
      <c r="FL40" s="74"/>
      <c r="FM40" s="74"/>
      <c r="FN40" s="74"/>
      <c r="FO40" s="74"/>
      <c r="FP40" s="74"/>
      <c r="FQ40" s="74"/>
      <c r="FR40" s="74"/>
      <c r="FS40" s="74"/>
      <c r="FT40" s="74"/>
      <c r="FU40" s="74"/>
      <c r="FV40" s="74"/>
      <c r="FW40" s="74"/>
      <c r="FX40" s="74"/>
      <c r="FY40" s="74"/>
      <c r="FZ40" s="74"/>
      <c r="GA40" s="74"/>
      <c r="GB40" s="74"/>
      <c r="GC40" s="74"/>
      <c r="GD40" s="74"/>
      <c r="GE40" s="74"/>
      <c r="GF40" s="74"/>
      <c r="GG40" s="74"/>
      <c r="GH40" s="74"/>
      <c r="GI40" s="74"/>
      <c r="GJ40" s="74"/>
      <c r="GK40" s="74"/>
      <c r="GL40" s="74"/>
      <c r="GM40" s="74"/>
      <c r="GN40" s="74"/>
      <c r="GO40" s="74"/>
      <c r="GP40" s="74"/>
      <c r="GQ40" s="74"/>
      <c r="GR40" s="74"/>
      <c r="GS40" s="74"/>
      <c r="GT40" s="74"/>
      <c r="GU40" s="74"/>
      <c r="GV40" s="74"/>
      <c r="GW40" s="74"/>
      <c r="GX40" s="74"/>
      <c r="GY40" s="74"/>
      <c r="GZ40" s="74"/>
      <c r="HA40" s="74"/>
      <c r="HB40" s="74"/>
      <c r="HC40" s="74"/>
      <c r="HD40" s="74"/>
      <c r="HE40" s="74"/>
      <c r="HF40" s="74"/>
      <c r="HG40" s="74"/>
      <c r="HH40" s="74"/>
      <c r="HI40" s="74"/>
      <c r="HJ40" s="74"/>
      <c r="HK40" s="74"/>
      <c r="HL40" s="74"/>
      <c r="HM40" s="74"/>
      <c r="HN40" s="74"/>
      <c r="HO40" s="74"/>
      <c r="HP40" s="74"/>
      <c r="HQ40" s="74"/>
    </row>
    <row r="41" spans="2:225" s="73" customFormat="1" ht="15">
      <c r="B41" s="178"/>
      <c r="C41" s="85" t="s">
        <v>34</v>
      </c>
      <c r="D41" s="85">
        <f>SUMIFS('3月'!$AB$7:$AB$77,'3月'!$D$7:$D$77,C41)</f>
        <v>18296</v>
      </c>
      <c r="E41" s="85">
        <f>SUMIFS('3月'!$Y$7:$Y$77,'3月'!$D$7:$D$77,C41)</f>
        <v>10346</v>
      </c>
      <c r="F41" s="85">
        <f>SUMIFS('3月'!$AA$7:$AA$77,'3月'!$D$7:$D$77,C41)</f>
        <v>0</v>
      </c>
      <c r="G41" s="85">
        <f>SUMIFS('3月'!$AC$7:$AC$77,'3月'!$D$7:$D$77,C41)</f>
        <v>1131</v>
      </c>
      <c r="H41" s="85">
        <f t="shared" si="8"/>
        <v>9081</v>
      </c>
      <c r="FK41" s="74"/>
      <c r="FL41" s="74"/>
      <c r="FM41" s="74"/>
      <c r="FN41" s="74"/>
      <c r="FO41" s="74"/>
      <c r="FP41" s="74"/>
      <c r="FQ41" s="74"/>
      <c r="FR41" s="74"/>
      <c r="FS41" s="74"/>
      <c r="FT41" s="74"/>
      <c r="FU41" s="74"/>
      <c r="FV41" s="74"/>
      <c r="FW41" s="74"/>
      <c r="FX41" s="74"/>
      <c r="FY41" s="74"/>
      <c r="FZ41" s="74"/>
      <c r="GA41" s="74"/>
      <c r="GB41" s="74"/>
      <c r="GC41" s="74"/>
      <c r="GD41" s="74"/>
      <c r="GE41" s="74"/>
      <c r="GF41" s="74"/>
      <c r="GG41" s="74"/>
      <c r="GH41" s="74"/>
      <c r="GI41" s="74"/>
      <c r="GJ41" s="74"/>
      <c r="GK41" s="74"/>
      <c r="GL41" s="74"/>
      <c r="GM41" s="74"/>
      <c r="GN41" s="74"/>
      <c r="GO41" s="74"/>
      <c r="GP41" s="74"/>
      <c r="GQ41" s="74"/>
      <c r="GR41" s="74"/>
      <c r="GS41" s="74"/>
      <c r="GT41" s="74"/>
      <c r="GU41" s="74"/>
      <c r="GV41" s="74"/>
      <c r="GW41" s="74"/>
      <c r="GX41" s="74"/>
      <c r="GY41" s="74"/>
      <c r="GZ41" s="74"/>
      <c r="HA41" s="74"/>
      <c r="HB41" s="74"/>
      <c r="HC41" s="74"/>
      <c r="HD41" s="74"/>
      <c r="HE41" s="74"/>
      <c r="HF41" s="74"/>
      <c r="HG41" s="74"/>
      <c r="HH41" s="74"/>
      <c r="HI41" s="74"/>
      <c r="HJ41" s="74"/>
      <c r="HK41" s="74"/>
      <c r="HL41" s="74"/>
      <c r="HM41" s="74"/>
      <c r="HN41" s="74"/>
      <c r="HO41" s="74"/>
      <c r="HP41" s="74"/>
      <c r="HQ41" s="74"/>
    </row>
    <row r="42" spans="2:225" s="73" customFormat="1" ht="15">
      <c r="B42" s="178" t="s">
        <v>1394</v>
      </c>
      <c r="C42" s="178"/>
      <c r="D42" s="86">
        <f>SUM(D36:D41)</f>
        <v>29959</v>
      </c>
      <c r="E42" s="86">
        <f>SUM(E36:E41)</f>
        <v>10383</v>
      </c>
      <c r="F42" s="86">
        <f>SUM(F36:F41)</f>
        <v>0</v>
      </c>
      <c r="G42" s="86">
        <f>SUM(G36:G41)</f>
        <v>1691</v>
      </c>
      <c r="H42" s="86">
        <f>SUM(H36:H41)</f>
        <v>21267</v>
      </c>
      <c r="FK42" s="74"/>
      <c r="FL42" s="74"/>
      <c r="FM42" s="74"/>
      <c r="FN42" s="74"/>
      <c r="FO42" s="74"/>
      <c r="FP42" s="74"/>
      <c r="FQ42" s="74"/>
      <c r="FR42" s="74"/>
      <c r="FS42" s="74"/>
      <c r="FT42" s="74"/>
      <c r="FU42" s="74"/>
      <c r="FV42" s="74"/>
      <c r="FW42" s="74"/>
      <c r="FX42" s="74"/>
      <c r="FY42" s="74"/>
      <c r="FZ42" s="74"/>
      <c r="GA42" s="74"/>
      <c r="GB42" s="74"/>
      <c r="GC42" s="74"/>
      <c r="GD42" s="74"/>
      <c r="GE42" s="74"/>
      <c r="GF42" s="74"/>
      <c r="GG42" s="74"/>
      <c r="GH42" s="74"/>
      <c r="GI42" s="74"/>
      <c r="GJ42" s="74"/>
      <c r="GK42" s="74"/>
      <c r="GL42" s="74"/>
      <c r="GM42" s="74"/>
      <c r="GN42" s="74"/>
      <c r="GO42" s="74"/>
      <c r="GP42" s="74"/>
      <c r="GQ42" s="74"/>
      <c r="GR42" s="74"/>
      <c r="GS42" s="74"/>
      <c r="GT42" s="74"/>
      <c r="GU42" s="74"/>
      <c r="GV42" s="74"/>
      <c r="GW42" s="74"/>
      <c r="GX42" s="74"/>
      <c r="GY42" s="74"/>
      <c r="GZ42" s="74"/>
      <c r="HA42" s="74"/>
      <c r="HB42" s="74"/>
      <c r="HC42" s="74"/>
      <c r="HD42" s="74"/>
      <c r="HE42" s="74"/>
      <c r="HF42" s="74"/>
      <c r="HG42" s="74"/>
      <c r="HH42" s="74"/>
      <c r="HI42" s="74"/>
      <c r="HJ42" s="74"/>
      <c r="HK42" s="74"/>
      <c r="HL42" s="74"/>
      <c r="HM42" s="74"/>
      <c r="HN42" s="74"/>
      <c r="HO42" s="74"/>
      <c r="HP42" s="74"/>
      <c r="HQ42" s="74"/>
    </row>
    <row r="43" spans="2:225" s="73" customFormat="1" ht="15">
      <c r="B43" s="187" t="s">
        <v>29</v>
      </c>
      <c r="C43" s="85" t="s">
        <v>259</v>
      </c>
      <c r="D43" s="85">
        <f>SUMIFS('3月'!$AB$91:$AB$186,'3月'!$D$91:$D$186,C43)</f>
        <v>0</v>
      </c>
      <c r="E43" s="85">
        <f>SUMIFS('3月'!$Y$91:$Y$186,'3月'!$D$91:$D$186,C43)</f>
        <v>0</v>
      </c>
      <c r="F43" s="85">
        <f>SUMIFS('3月'!$AA$91:$AA$186,'3月'!$D$91:$D$186,C43)</f>
        <v>0</v>
      </c>
      <c r="G43" s="85">
        <f>SUMIFS('3月'!$AC$91:$AC$186,'3月'!$D$91:$D$186,C43)</f>
        <v>0</v>
      </c>
      <c r="H43" s="85">
        <f t="shared" ref="H43:H48" si="9">D43-E43+F43+G43</f>
        <v>0</v>
      </c>
      <c r="FK43" s="74"/>
      <c r="FL43" s="74"/>
      <c r="FM43" s="74"/>
      <c r="FN43" s="74"/>
      <c r="FO43" s="74"/>
      <c r="FP43" s="74"/>
      <c r="FQ43" s="74"/>
      <c r="FR43" s="74"/>
      <c r="FS43" s="74"/>
      <c r="FT43" s="74"/>
      <c r="FU43" s="74"/>
      <c r="FV43" s="74"/>
      <c r="FW43" s="74"/>
      <c r="FX43" s="74"/>
      <c r="FY43" s="74"/>
      <c r="FZ43" s="74"/>
      <c r="GA43" s="74"/>
      <c r="GB43" s="74"/>
      <c r="GC43" s="74"/>
      <c r="GD43" s="74"/>
      <c r="GE43" s="74"/>
      <c r="GF43" s="74"/>
      <c r="GG43" s="74"/>
      <c r="GH43" s="74"/>
      <c r="GI43" s="74"/>
      <c r="GJ43" s="74"/>
      <c r="GK43" s="74"/>
      <c r="GL43" s="74"/>
      <c r="GM43" s="74"/>
      <c r="GN43" s="74"/>
      <c r="GO43" s="74"/>
      <c r="GP43" s="74"/>
      <c r="GQ43" s="74"/>
      <c r="GR43" s="74"/>
      <c r="GS43" s="74"/>
      <c r="GT43" s="74"/>
      <c r="GU43" s="74"/>
      <c r="GV43" s="74"/>
      <c r="GW43" s="74"/>
      <c r="GX43" s="74"/>
      <c r="GY43" s="74"/>
      <c r="GZ43" s="74"/>
      <c r="HA43" s="74"/>
      <c r="HB43" s="74"/>
      <c r="HC43" s="74"/>
      <c r="HD43" s="74"/>
      <c r="HE43" s="74"/>
      <c r="HF43" s="74"/>
      <c r="HG43" s="74"/>
      <c r="HH43" s="74"/>
      <c r="HI43" s="74"/>
      <c r="HJ43" s="74"/>
      <c r="HK43" s="74"/>
      <c r="HL43" s="74"/>
      <c r="HM43" s="74"/>
      <c r="HN43" s="74"/>
      <c r="HO43" s="74"/>
      <c r="HP43" s="74"/>
      <c r="HQ43" s="74"/>
    </row>
    <row r="44" spans="2:225" s="73" customFormat="1" ht="15">
      <c r="B44" s="187"/>
      <c r="C44" s="85" t="s">
        <v>264</v>
      </c>
      <c r="D44" s="85">
        <f>SUMIFS('3月'!$AB$91:$AB$186,'3月'!$D$91:$D$186,C44)</f>
        <v>5337</v>
      </c>
      <c r="E44" s="85">
        <f>SUMIFS('3月'!$Y$91:$Y$186,'3月'!$D$91:$D$186,C44)</f>
        <v>1718</v>
      </c>
      <c r="F44" s="85">
        <f>SUMIFS('3月'!$AA$91:$AA$186,'3月'!$D$91:$D$186,C44)</f>
        <v>0</v>
      </c>
      <c r="G44" s="85">
        <f>SUMIFS('3月'!$AC$91:$AC$186,'3月'!$D$91:$D$186,C44)</f>
        <v>4998</v>
      </c>
      <c r="H44" s="85">
        <f t="shared" si="9"/>
        <v>8617</v>
      </c>
      <c r="FK44" s="74"/>
      <c r="FL44" s="74"/>
      <c r="FM44" s="74"/>
      <c r="FN44" s="74"/>
      <c r="FO44" s="74"/>
      <c r="FP44" s="74"/>
      <c r="FQ44" s="74"/>
      <c r="FR44" s="74"/>
      <c r="FS44" s="74"/>
      <c r="FT44" s="74"/>
      <c r="FU44" s="74"/>
      <c r="FV44" s="74"/>
      <c r="FW44" s="74"/>
      <c r="FX44" s="74"/>
      <c r="FY44" s="74"/>
      <c r="FZ44" s="74"/>
      <c r="GA44" s="74"/>
      <c r="GB44" s="74"/>
      <c r="GC44" s="74"/>
      <c r="GD44" s="74"/>
      <c r="GE44" s="74"/>
      <c r="GF44" s="74"/>
      <c r="GG44" s="74"/>
      <c r="GH44" s="74"/>
      <c r="GI44" s="74"/>
      <c r="GJ44" s="74"/>
      <c r="GK44" s="74"/>
      <c r="GL44" s="74"/>
      <c r="GM44" s="74"/>
      <c r="GN44" s="74"/>
      <c r="GO44" s="74"/>
      <c r="GP44" s="74"/>
      <c r="GQ44" s="74"/>
      <c r="GR44" s="74"/>
      <c r="GS44" s="74"/>
      <c r="GT44" s="74"/>
      <c r="GU44" s="74"/>
      <c r="GV44" s="74"/>
      <c r="GW44" s="74"/>
      <c r="GX44" s="74"/>
      <c r="GY44" s="74"/>
      <c r="GZ44" s="74"/>
      <c r="HA44" s="74"/>
      <c r="HB44" s="74"/>
      <c r="HC44" s="74"/>
      <c r="HD44" s="74"/>
      <c r="HE44" s="74"/>
      <c r="HF44" s="74"/>
      <c r="HG44" s="74"/>
      <c r="HH44" s="74"/>
      <c r="HI44" s="74"/>
      <c r="HJ44" s="74"/>
      <c r="HK44" s="74"/>
      <c r="HL44" s="74"/>
      <c r="HM44" s="74"/>
      <c r="HN44" s="74"/>
      <c r="HO44" s="74"/>
      <c r="HP44" s="74"/>
      <c r="HQ44" s="74"/>
    </row>
    <row r="45" spans="2:225" s="73" customFormat="1" ht="15">
      <c r="B45" s="187"/>
      <c r="C45" s="85" t="s">
        <v>484</v>
      </c>
      <c r="D45" s="85">
        <f>SUMIFS('3月'!$AB$91:$AB$186,'3月'!$D$91:$D$186,C45)</f>
        <v>313</v>
      </c>
      <c r="E45" s="85">
        <f>SUMIFS('3月'!$Y$91:$Y$186,'3月'!$D$91:$D$186,C45)</f>
        <v>313</v>
      </c>
      <c r="F45" s="85">
        <f>SUMIFS('3月'!$AA$91:$AA$186,'3月'!$D$91:$D$186,C45)</f>
        <v>0</v>
      </c>
      <c r="G45" s="85">
        <f>SUMIFS('3月'!$AC$91:$AC$186,'3月'!$D$91:$D$186,C45)</f>
        <v>0</v>
      </c>
      <c r="H45" s="85">
        <f t="shared" si="9"/>
        <v>0</v>
      </c>
      <c r="FK45" s="74"/>
      <c r="FL45" s="74"/>
      <c r="FM45" s="74"/>
      <c r="FN45" s="74"/>
      <c r="FO45" s="74"/>
      <c r="FP45" s="74"/>
      <c r="FQ45" s="74"/>
      <c r="FR45" s="74"/>
      <c r="FS45" s="74"/>
      <c r="FT45" s="74"/>
      <c r="FU45" s="74"/>
      <c r="FV45" s="74"/>
      <c r="FW45" s="74"/>
      <c r="FX45" s="74"/>
      <c r="FY45" s="74"/>
      <c r="FZ45" s="74"/>
      <c r="GA45" s="74"/>
      <c r="GB45" s="74"/>
      <c r="GC45" s="74"/>
      <c r="GD45" s="74"/>
      <c r="GE45" s="74"/>
      <c r="GF45" s="74"/>
      <c r="GG45" s="74"/>
      <c r="GH45" s="74"/>
      <c r="GI45" s="74"/>
      <c r="GJ45" s="74"/>
      <c r="GK45" s="74"/>
      <c r="GL45" s="74"/>
      <c r="GM45" s="74"/>
      <c r="GN45" s="74"/>
      <c r="GO45" s="74"/>
      <c r="GP45" s="74"/>
      <c r="GQ45" s="74"/>
      <c r="GR45" s="74"/>
      <c r="GS45" s="74"/>
      <c r="GT45" s="74"/>
      <c r="GU45" s="74"/>
      <c r="GV45" s="74"/>
      <c r="GW45" s="74"/>
      <c r="GX45" s="74"/>
      <c r="GY45" s="74"/>
      <c r="GZ45" s="74"/>
      <c r="HA45" s="74"/>
      <c r="HB45" s="74"/>
      <c r="HC45" s="74"/>
      <c r="HD45" s="74"/>
      <c r="HE45" s="74"/>
      <c r="HF45" s="74"/>
      <c r="HG45" s="74"/>
      <c r="HH45" s="74"/>
      <c r="HI45" s="74"/>
      <c r="HJ45" s="74"/>
      <c r="HK45" s="74"/>
      <c r="HL45" s="74"/>
      <c r="HM45" s="74"/>
      <c r="HN45" s="74"/>
      <c r="HO45" s="74"/>
      <c r="HP45" s="74"/>
      <c r="HQ45" s="74"/>
    </row>
    <row r="46" spans="2:225" s="73" customFormat="1" ht="15">
      <c r="B46" s="187"/>
      <c r="C46" s="85" t="s">
        <v>529</v>
      </c>
      <c r="D46" s="85">
        <f>SUMIFS('3月'!$AB$91:$AB$186,'3月'!$D$91:$D$186,C46)</f>
        <v>0</v>
      </c>
      <c r="E46" s="85">
        <f>SUMIFS('3月'!$Y$91:$Y$186,'3月'!$D$91:$D$186,C46)</f>
        <v>0</v>
      </c>
      <c r="F46" s="85">
        <f>SUMIFS('3月'!$AA$91:$AA$186,'3月'!$D$91:$D$186,C46)</f>
        <v>0</v>
      </c>
      <c r="G46" s="85">
        <f>SUMIFS('3月'!$AC$91:$AC$186,'3月'!$D$91:$D$186,C46)</f>
        <v>0</v>
      </c>
      <c r="H46" s="85">
        <f t="shared" si="9"/>
        <v>0</v>
      </c>
      <c r="FK46" s="74"/>
      <c r="FL46" s="74"/>
      <c r="FM46" s="74"/>
      <c r="FN46" s="74"/>
      <c r="FO46" s="74"/>
      <c r="FP46" s="74"/>
      <c r="FQ46" s="74"/>
      <c r="FR46" s="74"/>
      <c r="FS46" s="74"/>
      <c r="FT46" s="74"/>
      <c r="FU46" s="74"/>
      <c r="FV46" s="74"/>
      <c r="FW46" s="74"/>
      <c r="FX46" s="74"/>
      <c r="FY46" s="74"/>
      <c r="FZ46" s="74"/>
      <c r="GA46" s="74"/>
      <c r="GB46" s="74"/>
      <c r="GC46" s="74"/>
      <c r="GD46" s="74"/>
      <c r="GE46" s="74"/>
      <c r="GF46" s="74"/>
      <c r="GG46" s="74"/>
      <c r="GH46" s="74"/>
      <c r="GI46" s="74"/>
      <c r="GJ46" s="74"/>
      <c r="GK46" s="74"/>
      <c r="GL46" s="74"/>
      <c r="GM46" s="74"/>
      <c r="GN46" s="74"/>
      <c r="GO46" s="74"/>
      <c r="GP46" s="74"/>
      <c r="GQ46" s="74"/>
      <c r="GR46" s="74"/>
      <c r="GS46" s="74"/>
      <c r="GT46" s="74"/>
      <c r="GU46" s="74"/>
      <c r="GV46" s="74"/>
      <c r="GW46" s="74"/>
      <c r="GX46" s="74"/>
      <c r="GY46" s="74"/>
      <c r="GZ46" s="74"/>
      <c r="HA46" s="74"/>
      <c r="HB46" s="74"/>
      <c r="HC46" s="74"/>
      <c r="HD46" s="74"/>
      <c r="HE46" s="74"/>
      <c r="HF46" s="74"/>
      <c r="HG46" s="74"/>
      <c r="HH46" s="74"/>
      <c r="HI46" s="74"/>
      <c r="HJ46" s="74"/>
      <c r="HK46" s="74"/>
      <c r="HL46" s="74"/>
      <c r="HM46" s="74"/>
      <c r="HN46" s="74"/>
      <c r="HO46" s="74"/>
      <c r="HP46" s="74"/>
      <c r="HQ46" s="74"/>
    </row>
    <row r="47" spans="2:225" s="73" customFormat="1" ht="15">
      <c r="B47" s="187"/>
      <c r="C47" s="85" t="s">
        <v>351</v>
      </c>
      <c r="D47" s="85">
        <f>SUMIFS('3月'!$AB$91:$AB$186,'3月'!$D$91:$D$186,C47)</f>
        <v>2256</v>
      </c>
      <c r="E47" s="85">
        <f>SUMIFS('3月'!$Y$91:$Y$186,'3月'!$D$91:$D$186,C47)</f>
        <v>997</v>
      </c>
      <c r="F47" s="85">
        <f>SUMIFS('3月'!$AA$91:$AA$186,'3月'!$D$91:$D$186,C47)</f>
        <v>0</v>
      </c>
      <c r="G47" s="85">
        <f>SUMIFS('3月'!$AC$91:$AC$186,'3月'!$D$91:$D$186,C47)</f>
        <v>1159</v>
      </c>
      <c r="H47" s="85">
        <f t="shared" si="9"/>
        <v>2418</v>
      </c>
      <c r="FK47" s="74"/>
      <c r="FL47" s="74"/>
      <c r="FM47" s="74"/>
      <c r="FN47" s="74"/>
      <c r="FO47" s="74"/>
      <c r="FP47" s="74"/>
      <c r="FQ47" s="74"/>
      <c r="FR47" s="74"/>
      <c r="FS47" s="74"/>
      <c r="FT47" s="74"/>
      <c r="FU47" s="74"/>
      <c r="FV47" s="74"/>
      <c r="FW47" s="74"/>
      <c r="FX47" s="74"/>
      <c r="FY47" s="74"/>
      <c r="FZ47" s="74"/>
      <c r="GA47" s="74"/>
      <c r="GB47" s="74"/>
      <c r="GC47" s="74"/>
      <c r="GD47" s="74"/>
      <c r="GE47" s="74"/>
      <c r="GF47" s="74"/>
      <c r="GG47" s="74"/>
      <c r="GH47" s="74"/>
      <c r="GI47" s="74"/>
      <c r="GJ47" s="74"/>
      <c r="GK47" s="74"/>
      <c r="GL47" s="74"/>
      <c r="GM47" s="74"/>
      <c r="GN47" s="74"/>
      <c r="GO47" s="74"/>
      <c r="GP47" s="74"/>
      <c r="GQ47" s="74"/>
      <c r="GR47" s="74"/>
      <c r="GS47" s="74"/>
      <c r="GT47" s="74"/>
      <c r="GU47" s="74"/>
      <c r="GV47" s="74"/>
      <c r="GW47" s="74"/>
      <c r="GX47" s="74"/>
      <c r="GY47" s="74"/>
      <c r="GZ47" s="74"/>
      <c r="HA47" s="74"/>
      <c r="HB47" s="74"/>
      <c r="HC47" s="74"/>
      <c r="HD47" s="74"/>
      <c r="HE47" s="74"/>
      <c r="HF47" s="74"/>
      <c r="HG47" s="74"/>
      <c r="HH47" s="74"/>
      <c r="HI47" s="74"/>
      <c r="HJ47" s="74"/>
      <c r="HK47" s="74"/>
      <c r="HL47" s="74"/>
      <c r="HM47" s="74"/>
      <c r="HN47" s="74"/>
      <c r="HO47" s="74"/>
      <c r="HP47" s="74"/>
      <c r="HQ47" s="74"/>
    </row>
    <row r="48" spans="2:225" s="73" customFormat="1" ht="15">
      <c r="B48" s="188"/>
      <c r="C48" s="85" t="s">
        <v>477</v>
      </c>
      <c r="D48" s="85">
        <f>SUMIFS('3月'!$AB$91:$AB$186,'3月'!$D$91:$D$186,C48)</f>
        <v>0</v>
      </c>
      <c r="E48" s="85">
        <f>SUMIFS('3月'!$Y$91:$Y$186,'3月'!$D$91:$D$186,C48)</f>
        <v>0</v>
      </c>
      <c r="F48" s="85">
        <f>SUMIFS('3月'!$AA$91:$AA$186,'3月'!$D$91:$D$186,C48)</f>
        <v>0</v>
      </c>
      <c r="G48" s="85">
        <f>SUMIFS('3月'!$AC$91:$AC$186,'3月'!$D$91:$D$186,C48)</f>
        <v>0</v>
      </c>
      <c r="H48" s="85">
        <f t="shared" si="9"/>
        <v>0</v>
      </c>
      <c r="FK48" s="74"/>
      <c r="FL48" s="74"/>
      <c r="FM48" s="74"/>
      <c r="FN48" s="74"/>
      <c r="FO48" s="74"/>
      <c r="FP48" s="74"/>
      <c r="FQ48" s="74"/>
      <c r="FR48" s="74"/>
      <c r="FS48" s="74"/>
      <c r="FT48" s="74"/>
      <c r="FU48" s="74"/>
      <c r="FV48" s="74"/>
      <c r="FW48" s="74"/>
      <c r="FX48" s="74"/>
      <c r="FY48" s="74"/>
      <c r="FZ48" s="74"/>
      <c r="GA48" s="74"/>
      <c r="GB48" s="74"/>
      <c r="GC48" s="74"/>
      <c r="GD48" s="74"/>
      <c r="GE48" s="74"/>
      <c r="GF48" s="74"/>
      <c r="GG48" s="74"/>
      <c r="GH48" s="74"/>
      <c r="GI48" s="74"/>
      <c r="GJ48" s="74"/>
      <c r="GK48" s="74"/>
      <c r="GL48" s="74"/>
      <c r="GM48" s="74"/>
      <c r="GN48" s="74"/>
      <c r="GO48" s="74"/>
      <c r="GP48" s="74"/>
      <c r="GQ48" s="74"/>
      <c r="GR48" s="74"/>
      <c r="GS48" s="74"/>
      <c r="GT48" s="74"/>
      <c r="GU48" s="74"/>
      <c r="GV48" s="74"/>
      <c r="GW48" s="74"/>
      <c r="GX48" s="74"/>
      <c r="GY48" s="74"/>
      <c r="GZ48" s="74"/>
      <c r="HA48" s="74"/>
      <c r="HB48" s="74"/>
      <c r="HC48" s="74"/>
      <c r="HD48" s="74"/>
      <c r="HE48" s="74"/>
      <c r="HF48" s="74"/>
      <c r="HG48" s="74"/>
      <c r="HH48" s="74"/>
      <c r="HI48" s="74"/>
      <c r="HJ48" s="74"/>
      <c r="HK48" s="74"/>
      <c r="HL48" s="74"/>
      <c r="HM48" s="74"/>
      <c r="HN48" s="74"/>
      <c r="HO48" s="74"/>
      <c r="HP48" s="74"/>
      <c r="HQ48" s="74"/>
    </row>
    <row r="49" spans="2:225" s="73" customFormat="1" ht="15">
      <c r="B49" s="178" t="s">
        <v>1395</v>
      </c>
      <c r="C49" s="178"/>
      <c r="D49" s="86">
        <f>SUM(D43:D48)</f>
        <v>7906</v>
      </c>
      <c r="E49" s="86">
        <f>SUM(E43:E48)</f>
        <v>3028</v>
      </c>
      <c r="F49" s="86">
        <f>SUM(F43:F48)</f>
        <v>0</v>
      </c>
      <c r="G49" s="86">
        <f>SUM(G43:G48)</f>
        <v>6157</v>
      </c>
      <c r="H49" s="86">
        <f>SUM(H43:H48)</f>
        <v>11035</v>
      </c>
      <c r="FK49" s="74"/>
      <c r="FL49" s="74"/>
      <c r="FM49" s="74"/>
      <c r="FN49" s="74"/>
      <c r="FO49" s="74"/>
      <c r="FP49" s="74"/>
      <c r="FQ49" s="74"/>
      <c r="FR49" s="74"/>
      <c r="FS49" s="74"/>
      <c r="FT49" s="74"/>
      <c r="FU49" s="74"/>
      <c r="FV49" s="74"/>
      <c r="FW49" s="74"/>
      <c r="FX49" s="74"/>
      <c r="FY49" s="74"/>
      <c r="FZ49" s="74"/>
      <c r="GA49" s="74"/>
      <c r="GB49" s="74"/>
      <c r="GC49" s="74"/>
      <c r="GD49" s="74"/>
      <c r="GE49" s="74"/>
      <c r="GF49" s="74"/>
      <c r="GG49" s="74"/>
      <c r="GH49" s="74"/>
      <c r="GI49" s="74"/>
      <c r="GJ49" s="74"/>
      <c r="GK49" s="74"/>
      <c r="GL49" s="74"/>
      <c r="GM49" s="74"/>
      <c r="GN49" s="74"/>
      <c r="GO49" s="74"/>
      <c r="GP49" s="74"/>
      <c r="GQ49" s="74"/>
      <c r="GR49" s="74"/>
      <c r="GS49" s="74"/>
      <c r="GT49" s="74"/>
      <c r="GU49" s="74"/>
      <c r="GV49" s="74"/>
      <c r="GW49" s="74"/>
      <c r="GX49" s="74"/>
      <c r="GY49" s="74"/>
      <c r="GZ49" s="74"/>
      <c r="HA49" s="74"/>
      <c r="HB49" s="74"/>
      <c r="HC49" s="74"/>
      <c r="HD49" s="74"/>
      <c r="HE49" s="74"/>
      <c r="HF49" s="74"/>
      <c r="HG49" s="74"/>
      <c r="HH49" s="74"/>
      <c r="HI49" s="74"/>
      <c r="HJ49" s="74"/>
      <c r="HK49" s="74"/>
      <c r="HL49" s="74"/>
      <c r="HM49" s="74"/>
      <c r="HN49" s="74"/>
      <c r="HO49" s="74"/>
      <c r="HP49" s="74"/>
      <c r="HQ49" s="74"/>
    </row>
    <row r="50" spans="2:225" s="73" customFormat="1" ht="15">
      <c r="B50" s="178" t="s">
        <v>1396</v>
      </c>
      <c r="C50" s="178"/>
      <c r="D50" s="86">
        <f>D42+D49+D33+D34</f>
        <v>37865</v>
      </c>
      <c r="E50" s="86" t="e">
        <f>E42+E49+E33+E34</f>
        <v>#VALUE!</v>
      </c>
      <c r="F50" s="86">
        <f>F42+F49+F33+F34</f>
        <v>0</v>
      </c>
      <c r="G50" s="86" t="e">
        <f>G42+G49+G33+G34</f>
        <v>#REF!</v>
      </c>
      <c r="H50" s="86" t="e">
        <f>H42+H49+H33+H34</f>
        <v>#VALUE!</v>
      </c>
      <c r="S50" s="92">
        <v>9170</v>
      </c>
      <c r="T50" s="92" t="s">
        <v>1397</v>
      </c>
      <c r="FK50" s="74"/>
      <c r="FL50" s="74"/>
      <c r="FM50" s="74"/>
      <c r="FN50" s="74"/>
      <c r="FO50" s="74"/>
      <c r="FP50" s="74"/>
      <c r="FQ50" s="74"/>
      <c r="FR50" s="74"/>
      <c r="FS50" s="74"/>
      <c r="FT50" s="74"/>
      <c r="FU50" s="74"/>
      <c r="FV50" s="74"/>
      <c r="FW50" s="74"/>
      <c r="FX50" s="74"/>
      <c r="FY50" s="74"/>
      <c r="FZ50" s="74"/>
      <c r="GA50" s="74"/>
      <c r="GB50" s="74"/>
      <c r="GC50" s="74"/>
      <c r="GD50" s="74"/>
      <c r="GE50" s="74"/>
      <c r="GF50" s="74"/>
      <c r="GG50" s="74"/>
      <c r="GH50" s="74"/>
      <c r="GI50" s="74"/>
      <c r="GJ50" s="74"/>
      <c r="GK50" s="74"/>
      <c r="GL50" s="74"/>
      <c r="GM50" s="74"/>
      <c r="GN50" s="74"/>
      <c r="GO50" s="74"/>
      <c r="GP50" s="74"/>
      <c r="GQ50" s="74"/>
      <c r="GR50" s="74"/>
      <c r="GS50" s="74"/>
      <c r="GT50" s="74"/>
      <c r="GU50" s="74"/>
      <c r="GV50" s="74"/>
      <c r="GW50" s="74"/>
      <c r="GX50" s="74"/>
      <c r="GY50" s="74"/>
      <c r="GZ50" s="74"/>
      <c r="HA50" s="74"/>
      <c r="HB50" s="74"/>
      <c r="HC50" s="74"/>
      <c r="HD50" s="74"/>
      <c r="HE50" s="74"/>
      <c r="HF50" s="74"/>
      <c r="HG50" s="74"/>
      <c r="HH50" s="74"/>
      <c r="HI50" s="74"/>
      <c r="HJ50" s="74"/>
      <c r="HK50" s="74"/>
      <c r="HL50" s="74"/>
      <c r="HM50" s="74"/>
      <c r="HN50" s="74"/>
      <c r="HO50" s="74"/>
      <c r="HP50" s="74"/>
      <c r="HQ50" s="74"/>
    </row>
    <row r="51" spans="2:225" s="73" customFormat="1">
      <c r="S51" s="88">
        <v>9231</v>
      </c>
      <c r="T51" s="92" t="s">
        <v>1398</v>
      </c>
      <c r="FL51" s="74"/>
      <c r="FM51" s="74"/>
      <c r="FN51" s="74"/>
      <c r="FO51" s="74"/>
      <c r="FP51" s="74"/>
      <c r="FQ51" s="74"/>
      <c r="FR51" s="74"/>
      <c r="FS51" s="74"/>
      <c r="FT51" s="74"/>
      <c r="FU51" s="74"/>
      <c r="FV51" s="74"/>
      <c r="FW51" s="74"/>
      <c r="FX51" s="74"/>
      <c r="FY51" s="74"/>
      <c r="FZ51" s="74"/>
      <c r="GA51" s="74"/>
      <c r="GB51" s="74"/>
      <c r="GC51" s="74"/>
      <c r="GD51" s="74"/>
      <c r="GE51" s="74"/>
      <c r="GF51" s="74"/>
      <c r="GG51" s="74"/>
      <c r="GH51" s="74"/>
      <c r="GI51" s="74"/>
      <c r="GJ51" s="74"/>
      <c r="GK51" s="74"/>
      <c r="GL51" s="74"/>
      <c r="GM51" s="74"/>
      <c r="GN51" s="74"/>
      <c r="GO51" s="74"/>
      <c r="GP51" s="74"/>
      <c r="GQ51" s="74"/>
      <c r="GR51" s="74"/>
      <c r="GS51" s="74"/>
      <c r="GT51" s="74"/>
      <c r="GU51" s="74"/>
      <c r="GV51" s="74"/>
      <c r="GW51" s="74"/>
      <c r="GX51" s="74"/>
      <c r="GY51" s="74"/>
      <c r="GZ51" s="74"/>
      <c r="HA51" s="74"/>
      <c r="HB51" s="74"/>
      <c r="HC51" s="74"/>
      <c r="HD51" s="74"/>
      <c r="HE51" s="74"/>
      <c r="HF51" s="74"/>
      <c r="HG51" s="74"/>
      <c r="HH51" s="74"/>
      <c r="HI51" s="74"/>
      <c r="HJ51" s="74"/>
      <c r="HK51" s="74"/>
      <c r="HL51" s="74"/>
      <c r="HM51" s="74"/>
      <c r="HN51" s="74"/>
      <c r="HO51" s="74"/>
      <c r="HP51" s="74"/>
      <c r="HQ51" s="74"/>
    </row>
    <row r="52" spans="2:225" s="73" customFormat="1" ht="15">
      <c r="B52" s="179" t="s">
        <v>1399</v>
      </c>
      <c r="C52" s="179"/>
      <c r="D52" s="179"/>
      <c r="E52" s="179"/>
      <c r="F52" s="179"/>
      <c r="G52" s="179"/>
      <c r="H52" s="179"/>
      <c r="I52" s="179"/>
      <c r="J52" s="179"/>
      <c r="S52" s="88">
        <v>9680</v>
      </c>
      <c r="T52" s="92" t="s">
        <v>1400</v>
      </c>
      <c r="FK52" s="74"/>
      <c r="FL52" s="74"/>
      <c r="FM52" s="74"/>
      <c r="FN52" s="74"/>
      <c r="FO52" s="74"/>
      <c r="FP52" s="74"/>
      <c r="FQ52" s="74"/>
      <c r="FR52" s="74"/>
      <c r="FS52" s="74"/>
      <c r="FT52" s="74"/>
      <c r="FU52" s="74"/>
      <c r="FV52" s="74"/>
      <c r="FW52" s="74"/>
      <c r="FX52" s="74"/>
      <c r="FY52" s="74"/>
      <c r="FZ52" s="74"/>
      <c r="GA52" s="74"/>
      <c r="GB52" s="74"/>
      <c r="GC52" s="74"/>
      <c r="GD52" s="74"/>
      <c r="GE52" s="74"/>
      <c r="GF52" s="74"/>
      <c r="GG52" s="74"/>
      <c r="GH52" s="74"/>
      <c r="GI52" s="74"/>
      <c r="GJ52" s="74"/>
      <c r="GK52" s="74"/>
      <c r="GL52" s="74"/>
      <c r="GM52" s="74"/>
      <c r="GN52" s="74"/>
      <c r="GO52" s="74"/>
      <c r="GP52" s="74"/>
      <c r="GQ52" s="74"/>
      <c r="GR52" s="74"/>
      <c r="GS52" s="74"/>
      <c r="GT52" s="74"/>
      <c r="GU52" s="74"/>
      <c r="GV52" s="74"/>
      <c r="GW52" s="74"/>
      <c r="GX52" s="74"/>
      <c r="GY52" s="74"/>
      <c r="GZ52" s="74"/>
      <c r="HA52" s="74"/>
      <c r="HB52" s="74"/>
      <c r="HC52" s="74"/>
      <c r="HD52" s="74"/>
      <c r="HE52" s="74"/>
      <c r="HF52" s="74"/>
      <c r="HG52" s="74"/>
      <c r="HH52" s="74"/>
      <c r="HI52" s="74"/>
      <c r="HJ52" s="74"/>
      <c r="HK52" s="74"/>
      <c r="HL52" s="74"/>
      <c r="HM52" s="74"/>
      <c r="HN52" s="74"/>
      <c r="HO52" s="74"/>
      <c r="HP52" s="74"/>
      <c r="HQ52" s="74"/>
    </row>
    <row r="53" spans="2:225" s="73" customFormat="1">
      <c r="B53" s="180" t="s">
        <v>0</v>
      </c>
      <c r="C53" s="180">
        <v>9160</v>
      </c>
      <c r="D53" s="180"/>
      <c r="E53" s="180"/>
      <c r="F53" s="180">
        <v>9170</v>
      </c>
      <c r="G53" s="180">
        <v>9231</v>
      </c>
      <c r="H53" s="180">
        <v>9680</v>
      </c>
      <c r="I53" s="191" t="s">
        <v>1401</v>
      </c>
      <c r="J53" s="180" t="s">
        <v>1376</v>
      </c>
      <c r="S53" s="88" t="s">
        <v>1402</v>
      </c>
      <c r="T53" s="92" t="s">
        <v>1403</v>
      </c>
      <c r="FL53" s="74"/>
      <c r="FM53" s="74"/>
      <c r="FN53" s="74"/>
      <c r="FO53" s="74"/>
      <c r="FP53" s="74"/>
      <c r="FQ53" s="74"/>
      <c r="FR53" s="74"/>
      <c r="FS53" s="74"/>
      <c r="FT53" s="74"/>
      <c r="FU53" s="74"/>
      <c r="FV53" s="74"/>
      <c r="FW53" s="74"/>
      <c r="FX53" s="74"/>
      <c r="FY53" s="74"/>
      <c r="FZ53" s="74"/>
      <c r="GA53" s="74"/>
      <c r="GB53" s="74"/>
      <c r="GC53" s="74"/>
      <c r="GD53" s="74"/>
      <c r="GE53" s="74"/>
      <c r="GF53" s="74"/>
      <c r="GG53" s="74"/>
      <c r="GH53" s="74"/>
      <c r="GI53" s="74"/>
      <c r="GJ53" s="74"/>
      <c r="GK53" s="74"/>
      <c r="GL53" s="74"/>
      <c r="GM53" s="74"/>
      <c r="GN53" s="74"/>
      <c r="GO53" s="74"/>
      <c r="GP53" s="74"/>
      <c r="GQ53" s="74"/>
      <c r="GR53" s="74"/>
      <c r="GS53" s="74"/>
      <c r="GT53" s="74"/>
      <c r="GU53" s="74"/>
      <c r="GV53" s="74"/>
      <c r="GW53" s="74"/>
      <c r="GX53" s="74"/>
      <c r="GY53" s="74"/>
      <c r="GZ53" s="74"/>
      <c r="HA53" s="74"/>
      <c r="HB53" s="74"/>
      <c r="HC53" s="74"/>
      <c r="HD53" s="74"/>
      <c r="HE53" s="74"/>
      <c r="HF53" s="74"/>
      <c r="HG53" s="74"/>
      <c r="HH53" s="74"/>
      <c r="HI53" s="74"/>
      <c r="HJ53" s="74"/>
      <c r="HK53" s="74"/>
      <c r="HL53" s="74"/>
      <c r="HM53" s="74"/>
      <c r="HN53" s="74"/>
      <c r="HO53" s="74"/>
      <c r="HP53" s="74"/>
      <c r="HQ53" s="74"/>
    </row>
    <row r="54" spans="2:225" s="73" customFormat="1">
      <c r="B54" s="180"/>
      <c r="C54" s="87" t="s">
        <v>1376</v>
      </c>
      <c r="D54" s="87" t="s">
        <v>1404</v>
      </c>
      <c r="E54" s="87" t="s">
        <v>1384</v>
      </c>
      <c r="F54" s="180"/>
      <c r="G54" s="180"/>
      <c r="H54" s="180"/>
      <c r="I54" s="192"/>
      <c r="J54" s="180"/>
      <c r="FL54" s="74"/>
      <c r="FM54" s="74"/>
      <c r="FN54" s="74"/>
      <c r="FO54" s="74"/>
      <c r="FP54" s="74"/>
      <c r="FQ54" s="74"/>
      <c r="FR54" s="74"/>
      <c r="FS54" s="74"/>
      <c r="FT54" s="74"/>
      <c r="FU54" s="74"/>
      <c r="FV54" s="74"/>
      <c r="FW54" s="74"/>
      <c r="FX54" s="74"/>
      <c r="FY54" s="74"/>
      <c r="FZ54" s="74"/>
      <c r="GA54" s="74"/>
      <c r="GB54" s="74"/>
      <c r="GC54" s="74"/>
      <c r="GD54" s="74"/>
      <c r="GE54" s="74"/>
      <c r="GF54" s="74"/>
      <c r="GG54" s="74"/>
      <c r="GH54" s="74"/>
      <c r="GI54" s="74"/>
      <c r="GJ54" s="74"/>
      <c r="GK54" s="74"/>
      <c r="GL54" s="74"/>
      <c r="GM54" s="74"/>
      <c r="GN54" s="74"/>
      <c r="GO54" s="74"/>
      <c r="GP54" s="74"/>
      <c r="GQ54" s="74"/>
      <c r="GR54" s="74"/>
      <c r="GS54" s="74"/>
      <c r="GT54" s="74"/>
      <c r="GU54" s="74"/>
      <c r="GV54" s="74"/>
      <c r="GW54" s="74"/>
      <c r="GX54" s="74"/>
      <c r="GY54" s="74"/>
      <c r="GZ54" s="74"/>
      <c r="HA54" s="74"/>
      <c r="HB54" s="74"/>
      <c r="HC54" s="74"/>
      <c r="HD54" s="74"/>
      <c r="HE54" s="74"/>
      <c r="HF54" s="74"/>
      <c r="HG54" s="74"/>
      <c r="HH54" s="74"/>
      <c r="HI54" s="74"/>
      <c r="HJ54" s="74"/>
      <c r="HK54" s="74"/>
      <c r="HL54" s="74"/>
      <c r="HM54" s="74"/>
      <c r="HN54" s="74"/>
      <c r="HO54" s="74"/>
      <c r="HP54" s="74"/>
      <c r="HQ54" s="74"/>
    </row>
    <row r="55" spans="2:225" s="73" customFormat="1">
      <c r="B55" s="88" t="s">
        <v>1381</v>
      </c>
      <c r="C55" s="88">
        <f t="shared" ref="C55:C67" si="10">SUM(D55:E55)</f>
        <v>0</v>
      </c>
      <c r="D55" s="88"/>
      <c r="E55" s="88"/>
      <c r="F55" s="88"/>
      <c r="G55" s="88"/>
      <c r="H55" s="88"/>
      <c r="I55" s="88"/>
      <c r="J55" s="97">
        <f t="shared" ref="J55:J66" si="11">SUM(D55:I55)</f>
        <v>0</v>
      </c>
      <c r="FL55" s="74"/>
      <c r="FM55" s="74"/>
      <c r="FN55" s="74"/>
      <c r="FO55" s="74"/>
      <c r="FP55" s="74"/>
      <c r="FQ55" s="74"/>
      <c r="FR55" s="74"/>
      <c r="FS55" s="74"/>
      <c r="FT55" s="74"/>
      <c r="FU55" s="74"/>
      <c r="FV55" s="74"/>
      <c r="FW55" s="74"/>
      <c r="FX55" s="74"/>
      <c r="FY55" s="74"/>
      <c r="FZ55" s="74"/>
      <c r="GA55" s="74"/>
      <c r="GB55" s="74"/>
      <c r="GC55" s="74"/>
      <c r="GD55" s="74"/>
      <c r="GE55" s="74"/>
      <c r="GF55" s="74"/>
      <c r="GG55" s="74"/>
      <c r="GH55" s="74"/>
      <c r="GI55" s="74"/>
      <c r="GJ55" s="74"/>
      <c r="GK55" s="74"/>
      <c r="GL55" s="74"/>
      <c r="GM55" s="74"/>
      <c r="GN55" s="74"/>
      <c r="GO55" s="74"/>
      <c r="GP55" s="74"/>
      <c r="GQ55" s="74"/>
      <c r="GR55" s="74"/>
      <c r="GS55" s="74"/>
      <c r="GT55" s="74"/>
      <c r="GU55" s="74"/>
      <c r="GV55" s="74"/>
      <c r="GW55" s="74"/>
      <c r="GX55" s="74"/>
      <c r="GY55" s="74"/>
      <c r="GZ55" s="74"/>
      <c r="HA55" s="74"/>
      <c r="HB55" s="74"/>
      <c r="HC55" s="74"/>
      <c r="HD55" s="74"/>
      <c r="HE55" s="74"/>
      <c r="HF55" s="74"/>
      <c r="HG55" s="74"/>
      <c r="HH55" s="74"/>
      <c r="HI55" s="74"/>
      <c r="HJ55" s="74"/>
      <c r="HK55" s="74"/>
      <c r="HL55" s="74"/>
      <c r="HM55" s="74"/>
      <c r="HN55" s="74"/>
      <c r="HO55" s="74"/>
      <c r="HP55" s="74"/>
      <c r="HQ55" s="74"/>
    </row>
    <row r="56" spans="2:225" s="73" customFormat="1">
      <c r="B56" s="88" t="s">
        <v>1405</v>
      </c>
      <c r="C56" s="88">
        <f t="shared" si="10"/>
        <v>0</v>
      </c>
      <c r="D56" s="88">
        <v>0</v>
      </c>
      <c r="E56" s="88">
        <v>0</v>
      </c>
      <c r="F56" s="88">
        <v>0</v>
      </c>
      <c r="G56" s="88">
        <v>0</v>
      </c>
      <c r="H56" s="88">
        <v>0</v>
      </c>
      <c r="I56" s="88">
        <v>0</v>
      </c>
      <c r="J56" s="97">
        <f t="shared" si="11"/>
        <v>0</v>
      </c>
      <c r="FL56" s="74"/>
      <c r="FM56" s="74"/>
      <c r="FN56" s="74"/>
      <c r="FO56" s="74"/>
      <c r="FP56" s="74"/>
      <c r="FQ56" s="74"/>
      <c r="FR56" s="74"/>
      <c r="FS56" s="74"/>
      <c r="FT56" s="74"/>
      <c r="FU56" s="74"/>
      <c r="FV56" s="74"/>
      <c r="FW56" s="74"/>
      <c r="FX56" s="74"/>
      <c r="FY56" s="74"/>
      <c r="FZ56" s="74"/>
      <c r="GA56" s="74"/>
      <c r="GB56" s="74"/>
      <c r="GC56" s="74"/>
      <c r="GD56" s="74"/>
      <c r="GE56" s="74"/>
      <c r="GF56" s="74"/>
      <c r="GG56" s="74"/>
      <c r="GH56" s="74"/>
      <c r="GI56" s="74"/>
      <c r="GJ56" s="74"/>
      <c r="GK56" s="74"/>
      <c r="GL56" s="74"/>
      <c r="GM56" s="74"/>
      <c r="GN56" s="74"/>
      <c r="GO56" s="74"/>
      <c r="GP56" s="74"/>
      <c r="GQ56" s="74"/>
      <c r="GR56" s="74"/>
      <c r="GS56" s="74"/>
      <c r="GT56" s="74"/>
      <c r="GU56" s="74"/>
      <c r="GV56" s="74"/>
      <c r="GW56" s="74"/>
      <c r="GX56" s="74"/>
      <c r="GY56" s="74"/>
      <c r="GZ56" s="74"/>
      <c r="HA56" s="74"/>
      <c r="HB56" s="74"/>
      <c r="HC56" s="74"/>
      <c r="HD56" s="74"/>
      <c r="HE56" s="74"/>
      <c r="HF56" s="74"/>
      <c r="HG56" s="74"/>
      <c r="HH56" s="74"/>
      <c r="HI56" s="74"/>
      <c r="HJ56" s="74"/>
      <c r="HK56" s="74"/>
      <c r="HL56" s="74"/>
      <c r="HM56" s="74"/>
      <c r="HN56" s="74"/>
      <c r="HO56" s="74"/>
      <c r="HP56" s="74"/>
      <c r="HQ56" s="74"/>
    </row>
    <row r="57" spans="2:225" s="73" customFormat="1">
      <c r="B57" s="89" t="s">
        <v>1406</v>
      </c>
      <c r="C57" s="90">
        <f t="shared" si="10"/>
        <v>0</v>
      </c>
      <c r="D57" s="89"/>
      <c r="E57" s="89"/>
      <c r="F57" s="89"/>
      <c r="G57" s="89"/>
      <c r="H57" s="89"/>
      <c r="I57" s="89"/>
      <c r="J57" s="97">
        <f t="shared" si="11"/>
        <v>0</v>
      </c>
      <c r="FL57" s="74"/>
      <c r="FM57" s="74"/>
      <c r="FN57" s="74"/>
      <c r="FO57" s="74"/>
      <c r="FP57" s="74"/>
      <c r="FQ57" s="74"/>
      <c r="FR57" s="74"/>
      <c r="FS57" s="74"/>
      <c r="FT57" s="74"/>
      <c r="FU57" s="74"/>
      <c r="FV57" s="74"/>
      <c r="FW57" s="74"/>
      <c r="FX57" s="74"/>
      <c r="FY57" s="74"/>
      <c r="FZ57" s="74"/>
      <c r="GA57" s="74"/>
      <c r="GB57" s="74"/>
      <c r="GC57" s="74"/>
      <c r="GD57" s="74"/>
      <c r="GE57" s="74"/>
      <c r="GF57" s="74"/>
      <c r="GG57" s="74"/>
      <c r="GH57" s="74"/>
      <c r="GI57" s="74"/>
      <c r="GJ57" s="74"/>
      <c r="GK57" s="74"/>
      <c r="GL57" s="74"/>
      <c r="GM57" s="74"/>
      <c r="GN57" s="74"/>
      <c r="GO57" s="74"/>
      <c r="GP57" s="74"/>
      <c r="GQ57" s="74"/>
      <c r="GR57" s="74"/>
      <c r="GS57" s="74"/>
      <c r="GT57" s="74"/>
      <c r="GU57" s="74"/>
      <c r="GV57" s="74"/>
      <c r="GW57" s="74"/>
      <c r="GX57" s="74"/>
      <c r="GY57" s="74"/>
      <c r="GZ57" s="74"/>
      <c r="HA57" s="74"/>
      <c r="HB57" s="74"/>
      <c r="HC57" s="74"/>
      <c r="HD57" s="74"/>
      <c r="HE57" s="74"/>
      <c r="HF57" s="74"/>
      <c r="HG57" s="74"/>
      <c r="HH57" s="74"/>
      <c r="HI57" s="74"/>
      <c r="HJ57" s="74"/>
      <c r="HK57" s="74"/>
      <c r="HL57" s="74"/>
      <c r="HM57" s="74"/>
      <c r="HN57" s="74"/>
      <c r="HO57" s="74"/>
      <c r="HP57" s="74"/>
      <c r="HQ57" s="74"/>
    </row>
    <row r="58" spans="2:225" s="73" customFormat="1">
      <c r="B58" s="91" t="s">
        <v>1407</v>
      </c>
      <c r="C58" s="91">
        <f t="shared" si="10"/>
        <v>0</v>
      </c>
      <c r="D58" s="91"/>
      <c r="E58" s="91"/>
      <c r="F58" s="91"/>
      <c r="G58" s="91"/>
      <c r="H58" s="91"/>
      <c r="I58" s="91"/>
      <c r="J58" s="97">
        <f t="shared" si="11"/>
        <v>0</v>
      </c>
      <c r="FL58" s="74"/>
      <c r="FM58" s="74"/>
      <c r="FN58" s="74"/>
      <c r="FO58" s="74"/>
      <c r="FP58" s="74"/>
      <c r="FQ58" s="74"/>
      <c r="FR58" s="74"/>
      <c r="FS58" s="74"/>
      <c r="FT58" s="74"/>
      <c r="FU58" s="74"/>
      <c r="FV58" s="74"/>
      <c r="FW58" s="74"/>
      <c r="FX58" s="74"/>
      <c r="FY58" s="74"/>
      <c r="FZ58" s="74"/>
      <c r="GA58" s="74"/>
      <c r="GB58" s="74"/>
      <c r="GC58" s="74"/>
      <c r="GD58" s="74"/>
      <c r="GE58" s="74"/>
      <c r="GF58" s="74"/>
      <c r="GG58" s="74"/>
      <c r="GH58" s="74"/>
      <c r="GI58" s="74"/>
      <c r="GJ58" s="74"/>
      <c r="GK58" s="74"/>
      <c r="GL58" s="74"/>
      <c r="GM58" s="74"/>
      <c r="GN58" s="74"/>
      <c r="GO58" s="74"/>
      <c r="GP58" s="74"/>
      <c r="GQ58" s="74"/>
      <c r="GR58" s="74"/>
      <c r="GS58" s="74"/>
      <c r="GT58" s="74"/>
      <c r="GU58" s="74"/>
      <c r="GV58" s="74"/>
      <c r="GW58" s="74"/>
      <c r="GX58" s="74"/>
      <c r="GY58" s="74"/>
      <c r="GZ58" s="74"/>
      <c r="HA58" s="74"/>
      <c r="HB58" s="74"/>
      <c r="HC58" s="74"/>
      <c r="HD58" s="74"/>
      <c r="HE58" s="74"/>
      <c r="HF58" s="74"/>
      <c r="HG58" s="74"/>
      <c r="HH58" s="74"/>
      <c r="HI58" s="74"/>
      <c r="HJ58" s="74"/>
      <c r="HK58" s="74"/>
      <c r="HL58" s="74"/>
      <c r="HM58" s="74"/>
      <c r="HN58" s="74"/>
      <c r="HO58" s="74"/>
      <c r="HP58" s="74"/>
      <c r="HQ58" s="74"/>
    </row>
    <row r="59" spans="2:225" s="73" customFormat="1">
      <c r="B59" s="88" t="s">
        <v>13</v>
      </c>
      <c r="C59" s="88">
        <f t="shared" si="10"/>
        <v>0</v>
      </c>
      <c r="D59" s="88">
        <f t="shared" ref="D59:I59" si="12">D55+D60-D57</f>
        <v>0</v>
      </c>
      <c r="E59" s="88">
        <f t="shared" si="12"/>
        <v>0</v>
      </c>
      <c r="F59" s="88">
        <f t="shared" si="12"/>
        <v>0</v>
      </c>
      <c r="G59" s="88">
        <f t="shared" si="12"/>
        <v>0</v>
      </c>
      <c r="H59" s="88">
        <f t="shared" si="12"/>
        <v>0</v>
      </c>
      <c r="I59" s="88">
        <f t="shared" si="12"/>
        <v>0</v>
      </c>
      <c r="J59" s="97">
        <f t="shared" si="11"/>
        <v>0</v>
      </c>
      <c r="FL59" s="74"/>
      <c r="FM59" s="74"/>
      <c r="FN59" s="74"/>
      <c r="FO59" s="74"/>
      <c r="FP59" s="74"/>
      <c r="FQ59" s="74"/>
      <c r="FR59" s="74"/>
      <c r="FS59" s="74"/>
      <c r="FT59" s="74"/>
      <c r="FU59" s="74"/>
      <c r="FV59" s="74"/>
      <c r="FW59" s="74"/>
      <c r="FX59" s="74"/>
      <c r="FY59" s="74"/>
      <c r="FZ59" s="74"/>
      <c r="GA59" s="74"/>
      <c r="GB59" s="74"/>
      <c r="GC59" s="74"/>
      <c r="GD59" s="74"/>
      <c r="GE59" s="74"/>
      <c r="GF59" s="74"/>
      <c r="GG59" s="74"/>
      <c r="GH59" s="74"/>
      <c r="GI59" s="74"/>
      <c r="GJ59" s="74"/>
      <c r="GK59" s="74"/>
      <c r="GL59" s="74"/>
      <c r="GM59" s="74"/>
      <c r="GN59" s="74"/>
      <c r="GO59" s="74"/>
      <c r="GP59" s="74"/>
      <c r="GQ59" s="74"/>
      <c r="GR59" s="74"/>
      <c r="GS59" s="74"/>
      <c r="GT59" s="74"/>
      <c r="GU59" s="74"/>
      <c r="GV59" s="74"/>
      <c r="GW59" s="74"/>
      <c r="GX59" s="74"/>
      <c r="GY59" s="74"/>
      <c r="GZ59" s="74"/>
      <c r="HA59" s="74"/>
      <c r="HB59" s="74"/>
      <c r="HC59" s="74"/>
      <c r="HD59" s="74"/>
      <c r="HE59" s="74"/>
      <c r="HF59" s="74"/>
      <c r="HG59" s="74"/>
      <c r="HH59" s="74"/>
      <c r="HI59" s="74"/>
      <c r="HJ59" s="74"/>
      <c r="HK59" s="74"/>
      <c r="HL59" s="74"/>
      <c r="HM59" s="74"/>
      <c r="HN59" s="74"/>
      <c r="HO59" s="74"/>
      <c r="HP59" s="74"/>
      <c r="HQ59" s="74"/>
    </row>
    <row r="60" spans="2:225" s="73" customFormat="1">
      <c r="B60" s="88" t="s">
        <v>1408</v>
      </c>
      <c r="C60" s="88">
        <f t="shared" si="10"/>
        <v>0</v>
      </c>
      <c r="D60" s="88"/>
      <c r="E60" s="88"/>
      <c r="F60" s="88"/>
      <c r="G60" s="88"/>
      <c r="H60" s="88"/>
      <c r="I60" s="88"/>
      <c r="J60" s="97">
        <f t="shared" si="11"/>
        <v>0</v>
      </c>
      <c r="FL60" s="74"/>
      <c r="FM60" s="74"/>
      <c r="FN60" s="74"/>
      <c r="FO60" s="74"/>
      <c r="FP60" s="74"/>
      <c r="FQ60" s="74"/>
      <c r="FR60" s="74"/>
      <c r="FS60" s="74"/>
      <c r="FT60" s="74"/>
      <c r="FU60" s="74"/>
      <c r="FV60" s="74"/>
      <c r="FW60" s="74"/>
      <c r="FX60" s="74"/>
      <c r="FY60" s="74"/>
      <c r="FZ60" s="74"/>
      <c r="GA60" s="74"/>
      <c r="GB60" s="74"/>
      <c r="GC60" s="74"/>
      <c r="GD60" s="74"/>
      <c r="GE60" s="74"/>
      <c r="GF60" s="74"/>
      <c r="GG60" s="74"/>
      <c r="GH60" s="74"/>
      <c r="GI60" s="74"/>
      <c r="GJ60" s="74"/>
      <c r="GK60" s="74"/>
      <c r="GL60" s="74"/>
      <c r="GM60" s="74"/>
      <c r="GN60" s="74"/>
      <c r="GO60" s="74"/>
      <c r="GP60" s="74"/>
      <c r="GQ60" s="74"/>
      <c r="GR60" s="74"/>
      <c r="GS60" s="74"/>
      <c r="GT60" s="74"/>
      <c r="GU60" s="74"/>
      <c r="GV60" s="74"/>
      <c r="GW60" s="74"/>
      <c r="GX60" s="74"/>
      <c r="GY60" s="74"/>
      <c r="GZ60" s="74"/>
      <c r="HA60" s="74"/>
      <c r="HB60" s="74"/>
      <c r="HC60" s="74"/>
      <c r="HD60" s="74"/>
      <c r="HE60" s="74"/>
      <c r="HF60" s="74"/>
      <c r="HG60" s="74"/>
      <c r="HH60" s="74"/>
      <c r="HI60" s="74"/>
      <c r="HJ60" s="74"/>
      <c r="HK60" s="74"/>
      <c r="HL60" s="74"/>
      <c r="HM60" s="74"/>
      <c r="HN60" s="74"/>
      <c r="HO60" s="74"/>
      <c r="HP60" s="74"/>
      <c r="HQ60" s="74"/>
    </row>
    <row r="61" spans="2:225" s="73" customFormat="1">
      <c r="B61" s="88" t="s">
        <v>9</v>
      </c>
      <c r="C61" s="88">
        <f t="shared" si="10"/>
        <v>0</v>
      </c>
      <c r="D61" s="88"/>
      <c r="E61" s="88"/>
      <c r="F61" s="88"/>
      <c r="G61" s="88"/>
      <c r="H61" s="88"/>
      <c r="I61" s="88"/>
      <c r="J61" s="97">
        <f t="shared" si="11"/>
        <v>0</v>
      </c>
      <c r="FL61" s="74"/>
      <c r="FM61" s="74"/>
      <c r="FN61" s="74"/>
      <c r="FO61" s="74"/>
      <c r="FP61" s="74"/>
      <c r="FQ61" s="74"/>
      <c r="FR61" s="74"/>
      <c r="FS61" s="74"/>
      <c r="FT61" s="74"/>
      <c r="FU61" s="74"/>
      <c r="FV61" s="74"/>
      <c r="FW61" s="74"/>
      <c r="FX61" s="74"/>
      <c r="FY61" s="74"/>
      <c r="FZ61" s="74"/>
      <c r="GA61" s="74"/>
      <c r="GB61" s="74"/>
      <c r="GC61" s="74"/>
      <c r="GD61" s="74"/>
      <c r="GE61" s="74"/>
      <c r="GF61" s="74"/>
      <c r="GG61" s="74"/>
      <c r="GH61" s="74"/>
      <c r="GI61" s="74"/>
      <c r="GJ61" s="74"/>
      <c r="GK61" s="74"/>
      <c r="GL61" s="74"/>
      <c r="GM61" s="74"/>
      <c r="GN61" s="74"/>
      <c r="GO61" s="74"/>
      <c r="GP61" s="74"/>
      <c r="GQ61" s="74"/>
      <c r="GR61" s="74"/>
      <c r="GS61" s="74"/>
      <c r="GT61" s="74"/>
      <c r="GU61" s="74"/>
      <c r="GV61" s="74"/>
      <c r="GW61" s="74"/>
      <c r="GX61" s="74"/>
      <c r="GY61" s="74"/>
      <c r="GZ61" s="74"/>
      <c r="HA61" s="74"/>
      <c r="HB61" s="74"/>
      <c r="HC61" s="74"/>
      <c r="HD61" s="74"/>
      <c r="HE61" s="74"/>
      <c r="HF61" s="74"/>
      <c r="HG61" s="74"/>
      <c r="HH61" s="74"/>
      <c r="HI61" s="74"/>
      <c r="HJ61" s="74"/>
      <c r="HK61" s="74"/>
      <c r="HL61" s="74"/>
      <c r="HM61" s="74"/>
      <c r="HN61" s="74"/>
      <c r="HO61" s="74"/>
      <c r="HP61" s="74"/>
      <c r="HQ61" s="74"/>
    </row>
    <row r="62" spans="2:225" s="73" customFormat="1">
      <c r="B62" s="88" t="s">
        <v>1409</v>
      </c>
      <c r="C62" s="88">
        <f t="shared" si="10"/>
        <v>0</v>
      </c>
      <c r="D62" s="88">
        <f t="shared" ref="D62:I62" si="13">D61-D57</f>
        <v>0</v>
      </c>
      <c r="E62" s="88">
        <f t="shared" si="13"/>
        <v>0</v>
      </c>
      <c r="F62" s="88">
        <f t="shared" si="13"/>
        <v>0</v>
      </c>
      <c r="G62" s="88">
        <f t="shared" si="13"/>
        <v>0</v>
      </c>
      <c r="H62" s="88">
        <f t="shared" si="13"/>
        <v>0</v>
      </c>
      <c r="I62" s="88">
        <f t="shared" si="13"/>
        <v>0</v>
      </c>
      <c r="J62" s="97">
        <f t="shared" si="11"/>
        <v>0</v>
      </c>
      <c r="FL62" s="74"/>
      <c r="FM62" s="74"/>
      <c r="FN62" s="74"/>
      <c r="FO62" s="74"/>
      <c r="FP62" s="74"/>
      <c r="FQ62" s="74"/>
      <c r="FR62" s="74"/>
      <c r="FS62" s="74"/>
      <c r="FT62" s="74"/>
      <c r="FU62" s="74"/>
      <c r="FV62" s="74"/>
      <c r="FW62" s="74"/>
      <c r="FX62" s="74"/>
      <c r="FY62" s="74"/>
      <c r="FZ62" s="74"/>
      <c r="GA62" s="74"/>
      <c r="GB62" s="74"/>
      <c r="GC62" s="74"/>
      <c r="GD62" s="74"/>
      <c r="GE62" s="74"/>
      <c r="GF62" s="74"/>
      <c r="GG62" s="74"/>
      <c r="GH62" s="74"/>
      <c r="GI62" s="74"/>
      <c r="GJ62" s="74"/>
      <c r="GK62" s="74"/>
      <c r="GL62" s="74"/>
      <c r="GM62" s="74"/>
      <c r="GN62" s="74"/>
      <c r="GO62" s="74"/>
      <c r="GP62" s="74"/>
      <c r="GQ62" s="74"/>
      <c r="GR62" s="74"/>
      <c r="GS62" s="74"/>
      <c r="GT62" s="74"/>
      <c r="GU62" s="74"/>
      <c r="GV62" s="74"/>
      <c r="GW62" s="74"/>
      <c r="GX62" s="74"/>
      <c r="GY62" s="74"/>
      <c r="GZ62" s="74"/>
      <c r="HA62" s="74"/>
      <c r="HB62" s="74"/>
      <c r="HC62" s="74"/>
      <c r="HD62" s="74"/>
      <c r="HE62" s="74"/>
      <c r="HF62" s="74"/>
      <c r="HG62" s="74"/>
      <c r="HH62" s="74"/>
      <c r="HI62" s="74"/>
      <c r="HJ62" s="74"/>
      <c r="HK62" s="74"/>
      <c r="HL62" s="74"/>
      <c r="HM62" s="74"/>
      <c r="HN62" s="74"/>
      <c r="HO62" s="74"/>
      <c r="HP62" s="74"/>
      <c r="HQ62" s="74"/>
    </row>
    <row r="63" spans="2:225" s="73" customFormat="1">
      <c r="B63" s="88" t="s">
        <v>1410</v>
      </c>
      <c r="C63" s="88">
        <f t="shared" si="10"/>
        <v>0</v>
      </c>
      <c r="D63" s="88">
        <f t="shared" ref="D63:I63" si="14">D55-D57+D60</f>
        <v>0</v>
      </c>
      <c r="E63" s="88">
        <f t="shared" si="14"/>
        <v>0</v>
      </c>
      <c r="F63" s="88">
        <f t="shared" si="14"/>
        <v>0</v>
      </c>
      <c r="G63" s="88">
        <f t="shared" si="14"/>
        <v>0</v>
      </c>
      <c r="H63" s="88">
        <f t="shared" si="14"/>
        <v>0</v>
      </c>
      <c r="I63" s="88">
        <f t="shared" si="14"/>
        <v>0</v>
      </c>
      <c r="J63" s="97">
        <f t="shared" si="11"/>
        <v>0</v>
      </c>
      <c r="FL63" s="74"/>
      <c r="FM63" s="74"/>
      <c r="FN63" s="74"/>
      <c r="FO63" s="74"/>
      <c r="FP63" s="74"/>
      <c r="FQ63" s="74"/>
      <c r="FR63" s="74"/>
      <c r="FS63" s="74"/>
      <c r="FT63" s="74"/>
      <c r="FU63" s="74"/>
      <c r="FV63" s="74"/>
      <c r="FW63" s="74"/>
      <c r="FX63" s="74"/>
      <c r="FY63" s="74"/>
      <c r="FZ63" s="74"/>
      <c r="GA63" s="74"/>
      <c r="GB63" s="74"/>
      <c r="GC63" s="74"/>
      <c r="GD63" s="74"/>
      <c r="GE63" s="74"/>
      <c r="GF63" s="74"/>
      <c r="GG63" s="74"/>
      <c r="GH63" s="74"/>
      <c r="GI63" s="74"/>
      <c r="GJ63" s="74"/>
      <c r="GK63" s="74"/>
      <c r="GL63" s="74"/>
      <c r="GM63" s="74"/>
      <c r="GN63" s="74"/>
      <c r="GO63" s="74"/>
      <c r="GP63" s="74"/>
      <c r="GQ63" s="74"/>
      <c r="GR63" s="74"/>
      <c r="GS63" s="74"/>
      <c r="GT63" s="74"/>
      <c r="GU63" s="74"/>
      <c r="GV63" s="74"/>
      <c r="GW63" s="74"/>
      <c r="GX63" s="74"/>
      <c r="GY63" s="74"/>
      <c r="GZ63" s="74"/>
      <c r="HA63" s="74"/>
      <c r="HB63" s="74"/>
      <c r="HC63" s="74"/>
      <c r="HD63" s="74"/>
      <c r="HE63" s="74"/>
      <c r="HF63" s="74"/>
      <c r="HG63" s="74"/>
      <c r="HH63" s="74"/>
      <c r="HI63" s="74"/>
      <c r="HJ63" s="74"/>
      <c r="HK63" s="74"/>
      <c r="HL63" s="74"/>
      <c r="HM63" s="74"/>
      <c r="HN63" s="74"/>
      <c r="HO63" s="74"/>
      <c r="HP63" s="74"/>
      <c r="HQ63" s="74"/>
    </row>
    <row r="64" spans="2:225" s="73" customFormat="1">
      <c r="B64" s="88" t="s">
        <v>1411</v>
      </c>
      <c r="C64" s="88">
        <f t="shared" si="10"/>
        <v>76617</v>
      </c>
      <c r="D64" s="88">
        <v>6718</v>
      </c>
      <c r="E64" s="88">
        <v>69899</v>
      </c>
      <c r="F64" s="88">
        <v>77243</v>
      </c>
      <c r="G64" s="88">
        <v>43441</v>
      </c>
      <c r="H64" s="88">
        <v>108247</v>
      </c>
      <c r="I64" s="88">
        <v>72327</v>
      </c>
      <c r="J64" s="97">
        <f t="shared" si="11"/>
        <v>377875</v>
      </c>
      <c r="FL64" s="74"/>
      <c r="FM64" s="74"/>
      <c r="FN64" s="74"/>
      <c r="FO64" s="74"/>
      <c r="FP64" s="74"/>
      <c r="FQ64" s="74"/>
      <c r="FR64" s="74"/>
      <c r="FS64" s="74"/>
      <c r="FT64" s="74"/>
      <c r="FU64" s="74"/>
      <c r="FV64" s="74"/>
      <c r="FW64" s="74"/>
      <c r="FX64" s="74"/>
      <c r="FY64" s="74"/>
      <c r="FZ64" s="74"/>
      <c r="GA64" s="74"/>
      <c r="GB64" s="74"/>
      <c r="GC64" s="74"/>
      <c r="GD64" s="74"/>
      <c r="GE64" s="74"/>
      <c r="GF64" s="74"/>
      <c r="GG64" s="74"/>
      <c r="GH64" s="74"/>
      <c r="GI64" s="74"/>
      <c r="GJ64" s="74"/>
      <c r="GK64" s="74"/>
      <c r="GL64" s="74"/>
      <c r="GM64" s="74"/>
      <c r="GN64" s="74"/>
      <c r="GO64" s="74"/>
      <c r="GP64" s="74"/>
      <c r="GQ64" s="74"/>
      <c r="GR64" s="74"/>
      <c r="GS64" s="74"/>
      <c r="GT64" s="74"/>
      <c r="GU64" s="74"/>
      <c r="GV64" s="74"/>
      <c r="GW64" s="74"/>
      <c r="GX64" s="74"/>
      <c r="GY64" s="74"/>
      <c r="GZ64" s="74"/>
      <c r="HA64" s="74"/>
      <c r="HB64" s="74"/>
      <c r="HC64" s="74"/>
      <c r="HD64" s="74"/>
      <c r="HE64" s="74"/>
      <c r="HF64" s="74"/>
      <c r="HG64" s="74"/>
      <c r="HH64" s="74"/>
      <c r="HI64" s="74"/>
      <c r="HJ64" s="74"/>
      <c r="HK64" s="74"/>
      <c r="HL64" s="74"/>
      <c r="HM64" s="74"/>
      <c r="HN64" s="74"/>
      <c r="HO64" s="74"/>
      <c r="HP64" s="74"/>
      <c r="HQ64" s="74"/>
    </row>
    <row r="65" spans="2:225" s="73" customFormat="1">
      <c r="B65" s="88" t="s">
        <v>1412</v>
      </c>
      <c r="C65" s="88">
        <f t="shared" si="10"/>
        <v>0</v>
      </c>
      <c r="D65" s="88">
        <f t="shared" ref="D65:I65" si="15">D62+D60</f>
        <v>0</v>
      </c>
      <c r="E65" s="88">
        <f t="shared" si="15"/>
        <v>0</v>
      </c>
      <c r="F65" s="88">
        <f t="shared" si="15"/>
        <v>0</v>
      </c>
      <c r="G65" s="88">
        <f t="shared" si="15"/>
        <v>0</v>
      </c>
      <c r="H65" s="88">
        <f t="shared" si="15"/>
        <v>0</v>
      </c>
      <c r="I65" s="88">
        <f t="shared" si="15"/>
        <v>0</v>
      </c>
      <c r="J65" s="97">
        <f t="shared" si="11"/>
        <v>0</v>
      </c>
      <c r="FL65" s="74"/>
      <c r="FM65" s="74"/>
      <c r="FN65" s="74"/>
      <c r="FO65" s="74"/>
      <c r="FP65" s="74"/>
      <c r="FQ65" s="74"/>
      <c r="FR65" s="74"/>
      <c r="FS65" s="74"/>
      <c r="FT65" s="74"/>
      <c r="FU65" s="74"/>
      <c r="FV65" s="74"/>
      <c r="FW65" s="74"/>
      <c r="FX65" s="74"/>
      <c r="FY65" s="74"/>
      <c r="FZ65" s="74"/>
      <c r="GA65" s="74"/>
      <c r="GB65" s="74"/>
      <c r="GC65" s="74"/>
      <c r="GD65" s="74"/>
      <c r="GE65" s="74"/>
      <c r="GF65" s="74"/>
      <c r="GG65" s="74"/>
      <c r="GH65" s="74"/>
      <c r="GI65" s="74"/>
      <c r="GJ65" s="74"/>
      <c r="GK65" s="74"/>
      <c r="GL65" s="74"/>
      <c r="GM65" s="74"/>
      <c r="GN65" s="74"/>
      <c r="GO65" s="74"/>
      <c r="GP65" s="74"/>
      <c r="GQ65" s="74"/>
      <c r="GR65" s="74"/>
      <c r="GS65" s="74"/>
      <c r="GT65" s="74"/>
      <c r="GU65" s="74"/>
      <c r="GV65" s="74"/>
      <c r="GW65" s="74"/>
      <c r="GX65" s="74"/>
      <c r="GY65" s="74"/>
      <c r="GZ65" s="74"/>
      <c r="HA65" s="74"/>
      <c r="HB65" s="74"/>
      <c r="HC65" s="74"/>
      <c r="HD65" s="74"/>
      <c r="HE65" s="74"/>
      <c r="HF65" s="74"/>
      <c r="HG65" s="74"/>
      <c r="HH65" s="74"/>
      <c r="HI65" s="74"/>
      <c r="HJ65" s="74"/>
      <c r="HK65" s="74"/>
      <c r="HL65" s="74"/>
      <c r="HM65" s="74"/>
      <c r="HN65" s="74"/>
      <c r="HO65" s="74"/>
      <c r="HP65" s="74"/>
      <c r="HQ65" s="74"/>
    </row>
    <row r="66" spans="2:225" s="73" customFormat="1">
      <c r="B66" s="88" t="s">
        <v>1413</v>
      </c>
      <c r="C66" s="88">
        <f t="shared" si="10"/>
        <v>76617</v>
      </c>
      <c r="D66" s="88">
        <f t="shared" ref="D66:I66" si="16">D65+D64</f>
        <v>6718</v>
      </c>
      <c r="E66" s="88">
        <f t="shared" si="16"/>
        <v>69899</v>
      </c>
      <c r="F66" s="88">
        <f t="shared" si="16"/>
        <v>77243</v>
      </c>
      <c r="G66" s="88">
        <f t="shared" si="16"/>
        <v>43441</v>
      </c>
      <c r="H66" s="88">
        <f t="shared" si="16"/>
        <v>108247</v>
      </c>
      <c r="I66" s="88">
        <f t="shared" si="16"/>
        <v>72327</v>
      </c>
      <c r="J66" s="97">
        <f t="shared" si="11"/>
        <v>377875</v>
      </c>
      <c r="FL66" s="74"/>
      <c r="FM66" s="74"/>
      <c r="FN66" s="74"/>
      <c r="FO66" s="74"/>
      <c r="FP66" s="74"/>
      <c r="FQ66" s="74"/>
      <c r="FR66" s="74"/>
      <c r="FS66" s="74"/>
      <c r="FT66" s="74"/>
      <c r="FU66" s="74"/>
      <c r="FV66" s="74"/>
      <c r="FW66" s="74"/>
      <c r="FX66" s="74"/>
      <c r="FY66" s="74"/>
      <c r="FZ66" s="74"/>
      <c r="GA66" s="74"/>
      <c r="GB66" s="74"/>
      <c r="GC66" s="74"/>
      <c r="GD66" s="74"/>
      <c r="GE66" s="74"/>
      <c r="GF66" s="74"/>
      <c r="GG66" s="74"/>
      <c r="GH66" s="74"/>
      <c r="GI66" s="74"/>
      <c r="GJ66" s="74"/>
      <c r="GK66" s="74"/>
      <c r="GL66" s="74"/>
      <c r="GM66" s="74"/>
      <c r="GN66" s="74"/>
      <c r="GO66" s="74"/>
      <c r="GP66" s="74"/>
      <c r="GQ66" s="74"/>
      <c r="GR66" s="74"/>
      <c r="GS66" s="74"/>
      <c r="GT66" s="74"/>
      <c r="GU66" s="74"/>
      <c r="GV66" s="74"/>
      <c r="GW66" s="74"/>
      <c r="GX66" s="74"/>
      <c r="GY66" s="74"/>
      <c r="GZ66" s="74"/>
      <c r="HA66" s="74"/>
      <c r="HB66" s="74"/>
      <c r="HC66" s="74"/>
      <c r="HD66" s="74"/>
      <c r="HE66" s="74"/>
      <c r="HF66" s="74"/>
      <c r="HG66" s="74"/>
      <c r="HH66" s="74"/>
      <c r="HI66" s="74"/>
      <c r="HJ66" s="74"/>
      <c r="HK66" s="74"/>
      <c r="HL66" s="74"/>
      <c r="HM66" s="74"/>
      <c r="HN66" s="74"/>
      <c r="HO66" s="74"/>
      <c r="HP66" s="74"/>
      <c r="HQ66" s="74"/>
    </row>
    <row r="67" spans="2:225" s="73" customFormat="1">
      <c r="B67" s="88" t="s">
        <v>1414</v>
      </c>
      <c r="C67" s="99">
        <f t="shared" si="10"/>
        <v>0</v>
      </c>
      <c r="D67" s="99">
        <f>D60-D57</f>
        <v>0</v>
      </c>
      <c r="E67" s="99">
        <f t="shared" ref="E67:J67" si="17">E60-E57+E56</f>
        <v>0</v>
      </c>
      <c r="F67" s="99">
        <f t="shared" si="17"/>
        <v>0</v>
      </c>
      <c r="G67" s="99">
        <f t="shared" si="17"/>
        <v>0</v>
      </c>
      <c r="H67" s="99">
        <f t="shared" si="17"/>
        <v>0</v>
      </c>
      <c r="I67" s="99">
        <f t="shared" si="17"/>
        <v>0</v>
      </c>
      <c r="J67" s="99">
        <f t="shared" si="17"/>
        <v>0</v>
      </c>
      <c r="FL67" s="74"/>
      <c r="FM67" s="74"/>
      <c r="FN67" s="74"/>
      <c r="FO67" s="74"/>
      <c r="FP67" s="74"/>
      <c r="FQ67" s="74"/>
      <c r="FR67" s="74"/>
      <c r="FS67" s="74"/>
      <c r="FT67" s="74"/>
      <c r="FU67" s="74"/>
      <c r="FV67" s="74"/>
      <c r="FW67" s="74"/>
      <c r="FX67" s="74"/>
      <c r="FY67" s="74"/>
      <c r="FZ67" s="74"/>
      <c r="GA67" s="74"/>
      <c r="GB67" s="74"/>
      <c r="GC67" s="74"/>
      <c r="GD67" s="74"/>
      <c r="GE67" s="74"/>
      <c r="GF67" s="74"/>
      <c r="GG67" s="74"/>
      <c r="GH67" s="74"/>
      <c r="GI67" s="74"/>
      <c r="GJ67" s="74"/>
      <c r="GK67" s="74"/>
      <c r="GL67" s="74"/>
      <c r="GM67" s="74"/>
      <c r="GN67" s="74"/>
      <c r="GO67" s="74"/>
      <c r="GP67" s="74"/>
      <c r="GQ67" s="74"/>
      <c r="GR67" s="74"/>
      <c r="GS67" s="74"/>
      <c r="GT67" s="74"/>
      <c r="GU67" s="74"/>
      <c r="GV67" s="74"/>
      <c r="GW67" s="74"/>
      <c r="GX67" s="74"/>
      <c r="GY67" s="74"/>
      <c r="GZ67" s="74"/>
      <c r="HA67" s="74"/>
      <c r="HB67" s="74"/>
      <c r="HC67" s="74"/>
      <c r="HD67" s="74"/>
      <c r="HE67" s="74"/>
      <c r="HF67" s="74"/>
      <c r="HG67" s="74"/>
      <c r="HH67" s="74"/>
      <c r="HI67" s="74"/>
      <c r="HJ67" s="74"/>
      <c r="HK67" s="74"/>
      <c r="HL67" s="74"/>
      <c r="HM67" s="74"/>
      <c r="HN67" s="74"/>
      <c r="HO67" s="74"/>
      <c r="HP67" s="74"/>
      <c r="HQ67" s="74"/>
    </row>
    <row r="68" spans="2:225" s="73" customFormat="1">
      <c r="B68" s="92" t="s">
        <v>23</v>
      </c>
      <c r="C68" s="93"/>
      <c r="D68" s="93"/>
      <c r="E68" s="93"/>
      <c r="F68" s="93"/>
      <c r="G68" s="93"/>
      <c r="H68" s="181"/>
      <c r="I68" s="182"/>
      <c r="J68" s="93"/>
      <c r="FL68" s="74"/>
      <c r="FM68" s="74"/>
      <c r="FN68" s="74"/>
      <c r="FO68" s="74"/>
      <c r="FP68" s="74"/>
      <c r="FQ68" s="74"/>
      <c r="FR68" s="74"/>
      <c r="FS68" s="74"/>
      <c r="FT68" s="74"/>
      <c r="FU68" s="74"/>
      <c r="FV68" s="74"/>
      <c r="FW68" s="74"/>
      <c r="FX68" s="74"/>
      <c r="FY68" s="74"/>
      <c r="FZ68" s="74"/>
      <c r="GA68" s="74"/>
      <c r="GB68" s="74"/>
      <c r="GC68" s="74"/>
      <c r="GD68" s="74"/>
      <c r="GE68" s="74"/>
      <c r="GF68" s="74"/>
      <c r="GG68" s="74"/>
      <c r="GH68" s="74"/>
      <c r="GI68" s="74"/>
      <c r="GJ68" s="74"/>
      <c r="GK68" s="74"/>
      <c r="GL68" s="74"/>
      <c r="GM68" s="74"/>
      <c r="GN68" s="74"/>
      <c r="GO68" s="74"/>
      <c r="GP68" s="74"/>
      <c r="GQ68" s="74"/>
      <c r="GR68" s="74"/>
      <c r="GS68" s="74"/>
      <c r="GT68" s="74"/>
      <c r="GU68" s="74"/>
      <c r="GV68" s="74"/>
      <c r="GW68" s="74"/>
      <c r="GX68" s="74"/>
      <c r="GY68" s="74"/>
      <c r="GZ68" s="74"/>
      <c r="HA68" s="74"/>
      <c r="HB68" s="74"/>
      <c r="HC68" s="74"/>
      <c r="HD68" s="74"/>
      <c r="HE68" s="74"/>
      <c r="HF68" s="74"/>
      <c r="HG68" s="74"/>
      <c r="HH68" s="74"/>
      <c r="HI68" s="74"/>
      <c r="HJ68" s="74"/>
      <c r="HK68" s="74"/>
      <c r="HL68" s="74"/>
      <c r="HM68" s="74"/>
      <c r="HN68" s="74"/>
      <c r="HO68" s="74"/>
      <c r="HP68" s="74"/>
      <c r="HQ68" s="74"/>
    </row>
    <row r="69" spans="2:225" s="73" customFormat="1">
      <c r="FL69" s="74"/>
      <c r="FM69" s="74"/>
      <c r="FN69" s="74"/>
      <c r="FO69" s="74"/>
      <c r="FP69" s="74"/>
      <c r="FQ69" s="74"/>
      <c r="FR69" s="74"/>
      <c r="FS69" s="74"/>
      <c r="FT69" s="74"/>
      <c r="FU69" s="74"/>
      <c r="FV69" s="74"/>
      <c r="FW69" s="74"/>
      <c r="FX69" s="74"/>
      <c r="FY69" s="74"/>
      <c r="FZ69" s="74"/>
      <c r="GA69" s="74"/>
      <c r="GB69" s="74"/>
      <c r="GC69" s="74"/>
      <c r="GD69" s="74"/>
      <c r="GE69" s="74"/>
      <c r="GF69" s="74"/>
      <c r="GG69" s="74"/>
      <c r="GH69" s="74"/>
      <c r="GI69" s="74"/>
      <c r="GJ69" s="74"/>
      <c r="GK69" s="74"/>
      <c r="GL69" s="74"/>
      <c r="GM69" s="74"/>
      <c r="GN69" s="74"/>
      <c r="GO69" s="74"/>
      <c r="GP69" s="74"/>
      <c r="GQ69" s="74"/>
      <c r="GR69" s="74"/>
      <c r="GS69" s="74"/>
      <c r="GT69" s="74"/>
      <c r="GU69" s="74"/>
      <c r="GV69" s="74"/>
      <c r="GW69" s="74"/>
      <c r="GX69" s="74"/>
      <c r="GY69" s="74"/>
      <c r="GZ69" s="74"/>
      <c r="HA69" s="74"/>
      <c r="HB69" s="74"/>
      <c r="HC69" s="74"/>
      <c r="HD69" s="74"/>
      <c r="HE69" s="74"/>
      <c r="HF69" s="74"/>
      <c r="HG69" s="74"/>
      <c r="HH69" s="74"/>
      <c r="HI69" s="74"/>
      <c r="HJ69" s="74"/>
      <c r="HK69" s="74"/>
      <c r="HL69" s="74"/>
      <c r="HM69" s="74"/>
      <c r="HN69" s="74"/>
      <c r="HO69" s="74"/>
      <c r="HP69" s="74"/>
      <c r="HQ69" s="74"/>
    </row>
    <row r="70" spans="2:225" s="73" customFormat="1">
      <c r="FL70" s="74"/>
      <c r="FM70" s="74"/>
      <c r="FN70" s="74"/>
      <c r="FO70" s="74"/>
      <c r="FP70" s="74"/>
      <c r="FQ70" s="74"/>
      <c r="FR70" s="74"/>
      <c r="FS70" s="74"/>
      <c r="FT70" s="74"/>
      <c r="FU70" s="74"/>
      <c r="FV70" s="74"/>
      <c r="FW70" s="74"/>
      <c r="FX70" s="74"/>
      <c r="FY70" s="74"/>
      <c r="FZ70" s="74"/>
      <c r="GA70" s="74"/>
      <c r="GB70" s="74"/>
      <c r="GC70" s="74"/>
      <c r="GD70" s="74"/>
      <c r="GE70" s="74"/>
      <c r="GF70" s="74"/>
      <c r="GG70" s="74"/>
      <c r="GH70" s="74"/>
      <c r="GI70" s="74"/>
      <c r="GJ70" s="74"/>
      <c r="GK70" s="74"/>
      <c r="GL70" s="74"/>
      <c r="GM70" s="74"/>
      <c r="GN70" s="74"/>
      <c r="GO70" s="74"/>
      <c r="GP70" s="74"/>
      <c r="GQ70" s="74"/>
      <c r="GR70" s="74"/>
      <c r="GS70" s="74"/>
      <c r="GT70" s="74"/>
      <c r="GU70" s="74"/>
      <c r="GV70" s="74"/>
      <c r="GW70" s="74"/>
      <c r="GX70" s="74"/>
      <c r="GY70" s="74"/>
      <c r="GZ70" s="74"/>
      <c r="HA70" s="74"/>
      <c r="HB70" s="74"/>
      <c r="HC70" s="74"/>
      <c r="HD70" s="74"/>
      <c r="HE70" s="74"/>
      <c r="HF70" s="74"/>
      <c r="HG70" s="74"/>
      <c r="HH70" s="74"/>
      <c r="HI70" s="74"/>
      <c r="HJ70" s="74"/>
      <c r="HK70" s="74"/>
      <c r="HL70" s="74"/>
      <c r="HM70" s="74"/>
      <c r="HN70" s="74"/>
      <c r="HO70" s="74"/>
      <c r="HP70" s="74"/>
      <c r="HQ70" s="74"/>
    </row>
    <row r="71" spans="2:225" s="73" customFormat="1">
      <c r="FL71" s="74"/>
      <c r="FM71" s="74"/>
      <c r="FN71" s="74"/>
      <c r="FO71" s="74"/>
      <c r="FP71" s="74"/>
      <c r="FQ71" s="74"/>
      <c r="FR71" s="74"/>
      <c r="FS71" s="74"/>
      <c r="FT71" s="74"/>
      <c r="FU71" s="74"/>
      <c r="FV71" s="74"/>
      <c r="FW71" s="74"/>
      <c r="FX71" s="74"/>
      <c r="FY71" s="74"/>
      <c r="FZ71" s="74"/>
      <c r="GA71" s="74"/>
      <c r="GB71" s="74"/>
      <c r="GC71" s="74"/>
      <c r="GD71" s="74"/>
      <c r="GE71" s="74"/>
      <c r="GF71" s="74"/>
      <c r="GG71" s="74"/>
      <c r="GH71" s="74"/>
      <c r="GI71" s="74"/>
      <c r="GJ71" s="74"/>
      <c r="GK71" s="74"/>
      <c r="GL71" s="74"/>
      <c r="GM71" s="74"/>
      <c r="GN71" s="74"/>
      <c r="GO71" s="74"/>
      <c r="GP71" s="74"/>
      <c r="GQ71" s="74"/>
      <c r="GR71" s="74"/>
      <c r="GS71" s="74"/>
      <c r="GT71" s="74"/>
      <c r="GU71" s="74"/>
      <c r="GV71" s="74"/>
      <c r="GW71" s="74"/>
      <c r="GX71" s="74"/>
      <c r="GY71" s="74"/>
      <c r="GZ71" s="74"/>
      <c r="HA71" s="74"/>
      <c r="HB71" s="74"/>
      <c r="HC71" s="74"/>
      <c r="HD71" s="74"/>
      <c r="HE71" s="74"/>
      <c r="HF71" s="74"/>
      <c r="HG71" s="74"/>
      <c r="HH71" s="74"/>
      <c r="HI71" s="74"/>
      <c r="HJ71" s="74"/>
      <c r="HK71" s="74"/>
      <c r="HL71" s="74"/>
      <c r="HM71" s="74"/>
      <c r="HN71" s="74"/>
      <c r="HO71" s="74"/>
      <c r="HP71" s="74"/>
      <c r="HQ71" s="74"/>
    </row>
  </sheetData>
  <mergeCells count="42">
    <mergeCell ref="B43:B48"/>
    <mergeCell ref="B53:B54"/>
    <mergeCell ref="C2:C3"/>
    <mergeCell ref="C5:C7"/>
    <mergeCell ref="C8:C9"/>
    <mergeCell ref="C10:C12"/>
    <mergeCell ref="C13:C14"/>
    <mergeCell ref="B21:C27"/>
    <mergeCell ref="B28:C29"/>
    <mergeCell ref="B49:C49"/>
    <mergeCell ref="B50:C50"/>
    <mergeCell ref="B52:J52"/>
    <mergeCell ref="C53:E53"/>
    <mergeCell ref="H68:I68"/>
    <mergeCell ref="F53:F54"/>
    <mergeCell ref="G53:G54"/>
    <mergeCell ref="H53:H54"/>
    <mergeCell ref="I53:I54"/>
    <mergeCell ref="J53:J54"/>
    <mergeCell ref="B18:E18"/>
    <mergeCell ref="B20:C20"/>
    <mergeCell ref="B31:H31"/>
    <mergeCell ref="B35:C35"/>
    <mergeCell ref="B42:C42"/>
    <mergeCell ref="B33:B34"/>
    <mergeCell ref="B36:B41"/>
    <mergeCell ref="D21:D24"/>
    <mergeCell ref="D25:D27"/>
    <mergeCell ref="B1:O1"/>
    <mergeCell ref="B4:F4"/>
    <mergeCell ref="B15:E15"/>
    <mergeCell ref="B16:E16"/>
    <mergeCell ref="B17:E17"/>
    <mergeCell ref="B2:B3"/>
    <mergeCell ref="B5:B9"/>
    <mergeCell ref="B10:B14"/>
    <mergeCell ref="D2:D3"/>
    <mergeCell ref="E2:E3"/>
    <mergeCell ref="F2:F3"/>
    <mergeCell ref="G2:G3"/>
    <mergeCell ref="H2:H3"/>
    <mergeCell ref="O2:O3"/>
  </mergeCells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AE16"/>
  <sheetViews>
    <sheetView workbookViewId="0">
      <selection activeCell="AH116" sqref="AH116"/>
    </sheetView>
  </sheetViews>
  <sheetFormatPr defaultColWidth="9" defaultRowHeight="14"/>
  <cols>
    <col min="1" max="1" width="11.6328125" customWidth="1"/>
    <col min="2" max="2" width="9.54296875" customWidth="1"/>
    <col min="3" max="14" width="8.54296875" customWidth="1"/>
    <col min="18" max="18" width="11.6328125" customWidth="1"/>
    <col min="19" max="31" width="12.81640625" customWidth="1"/>
  </cols>
  <sheetData>
    <row r="1" spans="1:31">
      <c r="A1" s="195" t="s">
        <v>1415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R1" s="196" t="s">
        <v>1416</v>
      </c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</row>
    <row r="2" spans="1:31">
      <c r="A2" s="71" t="s">
        <v>1417</v>
      </c>
      <c r="B2" s="71" t="s">
        <v>1418</v>
      </c>
      <c r="C2" s="71" t="s">
        <v>1419</v>
      </c>
      <c r="D2" s="71" t="s">
        <v>1420</v>
      </c>
      <c r="E2" s="71" t="s">
        <v>1421</v>
      </c>
      <c r="F2" s="71" t="s">
        <v>1422</v>
      </c>
      <c r="G2" s="71" t="s">
        <v>1423</v>
      </c>
      <c r="H2" s="71" t="s">
        <v>1424</v>
      </c>
      <c r="I2" s="71" t="s">
        <v>1425</v>
      </c>
      <c r="J2" s="71" t="s">
        <v>1426</v>
      </c>
      <c r="K2" s="71" t="s">
        <v>1427</v>
      </c>
      <c r="L2" s="71" t="s">
        <v>1428</v>
      </c>
      <c r="M2" s="71" t="s">
        <v>1429</v>
      </c>
      <c r="N2" s="71" t="s">
        <v>1430</v>
      </c>
      <c r="R2" s="71" t="s">
        <v>1417</v>
      </c>
      <c r="S2" s="71" t="s">
        <v>1418</v>
      </c>
      <c r="T2" s="71" t="s">
        <v>1419</v>
      </c>
      <c r="U2" s="71" t="s">
        <v>1420</v>
      </c>
      <c r="V2" s="71" t="s">
        <v>1421</v>
      </c>
      <c r="W2" s="71" t="s">
        <v>1422</v>
      </c>
      <c r="X2" s="71" t="s">
        <v>1423</v>
      </c>
      <c r="Y2" s="71" t="s">
        <v>1424</v>
      </c>
      <c r="Z2" s="71" t="s">
        <v>1425</v>
      </c>
      <c r="AA2" s="71" t="s">
        <v>1426</v>
      </c>
      <c r="AB2" s="71" t="s">
        <v>1427</v>
      </c>
      <c r="AC2" s="71" t="s">
        <v>1428</v>
      </c>
      <c r="AD2" s="71" t="s">
        <v>1429</v>
      </c>
      <c r="AE2" s="71" t="s">
        <v>1430</v>
      </c>
    </row>
    <row r="3" spans="1:31">
      <c r="A3" s="71"/>
      <c r="B3" s="71">
        <v>29166854</v>
      </c>
      <c r="C3" s="71">
        <v>1334000</v>
      </c>
      <c r="D3" s="71">
        <v>2581000</v>
      </c>
      <c r="E3" s="71">
        <v>3468200</v>
      </c>
      <c r="F3" s="71">
        <v>3279200</v>
      </c>
      <c r="G3" s="71">
        <v>2820700</v>
      </c>
      <c r="H3" s="71">
        <v>2464800</v>
      </c>
      <c r="I3" s="71">
        <v>2244250</v>
      </c>
      <c r="J3" s="71">
        <v>2008500</v>
      </c>
      <c r="K3" s="71">
        <v>1850000</v>
      </c>
      <c r="L3" s="71">
        <v>1871090</v>
      </c>
      <c r="M3" s="71">
        <v>2411250</v>
      </c>
      <c r="N3" s="71">
        <v>2833864</v>
      </c>
      <c r="R3" s="71"/>
      <c r="S3" s="71">
        <v>81880201.6889669</v>
      </c>
      <c r="T3" s="71">
        <v>3821583.0102117099</v>
      </c>
      <c r="U3" s="71">
        <v>7391654.4857186703</v>
      </c>
      <c r="V3" s="71">
        <v>9806009.8414465301</v>
      </c>
      <c r="W3" s="71">
        <v>9226250.6166555602</v>
      </c>
      <c r="X3" s="71">
        <v>7885161.9336376302</v>
      </c>
      <c r="Y3" s="71">
        <v>6968733.7783493102</v>
      </c>
      <c r="Z3" s="71">
        <v>6250482.0664512999</v>
      </c>
      <c r="AA3" s="71">
        <v>5603932.8823147798</v>
      </c>
      <c r="AB3" s="71">
        <v>5135681.7666310202</v>
      </c>
      <c r="AC3" s="71">
        <v>5244773.1402538503</v>
      </c>
      <c r="AD3" s="71">
        <v>6722014.3624379896</v>
      </c>
      <c r="AE3" s="71">
        <v>7823923.8048585998</v>
      </c>
    </row>
    <row r="4" spans="1:31">
      <c r="A4" s="71" t="s">
        <v>1431</v>
      </c>
      <c r="B4" s="71">
        <v>5522000</v>
      </c>
      <c r="C4" s="71">
        <v>300000</v>
      </c>
      <c r="D4" s="71">
        <v>480000</v>
      </c>
      <c r="E4" s="71">
        <v>680000</v>
      </c>
      <c r="F4" s="71">
        <v>680000</v>
      </c>
      <c r="G4" s="71">
        <v>572000</v>
      </c>
      <c r="H4" s="71">
        <v>532000</v>
      </c>
      <c r="I4" s="71">
        <v>408000</v>
      </c>
      <c r="J4" s="71">
        <v>380000</v>
      </c>
      <c r="K4" s="71">
        <v>300000</v>
      </c>
      <c r="L4" s="71">
        <v>300000</v>
      </c>
      <c r="M4" s="71">
        <v>390000</v>
      </c>
      <c r="N4" s="71">
        <v>500000</v>
      </c>
      <c r="R4" s="71" t="s">
        <v>1431</v>
      </c>
      <c r="S4" s="71">
        <v>19597223.565289401</v>
      </c>
      <c r="T4" s="71">
        <v>1064680.7442207199</v>
      </c>
      <c r="U4" s="71">
        <v>1703489.19075316</v>
      </c>
      <c r="V4" s="71">
        <v>2413276.3535669702</v>
      </c>
      <c r="W4" s="71">
        <v>2413276.3535669702</v>
      </c>
      <c r="X4" s="71">
        <v>2029991.2856475101</v>
      </c>
      <c r="Y4" s="71">
        <v>1888033.85308475</v>
      </c>
      <c r="Z4" s="71">
        <v>1447965.81214018</v>
      </c>
      <c r="AA4" s="71">
        <v>1348595.6093462501</v>
      </c>
      <c r="AB4" s="71">
        <v>1064680.7442207199</v>
      </c>
      <c r="AC4" s="71">
        <v>1064680.7442207199</v>
      </c>
      <c r="AD4" s="71">
        <v>1384084.9674869401</v>
      </c>
      <c r="AE4" s="71">
        <v>1774467.9070345401</v>
      </c>
    </row>
    <row r="5" spans="1:31">
      <c r="A5" s="71" t="s">
        <v>1397</v>
      </c>
      <c r="B5" s="71">
        <v>2914500</v>
      </c>
      <c r="C5" s="71">
        <v>100000</v>
      </c>
      <c r="D5" s="71">
        <v>260000</v>
      </c>
      <c r="E5" s="71">
        <v>323200</v>
      </c>
      <c r="F5" s="71">
        <v>320000</v>
      </c>
      <c r="G5" s="71">
        <v>303600</v>
      </c>
      <c r="H5" s="71">
        <v>227700</v>
      </c>
      <c r="I5" s="71">
        <v>240000</v>
      </c>
      <c r="J5" s="71">
        <v>220000</v>
      </c>
      <c r="K5" s="71">
        <v>200000</v>
      </c>
      <c r="L5" s="71">
        <v>180000</v>
      </c>
      <c r="M5" s="71">
        <v>220000</v>
      </c>
      <c r="N5" s="71">
        <v>320000</v>
      </c>
      <c r="R5" s="71" t="s">
        <v>1397</v>
      </c>
      <c r="S5" s="71">
        <v>6144153.6387551297</v>
      </c>
      <c r="T5" s="71">
        <v>210813.300856432</v>
      </c>
      <c r="U5" s="71">
        <v>548114.58222672401</v>
      </c>
      <c r="V5" s="71">
        <v>681349</v>
      </c>
      <c r="W5" s="71">
        <v>674603</v>
      </c>
      <c r="X5" s="71">
        <v>640029.18140012806</v>
      </c>
      <c r="Y5" s="71">
        <v>480021.88605009601</v>
      </c>
      <c r="Z5" s="71">
        <v>505951.922055437</v>
      </c>
      <c r="AA5" s="71">
        <v>463789</v>
      </c>
      <c r="AB5" s="71">
        <v>421626</v>
      </c>
      <c r="AC5" s="71">
        <v>379463.94154157798</v>
      </c>
      <c r="AD5" s="71">
        <v>463789.26188415103</v>
      </c>
      <c r="AE5" s="71">
        <v>674602.56274058297</v>
      </c>
    </row>
    <row r="6" spans="1:31">
      <c r="A6" s="71" t="s">
        <v>1400</v>
      </c>
      <c r="B6" s="71">
        <v>5005364</v>
      </c>
      <c r="C6" s="71">
        <v>180000</v>
      </c>
      <c r="D6" s="71">
        <v>420000</v>
      </c>
      <c r="E6" s="71">
        <v>660000</v>
      </c>
      <c r="F6" s="71">
        <v>700000</v>
      </c>
      <c r="G6" s="71">
        <v>540000</v>
      </c>
      <c r="H6" s="71">
        <v>420000</v>
      </c>
      <c r="I6" s="71">
        <v>420000</v>
      </c>
      <c r="J6" s="71">
        <v>320000</v>
      </c>
      <c r="K6" s="71">
        <v>260000</v>
      </c>
      <c r="L6" s="71">
        <v>260000</v>
      </c>
      <c r="M6" s="71">
        <v>360000</v>
      </c>
      <c r="N6" s="71">
        <v>465364</v>
      </c>
      <c r="R6" s="71" t="s">
        <v>1400</v>
      </c>
      <c r="S6" s="71">
        <v>13514482.800000001</v>
      </c>
      <c r="T6" s="71">
        <v>486000</v>
      </c>
      <c r="U6" s="71">
        <v>1134000</v>
      </c>
      <c r="V6" s="71">
        <v>1782000</v>
      </c>
      <c r="W6" s="71">
        <v>1890000</v>
      </c>
      <c r="X6" s="71">
        <v>1458000</v>
      </c>
      <c r="Y6" s="71">
        <v>1134000</v>
      </c>
      <c r="Z6" s="71">
        <v>1134000</v>
      </c>
      <c r="AA6" s="71">
        <v>864000</v>
      </c>
      <c r="AB6" s="71">
        <v>702000</v>
      </c>
      <c r="AC6" s="71">
        <v>702000</v>
      </c>
      <c r="AD6" s="71">
        <v>972000</v>
      </c>
      <c r="AE6" s="71">
        <v>1256482.8</v>
      </c>
    </row>
    <row r="7" spans="1:31">
      <c r="A7" s="71" t="s">
        <v>1398</v>
      </c>
      <c r="B7" s="71">
        <v>7769600</v>
      </c>
      <c r="C7" s="71">
        <v>420000</v>
      </c>
      <c r="D7" s="71">
        <v>720000</v>
      </c>
      <c r="E7" s="71">
        <v>820000</v>
      </c>
      <c r="F7" s="71">
        <v>680000</v>
      </c>
      <c r="G7" s="71">
        <v>660000</v>
      </c>
      <c r="H7" s="71">
        <v>609600</v>
      </c>
      <c r="I7" s="71">
        <v>520000</v>
      </c>
      <c r="J7" s="71">
        <v>540000</v>
      </c>
      <c r="K7" s="71">
        <v>620000</v>
      </c>
      <c r="L7" s="71">
        <v>660000</v>
      </c>
      <c r="M7" s="71">
        <v>760000</v>
      </c>
      <c r="N7" s="71">
        <v>760000</v>
      </c>
      <c r="R7" s="71" t="s">
        <v>1398</v>
      </c>
      <c r="S7" s="71">
        <v>21937995.449969701</v>
      </c>
      <c r="T7" s="71">
        <v>1190424.8935593399</v>
      </c>
      <c r="U7" s="71">
        <v>2131252.2407160299</v>
      </c>
      <c r="V7" s="71">
        <v>2363494.4817819102</v>
      </c>
      <c r="W7" s="71">
        <v>2013332.6289993001</v>
      </c>
      <c r="X7" s="71">
        <v>1872708.3251930401</v>
      </c>
      <c r="Y7" s="71">
        <v>1724452.19493358</v>
      </c>
      <c r="Z7" s="71">
        <v>1481841.46107244</v>
      </c>
      <c r="AA7" s="71">
        <v>1503222.7711443</v>
      </c>
      <c r="AB7" s="71">
        <v>1695779.86950359</v>
      </c>
      <c r="AC7" s="71">
        <v>1836065.3569956999</v>
      </c>
      <c r="AD7" s="71">
        <v>2081424.1067290599</v>
      </c>
      <c r="AE7" s="71">
        <v>2043997.11934144</v>
      </c>
    </row>
    <row r="8" spans="1:31">
      <c r="A8" s="71" t="s">
        <v>1432</v>
      </c>
      <c r="B8" s="71">
        <v>816000</v>
      </c>
      <c r="C8" s="71">
        <v>82000</v>
      </c>
      <c r="D8" s="71">
        <v>143000</v>
      </c>
      <c r="E8" s="71">
        <v>156000</v>
      </c>
      <c r="F8" s="71">
        <v>32000</v>
      </c>
      <c r="G8" s="71">
        <v>35000</v>
      </c>
      <c r="H8" s="71">
        <v>43000</v>
      </c>
      <c r="I8" s="71">
        <v>55000</v>
      </c>
      <c r="J8" s="71">
        <v>0</v>
      </c>
      <c r="K8" s="71">
        <v>30000</v>
      </c>
      <c r="L8" s="71">
        <v>40000</v>
      </c>
      <c r="M8" s="71">
        <v>100000</v>
      </c>
      <c r="N8" s="71">
        <v>100000</v>
      </c>
      <c r="R8" s="71" t="s">
        <v>1432</v>
      </c>
      <c r="S8" s="71">
        <v>2625000</v>
      </c>
      <c r="T8" s="71">
        <v>230000</v>
      </c>
      <c r="U8" s="71">
        <v>480000</v>
      </c>
      <c r="V8" s="71">
        <v>530000</v>
      </c>
      <c r="W8" s="71">
        <v>115000</v>
      </c>
      <c r="X8" s="71">
        <v>115000</v>
      </c>
      <c r="Y8" s="71">
        <v>145000</v>
      </c>
      <c r="Z8" s="71">
        <v>145000</v>
      </c>
      <c r="AA8" s="71"/>
      <c r="AB8" s="71">
        <v>80000</v>
      </c>
      <c r="AC8" s="71">
        <v>120000</v>
      </c>
      <c r="AD8" s="71">
        <v>330000</v>
      </c>
      <c r="AE8" s="71">
        <v>335000</v>
      </c>
    </row>
    <row r="9" spans="1:31">
      <c r="A9" s="71" t="s">
        <v>1403</v>
      </c>
      <c r="B9" s="71">
        <v>5160000</v>
      </c>
      <c r="C9" s="71">
        <v>180000</v>
      </c>
      <c r="D9" s="71">
        <v>420000</v>
      </c>
      <c r="E9" s="71">
        <v>660000</v>
      </c>
      <c r="F9" s="71">
        <v>700000</v>
      </c>
      <c r="G9" s="71">
        <v>540000</v>
      </c>
      <c r="H9" s="71">
        <v>460000</v>
      </c>
      <c r="I9" s="71">
        <v>420000</v>
      </c>
      <c r="J9" s="71">
        <v>360000</v>
      </c>
      <c r="K9" s="71">
        <v>260000</v>
      </c>
      <c r="L9" s="71">
        <v>260000</v>
      </c>
      <c r="M9" s="71">
        <v>400000</v>
      </c>
      <c r="N9" s="71">
        <v>500000</v>
      </c>
      <c r="R9" s="71" t="s">
        <v>1403</v>
      </c>
      <c r="S9" s="71">
        <v>11611765.9701139</v>
      </c>
      <c r="T9" s="71">
        <v>405061.60360862501</v>
      </c>
      <c r="U9" s="71">
        <v>945143.74175345805</v>
      </c>
      <c r="V9" s="71">
        <v>1485225.8798982899</v>
      </c>
      <c r="W9" s="71">
        <v>1575239.5695891001</v>
      </c>
      <c r="X9" s="71">
        <v>1215184.8108258799</v>
      </c>
      <c r="Y9" s="71">
        <v>1035157.4314442599</v>
      </c>
      <c r="Z9" s="71">
        <v>945143.74175345805</v>
      </c>
      <c r="AA9" s="71">
        <v>810123.20721725002</v>
      </c>
      <c r="AB9" s="71">
        <v>585088.98299023602</v>
      </c>
      <c r="AC9" s="71">
        <v>585088.98299023602</v>
      </c>
      <c r="AD9" s="71">
        <v>900136.89690805599</v>
      </c>
      <c r="AE9" s="71">
        <v>1125171.12113507</v>
      </c>
    </row>
    <row r="10" spans="1:31">
      <c r="A10" s="71" t="s">
        <v>1433</v>
      </c>
      <c r="B10" s="71">
        <v>1979390</v>
      </c>
      <c r="C10" s="71">
        <v>72000</v>
      </c>
      <c r="D10" s="71">
        <v>138000</v>
      </c>
      <c r="E10" s="71">
        <v>169000</v>
      </c>
      <c r="F10" s="71">
        <v>167200</v>
      </c>
      <c r="G10" s="71">
        <v>170100</v>
      </c>
      <c r="H10" s="71">
        <v>172500</v>
      </c>
      <c r="I10" s="71">
        <v>181250</v>
      </c>
      <c r="J10" s="71">
        <v>188500</v>
      </c>
      <c r="K10" s="71">
        <v>180000</v>
      </c>
      <c r="L10" s="71">
        <v>171090</v>
      </c>
      <c r="M10" s="71">
        <v>181250</v>
      </c>
      <c r="N10" s="71">
        <v>188500</v>
      </c>
      <c r="R10" s="71" t="s">
        <v>1433</v>
      </c>
      <c r="S10" s="71">
        <v>6449580.26483873</v>
      </c>
      <c r="T10" s="71">
        <v>234602.46796658999</v>
      </c>
      <c r="U10" s="71">
        <v>449654.73026929703</v>
      </c>
      <c r="V10" s="71">
        <v>550664.12619935698</v>
      </c>
      <c r="W10" s="71">
        <v>544799.06450019195</v>
      </c>
      <c r="X10" s="71">
        <v>554248.33057106903</v>
      </c>
      <c r="Y10" s="71">
        <v>562068.41283662198</v>
      </c>
      <c r="Z10" s="71">
        <v>590579.12942978402</v>
      </c>
      <c r="AA10" s="71">
        <v>614202.29460697505</v>
      </c>
      <c r="AB10" s="71">
        <v>586506.16991647496</v>
      </c>
      <c r="AC10" s="71">
        <v>557474.11450560903</v>
      </c>
      <c r="AD10" s="71">
        <v>590579.12942978402</v>
      </c>
      <c r="AE10" s="71">
        <v>614202.29460697505</v>
      </c>
    </row>
    <row r="12" spans="1:31">
      <c r="A12" s="195" t="s">
        <v>1434</v>
      </c>
      <c r="B12" s="196"/>
      <c r="C12" s="196"/>
      <c r="D12" s="196"/>
      <c r="E12" s="196"/>
      <c r="F12" s="196"/>
      <c r="G12" s="196"/>
      <c r="H12" s="196"/>
      <c r="I12" s="196"/>
      <c r="J12" s="196"/>
      <c r="K12" s="196"/>
      <c r="L12" s="196"/>
      <c r="M12" s="196"/>
      <c r="N12" s="196"/>
    </row>
    <row r="13" spans="1:31">
      <c r="A13" s="71" t="s">
        <v>1417</v>
      </c>
      <c r="B13" s="71" t="s">
        <v>1418</v>
      </c>
      <c r="C13" s="71" t="s">
        <v>1419</v>
      </c>
      <c r="D13" s="71" t="s">
        <v>1420</v>
      </c>
      <c r="E13" s="71" t="s">
        <v>1421</v>
      </c>
      <c r="F13" s="71" t="s">
        <v>1422</v>
      </c>
      <c r="G13" s="71" t="s">
        <v>1423</v>
      </c>
      <c r="H13" s="71" t="s">
        <v>1424</v>
      </c>
      <c r="I13" s="71" t="s">
        <v>1425</v>
      </c>
      <c r="J13" s="71" t="s">
        <v>1426</v>
      </c>
      <c r="K13" s="71" t="s">
        <v>1427</v>
      </c>
      <c r="L13" s="71" t="s">
        <v>1428</v>
      </c>
      <c r="M13" s="71" t="s">
        <v>1429</v>
      </c>
      <c r="N13" s="71" t="s">
        <v>1430</v>
      </c>
    </row>
    <row r="14" spans="1:31">
      <c r="A14" s="70" t="s">
        <v>1435</v>
      </c>
      <c r="B14" s="71">
        <v>5522000</v>
      </c>
      <c r="C14" s="71">
        <v>300000</v>
      </c>
      <c r="D14" s="71">
        <v>480000</v>
      </c>
      <c r="E14" s="71">
        <v>680000</v>
      </c>
      <c r="F14" s="71">
        <v>680000</v>
      </c>
      <c r="G14" s="71">
        <v>572000</v>
      </c>
      <c r="H14" s="71">
        <v>532000</v>
      </c>
      <c r="I14" s="71">
        <v>408000</v>
      </c>
      <c r="J14" s="71">
        <v>380000</v>
      </c>
      <c r="K14" s="71">
        <v>300000</v>
      </c>
      <c r="L14" s="71">
        <v>300000</v>
      </c>
      <c r="M14" s="71">
        <v>390000</v>
      </c>
      <c r="N14" s="71">
        <v>500000</v>
      </c>
    </row>
    <row r="15" spans="1:31">
      <c r="A15" s="70" t="s">
        <v>1436</v>
      </c>
      <c r="B15" s="71">
        <f>SUM(C15:N15)</f>
        <v>2868382</v>
      </c>
      <c r="C15" s="71">
        <v>281133</v>
      </c>
      <c r="D15" s="71">
        <v>544432</v>
      </c>
      <c r="E15" s="71">
        <v>741829</v>
      </c>
      <c r="F15" s="71">
        <v>651929</v>
      </c>
      <c r="G15" s="71">
        <v>649059</v>
      </c>
      <c r="H15" s="71"/>
      <c r="I15" s="71"/>
      <c r="J15" s="71"/>
      <c r="K15" s="71"/>
      <c r="L15" s="71"/>
      <c r="M15" s="71"/>
      <c r="N15" s="71"/>
    </row>
    <row r="16" spans="1:31">
      <c r="A16" s="70" t="s">
        <v>1437</v>
      </c>
      <c r="B16" s="72">
        <f t="shared" ref="B16:G16" si="0">B15/B14</f>
        <v>0.519446215139442</v>
      </c>
      <c r="C16" s="72">
        <f t="shared" si="0"/>
        <v>0.93711</v>
      </c>
      <c r="D16" s="72">
        <f t="shared" si="0"/>
        <v>1.1342333333333301</v>
      </c>
      <c r="E16" s="72">
        <f t="shared" si="0"/>
        <v>1.0909249999999999</v>
      </c>
      <c r="F16" s="72">
        <f t="shared" si="0"/>
        <v>0.95871911764705897</v>
      </c>
      <c r="G16" s="72">
        <f t="shared" si="0"/>
        <v>1.13471853146853</v>
      </c>
      <c r="H16" s="72"/>
      <c r="I16" s="72"/>
      <c r="J16" s="72"/>
      <c r="K16" s="72"/>
      <c r="L16" s="72"/>
      <c r="M16" s="72"/>
      <c r="N16" s="72"/>
    </row>
  </sheetData>
  <mergeCells count="3">
    <mergeCell ref="A1:N1"/>
    <mergeCell ref="R1:AE1"/>
    <mergeCell ref="A12:N1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AX37"/>
  <sheetViews>
    <sheetView workbookViewId="0">
      <pane xSplit="3" ySplit="1" topLeftCell="R2" activePane="bottomRight" state="frozen"/>
      <selection pane="topRight"/>
      <selection pane="bottomLeft"/>
      <selection pane="bottomRight" activeCell="AH116" sqref="AH116"/>
    </sheetView>
  </sheetViews>
  <sheetFormatPr defaultColWidth="13.36328125" defaultRowHeight="15"/>
  <cols>
    <col min="1" max="1" width="9.1796875" style="64" customWidth="1"/>
    <col min="2" max="2" width="13.36328125" style="64"/>
    <col min="3" max="3" width="8.1796875" style="64" customWidth="1"/>
    <col min="4" max="5" width="8.6328125" style="64" hidden="1" customWidth="1"/>
    <col min="6" max="14" width="7.54296875" style="64" hidden="1" customWidth="1"/>
    <col min="15" max="35" width="8.6328125" style="64" hidden="1" customWidth="1"/>
    <col min="36" max="36" width="8.6328125" style="64" customWidth="1"/>
    <col min="37" max="45" width="7.54296875" style="64" customWidth="1"/>
    <col min="46" max="50" width="8.6328125" style="64" customWidth="1"/>
    <col min="51" max="16384" width="13.36328125" style="64"/>
  </cols>
  <sheetData>
    <row r="1" spans="1:43" ht="19.25" customHeight="1">
      <c r="A1" s="197" t="s">
        <v>1438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</row>
    <row r="2" spans="1:43" ht="19.25" customHeight="1">
      <c r="A2" s="65" t="s">
        <v>1439</v>
      </c>
      <c r="B2" s="65" t="s">
        <v>0</v>
      </c>
      <c r="C2" s="65" t="s">
        <v>1396</v>
      </c>
      <c r="D2" s="66">
        <v>45106</v>
      </c>
      <c r="E2" s="66">
        <v>45107</v>
      </c>
      <c r="F2" s="66">
        <v>45108</v>
      </c>
      <c r="G2" s="67">
        <v>45109</v>
      </c>
      <c r="H2" s="66">
        <v>45110</v>
      </c>
      <c r="I2" s="66">
        <v>45111</v>
      </c>
      <c r="J2" s="66">
        <v>45112</v>
      </c>
      <c r="K2" s="66">
        <v>45113</v>
      </c>
      <c r="L2" s="66">
        <v>45114</v>
      </c>
      <c r="M2" s="66">
        <v>45115</v>
      </c>
      <c r="N2" s="67">
        <v>45116</v>
      </c>
      <c r="O2" s="66">
        <v>45117</v>
      </c>
      <c r="P2" s="66">
        <v>45118</v>
      </c>
      <c r="Q2" s="66">
        <v>45119</v>
      </c>
      <c r="R2" s="66">
        <v>45120</v>
      </c>
      <c r="S2" s="66">
        <v>45121</v>
      </c>
      <c r="T2" s="66">
        <v>45122</v>
      </c>
      <c r="U2" s="66">
        <v>45123</v>
      </c>
      <c r="V2" s="66">
        <v>45124</v>
      </c>
      <c r="W2" s="66">
        <v>45125</v>
      </c>
      <c r="X2" s="66">
        <v>45126</v>
      </c>
      <c r="Y2" s="66">
        <v>45127</v>
      </c>
      <c r="Z2" s="66">
        <v>45128</v>
      </c>
      <c r="AA2" s="66">
        <v>45129</v>
      </c>
      <c r="AB2" s="66">
        <v>45130</v>
      </c>
      <c r="AC2" s="66">
        <v>45131</v>
      </c>
      <c r="AD2" s="66">
        <v>45132</v>
      </c>
      <c r="AE2" s="66">
        <v>45133</v>
      </c>
      <c r="AF2" s="66">
        <v>45134</v>
      </c>
      <c r="AG2" s="66">
        <v>45135</v>
      </c>
      <c r="AH2" s="66">
        <v>45136</v>
      </c>
      <c r="AI2" s="66">
        <v>45137</v>
      </c>
      <c r="AJ2" s="66">
        <v>45138</v>
      </c>
      <c r="AK2" s="66">
        <v>45139</v>
      </c>
      <c r="AL2" s="66">
        <v>45140</v>
      </c>
      <c r="AM2" s="66">
        <v>45141</v>
      </c>
      <c r="AN2" s="66">
        <v>45142</v>
      </c>
      <c r="AO2" s="66">
        <v>45143</v>
      </c>
      <c r="AP2" s="66">
        <v>45144</v>
      </c>
      <c r="AQ2" s="66">
        <v>45145</v>
      </c>
    </row>
    <row r="3" spans="1:43" ht="19.25" customHeight="1">
      <c r="A3" s="203" t="s">
        <v>1440</v>
      </c>
      <c r="B3" s="52" t="s">
        <v>1441</v>
      </c>
      <c r="C3" s="52">
        <f>SUM(F3:O3)</f>
        <v>38842</v>
      </c>
      <c r="D3" s="52"/>
      <c r="E3" s="52"/>
      <c r="F3" s="52">
        <v>5407</v>
      </c>
      <c r="G3" s="52">
        <v>1074</v>
      </c>
      <c r="H3" s="54">
        <v>5072</v>
      </c>
      <c r="I3" s="52">
        <v>4958</v>
      </c>
      <c r="J3" s="52">
        <v>2815</v>
      </c>
      <c r="K3" s="54">
        <v>5246</v>
      </c>
      <c r="L3" s="52">
        <v>5083</v>
      </c>
      <c r="M3" s="52">
        <v>3904</v>
      </c>
      <c r="N3" s="53"/>
      <c r="O3" s="54">
        <v>5283</v>
      </c>
      <c r="P3" s="54">
        <v>2643</v>
      </c>
      <c r="Q3" s="54">
        <v>4045</v>
      </c>
      <c r="R3" s="54">
        <v>6223</v>
      </c>
      <c r="S3" s="54">
        <v>6526</v>
      </c>
      <c r="T3" s="54">
        <v>4655</v>
      </c>
      <c r="U3" s="54">
        <v>2200</v>
      </c>
      <c r="V3" s="54">
        <v>5582</v>
      </c>
      <c r="W3" s="54">
        <v>3187</v>
      </c>
      <c r="X3" s="54">
        <v>6864</v>
      </c>
      <c r="Y3" s="54">
        <v>6938</v>
      </c>
      <c r="Z3" s="54">
        <v>4630</v>
      </c>
      <c r="AA3" s="54">
        <v>2281</v>
      </c>
      <c r="AB3" s="54">
        <v>0</v>
      </c>
      <c r="AC3" s="54">
        <v>4069</v>
      </c>
      <c r="AD3" s="54">
        <v>4400</v>
      </c>
      <c r="AE3" s="54">
        <v>2900</v>
      </c>
      <c r="AF3" s="54">
        <v>5072</v>
      </c>
      <c r="AG3" s="54">
        <v>6634</v>
      </c>
      <c r="AH3" s="54">
        <v>4576</v>
      </c>
      <c r="AI3" s="54">
        <v>5568</v>
      </c>
      <c r="AJ3" s="54">
        <v>0</v>
      </c>
      <c r="AK3" s="54">
        <v>5071</v>
      </c>
      <c r="AL3" s="54">
        <v>2800</v>
      </c>
      <c r="AM3" s="54">
        <v>5340</v>
      </c>
      <c r="AN3" s="54">
        <v>5347</v>
      </c>
      <c r="AO3" s="54">
        <v>3607</v>
      </c>
      <c r="AP3" s="54">
        <v>0</v>
      </c>
      <c r="AQ3" s="54">
        <v>3306</v>
      </c>
    </row>
    <row r="4" spans="1:43" ht="19.25" customHeight="1">
      <c r="A4" s="203"/>
      <c r="B4" s="52" t="s">
        <v>1356</v>
      </c>
      <c r="C4" s="52">
        <f>SUM(F4:O4)</f>
        <v>41300</v>
      </c>
      <c r="D4" s="52"/>
      <c r="E4" s="52">
        <v>2100</v>
      </c>
      <c r="F4" s="54">
        <v>4400</v>
      </c>
      <c r="G4" s="54">
        <v>4200</v>
      </c>
      <c r="H4" s="54">
        <v>4200</v>
      </c>
      <c r="I4" s="54">
        <v>4200</v>
      </c>
      <c r="J4" s="54">
        <v>4200</v>
      </c>
      <c r="K4" s="54">
        <v>4200</v>
      </c>
      <c r="L4" s="54">
        <v>4200</v>
      </c>
      <c r="M4" s="54">
        <v>3900</v>
      </c>
      <c r="N4" s="54">
        <v>3900</v>
      </c>
      <c r="O4" s="54">
        <v>3900</v>
      </c>
      <c r="P4" s="54">
        <v>4500</v>
      </c>
      <c r="Q4" s="54">
        <v>4500</v>
      </c>
      <c r="R4" s="54">
        <v>4500</v>
      </c>
      <c r="S4" s="54">
        <v>4500</v>
      </c>
      <c r="T4" s="54">
        <v>4500</v>
      </c>
      <c r="U4" s="54">
        <v>4500</v>
      </c>
      <c r="V4" s="54">
        <v>4500</v>
      </c>
      <c r="W4" s="54">
        <v>4500</v>
      </c>
      <c r="X4" s="54">
        <v>4500</v>
      </c>
      <c r="Y4" s="54">
        <v>4500</v>
      </c>
      <c r="Z4" s="54">
        <v>4500</v>
      </c>
      <c r="AA4" s="54">
        <v>4500</v>
      </c>
      <c r="AB4" s="54">
        <v>4500</v>
      </c>
      <c r="AC4" s="54">
        <v>4500</v>
      </c>
      <c r="AD4" s="54">
        <v>4500</v>
      </c>
      <c r="AE4" s="54">
        <v>4500</v>
      </c>
      <c r="AF4" s="54">
        <v>4500</v>
      </c>
      <c r="AG4" s="54">
        <v>4500</v>
      </c>
      <c r="AH4" s="54">
        <v>4500</v>
      </c>
      <c r="AI4" s="54">
        <v>4500</v>
      </c>
      <c r="AJ4" s="54"/>
      <c r="AK4" s="54">
        <v>4500</v>
      </c>
      <c r="AL4" s="54">
        <v>4500</v>
      </c>
      <c r="AM4" s="54">
        <v>4500</v>
      </c>
      <c r="AN4" s="54">
        <v>4500</v>
      </c>
      <c r="AO4" s="54">
        <v>4500</v>
      </c>
      <c r="AP4" s="54">
        <v>4500</v>
      </c>
      <c r="AQ4" s="54">
        <v>4500</v>
      </c>
    </row>
    <row r="5" spans="1:43" ht="19.25" customHeight="1">
      <c r="A5" s="203"/>
      <c r="B5" s="52" t="s">
        <v>9</v>
      </c>
      <c r="C5" s="52">
        <f>SUM(F5:O5)</f>
        <v>61735</v>
      </c>
      <c r="D5" s="52">
        <v>2900</v>
      </c>
      <c r="E5" s="54">
        <f t="shared" ref="E5:O5" si="0">D5-E3+E4</f>
        <v>5000</v>
      </c>
      <c r="F5" s="54">
        <f t="shared" si="0"/>
        <v>3993</v>
      </c>
      <c r="G5" s="54">
        <f t="shared" si="0"/>
        <v>7119</v>
      </c>
      <c r="H5" s="54">
        <f t="shared" si="0"/>
        <v>6247</v>
      </c>
      <c r="I5" s="54">
        <f t="shared" si="0"/>
        <v>5489</v>
      </c>
      <c r="J5" s="54">
        <f t="shared" si="0"/>
        <v>6874</v>
      </c>
      <c r="K5" s="54">
        <f t="shared" si="0"/>
        <v>5828</v>
      </c>
      <c r="L5" s="54">
        <f t="shared" si="0"/>
        <v>4945</v>
      </c>
      <c r="M5" s="54">
        <f t="shared" si="0"/>
        <v>4941</v>
      </c>
      <c r="N5" s="54">
        <f t="shared" si="0"/>
        <v>8841</v>
      </c>
      <c r="O5" s="54">
        <f t="shared" si="0"/>
        <v>7458</v>
      </c>
      <c r="P5" s="54">
        <f t="shared" ref="P5:AQ5" si="1">O5-P3+P4</f>
        <v>9315</v>
      </c>
      <c r="Q5" s="54">
        <f t="shared" si="1"/>
        <v>9770</v>
      </c>
      <c r="R5" s="54">
        <f t="shared" si="1"/>
        <v>8047</v>
      </c>
      <c r="S5" s="54">
        <f t="shared" si="1"/>
        <v>6021</v>
      </c>
      <c r="T5" s="54">
        <f t="shared" si="1"/>
        <v>5866</v>
      </c>
      <c r="U5" s="54">
        <f t="shared" si="1"/>
        <v>8166</v>
      </c>
      <c r="V5" s="54">
        <f t="shared" si="1"/>
        <v>7084</v>
      </c>
      <c r="W5" s="54">
        <f t="shared" si="1"/>
        <v>8397</v>
      </c>
      <c r="X5" s="54">
        <f t="shared" si="1"/>
        <v>6033</v>
      </c>
      <c r="Y5" s="54">
        <f t="shared" si="1"/>
        <v>3595</v>
      </c>
      <c r="Z5" s="54">
        <f t="shared" si="1"/>
        <v>3465</v>
      </c>
      <c r="AA5" s="54">
        <f t="shared" si="1"/>
        <v>5684</v>
      </c>
      <c r="AB5" s="54">
        <f t="shared" si="1"/>
        <v>10184</v>
      </c>
      <c r="AC5" s="54">
        <f t="shared" si="1"/>
        <v>10615</v>
      </c>
      <c r="AD5" s="54">
        <f t="shared" si="1"/>
        <v>10715</v>
      </c>
      <c r="AE5" s="54">
        <f t="shared" si="1"/>
        <v>12315</v>
      </c>
      <c r="AF5" s="54">
        <f t="shared" si="1"/>
        <v>11743</v>
      </c>
      <c r="AG5" s="54">
        <f t="shared" si="1"/>
        <v>9609</v>
      </c>
      <c r="AH5" s="54">
        <f t="shared" si="1"/>
        <v>9533</v>
      </c>
      <c r="AI5" s="54">
        <f t="shared" si="1"/>
        <v>8465</v>
      </c>
      <c r="AJ5" s="54">
        <f t="shared" si="1"/>
        <v>8465</v>
      </c>
      <c r="AK5" s="54">
        <f t="shared" si="1"/>
        <v>7894</v>
      </c>
      <c r="AL5" s="54">
        <f t="shared" si="1"/>
        <v>9594</v>
      </c>
      <c r="AM5" s="54">
        <f t="shared" si="1"/>
        <v>8754</v>
      </c>
      <c r="AN5" s="54">
        <f t="shared" si="1"/>
        <v>7907</v>
      </c>
      <c r="AO5" s="54">
        <f t="shared" si="1"/>
        <v>8800</v>
      </c>
      <c r="AP5" s="54">
        <f t="shared" si="1"/>
        <v>13300</v>
      </c>
      <c r="AQ5" s="54">
        <f t="shared" si="1"/>
        <v>14494</v>
      </c>
    </row>
    <row r="6" spans="1:43" ht="19.25" customHeight="1">
      <c r="A6" s="203"/>
      <c r="B6" s="52" t="s">
        <v>1442</v>
      </c>
      <c r="C6" s="52">
        <f>SUM(F6:O6)</f>
        <v>20435</v>
      </c>
      <c r="D6" s="52">
        <v>2900</v>
      </c>
      <c r="E6" s="52">
        <v>5000</v>
      </c>
      <c r="F6" s="54">
        <f t="shared" ref="F6:O6" si="2">E5-F3</f>
        <v>-407</v>
      </c>
      <c r="G6" s="54">
        <f t="shared" si="2"/>
        <v>2919</v>
      </c>
      <c r="H6" s="54">
        <f t="shared" si="2"/>
        <v>2047</v>
      </c>
      <c r="I6" s="54">
        <f t="shared" si="2"/>
        <v>1289</v>
      </c>
      <c r="J6" s="54">
        <f t="shared" si="2"/>
        <v>2674</v>
      </c>
      <c r="K6" s="54">
        <f t="shared" si="2"/>
        <v>1628</v>
      </c>
      <c r="L6" s="54">
        <f t="shared" si="2"/>
        <v>745</v>
      </c>
      <c r="M6" s="54">
        <f t="shared" si="2"/>
        <v>1041</v>
      </c>
      <c r="N6" s="54">
        <f t="shared" si="2"/>
        <v>4941</v>
      </c>
      <c r="O6" s="54">
        <f t="shared" si="2"/>
        <v>3558</v>
      </c>
      <c r="P6" s="54">
        <f t="shared" ref="P6:AQ6" si="3">O5-P3</f>
        <v>4815</v>
      </c>
      <c r="Q6" s="54">
        <f t="shared" si="3"/>
        <v>5270</v>
      </c>
      <c r="R6" s="54">
        <f t="shared" si="3"/>
        <v>3547</v>
      </c>
      <c r="S6" s="54">
        <f t="shared" si="3"/>
        <v>1521</v>
      </c>
      <c r="T6" s="54">
        <f t="shared" si="3"/>
        <v>1366</v>
      </c>
      <c r="U6" s="54">
        <f t="shared" si="3"/>
        <v>3666</v>
      </c>
      <c r="V6" s="54">
        <f t="shared" si="3"/>
        <v>2584</v>
      </c>
      <c r="W6" s="54">
        <f t="shared" si="3"/>
        <v>3897</v>
      </c>
      <c r="X6" s="54">
        <f t="shared" si="3"/>
        <v>1533</v>
      </c>
      <c r="Y6" s="69">
        <f t="shared" si="3"/>
        <v>-905</v>
      </c>
      <c r="Z6" s="69">
        <f t="shared" si="3"/>
        <v>-1035</v>
      </c>
      <c r="AA6" s="54">
        <f t="shared" si="3"/>
        <v>1184</v>
      </c>
      <c r="AB6" s="54">
        <f t="shared" si="3"/>
        <v>5684</v>
      </c>
      <c r="AC6" s="54">
        <f t="shared" si="3"/>
        <v>6115</v>
      </c>
      <c r="AD6" s="54">
        <f t="shared" si="3"/>
        <v>6215</v>
      </c>
      <c r="AE6" s="54">
        <f t="shared" si="3"/>
        <v>7815</v>
      </c>
      <c r="AF6" s="54">
        <f t="shared" si="3"/>
        <v>7243</v>
      </c>
      <c r="AG6" s="54">
        <f t="shared" si="3"/>
        <v>5109</v>
      </c>
      <c r="AH6" s="54">
        <f t="shared" si="3"/>
        <v>5033</v>
      </c>
      <c r="AI6" s="54">
        <f t="shared" si="3"/>
        <v>3965</v>
      </c>
      <c r="AJ6" s="54">
        <f t="shared" si="3"/>
        <v>8465</v>
      </c>
      <c r="AK6" s="54">
        <f t="shared" si="3"/>
        <v>3394</v>
      </c>
      <c r="AL6" s="54">
        <f t="shared" si="3"/>
        <v>5094</v>
      </c>
      <c r="AM6" s="54">
        <f t="shared" si="3"/>
        <v>4254</v>
      </c>
      <c r="AN6" s="54">
        <f t="shared" si="3"/>
        <v>3407</v>
      </c>
      <c r="AO6" s="54">
        <f t="shared" si="3"/>
        <v>4300</v>
      </c>
      <c r="AP6" s="54">
        <f t="shared" si="3"/>
        <v>8800</v>
      </c>
      <c r="AQ6" s="54">
        <f t="shared" si="3"/>
        <v>9994</v>
      </c>
    </row>
    <row r="7" spans="1:43" ht="19.25" customHeight="1">
      <c r="A7" s="199" t="s">
        <v>1443</v>
      </c>
      <c r="B7" s="200"/>
      <c r="C7" s="200"/>
      <c r="D7" s="200"/>
      <c r="E7" s="200"/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  <c r="AA7" s="200"/>
      <c r="AB7" s="200"/>
      <c r="AC7" s="200"/>
    </row>
    <row r="8" spans="1:43" ht="19.25" customHeight="1">
      <c r="A8" s="65" t="s">
        <v>1439</v>
      </c>
      <c r="B8" s="65" t="s">
        <v>0</v>
      </c>
      <c r="C8" s="65" t="s">
        <v>1396</v>
      </c>
      <c r="D8" s="66">
        <v>45106</v>
      </c>
      <c r="E8" s="66">
        <v>45107</v>
      </c>
      <c r="F8" s="66">
        <v>45108</v>
      </c>
      <c r="G8" s="67">
        <v>45109</v>
      </c>
      <c r="H8" s="66">
        <v>45110</v>
      </c>
      <c r="I8" s="66">
        <v>45111</v>
      </c>
      <c r="J8" s="66">
        <v>45112</v>
      </c>
      <c r="K8" s="66">
        <v>45113</v>
      </c>
      <c r="L8" s="66">
        <v>45114</v>
      </c>
      <c r="M8" s="66">
        <v>45115</v>
      </c>
      <c r="N8" s="67">
        <v>45116</v>
      </c>
      <c r="O8" s="66">
        <v>45117</v>
      </c>
      <c r="P8" s="66">
        <v>45118</v>
      </c>
      <c r="Q8" s="66">
        <v>45119</v>
      </c>
      <c r="R8" s="66">
        <v>45120</v>
      </c>
      <c r="S8" s="66">
        <v>45121</v>
      </c>
      <c r="T8" s="66">
        <v>45122</v>
      </c>
      <c r="U8" s="66">
        <v>45123</v>
      </c>
      <c r="V8" s="66">
        <v>45124</v>
      </c>
      <c r="W8" s="66">
        <v>45125</v>
      </c>
      <c r="X8" s="66">
        <v>45126</v>
      </c>
      <c r="Y8" s="66">
        <v>45127</v>
      </c>
      <c r="Z8" s="66">
        <v>45128</v>
      </c>
      <c r="AA8" s="66">
        <v>45129</v>
      </c>
      <c r="AB8" s="66">
        <v>45130</v>
      </c>
      <c r="AC8" s="66">
        <v>45131</v>
      </c>
      <c r="AD8" s="66">
        <v>45132</v>
      </c>
      <c r="AE8" s="66">
        <v>45133</v>
      </c>
      <c r="AF8" s="66">
        <v>45134</v>
      </c>
      <c r="AG8" s="66">
        <v>45135</v>
      </c>
      <c r="AH8" s="66">
        <v>45136</v>
      </c>
      <c r="AI8" s="66">
        <v>45137</v>
      </c>
      <c r="AJ8" s="66">
        <v>45138</v>
      </c>
      <c r="AK8" s="66">
        <v>45139</v>
      </c>
      <c r="AL8" s="66">
        <v>45140</v>
      </c>
      <c r="AM8" s="66">
        <v>45141</v>
      </c>
      <c r="AN8" s="66">
        <v>45142</v>
      </c>
      <c r="AO8" s="66">
        <v>45143</v>
      </c>
      <c r="AP8" s="66">
        <v>45144</v>
      </c>
      <c r="AQ8" s="66">
        <v>45145</v>
      </c>
    </row>
    <row r="9" spans="1:43" ht="19.25" customHeight="1">
      <c r="A9" s="203" t="s">
        <v>1444</v>
      </c>
      <c r="B9" s="52" t="s">
        <v>1441</v>
      </c>
      <c r="C9" s="52">
        <f>SUM(F9:O9)</f>
        <v>50314</v>
      </c>
      <c r="D9" s="52"/>
      <c r="E9" s="52"/>
      <c r="F9" s="52">
        <v>8085</v>
      </c>
      <c r="G9" s="52"/>
      <c r="H9" s="52">
        <v>8053</v>
      </c>
      <c r="I9" s="52">
        <v>5806</v>
      </c>
      <c r="J9" s="52"/>
      <c r="K9" s="54">
        <v>8156</v>
      </c>
      <c r="L9" s="52">
        <v>4055</v>
      </c>
      <c r="M9" s="52">
        <v>8028</v>
      </c>
      <c r="N9" s="54"/>
      <c r="O9" s="54">
        <v>8131</v>
      </c>
      <c r="P9" s="54">
        <v>4561</v>
      </c>
      <c r="Q9" s="54">
        <v>8095</v>
      </c>
      <c r="R9" s="54">
        <v>3429</v>
      </c>
      <c r="S9" s="54">
        <v>5746</v>
      </c>
      <c r="T9" s="54">
        <v>8011</v>
      </c>
      <c r="U9" s="54">
        <v>0</v>
      </c>
      <c r="V9" s="54">
        <v>8060</v>
      </c>
      <c r="W9" s="54">
        <v>5235</v>
      </c>
      <c r="X9" s="54">
        <v>5643</v>
      </c>
      <c r="Y9" s="54">
        <v>6702</v>
      </c>
      <c r="Z9" s="54">
        <v>8185</v>
      </c>
      <c r="AA9" s="54">
        <v>8046</v>
      </c>
      <c r="AB9" s="54">
        <v>8000</v>
      </c>
      <c r="AC9" s="54">
        <v>8300</v>
      </c>
      <c r="AD9" s="54">
        <v>4135</v>
      </c>
      <c r="AE9" s="54">
        <v>7650</v>
      </c>
      <c r="AF9" s="54">
        <v>8085</v>
      </c>
      <c r="AG9" s="54">
        <v>8400</v>
      </c>
      <c r="AH9" s="54">
        <v>8400</v>
      </c>
      <c r="AI9" s="54">
        <v>8456</v>
      </c>
      <c r="AJ9" s="54">
        <v>0</v>
      </c>
      <c r="AK9" s="54">
        <v>3876</v>
      </c>
      <c r="AL9" s="54">
        <v>463</v>
      </c>
      <c r="AM9" s="54">
        <v>1856</v>
      </c>
      <c r="AN9" s="54">
        <v>4300</v>
      </c>
      <c r="AO9" s="54">
        <v>6890</v>
      </c>
      <c r="AP9" s="54">
        <v>0</v>
      </c>
      <c r="AQ9" s="54">
        <v>7486</v>
      </c>
    </row>
    <row r="10" spans="1:43" ht="19.25" customHeight="1">
      <c r="A10" s="203"/>
      <c r="B10" s="52" t="s">
        <v>1356</v>
      </c>
      <c r="C10" s="52">
        <f>SUM(F10:O10)</f>
        <v>50000</v>
      </c>
      <c r="D10" s="52"/>
      <c r="E10" s="52">
        <v>2500</v>
      </c>
      <c r="F10" s="54">
        <v>5000</v>
      </c>
      <c r="G10" s="54">
        <v>5000</v>
      </c>
      <c r="H10" s="54">
        <v>5000</v>
      </c>
      <c r="I10" s="54">
        <v>5000</v>
      </c>
      <c r="J10" s="54">
        <v>5000</v>
      </c>
      <c r="K10" s="54">
        <v>5000</v>
      </c>
      <c r="L10" s="54">
        <v>5000</v>
      </c>
      <c r="M10" s="54">
        <v>5000</v>
      </c>
      <c r="N10" s="54">
        <v>5000</v>
      </c>
      <c r="O10" s="54">
        <v>5000</v>
      </c>
      <c r="P10" s="54">
        <v>5000</v>
      </c>
      <c r="Q10" s="54">
        <v>5000</v>
      </c>
      <c r="R10" s="54">
        <v>5000</v>
      </c>
      <c r="S10" s="54">
        <v>5000</v>
      </c>
      <c r="T10" s="54">
        <v>5000</v>
      </c>
      <c r="U10" s="54">
        <v>5000</v>
      </c>
      <c r="V10" s="54">
        <v>5000</v>
      </c>
      <c r="W10" s="54">
        <v>5000</v>
      </c>
      <c r="X10" s="54">
        <v>5000</v>
      </c>
      <c r="Y10" s="54">
        <v>5000</v>
      </c>
      <c r="Z10" s="54">
        <v>5000</v>
      </c>
      <c r="AA10" s="54">
        <v>5000</v>
      </c>
      <c r="AB10" s="54">
        <v>5000</v>
      </c>
      <c r="AC10" s="54">
        <v>5000</v>
      </c>
      <c r="AD10" s="54">
        <v>5000</v>
      </c>
      <c r="AE10" s="54">
        <v>5000</v>
      </c>
      <c r="AF10" s="54">
        <v>5000</v>
      </c>
      <c r="AG10" s="54">
        <v>5000</v>
      </c>
      <c r="AH10" s="54">
        <v>5000</v>
      </c>
      <c r="AI10" s="54">
        <v>5000</v>
      </c>
      <c r="AJ10" s="54"/>
      <c r="AK10" s="54">
        <v>5000</v>
      </c>
      <c r="AL10" s="54">
        <v>5000</v>
      </c>
      <c r="AM10" s="54">
        <v>5000</v>
      </c>
      <c r="AN10" s="54">
        <v>5000</v>
      </c>
      <c r="AO10" s="54">
        <v>5000</v>
      </c>
      <c r="AP10" s="54">
        <v>5000</v>
      </c>
      <c r="AQ10" s="54">
        <v>5000</v>
      </c>
    </row>
    <row r="11" spans="1:43" ht="19.25" customHeight="1">
      <c r="A11" s="203"/>
      <c r="B11" s="52" t="s">
        <v>1445</v>
      </c>
      <c r="C11" s="52"/>
      <c r="D11" s="52"/>
      <c r="E11" s="52"/>
      <c r="F11" s="54"/>
      <c r="G11" s="54"/>
      <c r="H11" s="54"/>
      <c r="I11" s="54"/>
      <c r="J11" s="54"/>
      <c r="K11" s="54"/>
      <c r="L11" s="54"/>
      <c r="M11" s="54">
        <v>5000</v>
      </c>
      <c r="N11" s="54"/>
      <c r="O11" s="54"/>
      <c r="P11" s="54">
        <v>5000</v>
      </c>
      <c r="Q11" s="54"/>
      <c r="R11" s="54"/>
      <c r="S11" s="54"/>
      <c r="T11" s="54"/>
      <c r="U11" s="54">
        <v>5000</v>
      </c>
      <c r="V11" s="54"/>
      <c r="W11" s="54"/>
      <c r="X11" s="54"/>
      <c r="Y11" s="54">
        <v>5000</v>
      </c>
      <c r="Z11" s="54">
        <v>5000</v>
      </c>
      <c r="AA11" s="54"/>
      <c r="AB11" s="54"/>
      <c r="AC11" s="54">
        <v>3000</v>
      </c>
      <c r="AD11" s="54"/>
      <c r="AE11" s="54">
        <v>5000</v>
      </c>
      <c r="AF11" s="54"/>
      <c r="AG11" s="54">
        <v>2000</v>
      </c>
      <c r="AH11" s="54"/>
      <c r="AI11" s="54"/>
      <c r="AJ11" s="54"/>
      <c r="AK11" s="54"/>
      <c r="AL11" s="54"/>
      <c r="AM11" s="54"/>
      <c r="AN11" s="54"/>
      <c r="AO11" s="54"/>
      <c r="AP11" s="54"/>
      <c r="AQ11" s="54"/>
    </row>
    <row r="12" spans="1:43" ht="19.25" customHeight="1">
      <c r="A12" s="203"/>
      <c r="B12" s="68" t="s">
        <v>9</v>
      </c>
      <c r="C12" s="68">
        <f>SUM(F12:O12)</f>
        <v>66869</v>
      </c>
      <c r="D12" s="68">
        <v>2700</v>
      </c>
      <c r="E12" s="68">
        <f>D12+E10</f>
        <v>5200</v>
      </c>
      <c r="F12" s="68">
        <f>E12-F9+F10+F11</f>
        <v>2115</v>
      </c>
      <c r="G12" s="68">
        <f t="shared" ref="G12:AC12" si="4">F12-G9+G10+G11</f>
        <v>7115</v>
      </c>
      <c r="H12" s="68">
        <f t="shared" si="4"/>
        <v>4062</v>
      </c>
      <c r="I12" s="68">
        <f t="shared" si="4"/>
        <v>3256</v>
      </c>
      <c r="J12" s="68">
        <f t="shared" si="4"/>
        <v>8256</v>
      </c>
      <c r="K12" s="68">
        <f t="shared" si="4"/>
        <v>5100</v>
      </c>
      <c r="L12" s="68">
        <f t="shared" si="4"/>
        <v>6045</v>
      </c>
      <c r="M12" s="68">
        <f t="shared" si="4"/>
        <v>8017</v>
      </c>
      <c r="N12" s="68">
        <f t="shared" si="4"/>
        <v>13017</v>
      </c>
      <c r="O12" s="68">
        <f t="shared" si="4"/>
        <v>9886</v>
      </c>
      <c r="P12" s="68">
        <f t="shared" si="4"/>
        <v>15325</v>
      </c>
      <c r="Q12" s="68">
        <f t="shared" si="4"/>
        <v>12230</v>
      </c>
      <c r="R12" s="68">
        <f t="shared" si="4"/>
        <v>13801</v>
      </c>
      <c r="S12" s="68">
        <f t="shared" si="4"/>
        <v>13055</v>
      </c>
      <c r="T12" s="68">
        <f t="shared" si="4"/>
        <v>10044</v>
      </c>
      <c r="U12" s="68">
        <f t="shared" si="4"/>
        <v>20044</v>
      </c>
      <c r="V12" s="68">
        <f t="shared" si="4"/>
        <v>16984</v>
      </c>
      <c r="W12" s="68">
        <f t="shared" si="4"/>
        <v>16749</v>
      </c>
      <c r="X12" s="68">
        <f t="shared" si="4"/>
        <v>16106</v>
      </c>
      <c r="Y12" s="68">
        <f t="shared" si="4"/>
        <v>19404</v>
      </c>
      <c r="Z12" s="68">
        <f t="shared" si="4"/>
        <v>21219</v>
      </c>
      <c r="AA12" s="68">
        <f t="shared" si="4"/>
        <v>18173</v>
      </c>
      <c r="AB12" s="68">
        <f t="shared" si="4"/>
        <v>15173</v>
      </c>
      <c r="AC12" s="68">
        <f t="shared" si="4"/>
        <v>14873</v>
      </c>
      <c r="AD12" s="68">
        <f t="shared" ref="AD12:AQ12" si="5">AC12-AD9+AD10+AD11</f>
        <v>15738</v>
      </c>
      <c r="AE12" s="68">
        <f t="shared" si="5"/>
        <v>18088</v>
      </c>
      <c r="AF12" s="68">
        <f t="shared" si="5"/>
        <v>15003</v>
      </c>
      <c r="AG12" s="68">
        <f t="shared" si="5"/>
        <v>13603</v>
      </c>
      <c r="AH12" s="68">
        <f t="shared" si="5"/>
        <v>10203</v>
      </c>
      <c r="AI12" s="68">
        <f t="shared" si="5"/>
        <v>6747</v>
      </c>
      <c r="AJ12" s="68">
        <f t="shared" si="5"/>
        <v>6747</v>
      </c>
      <c r="AK12" s="68">
        <f t="shared" si="5"/>
        <v>7871</v>
      </c>
      <c r="AL12" s="68">
        <f t="shared" si="5"/>
        <v>12408</v>
      </c>
      <c r="AM12" s="68">
        <f t="shared" si="5"/>
        <v>15552</v>
      </c>
      <c r="AN12" s="68">
        <f t="shared" si="5"/>
        <v>16252</v>
      </c>
      <c r="AO12" s="68">
        <f t="shared" si="5"/>
        <v>14362</v>
      </c>
      <c r="AP12" s="68">
        <f t="shared" si="5"/>
        <v>19362</v>
      </c>
      <c r="AQ12" s="68">
        <f t="shared" si="5"/>
        <v>16876</v>
      </c>
    </row>
    <row r="13" spans="1:43" ht="19.25" customHeight="1">
      <c r="A13" s="203"/>
      <c r="B13" s="52" t="s">
        <v>1442</v>
      </c>
      <c r="C13" s="52">
        <f>SUM(F13:O13)</f>
        <v>11869</v>
      </c>
      <c r="D13" s="52">
        <v>2700</v>
      </c>
      <c r="E13" s="52">
        <v>5200</v>
      </c>
      <c r="F13" s="69">
        <f t="shared" ref="F13:O13" si="6">E12-F9</f>
        <v>-2885</v>
      </c>
      <c r="G13" s="54">
        <f t="shared" si="6"/>
        <v>2115</v>
      </c>
      <c r="H13" s="69">
        <f t="shared" si="6"/>
        <v>-938</v>
      </c>
      <c r="I13" s="69">
        <f t="shared" si="6"/>
        <v>-1744</v>
      </c>
      <c r="J13" s="54">
        <f t="shared" si="6"/>
        <v>3256</v>
      </c>
      <c r="K13" s="54">
        <f t="shared" si="6"/>
        <v>100</v>
      </c>
      <c r="L13" s="54">
        <f t="shared" si="6"/>
        <v>1045</v>
      </c>
      <c r="M13" s="69">
        <f t="shared" si="6"/>
        <v>-1983</v>
      </c>
      <c r="N13" s="54">
        <f t="shared" si="6"/>
        <v>8017</v>
      </c>
      <c r="O13" s="54">
        <f t="shared" si="6"/>
        <v>4886</v>
      </c>
      <c r="P13" s="54">
        <f t="shared" ref="P13:AQ13" si="7">O12-P9</f>
        <v>5325</v>
      </c>
      <c r="Q13" s="54">
        <f t="shared" si="7"/>
        <v>7230</v>
      </c>
      <c r="R13" s="54">
        <f t="shared" si="7"/>
        <v>8801</v>
      </c>
      <c r="S13" s="54">
        <f t="shared" si="7"/>
        <v>8055</v>
      </c>
      <c r="T13" s="54">
        <f t="shared" si="7"/>
        <v>5044</v>
      </c>
      <c r="U13" s="54">
        <f t="shared" si="7"/>
        <v>10044</v>
      </c>
      <c r="V13" s="54">
        <f t="shared" si="7"/>
        <v>11984</v>
      </c>
      <c r="W13" s="54">
        <f t="shared" si="7"/>
        <v>11749</v>
      </c>
      <c r="X13" s="54">
        <f t="shared" si="7"/>
        <v>11106</v>
      </c>
      <c r="Y13" s="54">
        <f t="shared" si="7"/>
        <v>9404</v>
      </c>
      <c r="Z13" s="54">
        <f t="shared" si="7"/>
        <v>11219</v>
      </c>
      <c r="AA13" s="54">
        <f t="shared" si="7"/>
        <v>13173</v>
      </c>
      <c r="AB13" s="54">
        <f t="shared" si="7"/>
        <v>10173</v>
      </c>
      <c r="AC13" s="54">
        <f t="shared" si="7"/>
        <v>6873</v>
      </c>
      <c r="AD13" s="54">
        <f t="shared" si="7"/>
        <v>10738</v>
      </c>
      <c r="AE13" s="54">
        <f t="shared" si="7"/>
        <v>8088</v>
      </c>
      <c r="AF13" s="54">
        <f t="shared" si="7"/>
        <v>10003</v>
      </c>
      <c r="AG13" s="69">
        <f t="shared" si="7"/>
        <v>6603</v>
      </c>
      <c r="AH13" s="69">
        <f t="shared" si="7"/>
        <v>5203</v>
      </c>
      <c r="AI13" s="69">
        <f t="shared" si="7"/>
        <v>1747</v>
      </c>
      <c r="AJ13" s="69">
        <f t="shared" si="7"/>
        <v>6747</v>
      </c>
      <c r="AK13" s="69">
        <f t="shared" si="7"/>
        <v>2871</v>
      </c>
      <c r="AL13" s="69">
        <f t="shared" si="7"/>
        <v>7408</v>
      </c>
      <c r="AM13" s="54">
        <f t="shared" si="7"/>
        <v>10552</v>
      </c>
      <c r="AN13" s="54">
        <f t="shared" si="7"/>
        <v>11252</v>
      </c>
      <c r="AO13" s="54">
        <f t="shared" si="7"/>
        <v>9362</v>
      </c>
      <c r="AP13" s="54">
        <f t="shared" si="7"/>
        <v>14362</v>
      </c>
      <c r="AQ13" s="54">
        <f t="shared" si="7"/>
        <v>11876</v>
      </c>
    </row>
    <row r="14" spans="1:43" ht="19.25" customHeight="1">
      <c r="A14" s="199" t="s">
        <v>1446</v>
      </c>
      <c r="B14" s="200"/>
      <c r="C14" s="200"/>
      <c r="D14" s="200"/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0"/>
      <c r="AA14" s="200"/>
      <c r="AB14" s="200"/>
      <c r="AC14" s="200"/>
    </row>
    <row r="15" spans="1:43" ht="19.25" customHeight="1">
      <c r="A15" s="65" t="s">
        <v>1439</v>
      </c>
      <c r="B15" s="65" t="s">
        <v>0</v>
      </c>
      <c r="C15" s="65" t="s">
        <v>1396</v>
      </c>
      <c r="D15" s="66">
        <v>45106</v>
      </c>
      <c r="E15" s="66">
        <v>45107</v>
      </c>
      <c r="F15" s="66">
        <v>45108</v>
      </c>
      <c r="G15" s="67">
        <v>45109</v>
      </c>
      <c r="H15" s="66">
        <v>45110</v>
      </c>
      <c r="I15" s="66">
        <v>45111</v>
      </c>
      <c r="J15" s="66">
        <v>45112</v>
      </c>
      <c r="K15" s="66">
        <v>45113</v>
      </c>
      <c r="L15" s="66">
        <v>45114</v>
      </c>
      <c r="M15" s="66">
        <v>45115</v>
      </c>
      <c r="N15" s="67">
        <v>45116</v>
      </c>
      <c r="O15" s="66">
        <v>45117</v>
      </c>
      <c r="P15" s="66">
        <v>45118</v>
      </c>
      <c r="Q15" s="66">
        <v>45119</v>
      </c>
      <c r="R15" s="66">
        <v>45120</v>
      </c>
      <c r="S15" s="66">
        <v>45121</v>
      </c>
      <c r="T15" s="66">
        <v>45122</v>
      </c>
      <c r="U15" s="66">
        <v>45123</v>
      </c>
      <c r="V15" s="66">
        <v>45124</v>
      </c>
      <c r="W15" s="66">
        <v>45125</v>
      </c>
      <c r="X15" s="66">
        <v>45126</v>
      </c>
      <c r="Y15" s="66">
        <v>45127</v>
      </c>
      <c r="Z15" s="66">
        <v>45128</v>
      </c>
      <c r="AA15" s="66">
        <v>45129</v>
      </c>
      <c r="AB15" s="66">
        <v>45130</v>
      </c>
      <c r="AC15" s="66">
        <v>45131</v>
      </c>
      <c r="AD15" s="66">
        <v>45132</v>
      </c>
      <c r="AE15" s="66">
        <v>45133</v>
      </c>
      <c r="AF15" s="66">
        <v>45134</v>
      </c>
      <c r="AG15" s="66">
        <v>45135</v>
      </c>
      <c r="AH15" s="66">
        <v>45136</v>
      </c>
      <c r="AI15" s="66">
        <v>45137</v>
      </c>
      <c r="AJ15" s="66">
        <v>45138</v>
      </c>
      <c r="AK15" s="66">
        <v>45139</v>
      </c>
      <c r="AL15" s="66">
        <v>45140</v>
      </c>
      <c r="AM15" s="66">
        <v>45141</v>
      </c>
      <c r="AN15" s="66">
        <v>45142</v>
      </c>
      <c r="AO15" s="66">
        <v>45143</v>
      </c>
      <c r="AP15" s="66">
        <v>45144</v>
      </c>
      <c r="AQ15" s="66">
        <v>45145</v>
      </c>
    </row>
    <row r="16" spans="1:43" ht="19.25" customHeight="1">
      <c r="A16" s="203">
        <v>21.65</v>
      </c>
      <c r="B16" s="52" t="s">
        <v>1447</v>
      </c>
      <c r="C16" s="52">
        <f t="shared" ref="C16:C22" si="8">SUM(F16:O16)</f>
        <v>148</v>
      </c>
      <c r="D16" s="54">
        <v>0</v>
      </c>
      <c r="E16" s="54">
        <v>0</v>
      </c>
      <c r="F16" s="52">
        <v>48</v>
      </c>
      <c r="G16" s="54">
        <v>0</v>
      </c>
      <c r="H16" s="54">
        <v>0</v>
      </c>
      <c r="I16" s="54">
        <v>0</v>
      </c>
      <c r="J16" s="54">
        <v>0</v>
      </c>
      <c r="K16" s="54">
        <v>0</v>
      </c>
      <c r="L16" s="54">
        <v>0</v>
      </c>
      <c r="M16" s="54">
        <v>0</v>
      </c>
      <c r="N16" s="54">
        <v>0</v>
      </c>
      <c r="O16" s="54">
        <v>100</v>
      </c>
      <c r="P16" s="54"/>
      <c r="Q16" s="54"/>
      <c r="R16" s="54"/>
      <c r="S16" s="54"/>
      <c r="T16" s="54"/>
      <c r="U16" s="54"/>
      <c r="V16" s="54"/>
      <c r="W16" s="54">
        <v>58</v>
      </c>
      <c r="X16" s="54"/>
      <c r="Y16" s="54"/>
      <c r="Z16" s="54"/>
      <c r="AA16" s="54"/>
      <c r="AB16" s="54"/>
      <c r="AC16" s="54"/>
      <c r="AD16" s="54">
        <v>50</v>
      </c>
      <c r="AE16" s="54">
        <v>0</v>
      </c>
      <c r="AF16" s="54">
        <v>0</v>
      </c>
      <c r="AG16" s="54">
        <v>0</v>
      </c>
      <c r="AH16" s="54">
        <v>0</v>
      </c>
      <c r="AI16" s="54">
        <v>0</v>
      </c>
      <c r="AJ16" s="54">
        <v>0</v>
      </c>
      <c r="AK16" s="54">
        <v>0</v>
      </c>
      <c r="AL16" s="54">
        <v>0</v>
      </c>
      <c r="AM16" s="54">
        <v>0</v>
      </c>
      <c r="AN16" s="54">
        <v>0</v>
      </c>
      <c r="AO16" s="54">
        <v>0</v>
      </c>
      <c r="AP16" s="54">
        <v>0</v>
      </c>
      <c r="AQ16" s="54">
        <v>0</v>
      </c>
    </row>
    <row r="17" spans="1:50" ht="19.25" customHeight="1">
      <c r="A17" s="203"/>
      <c r="B17" s="52" t="s">
        <v>1448</v>
      </c>
      <c r="C17" s="52">
        <f t="shared" si="8"/>
        <v>4400</v>
      </c>
      <c r="D17" s="54">
        <v>0</v>
      </c>
      <c r="E17" s="54">
        <v>0</v>
      </c>
      <c r="F17" s="54">
        <v>0</v>
      </c>
      <c r="G17" s="52">
        <v>1700</v>
      </c>
      <c r="H17" s="54">
        <v>0</v>
      </c>
      <c r="I17" s="54">
        <v>0</v>
      </c>
      <c r="J17" s="54">
        <v>0</v>
      </c>
      <c r="K17" s="54">
        <v>0</v>
      </c>
      <c r="L17" s="52">
        <v>500</v>
      </c>
      <c r="M17" s="54">
        <v>0</v>
      </c>
      <c r="N17" s="54">
        <v>0</v>
      </c>
      <c r="O17" s="54">
        <v>2200</v>
      </c>
      <c r="P17" s="54"/>
      <c r="Q17" s="54">
        <v>1700</v>
      </c>
      <c r="R17" s="54"/>
      <c r="S17" s="54"/>
      <c r="T17" s="54"/>
      <c r="U17" s="54"/>
      <c r="V17" s="54"/>
      <c r="W17" s="54"/>
      <c r="X17" s="54"/>
      <c r="Y17" s="54"/>
      <c r="Z17" s="54"/>
      <c r="AA17" s="54">
        <v>1000</v>
      </c>
      <c r="AB17" s="54"/>
      <c r="AC17" s="54">
        <v>800</v>
      </c>
      <c r="AD17" s="54">
        <v>0</v>
      </c>
      <c r="AE17" s="54">
        <v>1300</v>
      </c>
      <c r="AF17" s="54">
        <v>400</v>
      </c>
      <c r="AG17" s="54">
        <v>0</v>
      </c>
      <c r="AH17" s="54">
        <v>0</v>
      </c>
      <c r="AI17" s="54">
        <v>0</v>
      </c>
      <c r="AJ17" s="54">
        <v>0</v>
      </c>
      <c r="AK17" s="54">
        <v>0</v>
      </c>
      <c r="AL17" s="54">
        <v>0</v>
      </c>
      <c r="AM17" s="54">
        <v>100</v>
      </c>
      <c r="AN17" s="54">
        <v>100</v>
      </c>
      <c r="AO17" s="54">
        <v>600</v>
      </c>
      <c r="AP17" s="54">
        <v>0</v>
      </c>
      <c r="AQ17" s="54">
        <v>0</v>
      </c>
    </row>
    <row r="18" spans="1:50" ht="19.25" customHeight="1">
      <c r="A18" s="203"/>
      <c r="B18" s="52" t="s">
        <v>1449</v>
      </c>
      <c r="C18" s="52">
        <f t="shared" si="8"/>
        <v>2110</v>
      </c>
      <c r="D18" s="54">
        <v>0</v>
      </c>
      <c r="E18" s="54">
        <v>0</v>
      </c>
      <c r="F18" s="52">
        <v>1000</v>
      </c>
      <c r="G18" s="52">
        <v>300</v>
      </c>
      <c r="H18" s="54">
        <v>0</v>
      </c>
      <c r="I18" s="54">
        <v>0</v>
      </c>
      <c r="J18" s="52">
        <v>610</v>
      </c>
      <c r="K18" s="54">
        <v>0</v>
      </c>
      <c r="L18" s="52">
        <v>200</v>
      </c>
      <c r="M18" s="54">
        <v>0</v>
      </c>
      <c r="N18" s="54">
        <v>0</v>
      </c>
      <c r="O18" s="54">
        <v>0</v>
      </c>
      <c r="P18" s="54">
        <v>104</v>
      </c>
      <c r="Q18" s="54">
        <v>10</v>
      </c>
      <c r="R18" s="54"/>
      <c r="S18" s="54"/>
      <c r="T18" s="54"/>
      <c r="U18" s="54"/>
      <c r="V18" s="54"/>
      <c r="W18" s="54">
        <v>1200</v>
      </c>
      <c r="X18" s="54"/>
      <c r="Y18" s="54"/>
      <c r="Z18" s="54"/>
      <c r="AA18" s="54">
        <v>50</v>
      </c>
      <c r="AB18" s="54"/>
      <c r="AC18" s="54"/>
      <c r="AD18" s="54">
        <v>710</v>
      </c>
      <c r="AE18" s="54">
        <v>0</v>
      </c>
      <c r="AF18" s="54">
        <v>0</v>
      </c>
      <c r="AG18" s="54">
        <v>0</v>
      </c>
      <c r="AH18" s="54">
        <v>0</v>
      </c>
      <c r="AI18" s="54">
        <v>0</v>
      </c>
      <c r="AJ18" s="54">
        <v>0</v>
      </c>
      <c r="AK18" s="54">
        <v>0</v>
      </c>
      <c r="AL18" s="54">
        <v>0</v>
      </c>
      <c r="AM18" s="54">
        <v>400</v>
      </c>
      <c r="AN18" s="54">
        <v>400</v>
      </c>
      <c r="AO18" s="54">
        <v>0</v>
      </c>
      <c r="AP18" s="54">
        <v>0</v>
      </c>
      <c r="AQ18" s="54">
        <v>0</v>
      </c>
    </row>
    <row r="19" spans="1:50" ht="19.25" customHeight="1">
      <c r="A19" s="203"/>
      <c r="B19" s="52" t="s">
        <v>28</v>
      </c>
      <c r="C19" s="52">
        <f t="shared" si="8"/>
        <v>58836</v>
      </c>
      <c r="D19" s="54">
        <v>0</v>
      </c>
      <c r="E19" s="54">
        <v>0</v>
      </c>
      <c r="F19" s="52">
        <v>7685</v>
      </c>
      <c r="G19" s="52">
        <v>1156</v>
      </c>
      <c r="H19" s="52">
        <v>8053</v>
      </c>
      <c r="I19" s="52">
        <v>5822</v>
      </c>
      <c r="J19" s="52">
        <v>7000</v>
      </c>
      <c r="K19" s="54">
        <v>7058</v>
      </c>
      <c r="L19" s="52">
        <v>7552</v>
      </c>
      <c r="M19" s="52">
        <v>8028</v>
      </c>
      <c r="N19" s="54">
        <v>0</v>
      </c>
      <c r="O19" s="54">
        <v>6482</v>
      </c>
      <c r="P19" s="54">
        <v>5768</v>
      </c>
      <c r="Q19" s="54">
        <v>4936</v>
      </c>
      <c r="R19" s="54">
        <v>5429</v>
      </c>
      <c r="S19" s="54">
        <v>7530</v>
      </c>
      <c r="T19" s="54">
        <v>12261</v>
      </c>
      <c r="U19" s="54">
        <v>0</v>
      </c>
      <c r="V19" s="54">
        <v>8760</v>
      </c>
      <c r="W19" s="54">
        <v>1735</v>
      </c>
      <c r="X19" s="54">
        <v>5643</v>
      </c>
      <c r="Y19" s="54">
        <v>6902</v>
      </c>
      <c r="Z19" s="54">
        <v>3210</v>
      </c>
      <c r="AA19" s="54">
        <v>3749</v>
      </c>
      <c r="AB19" s="54">
        <v>0</v>
      </c>
      <c r="AC19" s="54">
        <v>4173</v>
      </c>
      <c r="AD19" s="54">
        <v>0</v>
      </c>
      <c r="AE19" s="54">
        <v>5850</v>
      </c>
      <c r="AF19" s="54">
        <v>8085</v>
      </c>
      <c r="AG19" s="54">
        <v>8400</v>
      </c>
      <c r="AH19" s="54">
        <v>8400</v>
      </c>
      <c r="AI19" s="54">
        <v>6456</v>
      </c>
      <c r="AJ19" s="54">
        <v>0</v>
      </c>
      <c r="AK19" s="54">
        <v>2976</v>
      </c>
      <c r="AL19" s="54">
        <v>463</v>
      </c>
      <c r="AM19" s="54">
        <v>1856</v>
      </c>
      <c r="AN19" s="54">
        <v>4300</v>
      </c>
      <c r="AO19" s="54">
        <v>5600</v>
      </c>
      <c r="AP19" s="54">
        <v>0</v>
      </c>
      <c r="AQ19" s="54">
        <v>7486</v>
      </c>
    </row>
    <row r="20" spans="1:50" ht="19.25" customHeight="1">
      <c r="A20" s="203"/>
      <c r="B20" s="52" t="s">
        <v>29</v>
      </c>
      <c r="C20" s="52">
        <f t="shared" si="8"/>
        <v>6233</v>
      </c>
      <c r="D20" s="54">
        <v>0</v>
      </c>
      <c r="E20" s="54">
        <v>0</v>
      </c>
      <c r="F20" s="52">
        <v>0</v>
      </c>
      <c r="G20" s="52">
        <v>1074</v>
      </c>
      <c r="H20" s="54">
        <v>0</v>
      </c>
      <c r="I20" s="54">
        <v>0</v>
      </c>
      <c r="J20" s="54">
        <v>0</v>
      </c>
      <c r="K20" s="54">
        <v>1318</v>
      </c>
      <c r="L20" s="52">
        <v>2386</v>
      </c>
      <c r="M20" s="52">
        <v>1455</v>
      </c>
      <c r="N20" s="54">
        <v>0</v>
      </c>
      <c r="O20" s="54">
        <v>0</v>
      </c>
      <c r="P20" s="54">
        <v>286</v>
      </c>
      <c r="Q20" s="54">
        <v>293</v>
      </c>
      <c r="R20" s="54">
        <v>404</v>
      </c>
      <c r="S20" s="54">
        <v>259</v>
      </c>
      <c r="T20" s="54">
        <v>0</v>
      </c>
      <c r="U20" s="54">
        <v>0</v>
      </c>
      <c r="V20" s="54">
        <v>400</v>
      </c>
      <c r="W20" s="54">
        <v>1187</v>
      </c>
      <c r="X20" s="54">
        <v>964</v>
      </c>
      <c r="Y20" s="54">
        <v>971</v>
      </c>
      <c r="Z20" s="54">
        <v>95</v>
      </c>
      <c r="AA20" s="54">
        <v>624</v>
      </c>
      <c r="AB20" s="54">
        <v>0</v>
      </c>
      <c r="AC20" s="54">
        <v>300</v>
      </c>
      <c r="AD20" s="54">
        <v>1331</v>
      </c>
      <c r="AE20" s="54">
        <v>200</v>
      </c>
      <c r="AF20" s="54">
        <v>744</v>
      </c>
      <c r="AG20" s="54">
        <v>1514</v>
      </c>
      <c r="AH20" s="54">
        <v>0</v>
      </c>
      <c r="AI20" s="54">
        <v>0</v>
      </c>
      <c r="AJ20" s="54">
        <v>0</v>
      </c>
      <c r="AK20" s="54">
        <v>0</v>
      </c>
      <c r="AL20" s="54">
        <v>253</v>
      </c>
      <c r="AM20" s="54">
        <v>400</v>
      </c>
      <c r="AN20" s="54">
        <v>0</v>
      </c>
      <c r="AO20" s="54">
        <v>709</v>
      </c>
      <c r="AP20" s="54">
        <v>0</v>
      </c>
      <c r="AQ20" s="54">
        <v>0</v>
      </c>
    </row>
    <row r="21" spans="1:50" ht="19.25" customHeight="1">
      <c r="A21" s="203"/>
      <c r="B21" s="68" t="s">
        <v>1450</v>
      </c>
      <c r="C21" s="68">
        <f t="shared" si="8"/>
        <v>80070</v>
      </c>
      <c r="D21" s="68">
        <v>0</v>
      </c>
      <c r="E21" s="68">
        <v>0</v>
      </c>
      <c r="F21" s="68">
        <f t="shared" ref="F21:AQ21" si="9">F16+F17+F18*2+F19+F20*2</f>
        <v>9733</v>
      </c>
      <c r="G21" s="68">
        <f t="shared" si="9"/>
        <v>5604</v>
      </c>
      <c r="H21" s="68">
        <f t="shared" si="9"/>
        <v>8053</v>
      </c>
      <c r="I21" s="68">
        <f t="shared" si="9"/>
        <v>5822</v>
      </c>
      <c r="J21" s="68">
        <f t="shared" si="9"/>
        <v>8220</v>
      </c>
      <c r="K21" s="68">
        <f t="shared" si="9"/>
        <v>9694</v>
      </c>
      <c r="L21" s="68">
        <f t="shared" si="9"/>
        <v>13224</v>
      </c>
      <c r="M21" s="68">
        <f t="shared" si="9"/>
        <v>10938</v>
      </c>
      <c r="N21" s="68">
        <f t="shared" si="9"/>
        <v>0</v>
      </c>
      <c r="O21" s="68">
        <f t="shared" si="9"/>
        <v>8782</v>
      </c>
      <c r="P21" s="68">
        <f t="shared" si="9"/>
        <v>6548</v>
      </c>
      <c r="Q21" s="68">
        <f t="shared" si="9"/>
        <v>7242</v>
      </c>
      <c r="R21" s="68">
        <f t="shared" si="9"/>
        <v>6237</v>
      </c>
      <c r="S21" s="68">
        <f t="shared" si="9"/>
        <v>8048</v>
      </c>
      <c r="T21" s="68">
        <f t="shared" si="9"/>
        <v>12261</v>
      </c>
      <c r="U21" s="68">
        <f t="shared" si="9"/>
        <v>0</v>
      </c>
      <c r="V21" s="68">
        <f t="shared" si="9"/>
        <v>9560</v>
      </c>
      <c r="W21" s="68">
        <f t="shared" si="9"/>
        <v>6567</v>
      </c>
      <c r="X21" s="68">
        <f t="shared" si="9"/>
        <v>7571</v>
      </c>
      <c r="Y21" s="68">
        <f t="shared" si="9"/>
        <v>8844</v>
      </c>
      <c r="Z21" s="68">
        <f t="shared" si="9"/>
        <v>3400</v>
      </c>
      <c r="AA21" s="68">
        <f t="shared" si="9"/>
        <v>6097</v>
      </c>
      <c r="AB21" s="68">
        <f t="shared" si="9"/>
        <v>0</v>
      </c>
      <c r="AC21" s="68">
        <f t="shared" si="9"/>
        <v>5573</v>
      </c>
      <c r="AD21" s="68">
        <f t="shared" si="9"/>
        <v>4132</v>
      </c>
      <c r="AE21" s="68">
        <f t="shared" si="9"/>
        <v>7550</v>
      </c>
      <c r="AF21" s="68">
        <f t="shared" si="9"/>
        <v>9973</v>
      </c>
      <c r="AG21" s="68">
        <f t="shared" si="9"/>
        <v>11428</v>
      </c>
      <c r="AH21" s="68">
        <f t="shared" si="9"/>
        <v>8400</v>
      </c>
      <c r="AI21" s="68">
        <f t="shared" si="9"/>
        <v>6456</v>
      </c>
      <c r="AJ21" s="68">
        <f t="shared" si="9"/>
        <v>0</v>
      </c>
      <c r="AK21" s="68">
        <f t="shared" si="9"/>
        <v>2976</v>
      </c>
      <c r="AL21" s="68">
        <f t="shared" si="9"/>
        <v>969</v>
      </c>
      <c r="AM21" s="68">
        <f t="shared" si="9"/>
        <v>3556</v>
      </c>
      <c r="AN21" s="68">
        <f t="shared" si="9"/>
        <v>5200</v>
      </c>
      <c r="AO21" s="68">
        <f t="shared" si="9"/>
        <v>7618</v>
      </c>
      <c r="AP21" s="68">
        <f t="shared" si="9"/>
        <v>0</v>
      </c>
      <c r="AQ21" s="68">
        <f t="shared" si="9"/>
        <v>7486</v>
      </c>
    </row>
    <row r="22" spans="1:50" ht="19.25" customHeight="1">
      <c r="A22" s="203"/>
      <c r="B22" s="52" t="s">
        <v>1356</v>
      </c>
      <c r="C22" s="52">
        <f t="shared" si="8"/>
        <v>70000</v>
      </c>
      <c r="D22" s="52">
        <v>0</v>
      </c>
      <c r="E22" s="52">
        <v>3500</v>
      </c>
      <c r="F22" s="54">
        <v>7000</v>
      </c>
      <c r="G22" s="54">
        <v>7000</v>
      </c>
      <c r="H22" s="54">
        <v>7000</v>
      </c>
      <c r="I22" s="54">
        <v>7000</v>
      </c>
      <c r="J22" s="54">
        <v>7000</v>
      </c>
      <c r="K22" s="54">
        <v>7000</v>
      </c>
      <c r="L22" s="54">
        <v>7000</v>
      </c>
      <c r="M22" s="54">
        <v>7000</v>
      </c>
      <c r="N22" s="54">
        <v>7000</v>
      </c>
      <c r="O22" s="54">
        <v>7000</v>
      </c>
      <c r="P22" s="54">
        <v>7000</v>
      </c>
      <c r="Q22" s="54">
        <v>7000</v>
      </c>
      <c r="R22" s="54">
        <v>7000</v>
      </c>
      <c r="S22" s="54">
        <v>7000</v>
      </c>
      <c r="T22" s="54">
        <v>7000</v>
      </c>
      <c r="U22" s="54">
        <v>7000</v>
      </c>
      <c r="V22" s="54">
        <v>7000</v>
      </c>
      <c r="W22" s="54">
        <v>7000</v>
      </c>
      <c r="X22" s="54">
        <v>7000</v>
      </c>
      <c r="Y22" s="54">
        <v>7000</v>
      </c>
      <c r="Z22" s="54">
        <v>7000</v>
      </c>
      <c r="AA22" s="54">
        <v>7000</v>
      </c>
      <c r="AB22" s="54">
        <v>7000</v>
      </c>
      <c r="AC22" s="54">
        <v>7000</v>
      </c>
      <c r="AD22" s="54">
        <v>7000</v>
      </c>
      <c r="AE22" s="54">
        <v>7000</v>
      </c>
      <c r="AF22" s="54">
        <v>7000</v>
      </c>
      <c r="AG22" s="54">
        <v>7000</v>
      </c>
      <c r="AH22" s="54">
        <v>7000</v>
      </c>
      <c r="AI22" s="54">
        <v>7000</v>
      </c>
      <c r="AJ22" s="54">
        <v>7000</v>
      </c>
      <c r="AK22" s="54">
        <v>7000</v>
      </c>
      <c r="AL22" s="54">
        <v>7000</v>
      </c>
      <c r="AM22" s="54">
        <v>7000</v>
      </c>
      <c r="AN22" s="54">
        <v>7000</v>
      </c>
      <c r="AO22" s="54">
        <v>7000</v>
      </c>
      <c r="AP22" s="54">
        <v>7000</v>
      </c>
      <c r="AQ22" s="54">
        <v>7000</v>
      </c>
    </row>
    <row r="23" spans="1:50" ht="19.25" customHeight="1">
      <c r="A23" s="203"/>
      <c r="B23" s="52" t="s">
        <v>1445</v>
      </c>
      <c r="C23" s="52"/>
      <c r="D23" s="52">
        <v>0</v>
      </c>
      <c r="E23" s="52">
        <v>0</v>
      </c>
      <c r="F23" s="54">
        <v>0</v>
      </c>
      <c r="G23" s="54">
        <v>3360</v>
      </c>
      <c r="H23" s="54">
        <v>3360</v>
      </c>
      <c r="I23" s="54"/>
      <c r="J23" s="53">
        <v>3360</v>
      </c>
      <c r="K23" s="54"/>
      <c r="L23" s="53">
        <v>3360</v>
      </c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</row>
    <row r="24" spans="1:50" ht="19.25" customHeight="1">
      <c r="A24" s="203"/>
      <c r="B24" s="68" t="s">
        <v>9</v>
      </c>
      <c r="C24" s="68">
        <f t="shared" ref="C24:C31" si="10">SUM(F24:O24)</f>
        <v>132494</v>
      </c>
      <c r="D24" s="68">
        <f>9700+1000*2</f>
        <v>11700</v>
      </c>
      <c r="E24" s="68">
        <v>10200</v>
      </c>
      <c r="F24" s="68">
        <f>E24-F21+F22</f>
        <v>7467</v>
      </c>
      <c r="G24" s="68">
        <f t="shared" ref="G24:O24" si="11">F24-G21+G22+G23</f>
        <v>12223</v>
      </c>
      <c r="H24" s="68">
        <f t="shared" si="11"/>
        <v>14530</v>
      </c>
      <c r="I24" s="68">
        <f t="shared" si="11"/>
        <v>15708</v>
      </c>
      <c r="J24" s="68">
        <f t="shared" si="11"/>
        <v>17848</v>
      </c>
      <c r="K24" s="68">
        <f t="shared" si="11"/>
        <v>15154</v>
      </c>
      <c r="L24" s="68">
        <f t="shared" si="11"/>
        <v>12290</v>
      </c>
      <c r="M24" s="68">
        <f t="shared" si="11"/>
        <v>8352</v>
      </c>
      <c r="N24" s="68">
        <f t="shared" si="11"/>
        <v>15352</v>
      </c>
      <c r="O24" s="68">
        <f t="shared" si="11"/>
        <v>13570</v>
      </c>
      <c r="P24" s="68">
        <f t="shared" ref="P24:AQ24" si="12">O24-P21+P22+P23</f>
        <v>14022</v>
      </c>
      <c r="Q24" s="68">
        <f t="shared" si="12"/>
        <v>13780</v>
      </c>
      <c r="R24" s="68">
        <f t="shared" si="12"/>
        <v>14543</v>
      </c>
      <c r="S24" s="68">
        <f t="shared" si="12"/>
        <v>13495</v>
      </c>
      <c r="T24" s="68">
        <f t="shared" si="12"/>
        <v>8234</v>
      </c>
      <c r="U24" s="68">
        <f t="shared" si="12"/>
        <v>15234</v>
      </c>
      <c r="V24" s="68">
        <f t="shared" si="12"/>
        <v>12674</v>
      </c>
      <c r="W24" s="68">
        <f t="shared" si="12"/>
        <v>13107</v>
      </c>
      <c r="X24" s="68">
        <f t="shared" si="12"/>
        <v>12536</v>
      </c>
      <c r="Y24" s="68">
        <f t="shared" si="12"/>
        <v>10692</v>
      </c>
      <c r="Z24" s="68">
        <f t="shared" si="12"/>
        <v>14292</v>
      </c>
      <c r="AA24" s="68">
        <f t="shared" si="12"/>
        <v>15195</v>
      </c>
      <c r="AB24" s="68">
        <f t="shared" si="12"/>
        <v>22195</v>
      </c>
      <c r="AC24" s="68">
        <f t="shared" si="12"/>
        <v>23622</v>
      </c>
      <c r="AD24" s="68">
        <f t="shared" si="12"/>
        <v>26490</v>
      </c>
      <c r="AE24" s="68">
        <f t="shared" si="12"/>
        <v>25940</v>
      </c>
      <c r="AF24" s="68">
        <f t="shared" si="12"/>
        <v>22967</v>
      </c>
      <c r="AG24" s="68">
        <f t="shared" si="12"/>
        <v>18539</v>
      </c>
      <c r="AH24" s="68">
        <f t="shared" si="12"/>
        <v>17139</v>
      </c>
      <c r="AI24" s="68">
        <f t="shared" si="12"/>
        <v>17683</v>
      </c>
      <c r="AJ24" s="68">
        <f t="shared" si="12"/>
        <v>24683</v>
      </c>
      <c r="AK24" s="68">
        <f t="shared" si="12"/>
        <v>28707</v>
      </c>
      <c r="AL24" s="68">
        <f t="shared" si="12"/>
        <v>34738</v>
      </c>
      <c r="AM24" s="68">
        <f t="shared" si="12"/>
        <v>38182</v>
      </c>
      <c r="AN24" s="68">
        <f t="shared" si="12"/>
        <v>39982</v>
      </c>
      <c r="AO24" s="68">
        <f t="shared" si="12"/>
        <v>39364</v>
      </c>
      <c r="AP24" s="68">
        <f t="shared" si="12"/>
        <v>46364</v>
      </c>
      <c r="AQ24" s="68">
        <f t="shared" si="12"/>
        <v>45878</v>
      </c>
    </row>
    <row r="25" spans="1:50" ht="19.25" customHeight="1">
      <c r="A25" s="203"/>
      <c r="B25" s="52" t="s">
        <v>1442</v>
      </c>
      <c r="C25" s="52">
        <f t="shared" si="10"/>
        <v>49054</v>
      </c>
      <c r="D25" s="52">
        <v>11700</v>
      </c>
      <c r="E25" s="52">
        <v>10200</v>
      </c>
      <c r="F25" s="54">
        <f t="shared" ref="F25:O25" si="13">E24-F21</f>
        <v>467</v>
      </c>
      <c r="G25" s="54">
        <f t="shared" si="13"/>
        <v>1863</v>
      </c>
      <c r="H25" s="54">
        <f t="shared" si="13"/>
        <v>4170</v>
      </c>
      <c r="I25" s="54">
        <f t="shared" si="13"/>
        <v>8708</v>
      </c>
      <c r="J25" s="54">
        <f t="shared" si="13"/>
        <v>7488</v>
      </c>
      <c r="K25" s="54">
        <f t="shared" si="13"/>
        <v>8154</v>
      </c>
      <c r="L25" s="69">
        <f t="shared" si="13"/>
        <v>1930</v>
      </c>
      <c r="M25" s="69">
        <f t="shared" si="13"/>
        <v>1352</v>
      </c>
      <c r="N25" s="54">
        <f t="shared" si="13"/>
        <v>8352</v>
      </c>
      <c r="O25" s="54">
        <f t="shared" si="13"/>
        <v>6570</v>
      </c>
      <c r="P25" s="54">
        <f t="shared" ref="P25:AQ25" si="14">O24-P21</f>
        <v>7022</v>
      </c>
      <c r="Q25" s="54">
        <f t="shared" si="14"/>
        <v>6780</v>
      </c>
      <c r="R25" s="54">
        <f t="shared" si="14"/>
        <v>7543</v>
      </c>
      <c r="S25" s="54">
        <f t="shared" si="14"/>
        <v>6495</v>
      </c>
      <c r="T25" s="54">
        <f t="shared" si="14"/>
        <v>1234</v>
      </c>
      <c r="U25" s="54">
        <f t="shared" si="14"/>
        <v>8234</v>
      </c>
      <c r="V25" s="54">
        <f t="shared" si="14"/>
        <v>5674</v>
      </c>
      <c r="W25" s="54">
        <f t="shared" si="14"/>
        <v>6107</v>
      </c>
      <c r="X25" s="54">
        <f t="shared" si="14"/>
        <v>5536</v>
      </c>
      <c r="Y25" s="54">
        <f t="shared" si="14"/>
        <v>3692</v>
      </c>
      <c r="Z25" s="54">
        <f t="shared" si="14"/>
        <v>7292</v>
      </c>
      <c r="AA25" s="54">
        <f t="shared" si="14"/>
        <v>8195</v>
      </c>
      <c r="AB25" s="54">
        <f t="shared" si="14"/>
        <v>15195</v>
      </c>
      <c r="AC25" s="54">
        <f t="shared" si="14"/>
        <v>16622</v>
      </c>
      <c r="AD25" s="54">
        <f t="shared" si="14"/>
        <v>19490</v>
      </c>
      <c r="AE25" s="54">
        <f t="shared" si="14"/>
        <v>18940</v>
      </c>
      <c r="AF25" s="54">
        <f t="shared" si="14"/>
        <v>15967</v>
      </c>
      <c r="AG25" s="54">
        <f t="shared" si="14"/>
        <v>11539</v>
      </c>
      <c r="AH25" s="54">
        <f t="shared" si="14"/>
        <v>10139</v>
      </c>
      <c r="AI25" s="54">
        <f t="shared" si="14"/>
        <v>10683</v>
      </c>
      <c r="AJ25" s="54">
        <f t="shared" si="14"/>
        <v>17683</v>
      </c>
      <c r="AK25" s="54">
        <f t="shared" si="14"/>
        <v>21707</v>
      </c>
      <c r="AL25" s="54">
        <f t="shared" si="14"/>
        <v>27738</v>
      </c>
      <c r="AM25" s="54">
        <f t="shared" si="14"/>
        <v>31182</v>
      </c>
      <c r="AN25" s="54">
        <f t="shared" si="14"/>
        <v>32982</v>
      </c>
      <c r="AO25" s="54">
        <f t="shared" si="14"/>
        <v>32364</v>
      </c>
      <c r="AP25" s="54">
        <f t="shared" si="14"/>
        <v>39364</v>
      </c>
      <c r="AQ25" s="54">
        <f t="shared" si="14"/>
        <v>38878</v>
      </c>
    </row>
    <row r="26" spans="1:50" ht="17" customHeight="1">
      <c r="A26" s="201" t="s">
        <v>1451</v>
      </c>
      <c r="B26" s="202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</row>
    <row r="27" spans="1:50" ht="19.25" customHeight="1">
      <c r="A27" s="65" t="s">
        <v>1439</v>
      </c>
      <c r="B27" s="65" t="s">
        <v>0</v>
      </c>
      <c r="C27" s="65" t="s">
        <v>1396</v>
      </c>
      <c r="D27" s="66">
        <v>45106</v>
      </c>
      <c r="E27" s="66">
        <v>45107</v>
      </c>
      <c r="F27" s="66">
        <v>45108</v>
      </c>
      <c r="G27" s="67">
        <v>45109</v>
      </c>
      <c r="H27" s="66">
        <v>45110</v>
      </c>
      <c r="I27" s="66">
        <v>45111</v>
      </c>
      <c r="J27" s="66">
        <v>45112</v>
      </c>
      <c r="K27" s="66">
        <v>45113</v>
      </c>
      <c r="L27" s="66">
        <v>45114</v>
      </c>
      <c r="M27" s="66">
        <v>45115</v>
      </c>
      <c r="N27" s="67">
        <v>45116</v>
      </c>
      <c r="O27" s="66">
        <v>45117</v>
      </c>
      <c r="P27" s="66">
        <v>45118</v>
      </c>
      <c r="Q27" s="66">
        <v>45119</v>
      </c>
      <c r="R27" s="66">
        <v>45120</v>
      </c>
      <c r="S27" s="66">
        <v>45121</v>
      </c>
      <c r="T27" s="66">
        <v>45122</v>
      </c>
      <c r="U27" s="66">
        <v>45123</v>
      </c>
      <c r="V27" s="66">
        <v>45124</v>
      </c>
      <c r="W27" s="66">
        <v>45125</v>
      </c>
      <c r="X27" s="66">
        <v>45126</v>
      </c>
      <c r="Y27" s="66">
        <v>45127</v>
      </c>
      <c r="Z27" s="66">
        <v>45128</v>
      </c>
      <c r="AA27" s="66">
        <v>45129</v>
      </c>
      <c r="AB27" s="66">
        <v>45130</v>
      </c>
      <c r="AC27" s="66">
        <v>45131</v>
      </c>
      <c r="AD27" s="66">
        <v>45132</v>
      </c>
      <c r="AE27" s="66">
        <v>45133</v>
      </c>
      <c r="AF27" s="66">
        <v>45134</v>
      </c>
      <c r="AG27" s="66">
        <v>45135</v>
      </c>
      <c r="AH27" s="66">
        <v>45136</v>
      </c>
      <c r="AI27" s="66">
        <v>45137</v>
      </c>
      <c r="AJ27" s="66">
        <v>45138</v>
      </c>
      <c r="AK27" s="66">
        <v>45139</v>
      </c>
      <c r="AL27" s="66">
        <v>45140</v>
      </c>
      <c r="AM27" s="66">
        <v>45141</v>
      </c>
      <c r="AN27" s="66">
        <v>45142</v>
      </c>
      <c r="AO27" s="66">
        <v>45143</v>
      </c>
      <c r="AP27" s="66">
        <v>45144</v>
      </c>
      <c r="AQ27" s="66">
        <v>45145</v>
      </c>
      <c r="AR27" s="66">
        <v>45146</v>
      </c>
      <c r="AS27" s="66">
        <v>45147</v>
      </c>
      <c r="AT27" s="66">
        <v>45148</v>
      </c>
      <c r="AU27" s="66">
        <v>45149</v>
      </c>
      <c r="AV27" s="66">
        <v>45150</v>
      </c>
      <c r="AW27" s="66">
        <v>45151</v>
      </c>
      <c r="AX27" s="66">
        <v>45152</v>
      </c>
    </row>
    <row r="28" spans="1:50" ht="19.25" customHeight="1">
      <c r="A28" s="203">
        <v>18.186</v>
      </c>
      <c r="B28" s="52" t="s">
        <v>29</v>
      </c>
      <c r="C28" s="52">
        <f t="shared" si="10"/>
        <v>49614</v>
      </c>
      <c r="D28" s="52"/>
      <c r="E28" s="52"/>
      <c r="F28" s="52">
        <v>6406</v>
      </c>
      <c r="G28" s="52">
        <v>3261</v>
      </c>
      <c r="H28" s="52">
        <v>4252</v>
      </c>
      <c r="I28" s="52">
        <v>5738</v>
      </c>
      <c r="J28" s="52">
        <v>6766</v>
      </c>
      <c r="K28" s="54">
        <v>7556</v>
      </c>
      <c r="L28" s="52">
        <v>4498</v>
      </c>
      <c r="M28" s="52">
        <v>5862</v>
      </c>
      <c r="N28" s="54"/>
      <c r="O28" s="54">
        <v>5275</v>
      </c>
      <c r="P28" s="54">
        <v>7680</v>
      </c>
      <c r="Q28" s="54">
        <v>5893</v>
      </c>
      <c r="R28" s="54">
        <v>5044</v>
      </c>
      <c r="S28" s="54">
        <v>4867</v>
      </c>
      <c r="T28" s="54">
        <v>2362</v>
      </c>
      <c r="U28" s="54">
        <v>0</v>
      </c>
      <c r="V28" s="54">
        <v>6552</v>
      </c>
      <c r="W28" s="54">
        <v>5107</v>
      </c>
      <c r="X28" s="54">
        <v>3377</v>
      </c>
      <c r="Y28" s="54">
        <v>5967</v>
      </c>
      <c r="Z28" s="54">
        <v>5470</v>
      </c>
      <c r="AA28" s="54">
        <v>4660</v>
      </c>
      <c r="AB28" s="54">
        <v>0</v>
      </c>
      <c r="AC28" s="54">
        <v>5076</v>
      </c>
      <c r="AD28" s="54">
        <v>5391</v>
      </c>
      <c r="AE28" s="54">
        <v>6407</v>
      </c>
      <c r="AF28" s="54">
        <v>6228</v>
      </c>
      <c r="AG28" s="54">
        <v>5120</v>
      </c>
      <c r="AH28" s="54">
        <v>6076</v>
      </c>
      <c r="AI28" s="54">
        <v>5568</v>
      </c>
      <c r="AJ28" s="54"/>
      <c r="AK28" s="54">
        <v>5071</v>
      </c>
      <c r="AL28" s="54">
        <v>6947</v>
      </c>
      <c r="AM28" s="54">
        <v>6540</v>
      </c>
      <c r="AN28" s="54">
        <v>7147</v>
      </c>
      <c r="AO28" s="54">
        <v>4098</v>
      </c>
      <c r="AP28" s="54"/>
      <c r="AQ28" s="54">
        <v>5006</v>
      </c>
      <c r="AR28" s="54">
        <v>3802</v>
      </c>
      <c r="AS28" s="54">
        <v>5110</v>
      </c>
      <c r="AT28" s="54">
        <v>4460</v>
      </c>
      <c r="AU28" s="54">
        <v>5550</v>
      </c>
      <c r="AV28" s="54">
        <v>0</v>
      </c>
      <c r="AW28" s="54"/>
      <c r="AX28" s="54">
        <v>6420</v>
      </c>
    </row>
    <row r="29" spans="1:50" ht="19.25" customHeight="1">
      <c r="A29" s="203"/>
      <c r="B29" s="52" t="s">
        <v>1356</v>
      </c>
      <c r="C29" s="52">
        <f t="shared" si="10"/>
        <v>52000</v>
      </c>
      <c r="D29" s="52"/>
      <c r="E29" s="52">
        <v>2600</v>
      </c>
      <c r="F29" s="54">
        <v>5200</v>
      </c>
      <c r="G29" s="54">
        <v>5200</v>
      </c>
      <c r="H29" s="54">
        <v>5200</v>
      </c>
      <c r="I29" s="54">
        <v>5200</v>
      </c>
      <c r="J29" s="54">
        <v>5200</v>
      </c>
      <c r="K29" s="54">
        <v>5200</v>
      </c>
      <c r="L29" s="54">
        <v>5200</v>
      </c>
      <c r="M29" s="54">
        <v>5200</v>
      </c>
      <c r="N29" s="54">
        <v>5200</v>
      </c>
      <c r="O29" s="54">
        <v>5200</v>
      </c>
      <c r="P29" s="54">
        <v>5200</v>
      </c>
      <c r="Q29" s="54">
        <v>5200</v>
      </c>
      <c r="R29" s="54">
        <v>5200</v>
      </c>
      <c r="S29" s="54">
        <v>5200</v>
      </c>
      <c r="T29" s="54">
        <v>5200</v>
      </c>
      <c r="U29" s="54">
        <v>5200</v>
      </c>
      <c r="V29" s="54">
        <v>5200</v>
      </c>
      <c r="W29" s="54">
        <v>5200</v>
      </c>
      <c r="X29" s="54">
        <v>5200</v>
      </c>
      <c r="Y29" s="54">
        <v>5200</v>
      </c>
      <c r="Z29" s="54">
        <v>5200</v>
      </c>
      <c r="AA29" s="54">
        <v>5200</v>
      </c>
      <c r="AB29" s="54">
        <v>5200</v>
      </c>
      <c r="AC29" s="54">
        <v>5200</v>
      </c>
      <c r="AD29" s="54">
        <v>5200</v>
      </c>
      <c r="AE29" s="54">
        <v>5200</v>
      </c>
      <c r="AF29" s="54">
        <v>5200</v>
      </c>
      <c r="AG29" s="54">
        <v>5200</v>
      </c>
      <c r="AH29" s="54">
        <v>5200</v>
      </c>
      <c r="AI29" s="54">
        <v>5200</v>
      </c>
      <c r="AJ29" s="54"/>
      <c r="AK29" s="54">
        <v>5200</v>
      </c>
      <c r="AL29" s="54">
        <v>5200</v>
      </c>
      <c r="AM29" s="54">
        <v>5200</v>
      </c>
      <c r="AN29" s="54">
        <v>5200</v>
      </c>
      <c r="AO29" s="54">
        <v>5200</v>
      </c>
      <c r="AP29" s="54">
        <v>5200</v>
      </c>
      <c r="AQ29" s="54">
        <v>5200</v>
      </c>
      <c r="AR29" s="54">
        <v>5200</v>
      </c>
      <c r="AS29" s="54">
        <v>5200</v>
      </c>
      <c r="AT29" s="54">
        <v>5200</v>
      </c>
      <c r="AU29" s="54">
        <v>5200</v>
      </c>
      <c r="AV29" s="54">
        <v>5200</v>
      </c>
      <c r="AW29" s="54">
        <v>5200</v>
      </c>
      <c r="AX29" s="54">
        <v>5200</v>
      </c>
    </row>
    <row r="30" spans="1:50" ht="19.25" customHeight="1">
      <c r="A30" s="203"/>
      <c r="B30" s="68" t="s">
        <v>9</v>
      </c>
      <c r="C30" s="68">
        <f t="shared" si="10"/>
        <v>40480</v>
      </c>
      <c r="D30" s="68">
        <v>1530</v>
      </c>
      <c r="E30" s="68">
        <f>D30+E29</f>
        <v>4130</v>
      </c>
      <c r="F30" s="68">
        <f t="shared" ref="F30:O30" si="15">E30-F28+F29</f>
        <v>2924</v>
      </c>
      <c r="G30" s="68">
        <f t="shared" si="15"/>
        <v>4863</v>
      </c>
      <c r="H30" s="68">
        <f t="shared" si="15"/>
        <v>5811</v>
      </c>
      <c r="I30" s="68">
        <f t="shared" si="15"/>
        <v>5273</v>
      </c>
      <c r="J30" s="68">
        <f t="shared" si="15"/>
        <v>3707</v>
      </c>
      <c r="K30" s="68">
        <f t="shared" si="15"/>
        <v>1351</v>
      </c>
      <c r="L30" s="68">
        <f t="shared" si="15"/>
        <v>2053</v>
      </c>
      <c r="M30" s="68">
        <f t="shared" si="15"/>
        <v>1391</v>
      </c>
      <c r="N30" s="68">
        <f t="shared" si="15"/>
        <v>6591</v>
      </c>
      <c r="O30" s="68">
        <f t="shared" si="15"/>
        <v>6516</v>
      </c>
      <c r="P30" s="68">
        <f t="shared" ref="P30:AI30" si="16">O30-P28+P29</f>
        <v>4036</v>
      </c>
      <c r="Q30" s="68">
        <f t="shared" si="16"/>
        <v>3343</v>
      </c>
      <c r="R30" s="68">
        <f t="shared" si="16"/>
        <v>3499</v>
      </c>
      <c r="S30" s="68">
        <f t="shared" si="16"/>
        <v>3832</v>
      </c>
      <c r="T30" s="68">
        <f t="shared" si="16"/>
        <v>6670</v>
      </c>
      <c r="U30" s="68">
        <f t="shared" si="16"/>
        <v>11870</v>
      </c>
      <c r="V30" s="68">
        <f t="shared" si="16"/>
        <v>10518</v>
      </c>
      <c r="W30" s="68">
        <f t="shared" si="16"/>
        <v>10611</v>
      </c>
      <c r="X30" s="68">
        <f t="shared" si="16"/>
        <v>12434</v>
      </c>
      <c r="Y30" s="68">
        <f t="shared" si="16"/>
        <v>11667</v>
      </c>
      <c r="Z30" s="68">
        <f t="shared" si="16"/>
        <v>11397</v>
      </c>
      <c r="AA30" s="68">
        <f t="shared" si="16"/>
        <v>11937</v>
      </c>
      <c r="AB30" s="68">
        <f t="shared" si="16"/>
        <v>17137</v>
      </c>
      <c r="AC30" s="68">
        <f t="shared" si="16"/>
        <v>17261</v>
      </c>
      <c r="AD30" s="68">
        <f t="shared" si="16"/>
        <v>17070</v>
      </c>
      <c r="AE30" s="68">
        <f t="shared" si="16"/>
        <v>15863</v>
      </c>
      <c r="AF30" s="68">
        <f t="shared" si="16"/>
        <v>14835</v>
      </c>
      <c r="AG30" s="68">
        <f t="shared" si="16"/>
        <v>14915</v>
      </c>
      <c r="AH30" s="68">
        <f t="shared" si="16"/>
        <v>14039</v>
      </c>
      <c r="AI30" s="68">
        <f t="shared" si="16"/>
        <v>13671</v>
      </c>
      <c r="AJ30" s="68">
        <v>3000</v>
      </c>
      <c r="AK30" s="68">
        <f t="shared" ref="AK30:AX30" si="17">AJ30-AK28+AK29</f>
        <v>3129</v>
      </c>
      <c r="AL30" s="68">
        <f t="shared" si="17"/>
        <v>1382</v>
      </c>
      <c r="AM30" s="68">
        <f t="shared" si="17"/>
        <v>42</v>
      </c>
      <c r="AN30" s="68">
        <f t="shared" si="17"/>
        <v>-1905</v>
      </c>
      <c r="AO30" s="68">
        <f t="shared" si="17"/>
        <v>-803</v>
      </c>
      <c r="AP30" s="68">
        <f t="shared" si="17"/>
        <v>4397</v>
      </c>
      <c r="AQ30" s="68">
        <f t="shared" si="17"/>
        <v>4591</v>
      </c>
      <c r="AR30" s="68">
        <f t="shared" si="17"/>
        <v>5989</v>
      </c>
      <c r="AS30" s="68">
        <f t="shared" si="17"/>
        <v>6079</v>
      </c>
      <c r="AT30" s="68">
        <f t="shared" si="17"/>
        <v>6819</v>
      </c>
      <c r="AU30" s="68">
        <f t="shared" si="17"/>
        <v>6469</v>
      </c>
      <c r="AV30" s="68">
        <f t="shared" si="17"/>
        <v>11669</v>
      </c>
      <c r="AW30" s="68">
        <f t="shared" si="17"/>
        <v>16869</v>
      </c>
      <c r="AX30" s="68">
        <f t="shared" si="17"/>
        <v>15649</v>
      </c>
    </row>
    <row r="31" spans="1:50" ht="19.25" customHeight="1">
      <c r="A31" s="203"/>
      <c r="B31" s="52" t="s">
        <v>1442</v>
      </c>
      <c r="C31" s="52">
        <f t="shared" si="10"/>
        <v>-11520</v>
      </c>
      <c r="D31" s="52">
        <v>1530</v>
      </c>
      <c r="E31" s="52">
        <v>4130</v>
      </c>
      <c r="F31" s="69">
        <f t="shared" ref="F31:O31" si="18">E30-F28</f>
        <v>-2276</v>
      </c>
      <c r="G31" s="69">
        <f t="shared" si="18"/>
        <v>-337</v>
      </c>
      <c r="H31" s="69">
        <f t="shared" si="18"/>
        <v>611</v>
      </c>
      <c r="I31" s="69">
        <f t="shared" si="18"/>
        <v>73</v>
      </c>
      <c r="J31" s="69">
        <f t="shared" si="18"/>
        <v>-1493</v>
      </c>
      <c r="K31" s="69">
        <f t="shared" si="18"/>
        <v>-3849</v>
      </c>
      <c r="L31" s="69">
        <f t="shared" si="18"/>
        <v>-3147</v>
      </c>
      <c r="M31" s="69">
        <f t="shared" si="18"/>
        <v>-3809</v>
      </c>
      <c r="N31" s="69">
        <f t="shared" si="18"/>
        <v>1391</v>
      </c>
      <c r="O31" s="54">
        <f t="shared" si="18"/>
        <v>1316</v>
      </c>
      <c r="P31" s="54">
        <f t="shared" ref="P31:AI31" si="19">O30-P28</f>
        <v>-1164</v>
      </c>
      <c r="Q31" s="54">
        <f t="shared" si="19"/>
        <v>-1857</v>
      </c>
      <c r="R31" s="54">
        <f t="shared" si="19"/>
        <v>-1701</v>
      </c>
      <c r="S31" s="54">
        <f t="shared" si="19"/>
        <v>-1368</v>
      </c>
      <c r="T31" s="54">
        <f t="shared" si="19"/>
        <v>1470</v>
      </c>
      <c r="U31" s="54">
        <f t="shared" si="19"/>
        <v>6670</v>
      </c>
      <c r="V31" s="54">
        <f t="shared" si="19"/>
        <v>5318</v>
      </c>
      <c r="W31" s="54">
        <f t="shared" si="19"/>
        <v>5411</v>
      </c>
      <c r="X31" s="54">
        <f t="shared" si="19"/>
        <v>7234</v>
      </c>
      <c r="Y31" s="54">
        <f t="shared" si="19"/>
        <v>6467</v>
      </c>
      <c r="Z31" s="54">
        <f t="shared" si="19"/>
        <v>6197</v>
      </c>
      <c r="AA31" s="54">
        <f t="shared" si="19"/>
        <v>6737</v>
      </c>
      <c r="AB31" s="54">
        <f t="shared" si="19"/>
        <v>11937</v>
      </c>
      <c r="AC31" s="54">
        <f t="shared" si="19"/>
        <v>12061</v>
      </c>
      <c r="AD31" s="54">
        <f t="shared" si="19"/>
        <v>11870</v>
      </c>
      <c r="AE31" s="54">
        <f t="shared" si="19"/>
        <v>10663</v>
      </c>
      <c r="AF31" s="54">
        <f t="shared" si="19"/>
        <v>9635</v>
      </c>
      <c r="AG31" s="54">
        <f t="shared" si="19"/>
        <v>9715</v>
      </c>
      <c r="AH31" s="54">
        <f t="shared" si="19"/>
        <v>8839</v>
      </c>
      <c r="AI31" s="54">
        <f t="shared" si="19"/>
        <v>8471</v>
      </c>
      <c r="AJ31" s="54"/>
      <c r="AK31" s="54">
        <f t="shared" ref="AK31:AX31" si="20">AJ30-AK28</f>
        <v>-2071</v>
      </c>
      <c r="AL31" s="54">
        <f t="shared" si="20"/>
        <v>-3818</v>
      </c>
      <c r="AM31" s="54">
        <f t="shared" si="20"/>
        <v>-5158</v>
      </c>
      <c r="AN31" s="54">
        <f t="shared" si="20"/>
        <v>-7105</v>
      </c>
      <c r="AO31" s="54">
        <f t="shared" si="20"/>
        <v>-6003</v>
      </c>
      <c r="AP31" s="54">
        <f t="shared" si="20"/>
        <v>-803</v>
      </c>
      <c r="AQ31" s="54">
        <f t="shared" si="20"/>
        <v>-609</v>
      </c>
      <c r="AR31" s="54">
        <f t="shared" si="20"/>
        <v>789</v>
      </c>
      <c r="AS31" s="54">
        <f t="shared" si="20"/>
        <v>879</v>
      </c>
      <c r="AT31" s="54">
        <f t="shared" si="20"/>
        <v>1619</v>
      </c>
      <c r="AU31" s="54">
        <f t="shared" si="20"/>
        <v>1269</v>
      </c>
      <c r="AV31" s="54">
        <f t="shared" si="20"/>
        <v>6469</v>
      </c>
      <c r="AW31" s="54">
        <f t="shared" si="20"/>
        <v>11669</v>
      </c>
      <c r="AX31" s="54">
        <f t="shared" si="20"/>
        <v>10449</v>
      </c>
    </row>
    <row r="33" spans="1:50">
      <c r="A33" s="65" t="s">
        <v>1439</v>
      </c>
      <c r="B33" s="65" t="s">
        <v>0</v>
      </c>
      <c r="AH33" s="65" t="s">
        <v>1439</v>
      </c>
      <c r="AI33" s="65" t="s">
        <v>0</v>
      </c>
      <c r="AJ33" s="66">
        <v>45138</v>
      </c>
      <c r="AK33" s="66">
        <v>45139</v>
      </c>
      <c r="AL33" s="66">
        <v>45140</v>
      </c>
      <c r="AM33" s="66">
        <v>45141</v>
      </c>
      <c r="AN33" s="66">
        <v>45142</v>
      </c>
      <c r="AO33" s="66">
        <v>45143</v>
      </c>
      <c r="AP33" s="66">
        <v>45144</v>
      </c>
      <c r="AQ33" s="66">
        <v>45145</v>
      </c>
      <c r="AR33" s="66">
        <v>45146</v>
      </c>
      <c r="AS33" s="66">
        <v>45147</v>
      </c>
      <c r="AT33" s="66">
        <v>45148</v>
      </c>
      <c r="AU33" s="66">
        <v>45149</v>
      </c>
      <c r="AV33" s="66">
        <v>45150</v>
      </c>
      <c r="AW33" s="66">
        <v>45151</v>
      </c>
      <c r="AX33" s="66">
        <v>45152</v>
      </c>
    </row>
    <row r="34" spans="1:50">
      <c r="A34" s="203">
        <v>18.186</v>
      </c>
      <c r="B34" s="52" t="s">
        <v>28</v>
      </c>
      <c r="AH34" s="203">
        <v>18.186</v>
      </c>
      <c r="AI34" s="52" t="s">
        <v>28</v>
      </c>
      <c r="AJ34" s="54"/>
      <c r="AK34" s="54"/>
      <c r="AL34" s="54">
        <v>3828</v>
      </c>
      <c r="AM34" s="54">
        <v>1771</v>
      </c>
      <c r="AN34" s="54">
        <v>0</v>
      </c>
      <c r="AO34" s="54">
        <v>1290</v>
      </c>
      <c r="AP34" s="54"/>
      <c r="AQ34" s="54">
        <v>906</v>
      </c>
      <c r="AR34" s="54">
        <v>3802</v>
      </c>
      <c r="AS34" s="54">
        <v>5110</v>
      </c>
      <c r="AT34" s="54">
        <v>6460</v>
      </c>
      <c r="AU34" s="54">
        <v>5550</v>
      </c>
      <c r="AV34" s="54">
        <v>2300</v>
      </c>
      <c r="AW34" s="54">
        <v>8320</v>
      </c>
      <c r="AX34" s="54"/>
    </row>
    <row r="35" spans="1:50">
      <c r="A35" s="203"/>
      <c r="B35" s="52" t="s">
        <v>1356</v>
      </c>
      <c r="AH35" s="203"/>
      <c r="AI35" s="52" t="s">
        <v>1356</v>
      </c>
      <c r="AJ35" s="54">
        <v>1500</v>
      </c>
      <c r="AK35" s="54">
        <v>1000</v>
      </c>
      <c r="AL35" s="54">
        <v>1000</v>
      </c>
      <c r="AM35" s="54">
        <v>1000</v>
      </c>
      <c r="AN35" s="54">
        <v>1000</v>
      </c>
      <c r="AO35" s="54">
        <v>1000</v>
      </c>
      <c r="AP35" s="54">
        <v>1000</v>
      </c>
      <c r="AQ35" s="54">
        <v>1000</v>
      </c>
      <c r="AR35" s="54">
        <v>1000</v>
      </c>
      <c r="AS35" s="54">
        <v>1000</v>
      </c>
      <c r="AT35" s="54">
        <v>1000</v>
      </c>
      <c r="AU35" s="54">
        <v>1000</v>
      </c>
      <c r="AV35" s="54">
        <v>1000</v>
      </c>
      <c r="AW35" s="54"/>
      <c r="AX35" s="54"/>
    </row>
    <row r="36" spans="1:50">
      <c r="A36" s="203"/>
      <c r="B36" s="68" t="s">
        <v>9</v>
      </c>
      <c r="AH36" s="203"/>
      <c r="AI36" s="68" t="s">
        <v>9</v>
      </c>
      <c r="AJ36" s="54">
        <v>1500</v>
      </c>
      <c r="AK36" s="54">
        <f>AJ36-AK34+AK35</f>
        <v>2500</v>
      </c>
      <c r="AL36" s="54">
        <f t="shared" ref="AL36:AV36" si="21">AK36-AL34+AL35</f>
        <v>-328</v>
      </c>
      <c r="AM36" s="54">
        <f t="shared" si="21"/>
        <v>-1099</v>
      </c>
      <c r="AN36" s="54">
        <f t="shared" si="21"/>
        <v>-99</v>
      </c>
      <c r="AO36" s="54">
        <f t="shared" si="21"/>
        <v>-389</v>
      </c>
      <c r="AP36" s="54">
        <f t="shared" si="21"/>
        <v>611</v>
      </c>
      <c r="AQ36" s="54">
        <f t="shared" si="21"/>
        <v>705</v>
      </c>
      <c r="AR36" s="54">
        <f t="shared" si="21"/>
        <v>-2097</v>
      </c>
      <c r="AS36" s="54">
        <f t="shared" si="21"/>
        <v>-6207</v>
      </c>
      <c r="AT36" s="54">
        <f t="shared" si="21"/>
        <v>-11667</v>
      </c>
      <c r="AU36" s="54">
        <f t="shared" si="21"/>
        <v>-16217</v>
      </c>
      <c r="AV36" s="54">
        <f t="shared" si="21"/>
        <v>-17517</v>
      </c>
      <c r="AW36" s="54"/>
      <c r="AX36" s="54"/>
    </row>
    <row r="37" spans="1:50">
      <c r="A37" s="203"/>
      <c r="B37" s="52" t="s">
        <v>1442</v>
      </c>
      <c r="AH37" s="203"/>
      <c r="AI37" s="52" t="s">
        <v>1442</v>
      </c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</row>
  </sheetData>
  <mergeCells count="10">
    <mergeCell ref="A28:A31"/>
    <mergeCell ref="A34:A37"/>
    <mergeCell ref="AH34:AH37"/>
    <mergeCell ref="A1:AC1"/>
    <mergeCell ref="A7:AC7"/>
    <mergeCell ref="A14:AC14"/>
    <mergeCell ref="A26:AC26"/>
    <mergeCell ref="A3:A6"/>
    <mergeCell ref="A9:A13"/>
    <mergeCell ref="A16:A25"/>
  </mergeCells>
  <phoneticPr fontId="1" type="noConversion"/>
  <pageMargins left="0.75" right="0.75" top="1" bottom="1" header="0.5" footer="0.5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1:WVQ30"/>
  <sheetViews>
    <sheetView workbookViewId="0">
      <selection activeCell="AH116" sqref="AH116"/>
    </sheetView>
  </sheetViews>
  <sheetFormatPr defaultColWidth="8.90625" defaultRowHeight="14"/>
  <cols>
    <col min="1" max="1" width="13.08984375" style="49" customWidth="1"/>
    <col min="2" max="2" width="11.453125" style="49" customWidth="1"/>
    <col min="3" max="3" width="8.90625" style="49"/>
    <col min="4" max="5" width="9.36328125" style="49" hidden="1" customWidth="1"/>
    <col min="6" max="9" width="8.90625" style="49" hidden="1" customWidth="1"/>
    <col min="10" max="256" width="8.90625" style="49"/>
    <col min="257" max="257" width="13.08984375" style="49" customWidth="1"/>
    <col min="258" max="258" width="11.453125" style="49" customWidth="1"/>
    <col min="259" max="259" width="8.90625" style="49"/>
    <col min="260" max="265" width="8.90625" style="49" hidden="1" customWidth="1"/>
    <col min="266" max="512" width="8.90625" style="49"/>
    <col min="513" max="513" width="13.08984375" style="49" customWidth="1"/>
    <col min="514" max="514" width="11.453125" style="49" customWidth="1"/>
    <col min="515" max="515" width="8.90625" style="49"/>
    <col min="516" max="521" width="8.90625" style="49" hidden="1" customWidth="1"/>
    <col min="522" max="768" width="8.90625" style="49"/>
    <col min="769" max="769" width="13.08984375" style="49" customWidth="1"/>
    <col min="770" max="770" width="11.453125" style="49" customWidth="1"/>
    <col min="771" max="771" width="8.90625" style="49"/>
    <col min="772" max="777" width="8.90625" style="49" hidden="1" customWidth="1"/>
    <col min="778" max="1024" width="8.90625" style="49"/>
    <col min="1025" max="1025" width="13.08984375" style="49" customWidth="1"/>
    <col min="1026" max="1026" width="11.453125" style="49" customWidth="1"/>
    <col min="1027" max="1027" width="8.90625" style="49"/>
    <col min="1028" max="1033" width="8.90625" style="49" hidden="1" customWidth="1"/>
    <col min="1034" max="1280" width="8.90625" style="49"/>
    <col min="1281" max="1281" width="13.08984375" style="49" customWidth="1"/>
    <col min="1282" max="1282" width="11.453125" style="49" customWidth="1"/>
    <col min="1283" max="1283" width="8.90625" style="49"/>
    <col min="1284" max="1289" width="8.90625" style="49" hidden="1" customWidth="1"/>
    <col min="1290" max="1536" width="8.90625" style="49"/>
    <col min="1537" max="1537" width="13.08984375" style="49" customWidth="1"/>
    <col min="1538" max="1538" width="11.453125" style="49" customWidth="1"/>
    <col min="1539" max="1539" width="8.90625" style="49"/>
    <col min="1540" max="1545" width="8.90625" style="49" hidden="1" customWidth="1"/>
    <col min="1546" max="1792" width="8.90625" style="49"/>
    <col min="1793" max="1793" width="13.08984375" style="49" customWidth="1"/>
    <col min="1794" max="1794" width="11.453125" style="49" customWidth="1"/>
    <col min="1795" max="1795" width="8.90625" style="49"/>
    <col min="1796" max="1801" width="8.90625" style="49" hidden="1" customWidth="1"/>
    <col min="1802" max="2048" width="8.90625" style="49"/>
    <col min="2049" max="2049" width="13.08984375" style="49" customWidth="1"/>
    <col min="2050" max="2050" width="11.453125" style="49" customWidth="1"/>
    <col min="2051" max="2051" width="8.90625" style="49"/>
    <col min="2052" max="2057" width="8.90625" style="49" hidden="1" customWidth="1"/>
    <col min="2058" max="2304" width="8.90625" style="49"/>
    <col min="2305" max="2305" width="13.08984375" style="49" customWidth="1"/>
    <col min="2306" max="2306" width="11.453125" style="49" customWidth="1"/>
    <col min="2307" max="2307" width="8.90625" style="49"/>
    <col min="2308" max="2313" width="8.90625" style="49" hidden="1" customWidth="1"/>
    <col min="2314" max="2560" width="8.90625" style="49"/>
    <col min="2561" max="2561" width="13.08984375" style="49" customWidth="1"/>
    <col min="2562" max="2562" width="11.453125" style="49" customWidth="1"/>
    <col min="2563" max="2563" width="8.90625" style="49"/>
    <col min="2564" max="2569" width="8.90625" style="49" hidden="1" customWidth="1"/>
    <col min="2570" max="2816" width="8.90625" style="49"/>
    <col min="2817" max="2817" width="13.08984375" style="49" customWidth="1"/>
    <col min="2818" max="2818" width="11.453125" style="49" customWidth="1"/>
    <col min="2819" max="2819" width="8.90625" style="49"/>
    <col min="2820" max="2825" width="8.90625" style="49" hidden="1" customWidth="1"/>
    <col min="2826" max="3072" width="8.90625" style="49"/>
    <col min="3073" max="3073" width="13.08984375" style="49" customWidth="1"/>
    <col min="3074" max="3074" width="11.453125" style="49" customWidth="1"/>
    <col min="3075" max="3075" width="8.90625" style="49"/>
    <col min="3076" max="3081" width="8.90625" style="49" hidden="1" customWidth="1"/>
    <col min="3082" max="3328" width="8.90625" style="49"/>
    <col min="3329" max="3329" width="13.08984375" style="49" customWidth="1"/>
    <col min="3330" max="3330" width="11.453125" style="49" customWidth="1"/>
    <col min="3331" max="3331" width="8.90625" style="49"/>
    <col min="3332" max="3337" width="8.90625" style="49" hidden="1" customWidth="1"/>
    <col min="3338" max="3584" width="8.90625" style="49"/>
    <col min="3585" max="3585" width="13.08984375" style="49" customWidth="1"/>
    <col min="3586" max="3586" width="11.453125" style="49" customWidth="1"/>
    <col min="3587" max="3587" width="8.90625" style="49"/>
    <col min="3588" max="3593" width="8.90625" style="49" hidden="1" customWidth="1"/>
    <col min="3594" max="3840" width="8.90625" style="49"/>
    <col min="3841" max="3841" width="13.08984375" style="49" customWidth="1"/>
    <col min="3842" max="3842" width="11.453125" style="49" customWidth="1"/>
    <col min="3843" max="3843" width="8.90625" style="49"/>
    <col min="3844" max="3849" width="8.90625" style="49" hidden="1" customWidth="1"/>
    <col min="3850" max="4096" width="8.90625" style="49"/>
    <col min="4097" max="4097" width="13.08984375" style="49" customWidth="1"/>
    <col min="4098" max="4098" width="11.453125" style="49" customWidth="1"/>
    <col min="4099" max="4099" width="8.90625" style="49"/>
    <col min="4100" max="4105" width="8.90625" style="49" hidden="1" customWidth="1"/>
    <col min="4106" max="4352" width="8.90625" style="49"/>
    <col min="4353" max="4353" width="13.08984375" style="49" customWidth="1"/>
    <col min="4354" max="4354" width="11.453125" style="49" customWidth="1"/>
    <col min="4355" max="4355" width="8.90625" style="49"/>
    <col min="4356" max="4361" width="8.90625" style="49" hidden="1" customWidth="1"/>
    <col min="4362" max="4608" width="8.90625" style="49"/>
    <col min="4609" max="4609" width="13.08984375" style="49" customWidth="1"/>
    <col min="4610" max="4610" width="11.453125" style="49" customWidth="1"/>
    <col min="4611" max="4611" width="8.90625" style="49"/>
    <col min="4612" max="4617" width="8.90625" style="49" hidden="1" customWidth="1"/>
    <col min="4618" max="4864" width="8.90625" style="49"/>
    <col min="4865" max="4865" width="13.08984375" style="49" customWidth="1"/>
    <col min="4866" max="4866" width="11.453125" style="49" customWidth="1"/>
    <col min="4867" max="4867" width="8.90625" style="49"/>
    <col min="4868" max="4873" width="8.90625" style="49" hidden="1" customWidth="1"/>
    <col min="4874" max="5120" width="8.90625" style="49"/>
    <col min="5121" max="5121" width="13.08984375" style="49" customWidth="1"/>
    <col min="5122" max="5122" width="11.453125" style="49" customWidth="1"/>
    <col min="5123" max="5123" width="8.90625" style="49"/>
    <col min="5124" max="5129" width="8.90625" style="49" hidden="1" customWidth="1"/>
    <col min="5130" max="5376" width="8.90625" style="49"/>
    <col min="5377" max="5377" width="13.08984375" style="49" customWidth="1"/>
    <col min="5378" max="5378" width="11.453125" style="49" customWidth="1"/>
    <col min="5379" max="5379" width="8.90625" style="49"/>
    <col min="5380" max="5385" width="8.90625" style="49" hidden="1" customWidth="1"/>
    <col min="5386" max="5632" width="8.90625" style="49"/>
    <col min="5633" max="5633" width="13.08984375" style="49" customWidth="1"/>
    <col min="5634" max="5634" width="11.453125" style="49" customWidth="1"/>
    <col min="5635" max="5635" width="8.90625" style="49"/>
    <col min="5636" max="5641" width="8.90625" style="49" hidden="1" customWidth="1"/>
    <col min="5642" max="5888" width="8.90625" style="49"/>
    <col min="5889" max="5889" width="13.08984375" style="49" customWidth="1"/>
    <col min="5890" max="5890" width="11.453125" style="49" customWidth="1"/>
    <col min="5891" max="5891" width="8.90625" style="49"/>
    <col min="5892" max="5897" width="8.90625" style="49" hidden="1" customWidth="1"/>
    <col min="5898" max="6144" width="8.90625" style="49"/>
    <col min="6145" max="6145" width="13.08984375" style="49" customWidth="1"/>
    <col min="6146" max="6146" width="11.453125" style="49" customWidth="1"/>
    <col min="6147" max="6147" width="8.90625" style="49"/>
    <col min="6148" max="6153" width="8.90625" style="49" hidden="1" customWidth="1"/>
    <col min="6154" max="6400" width="8.90625" style="49"/>
    <col min="6401" max="6401" width="13.08984375" style="49" customWidth="1"/>
    <col min="6402" max="6402" width="11.453125" style="49" customWidth="1"/>
    <col min="6403" max="6403" width="8.90625" style="49"/>
    <col min="6404" max="6409" width="8.90625" style="49" hidden="1" customWidth="1"/>
    <col min="6410" max="6656" width="8.90625" style="49"/>
    <col min="6657" max="6657" width="13.08984375" style="49" customWidth="1"/>
    <col min="6658" max="6658" width="11.453125" style="49" customWidth="1"/>
    <col min="6659" max="6659" width="8.90625" style="49"/>
    <col min="6660" max="6665" width="8.90625" style="49" hidden="1" customWidth="1"/>
    <col min="6666" max="6912" width="8.90625" style="49"/>
    <col min="6913" max="6913" width="13.08984375" style="49" customWidth="1"/>
    <col min="6914" max="6914" width="11.453125" style="49" customWidth="1"/>
    <col min="6915" max="6915" width="8.90625" style="49"/>
    <col min="6916" max="6921" width="8.90625" style="49" hidden="1" customWidth="1"/>
    <col min="6922" max="7168" width="8.90625" style="49"/>
    <col min="7169" max="7169" width="13.08984375" style="49" customWidth="1"/>
    <col min="7170" max="7170" width="11.453125" style="49" customWidth="1"/>
    <col min="7171" max="7171" width="8.90625" style="49"/>
    <col min="7172" max="7177" width="8.90625" style="49" hidden="1" customWidth="1"/>
    <col min="7178" max="7424" width="8.90625" style="49"/>
    <col min="7425" max="7425" width="13.08984375" style="49" customWidth="1"/>
    <col min="7426" max="7426" width="11.453125" style="49" customWidth="1"/>
    <col min="7427" max="7427" width="8.90625" style="49"/>
    <col min="7428" max="7433" width="8.90625" style="49" hidden="1" customWidth="1"/>
    <col min="7434" max="7680" width="8.90625" style="49"/>
    <col min="7681" max="7681" width="13.08984375" style="49" customWidth="1"/>
    <col min="7682" max="7682" width="11.453125" style="49" customWidth="1"/>
    <col min="7683" max="7683" width="8.90625" style="49"/>
    <col min="7684" max="7689" width="8.90625" style="49" hidden="1" customWidth="1"/>
    <col min="7690" max="7936" width="8.90625" style="49"/>
    <col min="7937" max="7937" width="13.08984375" style="49" customWidth="1"/>
    <col min="7938" max="7938" width="11.453125" style="49" customWidth="1"/>
    <col min="7939" max="7939" width="8.90625" style="49"/>
    <col min="7940" max="7945" width="8.90625" style="49" hidden="1" customWidth="1"/>
    <col min="7946" max="8192" width="8.90625" style="49"/>
    <col min="8193" max="8193" width="13.08984375" style="49" customWidth="1"/>
    <col min="8194" max="8194" width="11.453125" style="49" customWidth="1"/>
    <col min="8195" max="8195" width="8.90625" style="49"/>
    <col min="8196" max="8201" width="8.90625" style="49" hidden="1" customWidth="1"/>
    <col min="8202" max="8448" width="8.90625" style="49"/>
    <col min="8449" max="8449" width="13.08984375" style="49" customWidth="1"/>
    <col min="8450" max="8450" width="11.453125" style="49" customWidth="1"/>
    <col min="8451" max="8451" width="8.90625" style="49"/>
    <col min="8452" max="8457" width="8.90625" style="49" hidden="1" customWidth="1"/>
    <col min="8458" max="8704" width="8.90625" style="49"/>
    <col min="8705" max="8705" width="13.08984375" style="49" customWidth="1"/>
    <col min="8706" max="8706" width="11.453125" style="49" customWidth="1"/>
    <col min="8707" max="8707" width="8.90625" style="49"/>
    <col min="8708" max="8713" width="8.90625" style="49" hidden="1" customWidth="1"/>
    <col min="8714" max="8960" width="8.90625" style="49"/>
    <col min="8961" max="8961" width="13.08984375" style="49" customWidth="1"/>
    <col min="8962" max="8962" width="11.453125" style="49" customWidth="1"/>
    <col min="8963" max="8963" width="8.90625" style="49"/>
    <col min="8964" max="8969" width="8.90625" style="49" hidden="1" customWidth="1"/>
    <col min="8970" max="9216" width="8.90625" style="49"/>
    <col min="9217" max="9217" width="13.08984375" style="49" customWidth="1"/>
    <col min="9218" max="9218" width="11.453125" style="49" customWidth="1"/>
    <col min="9219" max="9219" width="8.90625" style="49"/>
    <col min="9220" max="9225" width="8.90625" style="49" hidden="1" customWidth="1"/>
    <col min="9226" max="9472" width="8.90625" style="49"/>
    <col min="9473" max="9473" width="13.08984375" style="49" customWidth="1"/>
    <col min="9474" max="9474" width="11.453125" style="49" customWidth="1"/>
    <col min="9475" max="9475" width="8.90625" style="49"/>
    <col min="9476" max="9481" width="8.90625" style="49" hidden="1" customWidth="1"/>
    <col min="9482" max="9728" width="8.90625" style="49"/>
    <col min="9729" max="9729" width="13.08984375" style="49" customWidth="1"/>
    <col min="9730" max="9730" width="11.453125" style="49" customWidth="1"/>
    <col min="9731" max="9731" width="8.90625" style="49"/>
    <col min="9732" max="9737" width="8.90625" style="49" hidden="1" customWidth="1"/>
    <col min="9738" max="9984" width="8.90625" style="49"/>
    <col min="9985" max="9985" width="13.08984375" style="49" customWidth="1"/>
    <col min="9986" max="9986" width="11.453125" style="49" customWidth="1"/>
    <col min="9987" max="9987" width="8.90625" style="49"/>
    <col min="9988" max="9993" width="8.90625" style="49" hidden="1" customWidth="1"/>
    <col min="9994" max="10240" width="8.90625" style="49"/>
    <col min="10241" max="10241" width="13.08984375" style="49" customWidth="1"/>
    <col min="10242" max="10242" width="11.453125" style="49" customWidth="1"/>
    <col min="10243" max="10243" width="8.90625" style="49"/>
    <col min="10244" max="10249" width="8.90625" style="49" hidden="1" customWidth="1"/>
    <col min="10250" max="10496" width="8.90625" style="49"/>
    <col min="10497" max="10497" width="13.08984375" style="49" customWidth="1"/>
    <col min="10498" max="10498" width="11.453125" style="49" customWidth="1"/>
    <col min="10499" max="10499" width="8.90625" style="49"/>
    <col min="10500" max="10505" width="8.90625" style="49" hidden="1" customWidth="1"/>
    <col min="10506" max="10752" width="8.90625" style="49"/>
    <col min="10753" max="10753" width="13.08984375" style="49" customWidth="1"/>
    <col min="10754" max="10754" width="11.453125" style="49" customWidth="1"/>
    <col min="10755" max="10755" width="8.90625" style="49"/>
    <col min="10756" max="10761" width="8.90625" style="49" hidden="1" customWidth="1"/>
    <col min="10762" max="11008" width="8.90625" style="49"/>
    <col min="11009" max="11009" width="13.08984375" style="49" customWidth="1"/>
    <col min="11010" max="11010" width="11.453125" style="49" customWidth="1"/>
    <col min="11011" max="11011" width="8.90625" style="49"/>
    <col min="11012" max="11017" width="8.90625" style="49" hidden="1" customWidth="1"/>
    <col min="11018" max="11264" width="8.90625" style="49"/>
    <col min="11265" max="11265" width="13.08984375" style="49" customWidth="1"/>
    <col min="11266" max="11266" width="11.453125" style="49" customWidth="1"/>
    <col min="11267" max="11267" width="8.90625" style="49"/>
    <col min="11268" max="11273" width="8.90625" style="49" hidden="1" customWidth="1"/>
    <col min="11274" max="11520" width="8.90625" style="49"/>
    <col min="11521" max="11521" width="13.08984375" style="49" customWidth="1"/>
    <col min="11522" max="11522" width="11.453125" style="49" customWidth="1"/>
    <col min="11523" max="11523" width="8.90625" style="49"/>
    <col min="11524" max="11529" width="8.90625" style="49" hidden="1" customWidth="1"/>
    <col min="11530" max="11776" width="8.90625" style="49"/>
    <col min="11777" max="11777" width="13.08984375" style="49" customWidth="1"/>
    <col min="11778" max="11778" width="11.453125" style="49" customWidth="1"/>
    <col min="11779" max="11779" width="8.90625" style="49"/>
    <col min="11780" max="11785" width="8.90625" style="49" hidden="1" customWidth="1"/>
    <col min="11786" max="12032" width="8.90625" style="49"/>
    <col min="12033" max="12033" width="13.08984375" style="49" customWidth="1"/>
    <col min="12034" max="12034" width="11.453125" style="49" customWidth="1"/>
    <col min="12035" max="12035" width="8.90625" style="49"/>
    <col min="12036" max="12041" width="8.90625" style="49" hidden="1" customWidth="1"/>
    <col min="12042" max="12288" width="8.90625" style="49"/>
    <col min="12289" max="12289" width="13.08984375" style="49" customWidth="1"/>
    <col min="12290" max="12290" width="11.453125" style="49" customWidth="1"/>
    <col min="12291" max="12291" width="8.90625" style="49"/>
    <col min="12292" max="12297" width="8.90625" style="49" hidden="1" customWidth="1"/>
    <col min="12298" max="12544" width="8.90625" style="49"/>
    <col min="12545" max="12545" width="13.08984375" style="49" customWidth="1"/>
    <col min="12546" max="12546" width="11.453125" style="49" customWidth="1"/>
    <col min="12547" max="12547" width="8.90625" style="49"/>
    <col min="12548" max="12553" width="8.90625" style="49" hidden="1" customWidth="1"/>
    <col min="12554" max="12800" width="8.90625" style="49"/>
    <col min="12801" max="12801" width="13.08984375" style="49" customWidth="1"/>
    <col min="12802" max="12802" width="11.453125" style="49" customWidth="1"/>
    <col min="12803" max="12803" width="8.90625" style="49"/>
    <col min="12804" max="12809" width="8.90625" style="49" hidden="1" customWidth="1"/>
    <col min="12810" max="13056" width="8.90625" style="49"/>
    <col min="13057" max="13057" width="13.08984375" style="49" customWidth="1"/>
    <col min="13058" max="13058" width="11.453125" style="49" customWidth="1"/>
    <col min="13059" max="13059" width="8.90625" style="49"/>
    <col min="13060" max="13065" width="8.90625" style="49" hidden="1" customWidth="1"/>
    <col min="13066" max="13312" width="8.90625" style="49"/>
    <col min="13313" max="13313" width="13.08984375" style="49" customWidth="1"/>
    <col min="13314" max="13314" width="11.453125" style="49" customWidth="1"/>
    <col min="13315" max="13315" width="8.90625" style="49"/>
    <col min="13316" max="13321" width="8.90625" style="49" hidden="1" customWidth="1"/>
    <col min="13322" max="13568" width="8.90625" style="49"/>
    <col min="13569" max="13569" width="13.08984375" style="49" customWidth="1"/>
    <col min="13570" max="13570" width="11.453125" style="49" customWidth="1"/>
    <col min="13571" max="13571" width="8.90625" style="49"/>
    <col min="13572" max="13577" width="8.90625" style="49" hidden="1" customWidth="1"/>
    <col min="13578" max="13824" width="8.90625" style="49"/>
    <col min="13825" max="13825" width="13.08984375" style="49" customWidth="1"/>
    <col min="13826" max="13826" width="11.453125" style="49" customWidth="1"/>
    <col min="13827" max="13827" width="8.90625" style="49"/>
    <col min="13828" max="13833" width="8.90625" style="49" hidden="1" customWidth="1"/>
    <col min="13834" max="14080" width="8.90625" style="49"/>
    <col min="14081" max="14081" width="13.08984375" style="49" customWidth="1"/>
    <col min="14082" max="14082" width="11.453125" style="49" customWidth="1"/>
    <col min="14083" max="14083" width="8.90625" style="49"/>
    <col min="14084" max="14089" width="8.90625" style="49" hidden="1" customWidth="1"/>
    <col min="14090" max="14336" width="8.90625" style="49"/>
    <col min="14337" max="14337" width="13.08984375" style="49" customWidth="1"/>
    <col min="14338" max="14338" width="11.453125" style="49" customWidth="1"/>
    <col min="14339" max="14339" width="8.90625" style="49"/>
    <col min="14340" max="14345" width="8.90625" style="49" hidden="1" customWidth="1"/>
    <col min="14346" max="14592" width="8.90625" style="49"/>
    <col min="14593" max="14593" width="13.08984375" style="49" customWidth="1"/>
    <col min="14594" max="14594" width="11.453125" style="49" customWidth="1"/>
    <col min="14595" max="14595" width="8.90625" style="49"/>
    <col min="14596" max="14601" width="8.90625" style="49" hidden="1" customWidth="1"/>
    <col min="14602" max="14848" width="8.90625" style="49"/>
    <col min="14849" max="14849" width="13.08984375" style="49" customWidth="1"/>
    <col min="14850" max="14850" width="11.453125" style="49" customWidth="1"/>
    <col min="14851" max="14851" width="8.90625" style="49"/>
    <col min="14852" max="14857" width="8.90625" style="49" hidden="1" customWidth="1"/>
    <col min="14858" max="15104" width="8.90625" style="49"/>
    <col min="15105" max="15105" width="13.08984375" style="49" customWidth="1"/>
    <col min="15106" max="15106" width="11.453125" style="49" customWidth="1"/>
    <col min="15107" max="15107" width="8.90625" style="49"/>
    <col min="15108" max="15113" width="8.90625" style="49" hidden="1" customWidth="1"/>
    <col min="15114" max="15360" width="8.90625" style="49"/>
    <col min="15361" max="15361" width="13.08984375" style="49" customWidth="1"/>
    <col min="15362" max="15362" width="11.453125" style="49" customWidth="1"/>
    <col min="15363" max="15363" width="8.90625" style="49"/>
    <col min="15364" max="15369" width="8.90625" style="49" hidden="1" customWidth="1"/>
    <col min="15370" max="15616" width="8.90625" style="49"/>
    <col min="15617" max="15617" width="13.08984375" style="49" customWidth="1"/>
    <col min="15618" max="15618" width="11.453125" style="49" customWidth="1"/>
    <col min="15619" max="15619" width="8.90625" style="49"/>
    <col min="15620" max="15625" width="8.90625" style="49" hidden="1" customWidth="1"/>
    <col min="15626" max="15872" width="8.90625" style="49"/>
    <col min="15873" max="15873" width="13.08984375" style="49" customWidth="1"/>
    <col min="15874" max="15874" width="11.453125" style="49" customWidth="1"/>
    <col min="15875" max="15875" width="8.90625" style="49"/>
    <col min="15876" max="15881" width="8.90625" style="49" hidden="1" customWidth="1"/>
    <col min="15882" max="16128" width="8.90625" style="49"/>
    <col min="16129" max="16129" width="13.08984375" style="49" customWidth="1"/>
    <col min="16130" max="16130" width="11.453125" style="49" customWidth="1"/>
    <col min="16131" max="16131" width="8.90625" style="49"/>
    <col min="16132" max="16137" width="8.90625" style="49" hidden="1" customWidth="1"/>
    <col min="16138" max="16384" width="8.90625" style="49"/>
  </cols>
  <sheetData>
    <row r="1" spans="1:26" ht="16.5">
      <c r="A1" s="204" t="s">
        <v>1438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</row>
    <row r="2" spans="1:26" ht="14.5">
      <c r="A2" s="50" t="s">
        <v>1439</v>
      </c>
      <c r="B2" s="50" t="s">
        <v>0</v>
      </c>
      <c r="C2" s="50" t="s">
        <v>1396</v>
      </c>
      <c r="D2" s="51">
        <v>45137</v>
      </c>
      <c r="E2" s="51">
        <v>45138</v>
      </c>
      <c r="F2" s="51">
        <v>45139</v>
      </c>
      <c r="G2" s="51">
        <v>45140</v>
      </c>
      <c r="H2" s="51">
        <v>45141</v>
      </c>
      <c r="I2" s="51">
        <v>45142</v>
      </c>
      <c r="J2" s="51">
        <v>45143</v>
      </c>
      <c r="K2" s="51">
        <v>45144</v>
      </c>
      <c r="L2" s="51">
        <v>45145</v>
      </c>
      <c r="M2" s="51">
        <v>45146</v>
      </c>
      <c r="N2" s="51">
        <v>45147</v>
      </c>
      <c r="O2" s="51">
        <v>45148</v>
      </c>
      <c r="P2" s="51">
        <v>45149</v>
      </c>
      <c r="Q2" s="51">
        <v>45150</v>
      </c>
      <c r="R2" s="51">
        <v>45151</v>
      </c>
      <c r="S2" s="51">
        <v>45152</v>
      </c>
      <c r="T2" s="51">
        <v>45153</v>
      </c>
      <c r="U2" s="51">
        <v>45154</v>
      </c>
      <c r="V2" s="51">
        <v>45155</v>
      </c>
      <c r="W2" s="51">
        <v>45156</v>
      </c>
      <c r="X2" s="51">
        <v>45157</v>
      </c>
      <c r="Y2" s="51">
        <v>45158</v>
      </c>
      <c r="Z2" s="51">
        <v>45159</v>
      </c>
    </row>
    <row r="3" spans="1:26" ht="14.5">
      <c r="A3" s="203" t="s">
        <v>1440</v>
      </c>
      <c r="B3" s="52" t="s">
        <v>1441</v>
      </c>
      <c r="C3" s="52">
        <f>SUM(D3:D3)</f>
        <v>3000</v>
      </c>
      <c r="D3" s="53">
        <v>3000</v>
      </c>
      <c r="E3" s="54">
        <v>0</v>
      </c>
      <c r="F3" s="55"/>
      <c r="G3" s="54">
        <v>5279</v>
      </c>
      <c r="H3" s="54">
        <v>4302</v>
      </c>
      <c r="I3" s="54">
        <v>3667</v>
      </c>
      <c r="J3" s="54">
        <v>5600</v>
      </c>
      <c r="K3" s="54"/>
      <c r="L3" s="54">
        <v>3826</v>
      </c>
      <c r="M3" s="54">
        <v>3802</v>
      </c>
      <c r="N3" s="54">
        <v>5110</v>
      </c>
      <c r="O3" s="54">
        <v>2200</v>
      </c>
      <c r="P3" s="54">
        <v>3000</v>
      </c>
      <c r="Q3" s="54">
        <v>400</v>
      </c>
      <c r="R3" s="54">
        <v>0</v>
      </c>
      <c r="S3" s="54">
        <v>3300</v>
      </c>
      <c r="T3" s="54">
        <v>5051</v>
      </c>
      <c r="U3" s="54">
        <v>3400</v>
      </c>
      <c r="V3" s="54">
        <v>3932</v>
      </c>
      <c r="W3" s="54">
        <v>4400</v>
      </c>
      <c r="X3" s="54"/>
      <c r="Y3" s="54"/>
      <c r="Z3" s="54">
        <v>3822</v>
      </c>
    </row>
    <row r="4" spans="1:26" ht="14.5">
      <c r="A4" s="203"/>
      <c r="B4" s="52" t="s">
        <v>1356</v>
      </c>
      <c r="C4" s="52">
        <f>SUM(D4:D4)</f>
        <v>4500</v>
      </c>
      <c r="D4" s="54">
        <v>4500</v>
      </c>
      <c r="E4" s="54">
        <v>2300</v>
      </c>
      <c r="F4" s="54">
        <v>4500</v>
      </c>
      <c r="G4" s="54">
        <v>4500</v>
      </c>
      <c r="H4" s="54">
        <v>4500</v>
      </c>
      <c r="I4" s="54">
        <v>4500</v>
      </c>
      <c r="J4" s="54">
        <v>4500</v>
      </c>
      <c r="K4" s="54">
        <v>4500</v>
      </c>
      <c r="L4" s="54">
        <v>4500</v>
      </c>
      <c r="M4" s="54">
        <v>4500</v>
      </c>
      <c r="N4" s="54">
        <v>4500</v>
      </c>
      <c r="O4" s="54">
        <v>4500</v>
      </c>
      <c r="P4" s="54">
        <v>4500</v>
      </c>
      <c r="Q4" s="54">
        <v>4500</v>
      </c>
      <c r="R4" s="54">
        <v>4500</v>
      </c>
      <c r="S4" s="54">
        <v>4500</v>
      </c>
      <c r="T4" s="54">
        <v>4500</v>
      </c>
      <c r="U4" s="54">
        <v>4500</v>
      </c>
      <c r="V4" s="54">
        <v>4500</v>
      </c>
      <c r="W4" s="54">
        <v>4500</v>
      </c>
      <c r="X4" s="54">
        <v>4500</v>
      </c>
      <c r="Y4" s="54">
        <v>4500</v>
      </c>
      <c r="Z4" s="54">
        <v>4500</v>
      </c>
    </row>
    <row r="5" spans="1:26" ht="14.5">
      <c r="A5" s="203"/>
      <c r="B5" s="52" t="s">
        <v>9</v>
      </c>
      <c r="C5" s="52">
        <v>0</v>
      </c>
      <c r="D5" s="56">
        <v>0</v>
      </c>
      <c r="E5" s="56">
        <f t="shared" ref="E5:S5" si="0">D5-E3+E4</f>
        <v>2300</v>
      </c>
      <c r="F5" s="56">
        <f t="shared" si="0"/>
        <v>6800</v>
      </c>
      <c r="G5" s="56">
        <f t="shared" si="0"/>
        <v>6021</v>
      </c>
      <c r="H5" s="56">
        <f t="shared" si="0"/>
        <v>6219</v>
      </c>
      <c r="I5" s="56">
        <f t="shared" si="0"/>
        <v>7052</v>
      </c>
      <c r="J5" s="56">
        <f t="shared" si="0"/>
        <v>5952</v>
      </c>
      <c r="K5" s="56">
        <f t="shared" si="0"/>
        <v>10452</v>
      </c>
      <c r="L5" s="56">
        <f t="shared" si="0"/>
        <v>11126</v>
      </c>
      <c r="M5" s="56">
        <f t="shared" si="0"/>
        <v>11824</v>
      </c>
      <c r="N5" s="56">
        <f t="shared" si="0"/>
        <v>11214</v>
      </c>
      <c r="O5" s="56">
        <f t="shared" si="0"/>
        <v>13514</v>
      </c>
      <c r="P5" s="56">
        <f t="shared" si="0"/>
        <v>15014</v>
      </c>
      <c r="Q5" s="56">
        <f t="shared" si="0"/>
        <v>19114</v>
      </c>
      <c r="R5" s="56">
        <f t="shared" si="0"/>
        <v>23614</v>
      </c>
      <c r="S5" s="56">
        <f t="shared" si="0"/>
        <v>24814</v>
      </c>
      <c r="T5" s="56">
        <f t="shared" ref="T5:Z5" si="1">S5-T3+T4</f>
        <v>24263</v>
      </c>
      <c r="U5" s="56">
        <f t="shared" si="1"/>
        <v>25363</v>
      </c>
      <c r="V5" s="56">
        <f t="shared" si="1"/>
        <v>25931</v>
      </c>
      <c r="W5" s="56">
        <f t="shared" si="1"/>
        <v>26031</v>
      </c>
      <c r="X5" s="56">
        <f t="shared" si="1"/>
        <v>30531</v>
      </c>
      <c r="Y5" s="56">
        <f t="shared" si="1"/>
        <v>35031</v>
      </c>
      <c r="Z5" s="56">
        <f t="shared" si="1"/>
        <v>35709</v>
      </c>
    </row>
    <row r="6" spans="1:26" ht="14.5">
      <c r="A6" s="203"/>
      <c r="B6" s="52" t="s">
        <v>1442</v>
      </c>
      <c r="C6" s="52">
        <v>0</v>
      </c>
      <c r="D6" s="54">
        <v>0</v>
      </c>
      <c r="E6" s="54">
        <f t="shared" ref="E6:S6" si="2">D5-E3</f>
        <v>0</v>
      </c>
      <c r="F6" s="54">
        <f t="shared" si="2"/>
        <v>2300</v>
      </c>
      <c r="G6" s="54">
        <f t="shared" si="2"/>
        <v>1521</v>
      </c>
      <c r="H6" s="54">
        <f t="shared" si="2"/>
        <v>1719</v>
      </c>
      <c r="I6" s="54">
        <f t="shared" si="2"/>
        <v>2552</v>
      </c>
      <c r="J6" s="54">
        <f t="shared" si="2"/>
        <v>1452</v>
      </c>
      <c r="K6" s="54">
        <f t="shared" si="2"/>
        <v>5952</v>
      </c>
      <c r="L6" s="54">
        <f t="shared" si="2"/>
        <v>6626</v>
      </c>
      <c r="M6" s="54">
        <f t="shared" si="2"/>
        <v>7324</v>
      </c>
      <c r="N6" s="54">
        <f t="shared" si="2"/>
        <v>6714</v>
      </c>
      <c r="O6" s="54">
        <f t="shared" si="2"/>
        <v>9014</v>
      </c>
      <c r="P6" s="54">
        <f t="shared" si="2"/>
        <v>10514</v>
      </c>
      <c r="Q6" s="54">
        <f t="shared" si="2"/>
        <v>14614</v>
      </c>
      <c r="R6" s="54">
        <f t="shared" si="2"/>
        <v>19114</v>
      </c>
      <c r="S6" s="54">
        <f t="shared" si="2"/>
        <v>20314</v>
      </c>
      <c r="T6" s="54">
        <f t="shared" ref="T6:Z6" si="3">S5-T3</f>
        <v>19763</v>
      </c>
      <c r="U6" s="54">
        <f t="shared" si="3"/>
        <v>20863</v>
      </c>
      <c r="V6" s="54">
        <f t="shared" si="3"/>
        <v>21431</v>
      </c>
      <c r="W6" s="54">
        <f t="shared" si="3"/>
        <v>21531</v>
      </c>
      <c r="X6" s="54">
        <f t="shared" si="3"/>
        <v>26031</v>
      </c>
      <c r="Y6" s="54">
        <f t="shared" si="3"/>
        <v>30531</v>
      </c>
      <c r="Z6" s="54">
        <f t="shared" si="3"/>
        <v>31209</v>
      </c>
    </row>
    <row r="7" spans="1:26" ht="16.5">
      <c r="A7" s="206" t="s">
        <v>1443</v>
      </c>
      <c r="B7" s="207"/>
      <c r="C7" s="207"/>
      <c r="D7" s="207"/>
      <c r="E7" s="207"/>
      <c r="F7" s="207"/>
      <c r="G7" s="207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7"/>
      <c r="S7" s="207"/>
    </row>
    <row r="8" spans="1:26" ht="14.5">
      <c r="A8" s="50" t="s">
        <v>1439</v>
      </c>
      <c r="B8" s="50" t="s">
        <v>0</v>
      </c>
      <c r="C8" s="50" t="s">
        <v>1396</v>
      </c>
      <c r="D8" s="51">
        <v>45137</v>
      </c>
      <c r="E8" s="51">
        <v>45138</v>
      </c>
      <c r="F8" s="51">
        <v>45139</v>
      </c>
      <c r="G8" s="51">
        <v>45140</v>
      </c>
      <c r="H8" s="51">
        <v>45141</v>
      </c>
      <c r="I8" s="51">
        <v>45142</v>
      </c>
      <c r="J8" s="51">
        <v>45143</v>
      </c>
      <c r="K8" s="51">
        <v>45144</v>
      </c>
      <c r="L8" s="51">
        <v>45145</v>
      </c>
      <c r="M8" s="51">
        <v>45146</v>
      </c>
      <c r="N8" s="51">
        <v>45147</v>
      </c>
      <c r="O8" s="51">
        <v>45148</v>
      </c>
      <c r="P8" s="51">
        <v>45149</v>
      </c>
      <c r="Q8" s="51">
        <v>45150</v>
      </c>
      <c r="R8" s="51">
        <v>45151</v>
      </c>
      <c r="S8" s="51">
        <v>45152</v>
      </c>
      <c r="T8" s="51">
        <v>45153</v>
      </c>
      <c r="U8" s="51">
        <v>45154</v>
      </c>
      <c r="V8" s="51">
        <v>45155</v>
      </c>
      <c r="W8" s="51">
        <v>45156</v>
      </c>
      <c r="X8" s="51">
        <v>45157</v>
      </c>
      <c r="Y8" s="51">
        <v>45158</v>
      </c>
      <c r="Z8" s="51">
        <v>45159</v>
      </c>
    </row>
    <row r="9" spans="1:26" ht="14.5">
      <c r="A9" s="203" t="s">
        <v>1444</v>
      </c>
      <c r="B9" s="52" t="s">
        <v>1441</v>
      </c>
      <c r="C9" s="52">
        <f>SUM(D9:E9)</f>
        <v>7200</v>
      </c>
      <c r="D9" s="54">
        <v>7200</v>
      </c>
      <c r="E9" s="54">
        <v>0</v>
      </c>
      <c r="F9" s="54">
        <v>6743</v>
      </c>
      <c r="G9" s="54">
        <v>1000</v>
      </c>
      <c r="H9" s="54">
        <v>4300</v>
      </c>
      <c r="I9" s="54">
        <v>1290</v>
      </c>
      <c r="J9" s="54">
        <v>7300</v>
      </c>
      <c r="K9" s="54">
        <v>0</v>
      </c>
      <c r="L9" s="54">
        <v>8105</v>
      </c>
      <c r="M9" s="54">
        <v>3217</v>
      </c>
      <c r="N9" s="54">
        <v>2400</v>
      </c>
      <c r="O9" s="54">
        <v>0</v>
      </c>
      <c r="P9" s="54">
        <v>4228</v>
      </c>
      <c r="Q9" s="54">
        <v>3194</v>
      </c>
      <c r="R9" s="54">
        <v>0</v>
      </c>
      <c r="S9" s="54">
        <v>950</v>
      </c>
      <c r="T9" s="54">
        <v>2400</v>
      </c>
      <c r="U9" s="54">
        <v>0</v>
      </c>
      <c r="V9" s="54">
        <v>4323</v>
      </c>
      <c r="W9" s="54">
        <v>0</v>
      </c>
      <c r="X9" s="54">
        <v>0</v>
      </c>
      <c r="Y9" s="54">
        <v>0</v>
      </c>
      <c r="Z9" s="54">
        <v>3244</v>
      </c>
    </row>
    <row r="10" spans="1:26" ht="14.5">
      <c r="A10" s="203"/>
      <c r="B10" s="52" t="s">
        <v>1356</v>
      </c>
      <c r="C10" s="52">
        <f>SUM(D10:E10)</f>
        <v>7500</v>
      </c>
      <c r="D10" s="54">
        <v>5000</v>
      </c>
      <c r="E10" s="54">
        <v>2500</v>
      </c>
      <c r="F10" s="54">
        <v>5000</v>
      </c>
      <c r="G10" s="54">
        <v>5000</v>
      </c>
      <c r="H10" s="54">
        <v>5000</v>
      </c>
      <c r="I10" s="54">
        <v>5000</v>
      </c>
      <c r="J10" s="54">
        <v>5000</v>
      </c>
      <c r="K10" s="54">
        <v>5000</v>
      </c>
      <c r="L10" s="54">
        <v>5000</v>
      </c>
      <c r="M10" s="54">
        <v>5000</v>
      </c>
      <c r="N10" s="54">
        <v>5000</v>
      </c>
      <c r="O10" s="54">
        <v>5000</v>
      </c>
      <c r="P10" s="54">
        <v>5000</v>
      </c>
      <c r="Q10" s="54">
        <v>5000</v>
      </c>
      <c r="R10" s="54">
        <v>5000</v>
      </c>
      <c r="S10" s="54">
        <v>5000</v>
      </c>
      <c r="T10" s="54">
        <v>5000</v>
      </c>
      <c r="U10" s="54">
        <v>5000</v>
      </c>
      <c r="V10" s="54">
        <v>5000</v>
      </c>
      <c r="W10" s="54">
        <v>5000</v>
      </c>
      <c r="X10" s="54">
        <v>5000</v>
      </c>
      <c r="Y10" s="54">
        <v>5000</v>
      </c>
      <c r="Z10" s="54">
        <v>5000</v>
      </c>
    </row>
    <row r="11" spans="1:26" ht="14.5">
      <c r="A11" s="203"/>
      <c r="B11" s="57" t="s">
        <v>9</v>
      </c>
      <c r="C11" s="57">
        <f>SUM(D11:E11)</f>
        <v>8500</v>
      </c>
      <c r="D11" s="57">
        <v>3000</v>
      </c>
      <c r="E11" s="57">
        <f t="shared" ref="E11:S11" si="4">D11-E9+E10</f>
        <v>5500</v>
      </c>
      <c r="F11" s="57">
        <f t="shared" si="4"/>
        <v>3757</v>
      </c>
      <c r="G11" s="57">
        <f t="shared" si="4"/>
        <v>7757</v>
      </c>
      <c r="H11" s="57">
        <f t="shared" si="4"/>
        <v>8457</v>
      </c>
      <c r="I11" s="57">
        <f t="shared" si="4"/>
        <v>12167</v>
      </c>
      <c r="J11" s="57">
        <f t="shared" si="4"/>
        <v>9867</v>
      </c>
      <c r="K11" s="57">
        <f t="shared" si="4"/>
        <v>14867</v>
      </c>
      <c r="L11" s="57">
        <f t="shared" si="4"/>
        <v>11762</v>
      </c>
      <c r="M11" s="57">
        <f t="shared" si="4"/>
        <v>13545</v>
      </c>
      <c r="N11" s="57">
        <f t="shared" si="4"/>
        <v>16145</v>
      </c>
      <c r="O11" s="57">
        <f t="shared" si="4"/>
        <v>21145</v>
      </c>
      <c r="P11" s="57">
        <f t="shared" si="4"/>
        <v>21917</v>
      </c>
      <c r="Q11" s="57">
        <f t="shared" si="4"/>
        <v>23723</v>
      </c>
      <c r="R11" s="57">
        <f t="shared" si="4"/>
        <v>28723</v>
      </c>
      <c r="S11" s="57">
        <f t="shared" si="4"/>
        <v>32773</v>
      </c>
      <c r="T11" s="57">
        <f t="shared" ref="T11:Z11" si="5">S11-T9+T10</f>
        <v>35373</v>
      </c>
      <c r="U11" s="57">
        <f t="shared" si="5"/>
        <v>40373</v>
      </c>
      <c r="V11" s="57">
        <f t="shared" si="5"/>
        <v>41050</v>
      </c>
      <c r="W11" s="57">
        <f t="shared" si="5"/>
        <v>46050</v>
      </c>
      <c r="X11" s="57">
        <f t="shared" si="5"/>
        <v>51050</v>
      </c>
      <c r="Y11" s="57">
        <f t="shared" si="5"/>
        <v>56050</v>
      </c>
      <c r="Z11" s="57">
        <f t="shared" si="5"/>
        <v>57806</v>
      </c>
    </row>
    <row r="12" spans="1:26" ht="14.5">
      <c r="A12" s="203"/>
      <c r="B12" s="52" t="s">
        <v>1442</v>
      </c>
      <c r="C12" s="52">
        <f>SUM(D12:E12)</f>
        <v>3000</v>
      </c>
      <c r="D12" s="52">
        <v>0</v>
      </c>
      <c r="E12" s="52">
        <f t="shared" ref="E12:S12" si="6">D11-E9</f>
        <v>3000</v>
      </c>
      <c r="F12" s="58">
        <f t="shared" si="6"/>
        <v>-1243</v>
      </c>
      <c r="G12" s="52">
        <f t="shared" si="6"/>
        <v>2757</v>
      </c>
      <c r="H12" s="52">
        <f t="shared" si="6"/>
        <v>3457</v>
      </c>
      <c r="I12" s="52">
        <f t="shared" si="6"/>
        <v>7167</v>
      </c>
      <c r="J12" s="52">
        <f t="shared" si="6"/>
        <v>4867</v>
      </c>
      <c r="K12" s="52">
        <f t="shared" si="6"/>
        <v>9867</v>
      </c>
      <c r="L12" s="52">
        <f t="shared" si="6"/>
        <v>6762</v>
      </c>
      <c r="M12" s="52">
        <f t="shared" si="6"/>
        <v>8545</v>
      </c>
      <c r="N12" s="52">
        <f t="shared" si="6"/>
        <v>11145</v>
      </c>
      <c r="O12" s="52">
        <f t="shared" si="6"/>
        <v>16145</v>
      </c>
      <c r="P12" s="52">
        <f t="shared" si="6"/>
        <v>16917</v>
      </c>
      <c r="Q12" s="52">
        <f t="shared" si="6"/>
        <v>18723</v>
      </c>
      <c r="R12" s="52">
        <f t="shared" si="6"/>
        <v>23723</v>
      </c>
      <c r="S12" s="52">
        <f t="shared" si="6"/>
        <v>27773</v>
      </c>
      <c r="T12" s="52">
        <f t="shared" ref="T12:Z12" si="7">S11-T9</f>
        <v>30373</v>
      </c>
      <c r="U12" s="52">
        <f t="shared" si="7"/>
        <v>35373</v>
      </c>
      <c r="V12" s="52">
        <f t="shared" si="7"/>
        <v>36050</v>
      </c>
      <c r="W12" s="52">
        <f t="shared" si="7"/>
        <v>41050</v>
      </c>
      <c r="X12" s="52">
        <f t="shared" si="7"/>
        <v>46050</v>
      </c>
      <c r="Y12" s="52">
        <f t="shared" si="7"/>
        <v>51050</v>
      </c>
      <c r="Z12" s="52">
        <f t="shared" si="7"/>
        <v>52806</v>
      </c>
    </row>
    <row r="13" spans="1:26" ht="16.5">
      <c r="A13" s="206" t="s">
        <v>1446</v>
      </c>
      <c r="B13" s="207"/>
      <c r="C13" s="207"/>
      <c r="D13" s="207"/>
      <c r="E13" s="207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</row>
    <row r="14" spans="1:26" ht="14.5">
      <c r="A14" s="50" t="s">
        <v>1439</v>
      </c>
      <c r="B14" s="50" t="s">
        <v>0</v>
      </c>
      <c r="C14" s="50" t="s">
        <v>1396</v>
      </c>
      <c r="D14" s="51">
        <v>45137</v>
      </c>
      <c r="E14" s="51">
        <v>45138</v>
      </c>
      <c r="F14" s="51">
        <v>45139</v>
      </c>
      <c r="G14" s="51">
        <v>45140</v>
      </c>
      <c r="H14" s="51">
        <v>45141</v>
      </c>
      <c r="I14" s="51">
        <v>45142</v>
      </c>
      <c r="J14" s="51">
        <v>45143</v>
      </c>
      <c r="K14" s="51">
        <v>45144</v>
      </c>
      <c r="L14" s="51">
        <v>45145</v>
      </c>
      <c r="M14" s="51">
        <v>45146</v>
      </c>
      <c r="N14" s="51">
        <v>45147</v>
      </c>
      <c r="O14" s="51">
        <v>45148</v>
      </c>
      <c r="P14" s="51">
        <v>45149</v>
      </c>
      <c r="Q14" s="51">
        <v>45150</v>
      </c>
      <c r="R14" s="51">
        <v>45151</v>
      </c>
      <c r="S14" s="51">
        <v>45152</v>
      </c>
      <c r="T14" s="51">
        <v>45153</v>
      </c>
      <c r="U14" s="51">
        <v>45154</v>
      </c>
      <c r="V14" s="51">
        <v>45155</v>
      </c>
      <c r="W14" s="51">
        <v>45156</v>
      </c>
      <c r="X14" s="51">
        <v>45157</v>
      </c>
      <c r="Y14" s="51">
        <v>45158</v>
      </c>
      <c r="Z14" s="51">
        <v>45159</v>
      </c>
    </row>
    <row r="15" spans="1:26" ht="14.5">
      <c r="A15" s="203" t="s">
        <v>1446</v>
      </c>
      <c r="B15" s="57" t="s">
        <v>1450</v>
      </c>
      <c r="C15" s="57">
        <f>SUM(D15:E15)</f>
        <v>3064</v>
      </c>
      <c r="D15" s="57">
        <v>3064</v>
      </c>
      <c r="E15" s="57">
        <v>0</v>
      </c>
      <c r="F15" s="57">
        <v>5958</v>
      </c>
      <c r="G15" s="57">
        <v>4305</v>
      </c>
      <c r="H15" s="57">
        <v>5100</v>
      </c>
      <c r="I15" s="57">
        <v>3482</v>
      </c>
      <c r="J15" s="57">
        <v>5262</v>
      </c>
      <c r="K15" s="57">
        <v>0</v>
      </c>
      <c r="L15" s="57">
        <v>7605</v>
      </c>
      <c r="M15" s="57">
        <v>3417</v>
      </c>
      <c r="N15" s="57">
        <v>2400</v>
      </c>
      <c r="O15" s="57">
        <v>3005</v>
      </c>
      <c r="P15" s="57">
        <v>3095</v>
      </c>
      <c r="Q15" s="57">
        <v>3434</v>
      </c>
      <c r="R15" s="57">
        <v>0</v>
      </c>
      <c r="S15" s="57">
        <v>950</v>
      </c>
      <c r="T15" s="57">
        <v>1041</v>
      </c>
      <c r="U15" s="57">
        <v>3405</v>
      </c>
      <c r="V15" s="57">
        <v>6946</v>
      </c>
      <c r="W15" s="57">
        <v>0</v>
      </c>
      <c r="X15" s="57">
        <v>0</v>
      </c>
      <c r="Y15" s="57">
        <v>0</v>
      </c>
      <c r="Z15" s="57">
        <v>3244</v>
      </c>
    </row>
    <row r="16" spans="1:26" ht="14.5">
      <c r="A16" s="203"/>
      <c r="B16" s="52" t="s">
        <v>1356</v>
      </c>
      <c r="C16" s="54">
        <f>SUM(D16:E16)</f>
        <v>9500</v>
      </c>
      <c r="D16" s="54">
        <v>6500</v>
      </c>
      <c r="E16" s="54">
        <v>3000</v>
      </c>
      <c r="F16" s="54">
        <v>6500</v>
      </c>
      <c r="G16" s="54">
        <v>6500</v>
      </c>
      <c r="H16" s="54">
        <v>6500</v>
      </c>
      <c r="I16" s="54">
        <v>6500</v>
      </c>
      <c r="J16" s="54">
        <v>6500</v>
      </c>
      <c r="K16" s="54">
        <v>6500</v>
      </c>
      <c r="L16" s="54">
        <v>6500</v>
      </c>
      <c r="M16" s="54">
        <v>6500</v>
      </c>
      <c r="N16" s="54">
        <v>6500</v>
      </c>
      <c r="O16" s="54">
        <v>6500</v>
      </c>
      <c r="P16" s="54">
        <v>6500</v>
      </c>
      <c r="Q16" s="54">
        <v>6500</v>
      </c>
      <c r="R16" s="54">
        <v>6500</v>
      </c>
      <c r="S16" s="54">
        <v>6500</v>
      </c>
      <c r="T16" s="54">
        <v>6500</v>
      </c>
      <c r="U16" s="54">
        <v>6500</v>
      </c>
      <c r="V16" s="54">
        <v>6500</v>
      </c>
      <c r="W16" s="54">
        <v>6500</v>
      </c>
      <c r="X16" s="54">
        <v>6500</v>
      </c>
      <c r="Y16" s="54">
        <v>6500</v>
      </c>
      <c r="Z16" s="54">
        <v>6500</v>
      </c>
    </row>
    <row r="17" spans="1:26" ht="14.5">
      <c r="A17" s="203"/>
      <c r="B17" s="57" t="s">
        <v>9</v>
      </c>
      <c r="C17" s="57">
        <v>0</v>
      </c>
      <c r="D17" s="57">
        <v>6000</v>
      </c>
      <c r="E17" s="57">
        <f t="shared" ref="E17:S17" si="8">D17-E15+E16</f>
        <v>9000</v>
      </c>
      <c r="F17" s="57">
        <f t="shared" si="8"/>
        <v>9542</v>
      </c>
      <c r="G17" s="57">
        <f t="shared" si="8"/>
        <v>11737</v>
      </c>
      <c r="H17" s="57">
        <f t="shared" si="8"/>
        <v>13137</v>
      </c>
      <c r="I17" s="57">
        <f t="shared" si="8"/>
        <v>16155</v>
      </c>
      <c r="J17" s="57">
        <f t="shared" si="8"/>
        <v>17393</v>
      </c>
      <c r="K17" s="57">
        <f t="shared" si="8"/>
        <v>23893</v>
      </c>
      <c r="L17" s="57">
        <f t="shared" si="8"/>
        <v>22788</v>
      </c>
      <c r="M17" s="57">
        <f t="shared" si="8"/>
        <v>25871</v>
      </c>
      <c r="N17" s="57">
        <f t="shared" si="8"/>
        <v>29971</v>
      </c>
      <c r="O17" s="57">
        <f t="shared" si="8"/>
        <v>33466</v>
      </c>
      <c r="P17" s="57">
        <f t="shared" si="8"/>
        <v>36871</v>
      </c>
      <c r="Q17" s="57">
        <f t="shared" si="8"/>
        <v>39937</v>
      </c>
      <c r="R17" s="57">
        <f t="shared" si="8"/>
        <v>46437</v>
      </c>
      <c r="S17" s="57">
        <f t="shared" si="8"/>
        <v>51987</v>
      </c>
      <c r="T17" s="57">
        <f t="shared" ref="T17:Z17" si="9">S17-T15+T16</f>
        <v>57446</v>
      </c>
      <c r="U17" s="57">
        <f t="shared" si="9"/>
        <v>60541</v>
      </c>
      <c r="V17" s="57">
        <f t="shared" si="9"/>
        <v>60095</v>
      </c>
      <c r="W17" s="57">
        <f t="shared" si="9"/>
        <v>66595</v>
      </c>
      <c r="X17" s="57">
        <f t="shared" si="9"/>
        <v>73095</v>
      </c>
      <c r="Y17" s="57">
        <f t="shared" si="9"/>
        <v>79595</v>
      </c>
      <c r="Z17" s="57">
        <f t="shared" si="9"/>
        <v>82851</v>
      </c>
    </row>
    <row r="18" spans="1:26" ht="14.5">
      <c r="A18" s="203"/>
      <c r="B18" s="52" t="s">
        <v>1442</v>
      </c>
      <c r="C18" s="52">
        <v>0</v>
      </c>
      <c r="D18" s="54">
        <v>0</v>
      </c>
      <c r="E18" s="54">
        <f t="shared" ref="E18:S18" si="10">D17-E15</f>
        <v>6000</v>
      </c>
      <c r="F18" s="54">
        <f t="shared" si="10"/>
        <v>3042</v>
      </c>
      <c r="G18" s="54">
        <f t="shared" si="10"/>
        <v>5237</v>
      </c>
      <c r="H18" s="54">
        <f t="shared" si="10"/>
        <v>6637</v>
      </c>
      <c r="I18" s="54">
        <f t="shared" si="10"/>
        <v>9655</v>
      </c>
      <c r="J18" s="54">
        <f t="shared" si="10"/>
        <v>10893</v>
      </c>
      <c r="K18" s="54">
        <f t="shared" si="10"/>
        <v>17393</v>
      </c>
      <c r="L18" s="54">
        <f t="shared" si="10"/>
        <v>16288</v>
      </c>
      <c r="M18" s="54">
        <f t="shared" si="10"/>
        <v>19371</v>
      </c>
      <c r="N18" s="54">
        <f t="shared" si="10"/>
        <v>23471</v>
      </c>
      <c r="O18" s="54">
        <f t="shared" si="10"/>
        <v>26966</v>
      </c>
      <c r="P18" s="54">
        <f t="shared" si="10"/>
        <v>30371</v>
      </c>
      <c r="Q18" s="54">
        <f t="shared" si="10"/>
        <v>33437</v>
      </c>
      <c r="R18" s="54">
        <f t="shared" si="10"/>
        <v>39937</v>
      </c>
      <c r="S18" s="54">
        <f t="shared" si="10"/>
        <v>45487</v>
      </c>
      <c r="T18" s="54">
        <f t="shared" ref="T18:Z18" si="11">S17-T15</f>
        <v>50946</v>
      </c>
      <c r="U18" s="54">
        <f t="shared" si="11"/>
        <v>54041</v>
      </c>
      <c r="V18" s="54">
        <f t="shared" si="11"/>
        <v>53595</v>
      </c>
      <c r="W18" s="54">
        <f t="shared" si="11"/>
        <v>60095</v>
      </c>
      <c r="X18" s="54">
        <f t="shared" si="11"/>
        <v>66595</v>
      </c>
      <c r="Y18" s="54">
        <f t="shared" si="11"/>
        <v>73095</v>
      </c>
      <c r="Z18" s="54">
        <f t="shared" si="11"/>
        <v>76351</v>
      </c>
    </row>
    <row r="19" spans="1:26" ht="16.5">
      <c r="A19" s="206" t="s">
        <v>1451</v>
      </c>
      <c r="B19" s="207"/>
      <c r="C19" s="207"/>
      <c r="D19" s="207"/>
      <c r="E19" s="207"/>
      <c r="F19" s="207"/>
      <c r="G19" s="207"/>
      <c r="H19" s="207"/>
      <c r="I19" s="207"/>
      <c r="J19" s="207"/>
      <c r="K19" s="207"/>
      <c r="L19" s="207"/>
      <c r="M19" s="207"/>
      <c r="N19" s="207"/>
      <c r="O19" s="207"/>
      <c r="P19" s="207"/>
      <c r="Q19" s="207"/>
      <c r="R19" s="207"/>
      <c r="S19" s="207"/>
    </row>
    <row r="20" spans="1:26" ht="16.5">
      <c r="A20" s="59" t="s">
        <v>1439</v>
      </c>
      <c r="B20" s="59" t="s">
        <v>0</v>
      </c>
      <c r="C20" s="59" t="s">
        <v>1396</v>
      </c>
      <c r="D20" s="60">
        <v>45137</v>
      </c>
      <c r="E20" s="60">
        <v>45138</v>
      </c>
      <c r="F20" s="60">
        <v>45139</v>
      </c>
      <c r="G20" s="60">
        <v>45140</v>
      </c>
      <c r="H20" s="60">
        <v>45141</v>
      </c>
      <c r="I20" s="60">
        <v>45142</v>
      </c>
      <c r="J20" s="60">
        <v>45143</v>
      </c>
      <c r="K20" s="60">
        <v>45144</v>
      </c>
      <c r="L20" s="60">
        <v>45145</v>
      </c>
      <c r="M20" s="51">
        <v>45146</v>
      </c>
      <c r="N20" s="51">
        <v>45147</v>
      </c>
      <c r="O20" s="51">
        <v>45148</v>
      </c>
      <c r="P20" s="51">
        <v>45149</v>
      </c>
      <c r="Q20" s="51">
        <v>45150</v>
      </c>
      <c r="R20" s="51">
        <v>45151</v>
      </c>
      <c r="S20" s="51">
        <v>45152</v>
      </c>
      <c r="T20" s="51">
        <v>45153</v>
      </c>
      <c r="U20" s="51">
        <v>45154</v>
      </c>
      <c r="V20" s="51">
        <v>45155</v>
      </c>
      <c r="W20" s="51">
        <v>45156</v>
      </c>
      <c r="X20" s="51">
        <v>45157</v>
      </c>
      <c r="Y20" s="51">
        <v>45158</v>
      </c>
      <c r="Z20" s="51">
        <v>45159</v>
      </c>
    </row>
    <row r="21" spans="1:26" ht="16.5">
      <c r="A21" s="208">
        <v>18.186</v>
      </c>
      <c r="B21" s="61" t="s">
        <v>29</v>
      </c>
      <c r="C21" s="61">
        <f>SUM(D21:E21)</f>
        <v>7572</v>
      </c>
      <c r="D21" s="62">
        <v>7572</v>
      </c>
      <c r="E21" s="62">
        <v>0</v>
      </c>
      <c r="F21" s="62">
        <v>4992</v>
      </c>
      <c r="G21" s="62">
        <v>2544</v>
      </c>
      <c r="H21" s="62">
        <v>5834</v>
      </c>
      <c r="I21" s="62">
        <v>5111</v>
      </c>
      <c r="J21" s="62">
        <v>5418</v>
      </c>
      <c r="K21" s="62">
        <v>0</v>
      </c>
      <c r="L21" s="62">
        <v>5711</v>
      </c>
      <c r="M21" s="62">
        <v>3802</v>
      </c>
      <c r="N21" s="62">
        <v>5110</v>
      </c>
      <c r="O21" s="62">
        <v>2300</v>
      </c>
      <c r="P21" s="62">
        <v>5300</v>
      </c>
      <c r="Q21" s="62">
        <v>6404</v>
      </c>
      <c r="R21" s="62">
        <v>0</v>
      </c>
      <c r="S21" s="62">
        <f>6626+487</f>
        <v>7113</v>
      </c>
      <c r="T21" s="62">
        <v>6060</v>
      </c>
      <c r="U21" s="62">
        <v>3400</v>
      </c>
      <c r="V21" s="62">
        <v>4240</v>
      </c>
      <c r="W21" s="62">
        <v>7896</v>
      </c>
      <c r="X21" s="62"/>
      <c r="Y21" s="62"/>
      <c r="Z21" s="62">
        <v>5798</v>
      </c>
    </row>
    <row r="22" spans="1:26" ht="16.5">
      <c r="A22" s="208"/>
      <c r="B22" s="61" t="s">
        <v>1356</v>
      </c>
      <c r="C22" s="61">
        <f>SUM(D22:E22)</f>
        <v>7700</v>
      </c>
      <c r="D22" s="62">
        <v>5200</v>
      </c>
      <c r="E22" s="62">
        <v>2500</v>
      </c>
      <c r="F22" s="62">
        <v>5200</v>
      </c>
      <c r="G22" s="62">
        <v>4200</v>
      </c>
      <c r="H22" s="62">
        <v>5200</v>
      </c>
      <c r="I22" s="62">
        <v>5200</v>
      </c>
      <c r="J22" s="62">
        <v>5200</v>
      </c>
      <c r="K22" s="62">
        <v>5200</v>
      </c>
      <c r="L22" s="62">
        <v>4000</v>
      </c>
      <c r="M22" s="62">
        <v>4000</v>
      </c>
      <c r="N22" s="62">
        <v>4000</v>
      </c>
      <c r="O22" s="62">
        <v>5200</v>
      </c>
      <c r="P22" s="62">
        <v>5200</v>
      </c>
      <c r="Q22" s="62">
        <v>5200</v>
      </c>
      <c r="R22" s="62">
        <v>5200</v>
      </c>
      <c r="S22" s="62">
        <v>4000</v>
      </c>
      <c r="T22" s="62">
        <v>4000</v>
      </c>
      <c r="U22" s="62">
        <v>5200</v>
      </c>
      <c r="V22" s="62">
        <v>5200</v>
      </c>
      <c r="W22" s="62">
        <v>5200</v>
      </c>
      <c r="X22" s="62">
        <v>5200</v>
      </c>
      <c r="Y22" s="62">
        <v>5200</v>
      </c>
      <c r="Z22" s="62">
        <v>5200</v>
      </c>
    </row>
    <row r="23" spans="1:26" ht="16.5">
      <c r="A23" s="208"/>
      <c r="B23" s="63" t="s">
        <v>9</v>
      </c>
      <c r="C23" s="63">
        <v>0</v>
      </c>
      <c r="D23" s="63">
        <v>0</v>
      </c>
      <c r="E23" s="63">
        <f t="shared" ref="E23:S23" si="12">D23-E21+E22</f>
        <v>2500</v>
      </c>
      <c r="F23" s="63">
        <f t="shared" si="12"/>
        <v>2708</v>
      </c>
      <c r="G23" s="63">
        <f t="shared" si="12"/>
        <v>4364</v>
      </c>
      <c r="H23" s="63">
        <f t="shared" si="12"/>
        <v>3730</v>
      </c>
      <c r="I23" s="63">
        <f t="shared" si="12"/>
        <v>3819</v>
      </c>
      <c r="J23" s="63">
        <f t="shared" si="12"/>
        <v>3601</v>
      </c>
      <c r="K23" s="63">
        <f t="shared" si="12"/>
        <v>8801</v>
      </c>
      <c r="L23" s="63">
        <f t="shared" si="12"/>
        <v>7090</v>
      </c>
      <c r="M23" s="63">
        <f t="shared" si="12"/>
        <v>7288</v>
      </c>
      <c r="N23" s="63">
        <f t="shared" si="12"/>
        <v>6178</v>
      </c>
      <c r="O23" s="63">
        <f t="shared" si="12"/>
        <v>9078</v>
      </c>
      <c r="P23" s="63">
        <f t="shared" si="12"/>
        <v>8978</v>
      </c>
      <c r="Q23" s="63">
        <f t="shared" si="12"/>
        <v>7774</v>
      </c>
      <c r="R23" s="63">
        <f t="shared" si="12"/>
        <v>12974</v>
      </c>
      <c r="S23" s="63">
        <f t="shared" si="12"/>
        <v>9861</v>
      </c>
      <c r="T23" s="63">
        <f t="shared" ref="T23:Z23" si="13">S23-T21+T22</f>
        <v>7801</v>
      </c>
      <c r="U23" s="63">
        <f t="shared" si="13"/>
        <v>9601</v>
      </c>
      <c r="V23" s="63">
        <f t="shared" si="13"/>
        <v>10561</v>
      </c>
      <c r="W23" s="63">
        <f t="shared" si="13"/>
        <v>7865</v>
      </c>
      <c r="X23" s="63">
        <f t="shared" si="13"/>
        <v>13065</v>
      </c>
      <c r="Y23" s="63">
        <f t="shared" si="13"/>
        <v>18265</v>
      </c>
      <c r="Z23" s="63">
        <f t="shared" si="13"/>
        <v>17667</v>
      </c>
    </row>
    <row r="24" spans="1:26" ht="16.5">
      <c r="A24" s="208"/>
      <c r="B24" s="61" t="s">
        <v>1442</v>
      </c>
      <c r="C24" s="61">
        <v>0</v>
      </c>
      <c r="D24" s="62">
        <v>0</v>
      </c>
      <c r="E24" s="62">
        <f t="shared" ref="E24:S24" si="14">D23-E21</f>
        <v>0</v>
      </c>
      <c r="F24" s="62">
        <f t="shared" si="14"/>
        <v>-2492</v>
      </c>
      <c r="G24" s="62">
        <f t="shared" si="14"/>
        <v>164</v>
      </c>
      <c r="H24" s="62">
        <f t="shared" si="14"/>
        <v>-1470</v>
      </c>
      <c r="I24" s="62">
        <f t="shared" si="14"/>
        <v>-1381</v>
      </c>
      <c r="J24" s="62">
        <f t="shared" si="14"/>
        <v>-1599</v>
      </c>
      <c r="K24" s="62">
        <f t="shared" si="14"/>
        <v>3601</v>
      </c>
      <c r="L24" s="62">
        <f t="shared" si="14"/>
        <v>3090</v>
      </c>
      <c r="M24" s="62">
        <f t="shared" si="14"/>
        <v>3288</v>
      </c>
      <c r="N24" s="62">
        <f t="shared" si="14"/>
        <v>2178</v>
      </c>
      <c r="O24" s="62">
        <f t="shared" si="14"/>
        <v>3878</v>
      </c>
      <c r="P24" s="62">
        <f t="shared" si="14"/>
        <v>3778</v>
      </c>
      <c r="Q24" s="62">
        <f t="shared" si="14"/>
        <v>2574</v>
      </c>
      <c r="R24" s="62">
        <f t="shared" si="14"/>
        <v>7774</v>
      </c>
      <c r="S24" s="62">
        <f t="shared" si="14"/>
        <v>5861</v>
      </c>
      <c r="T24" s="62">
        <f t="shared" ref="T24:Z24" si="15">S23-T21</f>
        <v>3801</v>
      </c>
      <c r="U24" s="62">
        <f t="shared" si="15"/>
        <v>4401</v>
      </c>
      <c r="V24" s="62">
        <f t="shared" si="15"/>
        <v>5361</v>
      </c>
      <c r="W24" s="62">
        <f t="shared" si="15"/>
        <v>2665</v>
      </c>
      <c r="X24" s="62">
        <f t="shared" si="15"/>
        <v>7865</v>
      </c>
      <c r="Y24" s="62">
        <f t="shared" si="15"/>
        <v>13065</v>
      </c>
      <c r="Z24" s="62">
        <f t="shared" si="15"/>
        <v>12467</v>
      </c>
    </row>
    <row r="25" spans="1:26" ht="16.5">
      <c r="A25" s="204" t="s">
        <v>1452</v>
      </c>
      <c r="B25" s="205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</row>
    <row r="26" spans="1:26" ht="16.5">
      <c r="A26" s="59" t="s">
        <v>1439</v>
      </c>
      <c r="B26" s="59" t="s">
        <v>0</v>
      </c>
      <c r="C26" s="59" t="s">
        <v>1396</v>
      </c>
      <c r="D26" s="60">
        <v>45137</v>
      </c>
      <c r="E26" s="60">
        <v>45138</v>
      </c>
      <c r="F26" s="60">
        <v>45139</v>
      </c>
      <c r="G26" s="60">
        <v>45140</v>
      </c>
      <c r="H26" s="60">
        <v>45141</v>
      </c>
      <c r="I26" s="60">
        <v>45142</v>
      </c>
      <c r="J26" s="60">
        <v>45143</v>
      </c>
      <c r="K26" s="60">
        <v>45144</v>
      </c>
      <c r="L26" s="60">
        <v>45145</v>
      </c>
      <c r="M26" s="51">
        <v>45146</v>
      </c>
      <c r="N26" s="51">
        <v>45147</v>
      </c>
      <c r="O26" s="51">
        <v>45148</v>
      </c>
      <c r="P26" s="51">
        <v>45149</v>
      </c>
      <c r="Q26" s="51">
        <v>45150</v>
      </c>
      <c r="R26" s="51">
        <v>45151</v>
      </c>
      <c r="S26" s="51">
        <v>45152</v>
      </c>
      <c r="T26" s="51">
        <v>45153</v>
      </c>
      <c r="U26" s="51">
        <v>45154</v>
      </c>
      <c r="V26" s="51">
        <v>45155</v>
      </c>
      <c r="W26" s="51">
        <v>45156</v>
      </c>
      <c r="X26" s="51">
        <v>45157</v>
      </c>
      <c r="Y26" s="51">
        <v>45158</v>
      </c>
      <c r="Z26" s="51">
        <v>45159</v>
      </c>
    </row>
    <row r="27" spans="1:26" ht="16.5">
      <c r="A27" s="208">
        <v>18.186</v>
      </c>
      <c r="B27" s="61" t="s">
        <v>28</v>
      </c>
      <c r="C27" s="61">
        <f>SUM(D27:L27)</f>
        <v>7796</v>
      </c>
      <c r="D27" s="62">
        <v>0</v>
      </c>
      <c r="E27" s="62">
        <v>0</v>
      </c>
      <c r="F27" s="62">
        <v>0</v>
      </c>
      <c r="G27" s="62">
        <v>2300</v>
      </c>
      <c r="H27" s="62">
        <v>400</v>
      </c>
      <c r="I27" s="62">
        <v>2662</v>
      </c>
      <c r="J27" s="62">
        <v>1000</v>
      </c>
      <c r="K27" s="62">
        <v>0</v>
      </c>
      <c r="L27" s="62">
        <v>1434</v>
      </c>
      <c r="M27" s="62">
        <v>2141</v>
      </c>
      <c r="N27" s="62">
        <v>953</v>
      </c>
      <c r="O27" s="62">
        <v>2157</v>
      </c>
      <c r="P27" s="62">
        <v>1133</v>
      </c>
      <c r="Q27" s="62">
        <v>0</v>
      </c>
      <c r="R27" s="62">
        <v>0</v>
      </c>
      <c r="S27" s="62">
        <f>3155+1000</f>
        <v>4155</v>
      </c>
      <c r="T27" s="62">
        <v>3314</v>
      </c>
      <c r="U27" s="62">
        <v>3402</v>
      </c>
      <c r="V27" s="62"/>
      <c r="W27" s="62"/>
      <c r="X27" s="62"/>
      <c r="Y27" s="62"/>
      <c r="Z27" s="62"/>
    </row>
    <row r="28" spans="1:26" ht="16.5">
      <c r="A28" s="208"/>
      <c r="B28" s="61" t="s">
        <v>1356</v>
      </c>
      <c r="C28" s="61">
        <f>SUM(D28:L28)</f>
        <v>10500</v>
      </c>
      <c r="D28" s="62">
        <v>1000</v>
      </c>
      <c r="E28" s="62">
        <v>500</v>
      </c>
      <c r="F28" s="62">
        <v>1000</v>
      </c>
      <c r="G28" s="62">
        <v>1000</v>
      </c>
      <c r="H28" s="62">
        <v>1000</v>
      </c>
      <c r="I28" s="62">
        <v>1000</v>
      </c>
      <c r="J28" s="62">
        <v>1000</v>
      </c>
      <c r="K28" s="62">
        <v>1000</v>
      </c>
      <c r="L28" s="62">
        <v>3000</v>
      </c>
      <c r="M28" s="62">
        <v>3000</v>
      </c>
      <c r="N28" s="62">
        <v>3000</v>
      </c>
      <c r="O28" s="62">
        <v>1000</v>
      </c>
      <c r="P28" s="62">
        <v>1000</v>
      </c>
      <c r="Q28" s="62">
        <v>1000</v>
      </c>
      <c r="R28" s="62">
        <v>1000</v>
      </c>
      <c r="S28" s="62">
        <v>3000</v>
      </c>
      <c r="T28" s="62">
        <v>3000</v>
      </c>
      <c r="U28" s="62">
        <v>1000</v>
      </c>
      <c r="V28" s="62">
        <v>1000</v>
      </c>
      <c r="W28" s="62">
        <v>1000</v>
      </c>
      <c r="X28" s="62">
        <v>1000</v>
      </c>
      <c r="Y28" s="62">
        <v>1000</v>
      </c>
      <c r="Z28" s="62">
        <v>1000</v>
      </c>
    </row>
    <row r="29" spans="1:26" ht="16.5">
      <c r="A29" s="208"/>
      <c r="B29" s="63" t="s">
        <v>9</v>
      </c>
      <c r="C29" s="63">
        <v>0</v>
      </c>
      <c r="D29" s="63">
        <v>500</v>
      </c>
      <c r="E29" s="63">
        <f t="shared" ref="E29:S29" si="16">D29-E27+E28</f>
        <v>1000</v>
      </c>
      <c r="F29" s="63">
        <f t="shared" si="16"/>
        <v>2000</v>
      </c>
      <c r="G29" s="63">
        <f t="shared" si="16"/>
        <v>700</v>
      </c>
      <c r="H29" s="63">
        <f t="shared" si="16"/>
        <v>1300</v>
      </c>
      <c r="I29" s="63">
        <f t="shared" si="16"/>
        <v>-362</v>
      </c>
      <c r="J29" s="63">
        <f t="shared" si="16"/>
        <v>-362</v>
      </c>
      <c r="K29" s="63">
        <f t="shared" si="16"/>
        <v>638</v>
      </c>
      <c r="L29" s="63">
        <f t="shared" si="16"/>
        <v>2204</v>
      </c>
      <c r="M29" s="63">
        <f t="shared" si="16"/>
        <v>3063</v>
      </c>
      <c r="N29" s="63">
        <f t="shared" si="16"/>
        <v>5110</v>
      </c>
      <c r="O29" s="63">
        <f t="shared" si="16"/>
        <v>3953</v>
      </c>
      <c r="P29" s="63">
        <f t="shared" si="16"/>
        <v>3820</v>
      </c>
      <c r="Q29" s="63">
        <f t="shared" si="16"/>
        <v>4820</v>
      </c>
      <c r="R29" s="63">
        <f t="shared" si="16"/>
        <v>5820</v>
      </c>
      <c r="S29" s="63">
        <f t="shared" si="16"/>
        <v>4665</v>
      </c>
      <c r="T29" s="63">
        <f t="shared" ref="T29:Z29" si="17">S29-T27+T28</f>
        <v>4351</v>
      </c>
      <c r="U29" s="63">
        <f t="shared" si="17"/>
        <v>1949</v>
      </c>
      <c r="V29" s="63">
        <f t="shared" si="17"/>
        <v>2949</v>
      </c>
      <c r="W29" s="63">
        <f t="shared" si="17"/>
        <v>3949</v>
      </c>
      <c r="X29" s="63">
        <f t="shared" si="17"/>
        <v>4949</v>
      </c>
      <c r="Y29" s="63">
        <f t="shared" si="17"/>
        <v>5949</v>
      </c>
      <c r="Z29" s="63">
        <f t="shared" si="17"/>
        <v>6949</v>
      </c>
    </row>
    <row r="30" spans="1:26" ht="16.5">
      <c r="A30" s="208"/>
      <c r="B30" s="61" t="s">
        <v>1442</v>
      </c>
      <c r="C30" s="61">
        <v>0</v>
      </c>
      <c r="D30" s="62">
        <v>0</v>
      </c>
      <c r="E30" s="62">
        <f t="shared" ref="E30:S30" si="18">D29-E27</f>
        <v>500</v>
      </c>
      <c r="F30" s="62">
        <f t="shared" si="18"/>
        <v>1000</v>
      </c>
      <c r="G30" s="62">
        <f t="shared" si="18"/>
        <v>-300</v>
      </c>
      <c r="H30" s="62">
        <f t="shared" si="18"/>
        <v>300</v>
      </c>
      <c r="I30" s="62">
        <f t="shared" si="18"/>
        <v>-1362</v>
      </c>
      <c r="J30" s="62">
        <f t="shared" si="18"/>
        <v>-1362</v>
      </c>
      <c r="K30" s="62">
        <f t="shared" si="18"/>
        <v>-362</v>
      </c>
      <c r="L30" s="62">
        <f t="shared" si="18"/>
        <v>-796</v>
      </c>
      <c r="M30" s="62">
        <f t="shared" si="18"/>
        <v>63</v>
      </c>
      <c r="N30" s="62">
        <f t="shared" si="18"/>
        <v>2110</v>
      </c>
      <c r="O30" s="62">
        <f t="shared" si="18"/>
        <v>2953</v>
      </c>
      <c r="P30" s="62">
        <f t="shared" si="18"/>
        <v>2820</v>
      </c>
      <c r="Q30" s="62">
        <f t="shared" si="18"/>
        <v>3820</v>
      </c>
      <c r="R30" s="62">
        <f t="shared" si="18"/>
        <v>4820</v>
      </c>
      <c r="S30" s="62">
        <f t="shared" si="18"/>
        <v>1665</v>
      </c>
      <c r="T30" s="62">
        <f t="shared" ref="T30:Z30" si="19">S29-T27</f>
        <v>1351</v>
      </c>
      <c r="U30" s="62">
        <f t="shared" si="19"/>
        <v>949</v>
      </c>
      <c r="V30" s="62">
        <f t="shared" si="19"/>
        <v>1949</v>
      </c>
      <c r="W30" s="62">
        <f t="shared" si="19"/>
        <v>2949</v>
      </c>
      <c r="X30" s="62">
        <f t="shared" si="19"/>
        <v>3949</v>
      </c>
      <c r="Y30" s="62">
        <f t="shared" si="19"/>
        <v>4949</v>
      </c>
      <c r="Z30" s="62">
        <f t="shared" si="19"/>
        <v>5949</v>
      </c>
    </row>
  </sheetData>
  <mergeCells count="10">
    <mergeCell ref="A27:A30"/>
    <mergeCell ref="A1:S1"/>
    <mergeCell ref="A7:S7"/>
    <mergeCell ref="A13:S13"/>
    <mergeCell ref="A19:S19"/>
    <mergeCell ref="A25:S25"/>
    <mergeCell ref="A3:A6"/>
    <mergeCell ref="A9:A12"/>
    <mergeCell ref="A15:A18"/>
    <mergeCell ref="A21:A24"/>
  </mergeCells>
  <phoneticPr fontId="1" type="noConversion"/>
  <pageMargins left="0.75" right="0.75" top="1" bottom="1" header="0.5" footer="0.5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/>
  <dimension ref="A1:BF16"/>
  <sheetViews>
    <sheetView workbookViewId="0">
      <pane xSplit="2" ySplit="16" topLeftCell="AM17" activePane="bottomRight" state="frozen"/>
      <selection pane="topRight"/>
      <selection pane="bottomLeft"/>
      <selection pane="bottomRight" activeCell="AH116" sqref="AH116"/>
    </sheetView>
  </sheetViews>
  <sheetFormatPr defaultColWidth="8.90625" defaultRowHeight="14"/>
  <cols>
    <col min="1" max="1" width="7.54296875" style="42" customWidth="1"/>
    <col min="2" max="2" width="13.1796875" style="42" customWidth="1"/>
    <col min="3" max="30" width="8.90625" style="42"/>
    <col min="31" max="34" width="10.08984375" style="42" customWidth="1"/>
    <col min="35" max="16384" width="8.90625" style="42"/>
  </cols>
  <sheetData>
    <row r="1" spans="1:58" ht="27.65" customHeight="1">
      <c r="A1" s="209" t="s">
        <v>1453</v>
      </c>
      <c r="B1" s="209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</row>
    <row r="2" spans="1:58" ht="22.75" customHeight="1">
      <c r="A2" s="215" t="s">
        <v>2</v>
      </c>
      <c r="B2" s="216" t="s">
        <v>1454</v>
      </c>
      <c r="C2" s="211" t="s">
        <v>1455</v>
      </c>
      <c r="D2" s="211"/>
      <c r="E2" s="211"/>
      <c r="F2" s="211"/>
      <c r="G2" s="211" t="s">
        <v>1456</v>
      </c>
      <c r="H2" s="211"/>
      <c r="I2" s="211"/>
      <c r="J2" s="211"/>
      <c r="K2" s="211" t="s">
        <v>1457</v>
      </c>
      <c r="L2" s="211"/>
      <c r="M2" s="211"/>
      <c r="N2" s="211"/>
      <c r="O2" s="211" t="s">
        <v>1458</v>
      </c>
      <c r="P2" s="211"/>
      <c r="Q2" s="211"/>
      <c r="R2" s="211"/>
      <c r="S2" s="211" t="s">
        <v>1459</v>
      </c>
      <c r="T2" s="211"/>
      <c r="U2" s="211"/>
      <c r="V2" s="211"/>
      <c r="W2" s="211" t="s">
        <v>1460</v>
      </c>
      <c r="X2" s="211"/>
      <c r="Y2" s="211"/>
      <c r="Z2" s="211"/>
      <c r="AA2" s="211" t="s">
        <v>1461</v>
      </c>
      <c r="AB2" s="211"/>
      <c r="AC2" s="211"/>
      <c r="AD2" s="211"/>
      <c r="AE2" s="211" t="s">
        <v>1462</v>
      </c>
      <c r="AF2" s="211"/>
      <c r="AG2" s="211"/>
      <c r="AH2" s="211"/>
      <c r="AI2" s="211" t="s">
        <v>1463</v>
      </c>
      <c r="AJ2" s="211"/>
      <c r="AK2" s="211"/>
      <c r="AL2" s="211"/>
      <c r="AM2" s="211" t="s">
        <v>1464</v>
      </c>
      <c r="AN2" s="211"/>
      <c r="AO2" s="211"/>
      <c r="AP2" s="211"/>
      <c r="AQ2" s="211" t="s">
        <v>1465</v>
      </c>
      <c r="AR2" s="211"/>
      <c r="AS2" s="211"/>
      <c r="AT2" s="211"/>
      <c r="AU2" s="211" t="s">
        <v>1466</v>
      </c>
      <c r="AV2" s="211"/>
      <c r="AW2" s="211"/>
      <c r="AX2" s="211"/>
      <c r="AY2" s="211" t="s">
        <v>1467</v>
      </c>
      <c r="AZ2" s="211"/>
      <c r="BA2" s="211"/>
      <c r="BB2" s="211"/>
      <c r="BC2" s="211" t="s">
        <v>1468</v>
      </c>
      <c r="BD2" s="211"/>
      <c r="BE2" s="211"/>
      <c r="BF2" s="211"/>
    </row>
    <row r="3" spans="1:58" ht="32.4" customHeight="1">
      <c r="A3" s="215"/>
      <c r="B3" s="216"/>
      <c r="C3" s="212" t="s">
        <v>1469</v>
      </c>
      <c r="D3" s="213"/>
      <c r="E3" s="213"/>
      <c r="F3" s="213"/>
      <c r="G3" s="212" t="s">
        <v>1470</v>
      </c>
      <c r="H3" s="213"/>
      <c r="I3" s="213"/>
      <c r="J3" s="213"/>
      <c r="K3" s="212" t="s">
        <v>1471</v>
      </c>
      <c r="L3" s="213"/>
      <c r="M3" s="213"/>
      <c r="N3" s="213"/>
      <c r="O3" s="212" t="s">
        <v>1472</v>
      </c>
      <c r="P3" s="213"/>
      <c r="Q3" s="213"/>
      <c r="R3" s="213"/>
      <c r="S3" s="212" t="s">
        <v>1470</v>
      </c>
      <c r="T3" s="213"/>
      <c r="U3" s="213"/>
      <c r="V3" s="213"/>
      <c r="W3" s="212" t="s">
        <v>1473</v>
      </c>
      <c r="X3" s="213"/>
      <c r="Y3" s="213"/>
      <c r="Z3" s="213"/>
      <c r="AA3" s="212" t="s">
        <v>1474</v>
      </c>
      <c r="AB3" s="213"/>
      <c r="AC3" s="213"/>
      <c r="AD3" s="213"/>
      <c r="AE3" s="212" t="s">
        <v>1475</v>
      </c>
      <c r="AF3" s="213"/>
      <c r="AG3" s="213"/>
      <c r="AH3" s="213"/>
      <c r="AI3" s="212" t="s">
        <v>1476</v>
      </c>
      <c r="AJ3" s="213"/>
      <c r="AK3" s="213"/>
      <c r="AL3" s="213"/>
      <c r="AM3" s="212" t="s">
        <v>1477</v>
      </c>
      <c r="AN3" s="213"/>
      <c r="AO3" s="213"/>
      <c r="AP3" s="213"/>
      <c r="AQ3" s="212" t="s">
        <v>1478</v>
      </c>
      <c r="AR3" s="213"/>
      <c r="AS3" s="213"/>
      <c r="AT3" s="213"/>
      <c r="AU3" s="212" t="s">
        <v>1479</v>
      </c>
      <c r="AV3" s="213"/>
      <c r="AW3" s="213"/>
      <c r="AX3" s="213"/>
      <c r="AY3" s="212" t="s">
        <v>1480</v>
      </c>
      <c r="AZ3" s="213"/>
      <c r="BA3" s="213"/>
      <c r="BB3" s="213"/>
      <c r="BC3" s="212" t="s">
        <v>1479</v>
      </c>
      <c r="BD3" s="213"/>
      <c r="BE3" s="213"/>
      <c r="BF3" s="213"/>
    </row>
    <row r="4" spans="1:58" ht="16.5">
      <c r="A4" s="215"/>
      <c r="B4" s="216"/>
      <c r="C4" s="214" t="s">
        <v>1481</v>
      </c>
      <c r="D4" s="214"/>
      <c r="E4" s="214" t="s">
        <v>1482</v>
      </c>
      <c r="F4" s="214"/>
      <c r="G4" s="214" t="s">
        <v>1481</v>
      </c>
      <c r="H4" s="214"/>
      <c r="I4" s="214" t="s">
        <v>1482</v>
      </c>
      <c r="J4" s="214"/>
      <c r="K4" s="214" t="s">
        <v>1481</v>
      </c>
      <c r="L4" s="214"/>
      <c r="M4" s="214" t="s">
        <v>1482</v>
      </c>
      <c r="N4" s="214"/>
      <c r="O4" s="214" t="s">
        <v>1481</v>
      </c>
      <c r="P4" s="214"/>
      <c r="Q4" s="214" t="s">
        <v>1482</v>
      </c>
      <c r="R4" s="214"/>
      <c r="S4" s="214" t="s">
        <v>1481</v>
      </c>
      <c r="T4" s="214"/>
      <c r="U4" s="214" t="s">
        <v>1482</v>
      </c>
      <c r="V4" s="214"/>
      <c r="W4" s="214" t="s">
        <v>1481</v>
      </c>
      <c r="X4" s="214"/>
      <c r="Y4" s="214" t="s">
        <v>1482</v>
      </c>
      <c r="Z4" s="214"/>
      <c r="AA4" s="214" t="s">
        <v>1481</v>
      </c>
      <c r="AB4" s="214"/>
      <c r="AC4" s="214" t="s">
        <v>1482</v>
      </c>
      <c r="AD4" s="214"/>
      <c r="AE4" s="214" t="s">
        <v>1481</v>
      </c>
      <c r="AF4" s="214"/>
      <c r="AG4" s="214" t="s">
        <v>1482</v>
      </c>
      <c r="AH4" s="214"/>
      <c r="AI4" s="214" t="s">
        <v>1481</v>
      </c>
      <c r="AJ4" s="214"/>
      <c r="AK4" s="214" t="s">
        <v>1482</v>
      </c>
      <c r="AL4" s="214"/>
      <c r="AM4" s="214" t="s">
        <v>1481</v>
      </c>
      <c r="AN4" s="214"/>
      <c r="AO4" s="214" t="s">
        <v>1482</v>
      </c>
      <c r="AP4" s="214"/>
      <c r="AQ4" s="214" t="s">
        <v>1481</v>
      </c>
      <c r="AR4" s="214"/>
      <c r="AS4" s="214" t="s">
        <v>1482</v>
      </c>
      <c r="AT4" s="214"/>
      <c r="AU4" s="214" t="s">
        <v>1481</v>
      </c>
      <c r="AV4" s="214"/>
      <c r="AW4" s="214" t="s">
        <v>1482</v>
      </c>
      <c r="AX4" s="214"/>
      <c r="AY4" s="214" t="s">
        <v>1481</v>
      </c>
      <c r="AZ4" s="214"/>
      <c r="BA4" s="214" t="s">
        <v>1482</v>
      </c>
      <c r="BB4" s="214"/>
      <c r="BC4" s="214" t="s">
        <v>1481</v>
      </c>
      <c r="BD4" s="214"/>
      <c r="BE4" s="214" t="s">
        <v>1482</v>
      </c>
      <c r="BF4" s="214"/>
    </row>
    <row r="5" spans="1:58" ht="16.5">
      <c r="A5" s="215"/>
      <c r="B5" s="216"/>
      <c r="C5" s="44" t="s">
        <v>1483</v>
      </c>
      <c r="D5" s="44" t="s">
        <v>1484</v>
      </c>
      <c r="E5" s="44" t="s">
        <v>1483</v>
      </c>
      <c r="F5" s="44" t="s">
        <v>1484</v>
      </c>
      <c r="G5" s="44" t="s">
        <v>1483</v>
      </c>
      <c r="H5" s="44" t="s">
        <v>1484</v>
      </c>
      <c r="I5" s="44" t="s">
        <v>1483</v>
      </c>
      <c r="J5" s="44" t="s">
        <v>1484</v>
      </c>
      <c r="K5" s="44" t="s">
        <v>1483</v>
      </c>
      <c r="L5" s="44" t="s">
        <v>1484</v>
      </c>
      <c r="M5" s="44" t="s">
        <v>1483</v>
      </c>
      <c r="N5" s="44" t="s">
        <v>1484</v>
      </c>
      <c r="O5" s="44" t="s">
        <v>1483</v>
      </c>
      <c r="P5" s="44" t="s">
        <v>1484</v>
      </c>
      <c r="Q5" s="44" t="s">
        <v>1483</v>
      </c>
      <c r="R5" s="44" t="s">
        <v>1484</v>
      </c>
      <c r="S5" s="44" t="s">
        <v>1483</v>
      </c>
      <c r="T5" s="44" t="s">
        <v>1484</v>
      </c>
      <c r="U5" s="44" t="s">
        <v>1483</v>
      </c>
      <c r="V5" s="44" t="s">
        <v>1484</v>
      </c>
      <c r="W5" s="44" t="s">
        <v>1483</v>
      </c>
      <c r="X5" s="44" t="s">
        <v>1484</v>
      </c>
      <c r="Y5" s="44" t="s">
        <v>1483</v>
      </c>
      <c r="Z5" s="44" t="s">
        <v>1484</v>
      </c>
      <c r="AA5" s="44" t="s">
        <v>1483</v>
      </c>
      <c r="AB5" s="44" t="s">
        <v>1484</v>
      </c>
      <c r="AC5" s="44" t="s">
        <v>1483</v>
      </c>
      <c r="AD5" s="44" t="s">
        <v>1484</v>
      </c>
      <c r="AE5" s="44" t="s">
        <v>1483</v>
      </c>
      <c r="AF5" s="44" t="s">
        <v>1484</v>
      </c>
      <c r="AG5" s="44" t="s">
        <v>1483</v>
      </c>
      <c r="AH5" s="44" t="s">
        <v>1484</v>
      </c>
      <c r="AI5" s="44" t="s">
        <v>1483</v>
      </c>
      <c r="AJ5" s="44" t="s">
        <v>1484</v>
      </c>
      <c r="AK5" s="44" t="s">
        <v>1483</v>
      </c>
      <c r="AL5" s="44" t="s">
        <v>1484</v>
      </c>
      <c r="AM5" s="44" t="s">
        <v>1483</v>
      </c>
      <c r="AN5" s="44" t="s">
        <v>1484</v>
      </c>
      <c r="AO5" s="44" t="s">
        <v>1483</v>
      </c>
      <c r="AP5" s="44" t="s">
        <v>1484</v>
      </c>
      <c r="AQ5" s="44" t="s">
        <v>1483</v>
      </c>
      <c r="AR5" s="44" t="s">
        <v>1484</v>
      </c>
      <c r="AS5" s="44" t="s">
        <v>1483</v>
      </c>
      <c r="AT5" s="44" t="s">
        <v>1484</v>
      </c>
      <c r="AU5" s="44" t="s">
        <v>1483</v>
      </c>
      <c r="AV5" s="44" t="s">
        <v>1484</v>
      </c>
      <c r="AW5" s="44" t="s">
        <v>1483</v>
      </c>
      <c r="AX5" s="44" t="s">
        <v>1484</v>
      </c>
      <c r="AY5" s="44" t="s">
        <v>1483</v>
      </c>
      <c r="AZ5" s="44" t="s">
        <v>1484</v>
      </c>
      <c r="BA5" s="44" t="s">
        <v>1483</v>
      </c>
      <c r="BB5" s="44" t="s">
        <v>1484</v>
      </c>
      <c r="BC5" s="44" t="s">
        <v>1483</v>
      </c>
      <c r="BD5" s="44" t="s">
        <v>1484</v>
      </c>
      <c r="BE5" s="44" t="s">
        <v>1483</v>
      </c>
      <c r="BF5" s="44" t="s">
        <v>1484</v>
      </c>
    </row>
    <row r="6" spans="1:58" ht="16.5">
      <c r="A6" s="215" t="s">
        <v>28</v>
      </c>
      <c r="B6" s="43" t="s">
        <v>1485</v>
      </c>
      <c r="C6" s="45">
        <v>1</v>
      </c>
      <c r="D6" s="46">
        <f>C6/C8</f>
        <v>0.14285714285714299</v>
      </c>
      <c r="E6" s="45">
        <v>390</v>
      </c>
      <c r="F6" s="46">
        <f>E6/E8</f>
        <v>3.2500000000000001E-2</v>
      </c>
      <c r="G6" s="45">
        <v>4</v>
      </c>
      <c r="H6" s="46">
        <f>G6/G8</f>
        <v>0.36363636363636398</v>
      </c>
      <c r="I6" s="45">
        <v>1495</v>
      </c>
      <c r="J6" s="46">
        <f>I6/I8</f>
        <v>6.2343619683069201E-2</v>
      </c>
      <c r="K6" s="45">
        <v>3</v>
      </c>
      <c r="L6" s="46">
        <f>K6/K8</f>
        <v>0.3</v>
      </c>
      <c r="M6" s="45">
        <v>1200</v>
      </c>
      <c r="N6" s="46">
        <f>M6/M8</f>
        <v>5.4545454545454501E-2</v>
      </c>
      <c r="O6" s="45">
        <v>3</v>
      </c>
      <c r="P6" s="46">
        <f>O6/O8</f>
        <v>0.33333333333333298</v>
      </c>
      <c r="Q6" s="45">
        <v>1368</v>
      </c>
      <c r="R6" s="46">
        <f>Q6/Q8</f>
        <v>6.51428571428571E-2</v>
      </c>
      <c r="S6" s="45">
        <v>1</v>
      </c>
      <c r="T6" s="46">
        <f>S6/S8</f>
        <v>0.125</v>
      </c>
      <c r="U6" s="45">
        <v>316</v>
      </c>
      <c r="V6" s="46">
        <f>U6/U8</f>
        <v>2.4764890282131701E-2</v>
      </c>
      <c r="W6" s="45">
        <v>3</v>
      </c>
      <c r="X6" s="46">
        <f>W6/W8</f>
        <v>0.33333333333333298</v>
      </c>
      <c r="Y6" s="45">
        <v>2060</v>
      </c>
      <c r="Z6" s="46">
        <f>Y6/Y8</f>
        <v>9.5992544268406296E-2</v>
      </c>
      <c r="AA6" s="45">
        <v>4</v>
      </c>
      <c r="AB6" s="46">
        <f>AA6/AA8</f>
        <v>0.36363636363636398</v>
      </c>
      <c r="AC6" s="45">
        <v>1655</v>
      </c>
      <c r="AD6" s="46">
        <f>AC6/AC8</f>
        <v>6.5674603174603205E-2</v>
      </c>
      <c r="AE6" s="45">
        <v>6</v>
      </c>
      <c r="AF6" s="46">
        <f>AE6/AE8</f>
        <v>0.42857142857142899</v>
      </c>
      <c r="AG6" s="45">
        <v>3767</v>
      </c>
      <c r="AH6" s="46">
        <f>AG6/AG8</f>
        <v>0.134257609238007</v>
      </c>
      <c r="AI6" s="45">
        <v>3</v>
      </c>
      <c r="AJ6" s="46">
        <f>AI6/AI8</f>
        <v>0.214285714285714</v>
      </c>
      <c r="AK6" s="45">
        <v>2049</v>
      </c>
      <c r="AL6" s="46">
        <f>AK6/AK8</f>
        <v>4.6462585034013598E-2</v>
      </c>
      <c r="AM6" s="45">
        <v>4</v>
      </c>
      <c r="AN6" s="46">
        <f>AM6/AM8</f>
        <v>0.25</v>
      </c>
      <c r="AO6" s="45">
        <v>2400</v>
      </c>
      <c r="AP6" s="46">
        <f>AO6/AO8</f>
        <v>5.3452115812917603E-2</v>
      </c>
      <c r="AQ6" s="45">
        <v>2</v>
      </c>
      <c r="AR6" s="46">
        <f>AQ6/AQ8</f>
        <v>0.15384615384615399</v>
      </c>
      <c r="AS6" s="45">
        <v>1119</v>
      </c>
      <c r="AT6" s="46">
        <f>AS6/AS8</f>
        <v>3.4430769230769202E-2</v>
      </c>
      <c r="AU6" s="45">
        <v>0</v>
      </c>
      <c r="AV6" s="46">
        <f>AU6/AU8</f>
        <v>0</v>
      </c>
      <c r="AW6" s="45">
        <v>0</v>
      </c>
      <c r="AX6" s="46">
        <f>AW6/AW8</f>
        <v>0</v>
      </c>
      <c r="AY6" s="45">
        <v>1</v>
      </c>
      <c r="AZ6" s="46">
        <f>AY6/AY8</f>
        <v>9.0909090909090898E-2</v>
      </c>
      <c r="BA6" s="45">
        <v>814</v>
      </c>
      <c r="BB6" s="46">
        <f>BA6/BA8</f>
        <v>1.7022166457549101E-2</v>
      </c>
      <c r="BC6" s="45">
        <v>0</v>
      </c>
      <c r="BD6" s="46">
        <f>BC6/BC8</f>
        <v>0</v>
      </c>
      <c r="BE6" s="45">
        <v>0</v>
      </c>
      <c r="BF6" s="46">
        <f>BE6/BE8</f>
        <v>0</v>
      </c>
    </row>
    <row r="7" spans="1:58" ht="16.5">
      <c r="A7" s="215"/>
      <c r="B7" s="43" t="s">
        <v>1486</v>
      </c>
      <c r="C7" s="45">
        <v>6</v>
      </c>
      <c r="D7" s="46">
        <f>C7/C8</f>
        <v>0.85714285714285698</v>
      </c>
      <c r="E7" s="45">
        <v>11610</v>
      </c>
      <c r="F7" s="46">
        <f>E7/E8</f>
        <v>0.96750000000000003</v>
      </c>
      <c r="G7" s="45">
        <v>7</v>
      </c>
      <c r="H7" s="46">
        <f>G7/G8</f>
        <v>0.63636363636363602</v>
      </c>
      <c r="I7" s="45">
        <v>22485</v>
      </c>
      <c r="J7" s="46">
        <f>I7/I8</f>
        <v>0.93765638031693099</v>
      </c>
      <c r="K7" s="45">
        <v>7</v>
      </c>
      <c r="L7" s="46">
        <f>K7/K8</f>
        <v>0.7</v>
      </c>
      <c r="M7" s="45">
        <v>20800</v>
      </c>
      <c r="N7" s="46">
        <f>M7/M8</f>
        <v>0.94545454545454499</v>
      </c>
      <c r="O7" s="45">
        <v>6</v>
      </c>
      <c r="P7" s="46">
        <f>O7/O8</f>
        <v>0.66666666666666696</v>
      </c>
      <c r="Q7" s="45">
        <v>19632</v>
      </c>
      <c r="R7" s="46">
        <f>Q7/Q8</f>
        <v>0.93485714285714305</v>
      </c>
      <c r="S7" s="45">
        <v>7</v>
      </c>
      <c r="T7" s="46">
        <f>S7/S8</f>
        <v>0.875</v>
      </c>
      <c r="U7" s="45">
        <v>12444</v>
      </c>
      <c r="V7" s="46">
        <f>U7/U8</f>
        <v>0.97523510971786798</v>
      </c>
      <c r="W7" s="45">
        <v>6</v>
      </c>
      <c r="X7" s="46">
        <f>W7/W8</f>
        <v>0.66666666666666696</v>
      </c>
      <c r="Y7" s="45">
        <v>19400</v>
      </c>
      <c r="Z7" s="46">
        <f>Y7/Y8</f>
        <v>0.90400745573159402</v>
      </c>
      <c r="AA7" s="45">
        <v>7</v>
      </c>
      <c r="AB7" s="46">
        <f>AA7/AA8</f>
        <v>0.63636363636363602</v>
      </c>
      <c r="AC7" s="45">
        <v>23545</v>
      </c>
      <c r="AD7" s="46">
        <f>AC7/AC8</f>
        <v>0.93432539682539695</v>
      </c>
      <c r="AE7" s="45">
        <v>8</v>
      </c>
      <c r="AF7" s="46">
        <f>AE7/AE8</f>
        <v>0.57142857142857095</v>
      </c>
      <c r="AG7" s="45">
        <v>24291</v>
      </c>
      <c r="AH7" s="46">
        <f>AG7/AG8</f>
        <v>0.865742390761993</v>
      </c>
      <c r="AI7" s="45">
        <v>11</v>
      </c>
      <c r="AJ7" s="46">
        <f>AI7/AI8</f>
        <v>0.78571428571428603</v>
      </c>
      <c r="AK7" s="45">
        <v>42051</v>
      </c>
      <c r="AL7" s="46">
        <f>AK7/AK8</f>
        <v>0.95353741496598599</v>
      </c>
      <c r="AM7" s="45">
        <v>12</v>
      </c>
      <c r="AN7" s="46">
        <f>AM7/AM8</f>
        <v>0.75</v>
      </c>
      <c r="AO7" s="45">
        <v>42500</v>
      </c>
      <c r="AP7" s="46">
        <f>AO7/AO8</f>
        <v>0.94654788418708202</v>
      </c>
      <c r="AQ7" s="45">
        <v>11</v>
      </c>
      <c r="AR7" s="46">
        <f>AQ7/AQ8</f>
        <v>0.84615384615384603</v>
      </c>
      <c r="AS7" s="45">
        <v>31381</v>
      </c>
      <c r="AT7" s="46">
        <f>AS7/AS8</f>
        <v>0.96556923076923096</v>
      </c>
      <c r="AU7" s="45">
        <v>6</v>
      </c>
      <c r="AV7" s="46">
        <f>AU7/AU8</f>
        <v>1</v>
      </c>
      <c r="AW7" s="45">
        <v>22000</v>
      </c>
      <c r="AX7" s="46">
        <f>AW7/AW8</f>
        <v>1</v>
      </c>
      <c r="AY7" s="45">
        <v>10</v>
      </c>
      <c r="AZ7" s="46">
        <f>AY7/AY8</f>
        <v>0.90909090909090895</v>
      </c>
      <c r="BA7" s="45">
        <v>47006</v>
      </c>
      <c r="BB7" s="46">
        <f>BA7/BA8</f>
        <v>0.98297783354245105</v>
      </c>
      <c r="BC7" s="45">
        <v>11</v>
      </c>
      <c r="BD7" s="46">
        <f>BC7/BC8</f>
        <v>1</v>
      </c>
      <c r="BE7" s="45">
        <v>53760</v>
      </c>
      <c r="BF7" s="46">
        <f>BE7/BE8</f>
        <v>1</v>
      </c>
    </row>
    <row r="8" spans="1:58" ht="16.5">
      <c r="A8" s="215"/>
      <c r="B8" s="47" t="s">
        <v>1386</v>
      </c>
      <c r="C8" s="48">
        <f>C7+C6</f>
        <v>7</v>
      </c>
      <c r="D8" s="48" t="s">
        <v>934</v>
      </c>
      <c r="E8" s="48">
        <f>E7+E6</f>
        <v>12000</v>
      </c>
      <c r="F8" s="48" t="s">
        <v>934</v>
      </c>
      <c r="G8" s="48">
        <f>G7+G6</f>
        <v>11</v>
      </c>
      <c r="H8" s="48" t="s">
        <v>934</v>
      </c>
      <c r="I8" s="48">
        <f>I7+I6</f>
        <v>23980</v>
      </c>
      <c r="J8" s="48" t="s">
        <v>934</v>
      </c>
      <c r="K8" s="48">
        <f>K7+K6</f>
        <v>10</v>
      </c>
      <c r="L8" s="48" t="s">
        <v>934</v>
      </c>
      <c r="M8" s="48">
        <f>M7+M6</f>
        <v>22000</v>
      </c>
      <c r="N8" s="48" t="s">
        <v>934</v>
      </c>
      <c r="O8" s="48">
        <f>O7+O6</f>
        <v>9</v>
      </c>
      <c r="P8" s="48" t="s">
        <v>934</v>
      </c>
      <c r="Q8" s="48">
        <f>Q7+Q6</f>
        <v>21000</v>
      </c>
      <c r="R8" s="48" t="s">
        <v>934</v>
      </c>
      <c r="S8" s="48">
        <f>S7+S6</f>
        <v>8</v>
      </c>
      <c r="T8" s="48" t="s">
        <v>934</v>
      </c>
      <c r="U8" s="48">
        <f>U7+U6</f>
        <v>12760</v>
      </c>
      <c r="V8" s="48" t="s">
        <v>934</v>
      </c>
      <c r="W8" s="48">
        <f>W7+W6</f>
        <v>9</v>
      </c>
      <c r="X8" s="48" t="s">
        <v>934</v>
      </c>
      <c r="Y8" s="48">
        <f>Y7+Y6</f>
        <v>21460</v>
      </c>
      <c r="Z8" s="48" t="s">
        <v>934</v>
      </c>
      <c r="AA8" s="48">
        <f>AA7+AA6</f>
        <v>11</v>
      </c>
      <c r="AB8" s="48" t="s">
        <v>934</v>
      </c>
      <c r="AC8" s="48">
        <f>AC7+AC6</f>
        <v>25200</v>
      </c>
      <c r="AD8" s="48" t="s">
        <v>934</v>
      </c>
      <c r="AE8" s="48">
        <f>AE7+AE6</f>
        <v>14</v>
      </c>
      <c r="AF8" s="48" t="s">
        <v>934</v>
      </c>
      <c r="AG8" s="48">
        <f>AG7+AG6</f>
        <v>28058</v>
      </c>
      <c r="AH8" s="48" t="s">
        <v>934</v>
      </c>
      <c r="AI8" s="48">
        <f>AI7+AI6</f>
        <v>14</v>
      </c>
      <c r="AJ8" s="48" t="s">
        <v>934</v>
      </c>
      <c r="AK8" s="48">
        <f>AK7+AK6</f>
        <v>44100</v>
      </c>
      <c r="AL8" s="48" t="s">
        <v>934</v>
      </c>
      <c r="AM8" s="48">
        <f>AM7+AM6</f>
        <v>16</v>
      </c>
      <c r="AN8" s="48" t="s">
        <v>934</v>
      </c>
      <c r="AO8" s="48">
        <f>AO7+AO6</f>
        <v>44900</v>
      </c>
      <c r="AP8" s="48" t="s">
        <v>934</v>
      </c>
      <c r="AQ8" s="48">
        <f>AQ7+AQ6</f>
        <v>13</v>
      </c>
      <c r="AR8" s="48" t="s">
        <v>934</v>
      </c>
      <c r="AS8" s="48">
        <f>AS7+AS6</f>
        <v>32500</v>
      </c>
      <c r="AT8" s="48" t="s">
        <v>934</v>
      </c>
      <c r="AU8" s="48">
        <f>AU7+AU6</f>
        <v>6</v>
      </c>
      <c r="AV8" s="48" t="s">
        <v>934</v>
      </c>
      <c r="AW8" s="48">
        <f>AW7+AW6</f>
        <v>22000</v>
      </c>
      <c r="AX8" s="48" t="s">
        <v>934</v>
      </c>
      <c r="AY8" s="48">
        <f>AY7+AY6</f>
        <v>11</v>
      </c>
      <c r="AZ8" s="48" t="s">
        <v>934</v>
      </c>
      <c r="BA8" s="48">
        <f>BA7+BA6</f>
        <v>47820</v>
      </c>
      <c r="BB8" s="48" t="s">
        <v>934</v>
      </c>
      <c r="BC8" s="48">
        <f>BC7+BC6</f>
        <v>11</v>
      </c>
      <c r="BD8" s="48" t="s">
        <v>934</v>
      </c>
      <c r="BE8" s="48">
        <f>BE7+BE6</f>
        <v>53760</v>
      </c>
      <c r="BF8" s="48" t="s">
        <v>934</v>
      </c>
    </row>
    <row r="9" spans="1:58" ht="16.5">
      <c r="A9" s="215" t="s">
        <v>29</v>
      </c>
      <c r="B9" s="43" t="s">
        <v>1487</v>
      </c>
      <c r="C9" s="45">
        <v>5</v>
      </c>
      <c r="D9" s="46">
        <f>C9/C11</f>
        <v>0.45454545454545497</v>
      </c>
      <c r="E9" s="45">
        <v>979</v>
      </c>
      <c r="F9" s="46">
        <f>E9/E11</f>
        <v>0.130585567560357</v>
      </c>
      <c r="G9" s="45">
        <v>6</v>
      </c>
      <c r="H9" s="46">
        <f>G9/G11</f>
        <v>0.4</v>
      </c>
      <c r="I9" s="45">
        <v>1743</v>
      </c>
      <c r="J9" s="46">
        <f>I9/I11</f>
        <v>0.10375</v>
      </c>
      <c r="K9" s="45">
        <v>3</v>
      </c>
      <c r="L9" s="46">
        <f>K9/K11</f>
        <v>0.214285714285714</v>
      </c>
      <c r="M9" s="45">
        <v>700</v>
      </c>
      <c r="N9" s="46">
        <f>M9/M11</f>
        <v>3.7313432835820899E-2</v>
      </c>
      <c r="O9" s="45">
        <v>5</v>
      </c>
      <c r="P9" s="46">
        <f>O9/O11</f>
        <v>0.33333333333333298</v>
      </c>
      <c r="Q9" s="45">
        <v>1300</v>
      </c>
      <c r="R9" s="46">
        <f>Q9/Q11</f>
        <v>7.6741440377804004E-2</v>
      </c>
      <c r="S9" s="45">
        <v>6</v>
      </c>
      <c r="T9" s="46">
        <f>S9/S11</f>
        <v>0.6</v>
      </c>
      <c r="U9" s="45">
        <v>1704</v>
      </c>
      <c r="V9" s="46">
        <f>U9/U11</f>
        <v>0.184815618221258</v>
      </c>
      <c r="W9" s="45">
        <v>6</v>
      </c>
      <c r="X9" s="46">
        <f>W9/W11</f>
        <v>0.31578947368421101</v>
      </c>
      <c r="Y9" s="45">
        <v>1558</v>
      </c>
      <c r="Z9" s="46">
        <f>Y9/Y11</f>
        <v>8.2521186440678004E-2</v>
      </c>
      <c r="AA9" s="45">
        <v>5</v>
      </c>
      <c r="AB9" s="46">
        <f>AA9/AA11</f>
        <v>0.2</v>
      </c>
      <c r="AC9" s="45">
        <v>1800</v>
      </c>
      <c r="AD9" s="46">
        <f>AC9/AC11</f>
        <v>6.01966423650592E-2</v>
      </c>
      <c r="AE9" s="45">
        <v>18</v>
      </c>
      <c r="AF9" s="46">
        <f>AE9/AE11</f>
        <v>0.64285714285714302</v>
      </c>
      <c r="AG9" s="45">
        <v>7776</v>
      </c>
      <c r="AH9" s="46">
        <f>AG9/AG11</f>
        <v>0.24923076923076901</v>
      </c>
      <c r="AI9" s="45">
        <v>4</v>
      </c>
      <c r="AJ9" s="46">
        <f>AI9/AI11</f>
        <v>0.16</v>
      </c>
      <c r="AK9" s="45">
        <v>1200</v>
      </c>
      <c r="AL9" s="46">
        <f>AK9/AK11</f>
        <v>3.5087719298245598E-2</v>
      </c>
      <c r="AM9" s="45">
        <v>2</v>
      </c>
      <c r="AN9" s="46">
        <f>AM9/AM11</f>
        <v>7.4074074074074098E-2</v>
      </c>
      <c r="AO9" s="45">
        <v>600</v>
      </c>
      <c r="AP9" s="46">
        <f>AO9/AO11</f>
        <v>1.7657445556209499E-2</v>
      </c>
      <c r="AQ9" s="45">
        <v>0</v>
      </c>
      <c r="AR9" s="46">
        <f>AQ9/AQ11</f>
        <v>0</v>
      </c>
      <c r="AS9" s="45">
        <v>0</v>
      </c>
      <c r="AT9" s="46">
        <f>AS9/AS11</f>
        <v>0</v>
      </c>
      <c r="AU9" s="45">
        <v>2</v>
      </c>
      <c r="AV9" s="46">
        <f>AU9/AU11</f>
        <v>0.133333333333333</v>
      </c>
      <c r="AW9" s="45">
        <v>301</v>
      </c>
      <c r="AX9" s="46">
        <f>AW9/AW11</f>
        <v>1.3681818181818199E-2</v>
      </c>
      <c r="AY9" s="45">
        <v>1</v>
      </c>
      <c r="AZ9" s="46">
        <f>AY9/AY11</f>
        <v>7.69230769230769E-2</v>
      </c>
      <c r="BA9" s="45">
        <v>400</v>
      </c>
      <c r="BB9" s="46">
        <f>BA9/BA11</f>
        <v>1.21212121212121E-2</v>
      </c>
      <c r="BC9" s="45">
        <v>0</v>
      </c>
      <c r="BD9" s="46">
        <f>BC9/BC11</f>
        <v>0</v>
      </c>
      <c r="BE9" s="45">
        <v>0</v>
      </c>
      <c r="BF9" s="46">
        <f>BE9/BE11</f>
        <v>0</v>
      </c>
    </row>
    <row r="10" spans="1:58" ht="16.5">
      <c r="A10" s="215"/>
      <c r="B10" s="43" t="s">
        <v>1488</v>
      </c>
      <c r="C10" s="45">
        <v>6</v>
      </c>
      <c r="D10" s="46">
        <f>C10/C11</f>
        <v>0.54545454545454497</v>
      </c>
      <c r="E10" s="45">
        <v>6518</v>
      </c>
      <c r="F10" s="46">
        <f>E10/E11</f>
        <v>0.869414432439643</v>
      </c>
      <c r="G10" s="45">
        <v>9</v>
      </c>
      <c r="H10" s="46">
        <f>G10/G11</f>
        <v>0.6</v>
      </c>
      <c r="I10" s="45">
        <v>15057</v>
      </c>
      <c r="J10" s="46">
        <f>I10/I11</f>
        <v>0.89624999999999999</v>
      </c>
      <c r="K10" s="45">
        <v>11</v>
      </c>
      <c r="L10" s="46">
        <f>K10/K11</f>
        <v>0.78571428571428603</v>
      </c>
      <c r="M10" s="45">
        <v>18060</v>
      </c>
      <c r="N10" s="46">
        <f>M10/M11</f>
        <v>0.962686567164179</v>
      </c>
      <c r="O10" s="45">
        <v>10</v>
      </c>
      <c r="P10" s="46">
        <f>O10/O11</f>
        <v>0.66666666666666696</v>
      </c>
      <c r="Q10" s="45">
        <v>15640</v>
      </c>
      <c r="R10" s="46">
        <f>Q10/Q11</f>
        <v>0.92325855962219605</v>
      </c>
      <c r="S10" s="45">
        <v>4</v>
      </c>
      <c r="T10" s="46">
        <f>S10/S11</f>
        <v>0.4</v>
      </c>
      <c r="U10" s="45">
        <v>7516</v>
      </c>
      <c r="V10" s="46">
        <f>U10/U11</f>
        <v>0.81518438177874197</v>
      </c>
      <c r="W10" s="45">
        <v>13</v>
      </c>
      <c r="X10" s="46">
        <f>W10/W11</f>
        <v>0.68421052631578905</v>
      </c>
      <c r="Y10" s="45">
        <v>17322</v>
      </c>
      <c r="Z10" s="46">
        <f>Y10/Y11</f>
        <v>0.91747881355932204</v>
      </c>
      <c r="AA10" s="45">
        <v>20</v>
      </c>
      <c r="AB10" s="46">
        <f>AA10/AA11</f>
        <v>0.8</v>
      </c>
      <c r="AC10" s="45">
        <v>28102</v>
      </c>
      <c r="AD10" s="46">
        <f>AC10/AC11</f>
        <v>0.93980335763494105</v>
      </c>
      <c r="AE10" s="45">
        <v>10</v>
      </c>
      <c r="AF10" s="46">
        <f>AE10/AE11</f>
        <v>0.35714285714285698</v>
      </c>
      <c r="AG10" s="45">
        <v>23424</v>
      </c>
      <c r="AH10" s="46">
        <f>AG10/AG11</f>
        <v>0.75076923076923097</v>
      </c>
      <c r="AI10" s="45">
        <v>21</v>
      </c>
      <c r="AJ10" s="46">
        <f>AI10/AI11</f>
        <v>0.84</v>
      </c>
      <c r="AK10" s="45">
        <v>33000</v>
      </c>
      <c r="AL10" s="46">
        <f>AK10/AK11</f>
        <v>0.96491228070175405</v>
      </c>
      <c r="AM10" s="45">
        <v>25</v>
      </c>
      <c r="AN10" s="46">
        <f>AM10/AM11</f>
        <v>0.92592592592592604</v>
      </c>
      <c r="AO10" s="45">
        <v>33380</v>
      </c>
      <c r="AP10" s="46">
        <f>AO10/AO11</f>
        <v>0.98234255444379004</v>
      </c>
      <c r="AQ10" s="45">
        <v>15</v>
      </c>
      <c r="AR10" s="46">
        <f>AQ10/AQ11</f>
        <v>1</v>
      </c>
      <c r="AS10" s="45">
        <v>23500</v>
      </c>
      <c r="AT10" s="46">
        <f>AS10/AS11</f>
        <v>1</v>
      </c>
      <c r="AU10" s="45">
        <v>13</v>
      </c>
      <c r="AV10" s="46">
        <f>AU10/AU11</f>
        <v>0.86666666666666703</v>
      </c>
      <c r="AW10" s="45">
        <v>21699</v>
      </c>
      <c r="AX10" s="46">
        <f>AW10/AW11</f>
        <v>0.98631818181818198</v>
      </c>
      <c r="AY10" s="45">
        <v>12</v>
      </c>
      <c r="AZ10" s="46">
        <f>AY10/AY11</f>
        <v>0.92307692307692302</v>
      </c>
      <c r="BA10" s="45">
        <v>32600</v>
      </c>
      <c r="BB10" s="46">
        <f>BA10/BA11</f>
        <v>0.98787878787878802</v>
      </c>
      <c r="BC10" s="45">
        <v>19</v>
      </c>
      <c r="BD10" s="46">
        <f>BC10/BC11</f>
        <v>1</v>
      </c>
      <c r="BE10" s="45">
        <v>35040</v>
      </c>
      <c r="BF10" s="46">
        <f>BE10/BE11</f>
        <v>1</v>
      </c>
    </row>
    <row r="11" spans="1:58" ht="16.5">
      <c r="A11" s="215"/>
      <c r="B11" s="47" t="s">
        <v>1386</v>
      </c>
      <c r="C11" s="48">
        <f>C10+C9</f>
        <v>11</v>
      </c>
      <c r="D11" s="48" t="s">
        <v>934</v>
      </c>
      <c r="E11" s="48">
        <f>E10+E9</f>
        <v>7497</v>
      </c>
      <c r="F11" s="48" t="s">
        <v>934</v>
      </c>
      <c r="G11" s="48">
        <f>G10+G9</f>
        <v>15</v>
      </c>
      <c r="H11" s="48" t="s">
        <v>934</v>
      </c>
      <c r="I11" s="48">
        <f>I10+I9</f>
        <v>16800</v>
      </c>
      <c r="J11" s="48" t="s">
        <v>934</v>
      </c>
      <c r="K11" s="48">
        <f>K10+K9</f>
        <v>14</v>
      </c>
      <c r="L11" s="48" t="s">
        <v>934</v>
      </c>
      <c r="M11" s="48">
        <f>M10+M9</f>
        <v>18760</v>
      </c>
      <c r="N11" s="48" t="s">
        <v>934</v>
      </c>
      <c r="O11" s="48">
        <f>O10+O9</f>
        <v>15</v>
      </c>
      <c r="P11" s="48" t="s">
        <v>934</v>
      </c>
      <c r="Q11" s="48">
        <f>Q10+Q9</f>
        <v>16940</v>
      </c>
      <c r="R11" s="48" t="s">
        <v>934</v>
      </c>
      <c r="S11" s="48">
        <f>S10+S9</f>
        <v>10</v>
      </c>
      <c r="T11" s="48" t="s">
        <v>934</v>
      </c>
      <c r="U11" s="48">
        <f>U10+U9</f>
        <v>9220</v>
      </c>
      <c r="V11" s="48" t="s">
        <v>934</v>
      </c>
      <c r="W11" s="48">
        <f>W10+W9</f>
        <v>19</v>
      </c>
      <c r="X11" s="48" t="s">
        <v>934</v>
      </c>
      <c r="Y11" s="48">
        <f>Y10+Y9</f>
        <v>18880</v>
      </c>
      <c r="Z11" s="48" t="s">
        <v>934</v>
      </c>
      <c r="AA11" s="48">
        <f>AA10+AA9</f>
        <v>25</v>
      </c>
      <c r="AB11" s="48" t="s">
        <v>934</v>
      </c>
      <c r="AC11" s="48">
        <f>AC10+AC9</f>
        <v>29902</v>
      </c>
      <c r="AD11" s="48" t="s">
        <v>934</v>
      </c>
      <c r="AE11" s="48">
        <f>AE10+AE9</f>
        <v>28</v>
      </c>
      <c r="AF11" s="48" t="s">
        <v>934</v>
      </c>
      <c r="AG11" s="48">
        <f>AG10+AG9</f>
        <v>31200</v>
      </c>
      <c r="AH11" s="48" t="s">
        <v>934</v>
      </c>
      <c r="AI11" s="48">
        <f>AI10+AI9</f>
        <v>25</v>
      </c>
      <c r="AJ11" s="48" t="s">
        <v>934</v>
      </c>
      <c r="AK11" s="48">
        <f>AK10+AK9</f>
        <v>34200</v>
      </c>
      <c r="AL11" s="48" t="s">
        <v>934</v>
      </c>
      <c r="AM11" s="48">
        <f>AM10+AM9</f>
        <v>27</v>
      </c>
      <c r="AN11" s="48" t="s">
        <v>934</v>
      </c>
      <c r="AO11" s="48">
        <f>AO10+AO9</f>
        <v>33980</v>
      </c>
      <c r="AP11" s="48" t="s">
        <v>934</v>
      </c>
      <c r="AQ11" s="48">
        <f>AQ10+AQ9</f>
        <v>15</v>
      </c>
      <c r="AR11" s="48" t="s">
        <v>934</v>
      </c>
      <c r="AS11" s="48">
        <f>AS10+AS9</f>
        <v>23500</v>
      </c>
      <c r="AT11" s="48" t="s">
        <v>934</v>
      </c>
      <c r="AU11" s="48">
        <f>AU10+AU9</f>
        <v>15</v>
      </c>
      <c r="AV11" s="48" t="s">
        <v>934</v>
      </c>
      <c r="AW11" s="48">
        <f>AW10+AW9</f>
        <v>22000</v>
      </c>
      <c r="AX11" s="48" t="s">
        <v>934</v>
      </c>
      <c r="AY11" s="48">
        <f>AY10+AY9</f>
        <v>13</v>
      </c>
      <c r="AZ11" s="48" t="s">
        <v>934</v>
      </c>
      <c r="BA11" s="48">
        <f>BA10+BA9</f>
        <v>33000</v>
      </c>
      <c r="BB11" s="48" t="s">
        <v>934</v>
      </c>
      <c r="BC11" s="48">
        <f>BC10+BC9</f>
        <v>19</v>
      </c>
      <c r="BD11" s="48" t="s">
        <v>934</v>
      </c>
      <c r="BE11" s="48">
        <f>BE10+BE9</f>
        <v>35040</v>
      </c>
      <c r="BF11" s="48" t="s">
        <v>934</v>
      </c>
    </row>
    <row r="12" spans="1:58" ht="16.5">
      <c r="A12" s="215" t="s">
        <v>30</v>
      </c>
      <c r="B12" s="43" t="s">
        <v>1487</v>
      </c>
      <c r="C12" s="45">
        <v>12</v>
      </c>
      <c r="D12" s="46">
        <f>C12/C14</f>
        <v>0.8</v>
      </c>
      <c r="E12" s="45">
        <v>2001</v>
      </c>
      <c r="F12" s="46">
        <f>E12/E14</f>
        <v>0.33107213765718102</v>
      </c>
      <c r="G12" s="45">
        <v>14</v>
      </c>
      <c r="H12" s="46">
        <f>G12/G14</f>
        <v>0.82352941176470595</v>
      </c>
      <c r="I12" s="45">
        <v>2920</v>
      </c>
      <c r="J12" s="46">
        <f>I12/I14</f>
        <v>0.29435483870967699</v>
      </c>
      <c r="K12" s="45">
        <v>5</v>
      </c>
      <c r="L12" s="46">
        <f>K12/K14</f>
        <v>0.38461538461538503</v>
      </c>
      <c r="M12" s="45">
        <v>650</v>
      </c>
      <c r="N12" s="46">
        <f>M12/M14</f>
        <v>7.9735034347399397E-2</v>
      </c>
      <c r="O12" s="45">
        <v>8</v>
      </c>
      <c r="P12" s="46">
        <f>O12/O14</f>
        <v>0.66666666666666696</v>
      </c>
      <c r="Q12" s="45">
        <v>745</v>
      </c>
      <c r="R12" s="46">
        <f>Q12/Q14</f>
        <v>8.0627705627705604E-2</v>
      </c>
      <c r="S12" s="45">
        <v>12</v>
      </c>
      <c r="T12" s="46">
        <f>S12/S14</f>
        <v>0.75</v>
      </c>
      <c r="U12" s="45">
        <v>1689</v>
      </c>
      <c r="V12" s="46">
        <f>U12/U14</f>
        <v>0.21017919362867099</v>
      </c>
      <c r="W12" s="45">
        <v>6</v>
      </c>
      <c r="X12" s="46">
        <f>W12/W14</f>
        <v>0.4</v>
      </c>
      <c r="Y12" s="45">
        <v>1414</v>
      </c>
      <c r="Z12" s="46">
        <f>Y12/Y14</f>
        <v>0.12838205919738499</v>
      </c>
      <c r="AA12" s="45">
        <v>8</v>
      </c>
      <c r="AB12" s="46">
        <f>AA12/AA14</f>
        <v>0.5</v>
      </c>
      <c r="AC12" s="45">
        <v>1749</v>
      </c>
      <c r="AD12" s="46">
        <f>AC12/AC14</f>
        <v>0.15974061558133201</v>
      </c>
      <c r="AE12" s="45">
        <v>9</v>
      </c>
      <c r="AF12" s="46">
        <f>AE12/AE14</f>
        <v>0.6</v>
      </c>
      <c r="AG12" s="45">
        <v>1133</v>
      </c>
      <c r="AH12" s="46">
        <f>AG12/AG14</f>
        <v>8.9198551409226903E-2</v>
      </c>
      <c r="AI12" s="45">
        <v>15</v>
      </c>
      <c r="AJ12" s="46">
        <f>AI12/AI14</f>
        <v>0.65217391304347805</v>
      </c>
      <c r="AK12" s="45">
        <v>2029</v>
      </c>
      <c r="AL12" s="46">
        <f>AK12/AK14</f>
        <v>0.18863889921904101</v>
      </c>
      <c r="AM12" s="45">
        <v>8</v>
      </c>
      <c r="AN12" s="46">
        <f>AM12/AM14</f>
        <v>0.44444444444444398</v>
      </c>
      <c r="AO12" s="45">
        <v>1500</v>
      </c>
      <c r="AP12" s="46">
        <f>AO12/AO14</f>
        <v>9.4900670631405795E-2</v>
      </c>
      <c r="AQ12" s="45">
        <v>5</v>
      </c>
      <c r="AR12" s="46">
        <f>AQ12/AQ14</f>
        <v>0.29411764705882398</v>
      </c>
      <c r="AS12" s="45">
        <v>1031</v>
      </c>
      <c r="AT12" s="46">
        <f>AS12/AS14</f>
        <v>8.6413544547816606E-2</v>
      </c>
      <c r="AU12" s="45">
        <v>5</v>
      </c>
      <c r="AV12" s="46">
        <f>AU12/AU14</f>
        <v>0.41666666666666702</v>
      </c>
      <c r="AW12" s="45">
        <v>350</v>
      </c>
      <c r="AX12" s="46">
        <f>AW12/AW14</f>
        <v>3.9548022598870101E-2</v>
      </c>
      <c r="AY12" s="45">
        <v>4</v>
      </c>
      <c r="AZ12" s="46">
        <f>AY12/AY14</f>
        <v>0.33333333333333298</v>
      </c>
      <c r="BA12" s="45">
        <v>782</v>
      </c>
      <c r="BB12" s="46">
        <f>BA12/BA14</f>
        <v>6.6372432524189395E-2</v>
      </c>
      <c r="BC12" s="45">
        <v>11</v>
      </c>
      <c r="BD12" s="46">
        <f>BC12/BC14</f>
        <v>0.5</v>
      </c>
      <c r="BE12" s="45">
        <v>1438</v>
      </c>
      <c r="BF12" s="46">
        <f>BE12/BE14</f>
        <v>0.10862668076748799</v>
      </c>
    </row>
    <row r="13" spans="1:58" ht="16.5">
      <c r="A13" s="215"/>
      <c r="B13" s="43" t="s">
        <v>1488</v>
      </c>
      <c r="C13" s="45">
        <v>3</v>
      </c>
      <c r="D13" s="46">
        <f>C13/C14</f>
        <v>0.2</v>
      </c>
      <c r="E13" s="45">
        <v>4043</v>
      </c>
      <c r="F13" s="46">
        <f>E13/E14</f>
        <v>0.66892786234281898</v>
      </c>
      <c r="G13" s="45">
        <v>3</v>
      </c>
      <c r="H13" s="46">
        <f>G13/G14</f>
        <v>0.17647058823529399</v>
      </c>
      <c r="I13" s="45">
        <v>7000</v>
      </c>
      <c r="J13" s="46">
        <f>I13/I14</f>
        <v>0.70564516129032295</v>
      </c>
      <c r="K13" s="45">
        <v>8</v>
      </c>
      <c r="L13" s="46">
        <f>K13/K14</f>
        <v>0.61538461538461497</v>
      </c>
      <c r="M13" s="45">
        <v>7502</v>
      </c>
      <c r="N13" s="46">
        <f>M13/M14</f>
        <v>0.92026496565260096</v>
      </c>
      <c r="O13" s="45">
        <v>4</v>
      </c>
      <c r="P13" s="46">
        <f>O13/O14</f>
        <v>0.33333333333333298</v>
      </c>
      <c r="Q13" s="45">
        <v>8495</v>
      </c>
      <c r="R13" s="46">
        <f>Q13/Q14</f>
        <v>0.91937229437229395</v>
      </c>
      <c r="S13" s="45">
        <v>4</v>
      </c>
      <c r="T13" s="46">
        <f>S13/S14</f>
        <v>0.25</v>
      </c>
      <c r="U13" s="45">
        <v>6347</v>
      </c>
      <c r="V13" s="46">
        <f>U13/U14</f>
        <v>0.78982080637132901</v>
      </c>
      <c r="W13" s="45">
        <v>9</v>
      </c>
      <c r="X13" s="46">
        <f>W13/W14</f>
        <v>0.6</v>
      </c>
      <c r="Y13" s="45">
        <v>9600</v>
      </c>
      <c r="Z13" s="46">
        <f>Y13/Y14</f>
        <v>0.87161794080261501</v>
      </c>
      <c r="AA13" s="45">
        <v>8</v>
      </c>
      <c r="AB13" s="46">
        <f>AA13/AA14</f>
        <v>0.5</v>
      </c>
      <c r="AC13" s="45">
        <v>9200</v>
      </c>
      <c r="AD13" s="46">
        <f>AC13/AC14</f>
        <v>0.84025938441866799</v>
      </c>
      <c r="AE13" s="45">
        <v>6</v>
      </c>
      <c r="AF13" s="46">
        <f>AE13/AE14</f>
        <v>0.4</v>
      </c>
      <c r="AG13" s="45">
        <v>11569</v>
      </c>
      <c r="AH13" s="46">
        <f>AG13/AG14</f>
        <v>0.91080144859077306</v>
      </c>
      <c r="AI13" s="45">
        <v>8</v>
      </c>
      <c r="AJ13" s="46">
        <f>AI13/AI14</f>
        <v>0.34782608695652201</v>
      </c>
      <c r="AK13" s="45">
        <v>8727</v>
      </c>
      <c r="AL13" s="46">
        <f>AK13/AK14</f>
        <v>0.81136110078095902</v>
      </c>
      <c r="AM13" s="45">
        <v>10</v>
      </c>
      <c r="AN13" s="46">
        <f>AM13/AM14</f>
        <v>0.55555555555555602</v>
      </c>
      <c r="AO13" s="45">
        <v>14306</v>
      </c>
      <c r="AP13" s="46">
        <f>AO13/AO14</f>
        <v>0.90509932936859405</v>
      </c>
      <c r="AQ13" s="45">
        <v>12</v>
      </c>
      <c r="AR13" s="46">
        <f>AQ13/AQ14</f>
        <v>0.70588235294117696</v>
      </c>
      <c r="AS13" s="45">
        <v>10900</v>
      </c>
      <c r="AT13" s="46">
        <f>AS13/AS14</f>
        <v>0.91358645545218298</v>
      </c>
      <c r="AU13" s="45">
        <v>7</v>
      </c>
      <c r="AV13" s="46">
        <f>AU13/AU14</f>
        <v>0.58333333333333304</v>
      </c>
      <c r="AW13" s="45">
        <v>8500</v>
      </c>
      <c r="AX13" s="46">
        <f>AW13/AW14</f>
        <v>0.96045197740112997</v>
      </c>
      <c r="AY13" s="45">
        <v>8</v>
      </c>
      <c r="AZ13" s="46">
        <f>AY13/AY14</f>
        <v>0.66666666666666696</v>
      </c>
      <c r="BA13" s="45">
        <v>11000</v>
      </c>
      <c r="BB13" s="46">
        <f>BA13/BA14</f>
        <v>0.93362756747581099</v>
      </c>
      <c r="BC13" s="45">
        <v>11</v>
      </c>
      <c r="BD13" s="46">
        <f>BC13/BC14</f>
        <v>0.5</v>
      </c>
      <c r="BE13" s="45">
        <v>11800</v>
      </c>
      <c r="BF13" s="46">
        <f>BE13/BE14</f>
        <v>0.89137331923251295</v>
      </c>
    </row>
    <row r="14" spans="1:58" ht="16.5">
      <c r="A14" s="215"/>
      <c r="B14" s="47" t="s">
        <v>1386</v>
      </c>
      <c r="C14" s="48">
        <f>C13+C12</f>
        <v>15</v>
      </c>
      <c r="D14" s="48" t="s">
        <v>934</v>
      </c>
      <c r="E14" s="48">
        <f>E13+E12</f>
        <v>6044</v>
      </c>
      <c r="F14" s="48" t="s">
        <v>934</v>
      </c>
      <c r="G14" s="48">
        <f>G13+G12</f>
        <v>17</v>
      </c>
      <c r="H14" s="48" t="s">
        <v>934</v>
      </c>
      <c r="I14" s="48">
        <f>I13+I12</f>
        <v>9920</v>
      </c>
      <c r="J14" s="48" t="s">
        <v>934</v>
      </c>
      <c r="K14" s="48">
        <f>K13+K12</f>
        <v>13</v>
      </c>
      <c r="L14" s="48" t="s">
        <v>934</v>
      </c>
      <c r="M14" s="48">
        <f>M13+M12</f>
        <v>8152</v>
      </c>
      <c r="N14" s="48" t="s">
        <v>934</v>
      </c>
      <c r="O14" s="48">
        <f>O13+O12</f>
        <v>12</v>
      </c>
      <c r="P14" s="48" t="s">
        <v>934</v>
      </c>
      <c r="Q14" s="48">
        <f>Q13+Q12</f>
        <v>9240</v>
      </c>
      <c r="R14" s="48" t="s">
        <v>934</v>
      </c>
      <c r="S14" s="48">
        <f>S13+S12</f>
        <v>16</v>
      </c>
      <c r="T14" s="48" t="s">
        <v>934</v>
      </c>
      <c r="U14" s="48">
        <f>U13+U12</f>
        <v>8036</v>
      </c>
      <c r="V14" s="48" t="s">
        <v>934</v>
      </c>
      <c r="W14" s="48">
        <f>W13+W12</f>
        <v>15</v>
      </c>
      <c r="X14" s="48" t="s">
        <v>934</v>
      </c>
      <c r="Y14" s="48">
        <f>Y13+Y12</f>
        <v>11014</v>
      </c>
      <c r="Z14" s="48" t="s">
        <v>934</v>
      </c>
      <c r="AA14" s="48">
        <f>AA13+AA12</f>
        <v>16</v>
      </c>
      <c r="AB14" s="48" t="s">
        <v>934</v>
      </c>
      <c r="AC14" s="48">
        <f>AC13+AC12</f>
        <v>10949</v>
      </c>
      <c r="AD14" s="48" t="s">
        <v>934</v>
      </c>
      <c r="AE14" s="48">
        <f>AE13+AE12</f>
        <v>15</v>
      </c>
      <c r="AF14" s="48" t="s">
        <v>934</v>
      </c>
      <c r="AG14" s="48">
        <f>AG13+AG12</f>
        <v>12702</v>
      </c>
      <c r="AH14" s="48" t="s">
        <v>934</v>
      </c>
      <c r="AI14" s="48">
        <f>AI13+AI12</f>
        <v>23</v>
      </c>
      <c r="AJ14" s="48" t="s">
        <v>934</v>
      </c>
      <c r="AK14" s="48">
        <f>AK13+AK12</f>
        <v>10756</v>
      </c>
      <c r="AL14" s="48" t="s">
        <v>934</v>
      </c>
      <c r="AM14" s="48">
        <f>AM13+AM12</f>
        <v>18</v>
      </c>
      <c r="AN14" s="48" t="s">
        <v>934</v>
      </c>
      <c r="AO14" s="48">
        <f>AO13+AO12</f>
        <v>15806</v>
      </c>
      <c r="AP14" s="48" t="s">
        <v>934</v>
      </c>
      <c r="AQ14" s="48">
        <f>AQ13+AQ12</f>
        <v>17</v>
      </c>
      <c r="AR14" s="48" t="s">
        <v>934</v>
      </c>
      <c r="AS14" s="48">
        <f>AS13+AS12</f>
        <v>11931</v>
      </c>
      <c r="AT14" s="48" t="s">
        <v>934</v>
      </c>
      <c r="AU14" s="48">
        <f>AU13+AU12</f>
        <v>12</v>
      </c>
      <c r="AV14" s="48" t="s">
        <v>934</v>
      </c>
      <c r="AW14" s="48">
        <f>AW13+AW12</f>
        <v>8850</v>
      </c>
      <c r="AX14" s="48" t="s">
        <v>934</v>
      </c>
      <c r="AY14" s="48">
        <f>AY13+AY12</f>
        <v>12</v>
      </c>
      <c r="AZ14" s="48" t="s">
        <v>934</v>
      </c>
      <c r="BA14" s="48">
        <f>BA13+BA12</f>
        <v>11782</v>
      </c>
      <c r="BB14" s="48" t="s">
        <v>934</v>
      </c>
      <c r="BC14" s="48">
        <f>BC13+BC12</f>
        <v>22</v>
      </c>
      <c r="BD14" s="48" t="s">
        <v>934</v>
      </c>
      <c r="BE14" s="48">
        <f>BE13+BE12</f>
        <v>13238</v>
      </c>
      <c r="BF14" s="48" t="s">
        <v>934</v>
      </c>
    </row>
    <row r="15" spans="1:58" ht="16.5">
      <c r="A15" s="215" t="s">
        <v>1376</v>
      </c>
      <c r="B15" s="43" t="s">
        <v>1489</v>
      </c>
      <c r="C15" s="45">
        <f>C6+C9+C12</f>
        <v>18</v>
      </c>
      <c r="D15" s="46">
        <f>C15/C16</f>
        <v>0.54545454545454497</v>
      </c>
      <c r="E15" s="45">
        <f>E6+E9+E12</f>
        <v>3370</v>
      </c>
      <c r="F15" s="46">
        <f>E15/E16</f>
        <v>0.13194471633843599</v>
      </c>
      <c r="G15" s="45">
        <f>G6+G9+G12</f>
        <v>24</v>
      </c>
      <c r="H15" s="46">
        <f>G15/G16</f>
        <v>0.55813953488372103</v>
      </c>
      <c r="I15" s="45">
        <f>I6+I9+I12</f>
        <v>6158</v>
      </c>
      <c r="J15" s="46">
        <f>I15/I16</f>
        <v>0.12145956607495099</v>
      </c>
      <c r="K15" s="45">
        <f>K6+K9+K12</f>
        <v>11</v>
      </c>
      <c r="L15" s="46">
        <f>K15/K16</f>
        <v>0.29729729729729698</v>
      </c>
      <c r="M15" s="45">
        <f>M6+M9+M12</f>
        <v>2550</v>
      </c>
      <c r="N15" s="46">
        <f>M15/M16</f>
        <v>5.2134445534838099E-2</v>
      </c>
      <c r="O15" s="45">
        <f>O6+O9+O12</f>
        <v>16</v>
      </c>
      <c r="P15" s="46">
        <f>O15/O16</f>
        <v>0.44444444444444398</v>
      </c>
      <c r="Q15" s="45">
        <f>Q6+Q9+Q12</f>
        <v>3413</v>
      </c>
      <c r="R15" s="46">
        <f>Q15/Q16</f>
        <v>7.2339974565493806E-2</v>
      </c>
      <c r="S15" s="45">
        <f>S6+S9+S12</f>
        <v>19</v>
      </c>
      <c r="T15" s="46">
        <f>S15/S16</f>
        <v>0.55882352941176505</v>
      </c>
      <c r="U15" s="45">
        <f>U6+U9+U12</f>
        <v>3709</v>
      </c>
      <c r="V15" s="46">
        <f>U15/U16</f>
        <v>0.123567430703625</v>
      </c>
      <c r="W15" s="45">
        <f>W6+W9+W12</f>
        <v>15</v>
      </c>
      <c r="X15" s="46">
        <f>W15/W16</f>
        <v>0.34883720930232598</v>
      </c>
      <c r="Y15" s="45">
        <f>Y6+Y9+Y12</f>
        <v>5032</v>
      </c>
      <c r="Z15" s="46">
        <f>Y15/Y16</f>
        <v>9.7986524905557496E-2</v>
      </c>
      <c r="AA15" s="45">
        <f>AA6+AA9+AA12</f>
        <v>17</v>
      </c>
      <c r="AB15" s="46">
        <f>AA15/AA16</f>
        <v>0.32692307692307698</v>
      </c>
      <c r="AC15" s="45">
        <f>AC6+AC9+AC12</f>
        <v>5204</v>
      </c>
      <c r="AD15" s="46">
        <f>AC15/AC16</f>
        <v>7.8787603518493302E-2</v>
      </c>
      <c r="AE15" s="45">
        <f>AE6+AE9+AE12</f>
        <v>33</v>
      </c>
      <c r="AF15" s="46">
        <f>AE15/AE16</f>
        <v>0.57894736842105299</v>
      </c>
      <c r="AG15" s="45">
        <f>AG6+AG9+AG12</f>
        <v>12676</v>
      </c>
      <c r="AH15" s="46">
        <f>AG15/AG16</f>
        <v>0.17615341856587</v>
      </c>
      <c r="AI15" s="45">
        <f>AI6+AI9+AI12</f>
        <v>22</v>
      </c>
      <c r="AJ15" s="46">
        <f>AI15/AI16</f>
        <v>0.35483870967741898</v>
      </c>
      <c r="AK15" s="45">
        <f>AK6+AK9+AK12</f>
        <v>5278</v>
      </c>
      <c r="AL15" s="46">
        <f>AK15/AK16</f>
        <v>5.9266079770032301E-2</v>
      </c>
      <c r="AM15" s="45">
        <f>AM6+AM9+AM12</f>
        <v>14</v>
      </c>
      <c r="AN15" s="46">
        <f>AM15/AM16</f>
        <v>0.22950819672131101</v>
      </c>
      <c r="AO15" s="45">
        <f>AO6+AO9+AO12</f>
        <v>4500</v>
      </c>
      <c r="AP15" s="46">
        <f>AO15/AO16</f>
        <v>4.7525505354540303E-2</v>
      </c>
      <c r="AQ15" s="45">
        <f>AQ6+AQ9+AQ12</f>
        <v>7</v>
      </c>
      <c r="AR15" s="46">
        <f>AQ15/AQ16</f>
        <v>0.155555555555556</v>
      </c>
      <c r="AS15" s="45">
        <f>AS6+AS9+AS12</f>
        <v>2150</v>
      </c>
      <c r="AT15" s="46">
        <f>AS15/AS16</f>
        <v>3.16497622587626E-2</v>
      </c>
      <c r="AU15" s="45">
        <f>AU6+AU9+AU12</f>
        <v>7</v>
      </c>
      <c r="AV15" s="46">
        <f>AU15/AU16</f>
        <v>0.21212121212121199</v>
      </c>
      <c r="AW15" s="45">
        <f>AW6+AW9+AW12</f>
        <v>651</v>
      </c>
      <c r="AX15" s="46">
        <f>AW15/AW16</f>
        <v>1.2317880794702E-2</v>
      </c>
      <c r="AY15" s="45">
        <f>AY6+AY9+AY12</f>
        <v>6</v>
      </c>
      <c r="AZ15" s="46">
        <f>AY15/AY16</f>
        <v>0.16666666666666699</v>
      </c>
      <c r="BA15" s="45">
        <f>BA6+BA9+BA12</f>
        <v>1996</v>
      </c>
      <c r="BB15" s="46">
        <f>BA15/BA16</f>
        <v>2.1554610051618801E-2</v>
      </c>
      <c r="BC15" s="45">
        <f>BC6+BC9+BC12</f>
        <v>11</v>
      </c>
      <c r="BD15" s="46">
        <f>BC15/BC16</f>
        <v>0.21153846153846201</v>
      </c>
      <c r="BE15" s="45">
        <f>BE6+BE9+BE12</f>
        <v>1438</v>
      </c>
      <c r="BF15" s="46">
        <f>BE15/BE16</f>
        <v>1.40927889609753E-2</v>
      </c>
    </row>
    <row r="16" spans="1:58" ht="16.5">
      <c r="A16" s="215"/>
      <c r="B16" s="43" t="s">
        <v>1490</v>
      </c>
      <c r="C16" s="45">
        <f>C8+C11+C14</f>
        <v>33</v>
      </c>
      <c r="D16" s="45" t="s">
        <v>934</v>
      </c>
      <c r="E16" s="45">
        <f>E8+E11+E14</f>
        <v>25541</v>
      </c>
      <c r="F16" s="45" t="s">
        <v>934</v>
      </c>
      <c r="G16" s="45">
        <f>G8+G11+G14</f>
        <v>43</v>
      </c>
      <c r="H16" s="45" t="s">
        <v>934</v>
      </c>
      <c r="I16" s="45">
        <f>I8+I11+I14</f>
        <v>50700</v>
      </c>
      <c r="J16" s="45" t="s">
        <v>934</v>
      </c>
      <c r="K16" s="45">
        <f>K8+K11+K14</f>
        <v>37</v>
      </c>
      <c r="L16" s="45" t="s">
        <v>934</v>
      </c>
      <c r="M16" s="45">
        <f>M8+M11+M14</f>
        <v>48912</v>
      </c>
      <c r="N16" s="45" t="s">
        <v>934</v>
      </c>
      <c r="O16" s="45">
        <f>O8+O11+O14</f>
        <v>36</v>
      </c>
      <c r="P16" s="45" t="s">
        <v>934</v>
      </c>
      <c r="Q16" s="45">
        <f>Q8+Q11+Q14</f>
        <v>47180</v>
      </c>
      <c r="R16" s="45" t="s">
        <v>934</v>
      </c>
      <c r="S16" s="45">
        <f>S8+S11+S14</f>
        <v>34</v>
      </c>
      <c r="T16" s="45" t="s">
        <v>934</v>
      </c>
      <c r="U16" s="45">
        <f>U8+U11+U14</f>
        <v>30016</v>
      </c>
      <c r="V16" s="45" t="s">
        <v>934</v>
      </c>
      <c r="W16" s="45">
        <f>W8+W11+W14</f>
        <v>43</v>
      </c>
      <c r="X16" s="45" t="s">
        <v>934</v>
      </c>
      <c r="Y16" s="45">
        <f>Y8+Y11+Y14</f>
        <v>51354</v>
      </c>
      <c r="Z16" s="45" t="s">
        <v>934</v>
      </c>
      <c r="AA16" s="45">
        <f>AA8+AA11+AA14</f>
        <v>52</v>
      </c>
      <c r="AB16" s="45" t="s">
        <v>934</v>
      </c>
      <c r="AC16" s="45">
        <f>AC8+AC11+AC14</f>
        <v>66051</v>
      </c>
      <c r="AD16" s="45" t="s">
        <v>934</v>
      </c>
      <c r="AE16" s="45">
        <f>AE8+AE11+AE14</f>
        <v>57</v>
      </c>
      <c r="AF16" s="45" t="s">
        <v>934</v>
      </c>
      <c r="AG16" s="45">
        <f>AG8+AG11+AG14</f>
        <v>71960</v>
      </c>
      <c r="AH16" s="45" t="s">
        <v>934</v>
      </c>
      <c r="AI16" s="45">
        <f>AI8+AI11+AI14</f>
        <v>62</v>
      </c>
      <c r="AJ16" s="45" t="s">
        <v>934</v>
      </c>
      <c r="AK16" s="45">
        <f>AK8+AK11+AK14</f>
        <v>89056</v>
      </c>
      <c r="AL16" s="45" t="s">
        <v>934</v>
      </c>
      <c r="AM16" s="45">
        <f>AM8+AM11+AM14</f>
        <v>61</v>
      </c>
      <c r="AN16" s="45" t="s">
        <v>934</v>
      </c>
      <c r="AO16" s="45">
        <f>AO8+AO11+AO14</f>
        <v>94686</v>
      </c>
      <c r="AP16" s="45" t="s">
        <v>934</v>
      </c>
      <c r="AQ16" s="45">
        <f>AQ8+AQ11+AQ14</f>
        <v>45</v>
      </c>
      <c r="AR16" s="45" t="s">
        <v>934</v>
      </c>
      <c r="AS16" s="45">
        <f>AS8+AS11+AS14</f>
        <v>67931</v>
      </c>
      <c r="AT16" s="45" t="s">
        <v>934</v>
      </c>
      <c r="AU16" s="45">
        <f>AU8+AU11+AU14</f>
        <v>33</v>
      </c>
      <c r="AV16" s="45" t="s">
        <v>934</v>
      </c>
      <c r="AW16" s="45">
        <f>AW8+AW11+AW14</f>
        <v>52850</v>
      </c>
      <c r="AX16" s="45" t="s">
        <v>934</v>
      </c>
      <c r="AY16" s="45">
        <f>AY8+AY11+AY14</f>
        <v>36</v>
      </c>
      <c r="AZ16" s="45" t="s">
        <v>934</v>
      </c>
      <c r="BA16" s="45">
        <f>BA8+BA11+BA14</f>
        <v>92602</v>
      </c>
      <c r="BB16" s="45" t="s">
        <v>934</v>
      </c>
      <c r="BC16" s="45">
        <f>BC8+BC11+BC14</f>
        <v>52</v>
      </c>
      <c r="BD16" s="45" t="s">
        <v>934</v>
      </c>
      <c r="BE16" s="45">
        <f>BE8+BE11+BE14</f>
        <v>102038</v>
      </c>
      <c r="BF16" s="45" t="s">
        <v>934</v>
      </c>
    </row>
  </sheetData>
  <mergeCells count="63">
    <mergeCell ref="A15:A16"/>
    <mergeCell ref="B2:B5"/>
    <mergeCell ref="BE4:BF4"/>
    <mergeCell ref="A2:A5"/>
    <mergeCell ref="A6:A8"/>
    <mergeCell ref="A9:A11"/>
    <mergeCell ref="A12:A14"/>
    <mergeCell ref="AU4:AV4"/>
    <mergeCell ref="AW4:AX4"/>
    <mergeCell ref="AY4:AZ4"/>
    <mergeCell ref="BA4:BB4"/>
    <mergeCell ref="BC4:BD4"/>
    <mergeCell ref="AK4:AL4"/>
    <mergeCell ref="AM4:AN4"/>
    <mergeCell ref="AO4:AP4"/>
    <mergeCell ref="AQ4:AR4"/>
    <mergeCell ref="AS4:AT4"/>
    <mergeCell ref="AA4:AB4"/>
    <mergeCell ref="AC4:AD4"/>
    <mergeCell ref="AE4:AF4"/>
    <mergeCell ref="AG4:AH4"/>
    <mergeCell ref="AI4:AJ4"/>
    <mergeCell ref="AQ3:AT3"/>
    <mergeCell ref="AU3:AX3"/>
    <mergeCell ref="AY3:BB3"/>
    <mergeCell ref="BC3:BF3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W3:Z3"/>
    <mergeCell ref="AA3:AD3"/>
    <mergeCell ref="AE3:AH3"/>
    <mergeCell ref="AI3:AL3"/>
    <mergeCell ref="AM3:AP3"/>
    <mergeCell ref="C3:F3"/>
    <mergeCell ref="G3:J3"/>
    <mergeCell ref="K3:N3"/>
    <mergeCell ref="O3:R3"/>
    <mergeCell ref="S3:V3"/>
    <mergeCell ref="AM2:AP2"/>
    <mergeCell ref="AQ2:AT2"/>
    <mergeCell ref="AU2:AX2"/>
    <mergeCell ref="AY2:BB2"/>
    <mergeCell ref="BC2:BF2"/>
    <mergeCell ref="S2:V2"/>
    <mergeCell ref="W2:Z2"/>
    <mergeCell ref="AA2:AD2"/>
    <mergeCell ref="AE2:AH2"/>
    <mergeCell ref="AI2:AL2"/>
    <mergeCell ref="A1:R1"/>
    <mergeCell ref="C2:F2"/>
    <mergeCell ref="G2:J2"/>
    <mergeCell ref="K2:N2"/>
    <mergeCell ref="O2:R2"/>
  </mergeCells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3"/>
  <dimension ref="A1:K7"/>
  <sheetViews>
    <sheetView zoomScale="90" zoomScaleNormal="90" workbookViewId="0">
      <selection activeCell="AH116" sqref="AH116"/>
    </sheetView>
  </sheetViews>
  <sheetFormatPr defaultColWidth="13.6328125" defaultRowHeight="42" customHeight="1"/>
  <cols>
    <col min="1" max="1" width="9.81640625" customWidth="1"/>
    <col min="2" max="2" width="17.1796875" customWidth="1"/>
    <col min="3" max="3" width="20.81640625" customWidth="1"/>
    <col min="4" max="6" width="10.08984375" customWidth="1"/>
    <col min="9" max="10" width="18.1796875" customWidth="1"/>
    <col min="11" max="11" width="20.54296875" customWidth="1"/>
  </cols>
  <sheetData>
    <row r="1" spans="1:11" ht="22.5">
      <c r="A1" s="217" t="s">
        <v>1491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</row>
    <row r="2" spans="1:11" ht="16.5">
      <c r="A2" s="218" t="s">
        <v>1492</v>
      </c>
      <c r="B2" s="218" t="s">
        <v>1493</v>
      </c>
      <c r="C2" s="218" t="s">
        <v>1494</v>
      </c>
      <c r="D2" s="218" t="s">
        <v>9</v>
      </c>
      <c r="E2" s="218" t="s">
        <v>1495</v>
      </c>
      <c r="F2" s="218" t="s">
        <v>1383</v>
      </c>
      <c r="G2" s="218" t="s">
        <v>1496</v>
      </c>
      <c r="H2" s="218"/>
      <c r="I2" s="219" t="s">
        <v>1497</v>
      </c>
      <c r="J2" s="220" t="s">
        <v>1498</v>
      </c>
      <c r="K2" s="218" t="s">
        <v>23</v>
      </c>
    </row>
    <row r="3" spans="1:11" ht="16.5">
      <c r="A3" s="218"/>
      <c r="B3" s="218"/>
      <c r="C3" s="218"/>
      <c r="D3" s="218"/>
      <c r="E3" s="218"/>
      <c r="F3" s="218"/>
      <c r="G3" s="32" t="s">
        <v>1499</v>
      </c>
      <c r="H3" s="32" t="s">
        <v>1500</v>
      </c>
      <c r="I3" s="219"/>
      <c r="J3" s="220"/>
      <c r="K3" s="218"/>
    </row>
    <row r="4" spans="1:11" ht="16.5">
      <c r="A4" s="33">
        <v>1</v>
      </c>
      <c r="B4" s="34" t="s">
        <v>1501</v>
      </c>
      <c r="C4" s="34" t="s">
        <v>1502</v>
      </c>
      <c r="D4" s="33">
        <v>70000</v>
      </c>
      <c r="E4" s="33">
        <v>70000</v>
      </c>
      <c r="F4" s="33">
        <f>E4-D4</f>
        <v>0</v>
      </c>
      <c r="G4" s="35">
        <v>18000</v>
      </c>
      <c r="H4" s="36">
        <v>0</v>
      </c>
      <c r="I4" s="38">
        <v>20000</v>
      </c>
      <c r="J4" s="39"/>
      <c r="K4" s="40"/>
    </row>
    <row r="5" spans="1:11" ht="16.5">
      <c r="A5" s="33">
        <v>2</v>
      </c>
      <c r="B5" s="34" t="s">
        <v>1503</v>
      </c>
      <c r="C5" s="34" t="s">
        <v>1504</v>
      </c>
      <c r="D5" s="33">
        <v>60000</v>
      </c>
      <c r="E5" s="33">
        <v>47000</v>
      </c>
      <c r="F5" s="33">
        <f>E5-D5</f>
        <v>-13000</v>
      </c>
      <c r="G5" s="35">
        <v>12000</v>
      </c>
      <c r="H5" s="36">
        <v>0</v>
      </c>
      <c r="I5" s="38">
        <v>24000</v>
      </c>
      <c r="J5" s="39"/>
      <c r="K5" s="40"/>
    </row>
    <row r="6" spans="1:11" ht="16.5">
      <c r="A6" s="33">
        <v>3</v>
      </c>
      <c r="B6" s="34" t="s">
        <v>1505</v>
      </c>
      <c r="C6" s="34" t="s">
        <v>1506</v>
      </c>
      <c r="D6" s="33">
        <v>70000</v>
      </c>
      <c r="E6" s="33">
        <v>70000</v>
      </c>
      <c r="F6" s="33">
        <f>E6-D6</f>
        <v>0</v>
      </c>
      <c r="G6" s="36">
        <v>18175</v>
      </c>
      <c r="H6" s="36">
        <v>22956</v>
      </c>
      <c r="I6" s="38">
        <v>12427</v>
      </c>
      <c r="J6" s="41">
        <f>G6+H6-I6</f>
        <v>28704</v>
      </c>
      <c r="K6" s="40" t="s">
        <v>1507</v>
      </c>
    </row>
    <row r="7" spans="1:11" ht="16.5">
      <c r="A7" s="37">
        <v>4</v>
      </c>
      <c r="B7" s="33" t="s">
        <v>1508</v>
      </c>
      <c r="C7" s="33" t="s">
        <v>1509</v>
      </c>
      <c r="D7" s="33">
        <v>4493</v>
      </c>
      <c r="E7" s="33"/>
      <c r="F7" s="33"/>
      <c r="G7" s="38">
        <v>0</v>
      </c>
      <c r="H7" s="38">
        <v>4497</v>
      </c>
      <c r="I7" s="38">
        <v>1143</v>
      </c>
      <c r="J7" s="41">
        <f>G7+H7-I7</f>
        <v>3354</v>
      </c>
      <c r="K7" s="40" t="s">
        <v>1510</v>
      </c>
    </row>
  </sheetData>
  <mergeCells count="11">
    <mergeCell ref="A1:K1"/>
    <mergeCell ref="G2:H2"/>
    <mergeCell ref="A2:A3"/>
    <mergeCell ref="B2:B3"/>
    <mergeCell ref="C2:C3"/>
    <mergeCell ref="D2:D3"/>
    <mergeCell ref="E2:E3"/>
    <mergeCell ref="F2:F3"/>
    <mergeCell ref="I2:I3"/>
    <mergeCell ref="J2:J3"/>
    <mergeCell ref="K2:K3"/>
  </mergeCells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1"/>
  <sheetViews>
    <sheetView tabSelected="1" workbookViewId="0">
      <selection activeCell="E9" sqref="E9"/>
    </sheetView>
  </sheetViews>
  <sheetFormatPr defaultColWidth="8.90625" defaultRowHeight="14"/>
  <cols>
    <col min="1" max="1" width="11.90625" customWidth="1"/>
    <col min="2" max="2" width="24.7265625" customWidth="1"/>
    <col min="3" max="3" width="17.90625" customWidth="1"/>
    <col min="4" max="4" width="25.453125" customWidth="1"/>
    <col min="5" max="6" width="17.90625" customWidth="1"/>
  </cols>
  <sheetData>
    <row r="1" spans="1:13">
      <c r="A1" s="1" t="s">
        <v>1</v>
      </c>
      <c r="B1" s="2" t="s">
        <v>1511</v>
      </c>
      <c r="C1" s="2" t="s">
        <v>1512</v>
      </c>
      <c r="D1" s="2" t="s">
        <v>1513</v>
      </c>
      <c r="E1" s="2" t="s">
        <v>1514</v>
      </c>
      <c r="F1" s="2" t="s">
        <v>1515</v>
      </c>
      <c r="G1" s="3">
        <v>46082</v>
      </c>
      <c r="H1" s="3">
        <v>46083</v>
      </c>
      <c r="I1" s="3">
        <v>46084</v>
      </c>
      <c r="J1" s="3">
        <v>46085</v>
      </c>
      <c r="K1" s="3">
        <v>46086</v>
      </c>
      <c r="L1" s="3">
        <v>46087</v>
      </c>
      <c r="M1" s="17" t="s">
        <v>1376</v>
      </c>
    </row>
    <row r="2" spans="1:13">
      <c r="A2" s="4" t="s">
        <v>46</v>
      </c>
      <c r="B2" s="4" t="s">
        <v>47</v>
      </c>
      <c r="C2" s="4" t="s">
        <v>1516</v>
      </c>
      <c r="D2" s="4" t="s">
        <v>1517</v>
      </c>
      <c r="E2" s="4" t="s">
        <v>1518</v>
      </c>
      <c r="F2" s="4" t="s">
        <v>1519</v>
      </c>
      <c r="G2" s="5"/>
      <c r="H2" s="6">
        <v>1099</v>
      </c>
      <c r="I2" s="5"/>
      <c r="J2" s="5"/>
      <c r="K2" s="5"/>
      <c r="L2" s="5"/>
      <c r="M2" s="17">
        <v>1099</v>
      </c>
    </row>
    <row r="3" spans="1:13">
      <c r="A3" s="4" t="s">
        <v>49</v>
      </c>
      <c r="B3" s="4" t="s">
        <v>50</v>
      </c>
      <c r="C3" s="4" t="s">
        <v>1516</v>
      </c>
      <c r="D3" s="4" t="s">
        <v>1520</v>
      </c>
      <c r="E3" s="4" t="s">
        <v>1521</v>
      </c>
      <c r="F3" s="142" t="s">
        <v>1522</v>
      </c>
      <c r="G3" s="5"/>
      <c r="H3" s="6">
        <v>1500</v>
      </c>
      <c r="I3" s="6">
        <v>2000</v>
      </c>
      <c r="J3" s="6">
        <v>1301</v>
      </c>
      <c r="K3" s="5"/>
      <c r="L3" s="5"/>
      <c r="M3" s="17">
        <v>4801</v>
      </c>
    </row>
    <row r="4" spans="1:13">
      <c r="A4" s="4" t="s">
        <v>52</v>
      </c>
      <c r="B4" s="4" t="s">
        <v>53</v>
      </c>
      <c r="C4" s="4" t="s">
        <v>1523</v>
      </c>
      <c r="D4" s="4" t="s">
        <v>1524</v>
      </c>
      <c r="E4" s="4" t="s">
        <v>1525</v>
      </c>
      <c r="F4" s="4" t="s">
        <v>1522</v>
      </c>
      <c r="G4" s="5"/>
      <c r="H4" s="6">
        <v>400</v>
      </c>
      <c r="I4" s="5"/>
      <c r="J4" s="5"/>
      <c r="K4" s="5"/>
      <c r="L4" s="5"/>
      <c r="M4" s="17">
        <v>400</v>
      </c>
    </row>
    <row r="5" spans="1:13">
      <c r="A5" s="4" t="s">
        <v>90</v>
      </c>
      <c r="B5" s="4" t="s">
        <v>91</v>
      </c>
      <c r="C5" s="4" t="s">
        <v>1526</v>
      </c>
      <c r="D5" s="4" t="s">
        <v>1527</v>
      </c>
      <c r="E5" s="4" t="s">
        <v>1528</v>
      </c>
      <c r="F5" s="4" t="s">
        <v>1529</v>
      </c>
      <c r="G5" s="5"/>
      <c r="H5" s="5"/>
      <c r="I5" s="5"/>
      <c r="J5" s="6">
        <v>1500</v>
      </c>
      <c r="K5" s="6">
        <v>1281</v>
      </c>
      <c r="L5" s="5"/>
      <c r="M5" s="17">
        <v>2781</v>
      </c>
    </row>
    <row r="6" spans="1:13">
      <c r="A6" s="4" t="s">
        <v>111</v>
      </c>
      <c r="B6" s="4" t="s">
        <v>112</v>
      </c>
      <c r="C6" s="4" t="s">
        <v>1530</v>
      </c>
      <c r="D6" s="4" t="s">
        <v>1531</v>
      </c>
      <c r="E6" s="4" t="s">
        <v>1521</v>
      </c>
      <c r="F6" s="4" t="s">
        <v>1522</v>
      </c>
      <c r="G6" s="5"/>
      <c r="H6" s="6">
        <v>1156</v>
      </c>
      <c r="I6" s="5"/>
      <c r="J6" s="5"/>
      <c r="K6" s="5"/>
      <c r="L6" s="5"/>
      <c r="M6" s="17">
        <v>1156</v>
      </c>
    </row>
    <row r="7" spans="1:13">
      <c r="A7" s="4" t="s">
        <v>164</v>
      </c>
      <c r="B7" s="4" t="s">
        <v>165</v>
      </c>
      <c r="C7" s="4" t="s">
        <v>1530</v>
      </c>
      <c r="D7" s="4" t="s">
        <v>1531</v>
      </c>
      <c r="E7" s="4" t="s">
        <v>1532</v>
      </c>
      <c r="F7" s="142" t="s">
        <v>1533</v>
      </c>
      <c r="G7" s="5"/>
      <c r="H7" s="5"/>
      <c r="I7" s="6">
        <v>2000</v>
      </c>
      <c r="J7" s="6">
        <v>2000</v>
      </c>
      <c r="K7" s="6">
        <v>3500</v>
      </c>
      <c r="L7" s="6">
        <v>2530</v>
      </c>
      <c r="M7" s="17">
        <v>10030</v>
      </c>
    </row>
    <row r="8" spans="1:13">
      <c r="A8" s="4" t="s">
        <v>166</v>
      </c>
      <c r="B8" s="4" t="s">
        <v>167</v>
      </c>
      <c r="C8" s="4" t="s">
        <v>1530</v>
      </c>
      <c r="D8" s="4" t="s">
        <v>1534</v>
      </c>
      <c r="E8" s="4" t="s">
        <v>1535</v>
      </c>
      <c r="F8" s="4" t="s">
        <v>1536</v>
      </c>
      <c r="G8" s="5"/>
      <c r="H8" s="5"/>
      <c r="I8" s="5"/>
      <c r="J8" s="5"/>
      <c r="K8" s="5"/>
      <c r="L8" s="6">
        <v>1000</v>
      </c>
      <c r="M8" s="17">
        <v>1000</v>
      </c>
    </row>
    <row r="9" spans="1:13">
      <c r="A9" s="4" t="s">
        <v>170</v>
      </c>
      <c r="B9" s="4" t="s">
        <v>171</v>
      </c>
      <c r="C9" s="4" t="s">
        <v>1537</v>
      </c>
      <c r="D9" s="4" t="s">
        <v>1538</v>
      </c>
      <c r="E9" s="4" t="s">
        <v>1539</v>
      </c>
      <c r="F9" s="4" t="s">
        <v>1540</v>
      </c>
      <c r="G9" s="5"/>
      <c r="H9" s="5"/>
      <c r="I9" s="5"/>
      <c r="J9" s="5"/>
      <c r="K9" s="5"/>
      <c r="L9" s="9">
        <v>1324</v>
      </c>
      <c r="M9" s="17">
        <v>1324</v>
      </c>
    </row>
    <row r="10" spans="1:13">
      <c r="A10" s="7" t="s">
        <v>174</v>
      </c>
      <c r="B10" s="7" t="s">
        <v>175</v>
      </c>
      <c r="C10" s="7" t="s">
        <v>1537</v>
      </c>
      <c r="D10" s="7" t="s">
        <v>1538</v>
      </c>
      <c r="E10" s="7" t="s">
        <v>1541</v>
      </c>
      <c r="F10" s="7" t="s">
        <v>1540</v>
      </c>
      <c r="G10" s="5"/>
      <c r="H10" s="5"/>
      <c r="I10" s="5"/>
      <c r="J10" s="5"/>
      <c r="K10" s="5"/>
      <c r="L10" s="9">
        <v>1669</v>
      </c>
      <c r="M10" s="17">
        <v>1669</v>
      </c>
    </row>
    <row r="11" spans="1:13">
      <c r="A11" s="7" t="s">
        <v>181</v>
      </c>
      <c r="B11" s="7" t="s">
        <v>182</v>
      </c>
      <c r="C11" s="7" t="s">
        <v>1530</v>
      </c>
      <c r="D11" s="7" t="s">
        <v>1542</v>
      </c>
      <c r="E11" s="7" t="s">
        <v>1543</v>
      </c>
      <c r="F11" s="143" t="s">
        <v>1544</v>
      </c>
      <c r="G11" s="5"/>
      <c r="H11" s="5"/>
      <c r="I11" s="9">
        <v>1599</v>
      </c>
      <c r="J11" s="5"/>
      <c r="K11" s="5"/>
      <c r="L11" s="5"/>
      <c r="M11" s="17">
        <v>1599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3月</vt:lpstr>
      <vt:lpstr>到线体产能</vt:lpstr>
      <vt:lpstr>大盘规划</vt:lpstr>
      <vt:lpstr>两器短板能力</vt:lpstr>
      <vt:lpstr>两器到机台产能匹配</vt:lpstr>
      <vt:lpstr>小单型号分析</vt:lpstr>
      <vt:lpstr>半成品消化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 Ting 宋挺 (690)</dc:creator>
  <cp:lastModifiedBy>高睿</cp:lastModifiedBy>
  <cp:lastPrinted>2023-12-23T09:34:00Z</cp:lastPrinted>
  <dcterms:created xsi:type="dcterms:W3CDTF">2006-09-16T00:00:00Z</dcterms:created>
  <dcterms:modified xsi:type="dcterms:W3CDTF">2026-04-30T08:43:19Z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KSOReadingLayout">
    <vt:bool>true</vt:bool>
  </property>
  <property fmtid="{D5CDD505-2E9C-101B-9397-08002B2CF9AE}" pid="4" name="ICV">
    <vt:lpwstr>3EE7856AE8764ADD811252C9E06BD57B_13</vt:lpwstr>
  </property>
</Properties>
</file>