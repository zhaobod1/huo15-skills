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80025590\Desktop\AI表单\各客户需求表\"/>
    </mc:Choice>
  </mc:AlternateContent>
  <xr:revisionPtr revIDLastSave="0" documentId="13_ncr:1_{C8446E9F-82A5-4CF7-9C48-DD1445DF5728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Sheet1" sheetId="1" r:id="rId1"/>
    <sheet name="Sheet1 (3)" sheetId="3" r:id="rId2"/>
    <sheet name="Sheet1 (2)" sheetId="2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xlnm._FilterDatabase" localSheetId="0" hidden="1">Sheet1!$A$2:$AB$11</definedName>
    <definedName name="_xlnm._FilterDatabase" localSheetId="2" hidden="1">'Sheet1 (2)'!$A$2:$Q$652</definedName>
    <definedName name="_xlnm._FilterDatabase" localSheetId="1" hidden="1">'Sheet1 (3)'!$A$2:$AE$113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52" i="2" l="1"/>
  <c r="C652" i="2"/>
  <c r="D651" i="2"/>
  <c r="C651" i="2"/>
  <c r="D650" i="2"/>
  <c r="C650" i="2"/>
  <c r="D649" i="2"/>
  <c r="C649" i="2"/>
  <c r="D648" i="2"/>
  <c r="C648" i="2"/>
  <c r="D647" i="2"/>
  <c r="C647" i="2"/>
  <c r="D646" i="2"/>
  <c r="C646" i="2"/>
  <c r="C645" i="2"/>
  <c r="C644" i="2"/>
  <c r="D643" i="2"/>
  <c r="C643" i="2"/>
  <c r="D642" i="2"/>
  <c r="C642" i="2"/>
  <c r="D641" i="2"/>
  <c r="C641" i="2"/>
  <c r="D640" i="2"/>
  <c r="C640" i="2"/>
  <c r="D639" i="2"/>
  <c r="C639" i="2"/>
  <c r="D638" i="2"/>
  <c r="C638" i="2"/>
  <c r="D637" i="2"/>
  <c r="C637" i="2"/>
  <c r="D636" i="2"/>
  <c r="C636" i="2"/>
  <c r="D635" i="2"/>
  <c r="C635" i="2"/>
  <c r="D634" i="2"/>
  <c r="C634" i="2"/>
  <c r="D633" i="2"/>
  <c r="C633" i="2"/>
  <c r="D632" i="2"/>
  <c r="C632" i="2"/>
  <c r="D631" i="2"/>
  <c r="C631" i="2"/>
  <c r="D630" i="2"/>
  <c r="C630" i="2"/>
  <c r="D629" i="2"/>
  <c r="C629" i="2"/>
  <c r="D628" i="2"/>
  <c r="C628" i="2"/>
  <c r="D627" i="2"/>
  <c r="C627" i="2"/>
  <c r="D626" i="2"/>
  <c r="C626" i="2"/>
  <c r="D625" i="2"/>
  <c r="C625" i="2"/>
  <c r="D624" i="2"/>
  <c r="C624" i="2"/>
  <c r="D623" i="2"/>
  <c r="C623" i="2"/>
  <c r="D622" i="2"/>
  <c r="C622" i="2"/>
  <c r="D621" i="2"/>
  <c r="C621" i="2"/>
  <c r="D620" i="2"/>
  <c r="C620" i="2"/>
  <c r="D619" i="2"/>
  <c r="C619" i="2"/>
  <c r="D618" i="2"/>
  <c r="C618" i="2"/>
  <c r="D617" i="2"/>
  <c r="C617" i="2"/>
  <c r="D616" i="2"/>
  <c r="C616" i="2"/>
  <c r="D615" i="2"/>
  <c r="C615" i="2"/>
  <c r="D614" i="2"/>
  <c r="C614" i="2"/>
  <c r="D613" i="2"/>
  <c r="C613" i="2"/>
  <c r="D612" i="2"/>
  <c r="C612" i="2"/>
  <c r="D611" i="2"/>
  <c r="C611" i="2"/>
  <c r="D610" i="2"/>
  <c r="C610" i="2"/>
  <c r="D609" i="2"/>
  <c r="C609" i="2"/>
  <c r="D608" i="2"/>
  <c r="C608" i="2"/>
  <c r="D607" i="2"/>
  <c r="C607" i="2"/>
  <c r="D606" i="2"/>
  <c r="C606" i="2"/>
  <c r="D605" i="2"/>
  <c r="C605" i="2"/>
  <c r="D604" i="2"/>
  <c r="C604" i="2"/>
  <c r="D603" i="2"/>
  <c r="C603" i="2"/>
  <c r="D602" i="2"/>
  <c r="C602" i="2"/>
  <c r="D601" i="2"/>
  <c r="C601" i="2"/>
  <c r="D600" i="2"/>
  <c r="C600" i="2"/>
  <c r="C599" i="2"/>
  <c r="D598" i="2"/>
  <c r="C598" i="2"/>
  <c r="D597" i="2"/>
  <c r="C597" i="2"/>
  <c r="D596" i="2"/>
  <c r="C596" i="2"/>
  <c r="D595" i="2"/>
  <c r="C595" i="2"/>
  <c r="D594" i="2"/>
  <c r="C594" i="2"/>
  <c r="D593" i="2"/>
  <c r="C593" i="2"/>
  <c r="D592" i="2"/>
  <c r="C592" i="2"/>
  <c r="D591" i="2"/>
  <c r="C591" i="2"/>
  <c r="D590" i="2"/>
  <c r="C590" i="2"/>
  <c r="D589" i="2"/>
  <c r="C589" i="2"/>
  <c r="D588" i="2"/>
  <c r="C588" i="2"/>
  <c r="D587" i="2"/>
  <c r="C587" i="2"/>
  <c r="D586" i="2"/>
  <c r="C586" i="2"/>
  <c r="D585" i="2"/>
  <c r="C585" i="2"/>
  <c r="D584" i="2"/>
  <c r="C584" i="2"/>
  <c r="D583" i="2"/>
  <c r="C583" i="2"/>
  <c r="D582" i="2"/>
  <c r="C582" i="2"/>
  <c r="D581" i="2"/>
  <c r="C581" i="2"/>
  <c r="D580" i="2"/>
  <c r="C580" i="2"/>
  <c r="D579" i="2"/>
  <c r="C579" i="2"/>
  <c r="D578" i="2"/>
  <c r="C578" i="2"/>
  <c r="D577" i="2"/>
  <c r="C577" i="2"/>
  <c r="D576" i="2"/>
  <c r="C576" i="2"/>
  <c r="D575" i="2"/>
  <c r="C575" i="2"/>
  <c r="D574" i="2"/>
  <c r="C574" i="2"/>
  <c r="D573" i="2"/>
  <c r="C573" i="2"/>
  <c r="D572" i="2"/>
  <c r="C572" i="2"/>
  <c r="D571" i="2"/>
  <c r="C571" i="2"/>
  <c r="D570" i="2"/>
  <c r="C570" i="2"/>
  <c r="D569" i="2"/>
  <c r="C569" i="2"/>
  <c r="D568" i="2"/>
  <c r="C568" i="2"/>
  <c r="D567" i="2"/>
  <c r="C567" i="2"/>
  <c r="D566" i="2"/>
  <c r="C566" i="2"/>
  <c r="D565" i="2"/>
  <c r="C565" i="2"/>
  <c r="D564" i="2"/>
  <c r="C564" i="2"/>
  <c r="D563" i="2"/>
  <c r="C563" i="2"/>
  <c r="D562" i="2"/>
  <c r="C562" i="2"/>
  <c r="D561" i="2"/>
  <c r="C561" i="2"/>
  <c r="D560" i="2"/>
  <c r="C560" i="2"/>
  <c r="D559" i="2"/>
  <c r="C559" i="2"/>
  <c r="D558" i="2"/>
  <c r="C558" i="2"/>
  <c r="D557" i="2"/>
  <c r="C557" i="2"/>
  <c r="D556" i="2"/>
  <c r="C556" i="2"/>
  <c r="D555" i="2"/>
  <c r="C555" i="2"/>
  <c r="D554" i="2"/>
  <c r="C554" i="2"/>
  <c r="D553" i="2"/>
  <c r="C553" i="2"/>
  <c r="D552" i="2"/>
  <c r="C552" i="2"/>
  <c r="D551" i="2"/>
  <c r="C551" i="2"/>
  <c r="D550" i="2"/>
  <c r="C550" i="2"/>
  <c r="D549" i="2"/>
  <c r="C549" i="2"/>
  <c r="D548" i="2"/>
  <c r="C548" i="2"/>
  <c r="D547" i="2"/>
  <c r="C547" i="2"/>
  <c r="D546" i="2"/>
  <c r="C546" i="2"/>
  <c r="D545" i="2"/>
  <c r="C545" i="2"/>
  <c r="D544" i="2"/>
  <c r="C544" i="2"/>
  <c r="D543" i="2"/>
  <c r="C543" i="2"/>
  <c r="D542" i="2"/>
  <c r="C542" i="2"/>
  <c r="C541" i="2"/>
  <c r="C540" i="2"/>
  <c r="D539" i="2"/>
  <c r="C539" i="2"/>
  <c r="D538" i="2"/>
  <c r="C538" i="2"/>
  <c r="D537" i="2"/>
  <c r="C537" i="2"/>
  <c r="D536" i="2"/>
  <c r="C536" i="2"/>
  <c r="D535" i="2"/>
  <c r="C535" i="2"/>
  <c r="D534" i="2"/>
  <c r="C534" i="2"/>
  <c r="D533" i="2"/>
  <c r="C533" i="2"/>
  <c r="D532" i="2"/>
  <c r="C532" i="2"/>
  <c r="D531" i="2"/>
  <c r="C531" i="2"/>
  <c r="D530" i="2"/>
  <c r="C530" i="2"/>
  <c r="D529" i="2"/>
  <c r="C529" i="2"/>
  <c r="D528" i="2"/>
  <c r="C528" i="2"/>
  <c r="D527" i="2"/>
  <c r="C527" i="2"/>
  <c r="D526" i="2"/>
  <c r="C526" i="2"/>
  <c r="D525" i="2"/>
  <c r="C525" i="2"/>
  <c r="D524" i="2"/>
  <c r="C524" i="2"/>
  <c r="D523" i="2"/>
  <c r="C523" i="2"/>
  <c r="D522" i="2"/>
  <c r="C522" i="2"/>
  <c r="D521" i="2"/>
  <c r="C521" i="2"/>
  <c r="D520" i="2"/>
  <c r="C520" i="2"/>
  <c r="D519" i="2"/>
  <c r="C519" i="2"/>
  <c r="D518" i="2"/>
  <c r="C518" i="2"/>
  <c r="D517" i="2"/>
  <c r="C517" i="2"/>
  <c r="D516" i="2"/>
  <c r="C516" i="2"/>
  <c r="D515" i="2"/>
  <c r="C515" i="2"/>
  <c r="D514" i="2"/>
  <c r="C514" i="2"/>
  <c r="D513" i="2"/>
  <c r="C513" i="2"/>
  <c r="D512" i="2"/>
  <c r="C512" i="2"/>
  <c r="D511" i="2"/>
  <c r="C511" i="2"/>
  <c r="D510" i="2"/>
  <c r="C510" i="2"/>
  <c r="D509" i="2"/>
  <c r="C509" i="2"/>
  <c r="D508" i="2"/>
  <c r="C508" i="2"/>
  <c r="D507" i="2"/>
  <c r="C507" i="2"/>
  <c r="D506" i="2"/>
  <c r="C506" i="2"/>
  <c r="D505" i="2"/>
  <c r="C505" i="2"/>
  <c r="D504" i="2"/>
  <c r="C504" i="2"/>
  <c r="D503" i="2"/>
  <c r="C503" i="2"/>
  <c r="D502" i="2"/>
  <c r="C502" i="2"/>
  <c r="D501" i="2"/>
  <c r="C501" i="2"/>
  <c r="D500" i="2"/>
  <c r="C500" i="2"/>
  <c r="D499" i="2"/>
  <c r="C499" i="2"/>
  <c r="D498" i="2"/>
  <c r="C498" i="2"/>
  <c r="D497" i="2"/>
  <c r="C497" i="2"/>
  <c r="D496" i="2"/>
  <c r="C496" i="2"/>
  <c r="D495" i="2"/>
  <c r="C495" i="2"/>
  <c r="D494" i="2"/>
  <c r="C494" i="2"/>
  <c r="D493" i="2"/>
  <c r="C493" i="2"/>
  <c r="D492" i="2"/>
  <c r="C492" i="2"/>
  <c r="D491" i="2"/>
  <c r="C491" i="2"/>
  <c r="D490" i="2"/>
  <c r="C490" i="2"/>
  <c r="D489" i="2"/>
  <c r="C489" i="2"/>
  <c r="D488" i="2"/>
  <c r="C488" i="2"/>
  <c r="D487" i="2"/>
  <c r="C487" i="2"/>
  <c r="D486" i="2"/>
  <c r="C486" i="2"/>
  <c r="D485" i="2"/>
  <c r="C485" i="2"/>
  <c r="D484" i="2"/>
  <c r="C484" i="2"/>
  <c r="D483" i="2"/>
  <c r="C483" i="2"/>
  <c r="D482" i="2"/>
  <c r="C482" i="2"/>
  <c r="D481" i="2"/>
  <c r="C481" i="2"/>
  <c r="D480" i="2"/>
  <c r="C480" i="2"/>
  <c r="D479" i="2"/>
  <c r="C479" i="2"/>
  <c r="D478" i="2"/>
  <c r="C478" i="2"/>
  <c r="D477" i="2"/>
  <c r="C477" i="2"/>
  <c r="D476" i="2"/>
  <c r="C476" i="2"/>
  <c r="D475" i="2"/>
  <c r="C475" i="2"/>
  <c r="D474" i="2"/>
  <c r="C474" i="2"/>
  <c r="D473" i="2"/>
  <c r="C473" i="2"/>
  <c r="D472" i="2"/>
  <c r="C472" i="2"/>
  <c r="D471" i="2"/>
  <c r="C471" i="2"/>
  <c r="D470" i="2"/>
  <c r="C470" i="2"/>
  <c r="D469" i="2"/>
  <c r="C469" i="2"/>
  <c r="D468" i="2"/>
  <c r="C468" i="2"/>
  <c r="D467" i="2"/>
  <c r="C467" i="2"/>
  <c r="D466" i="2"/>
  <c r="C466" i="2"/>
  <c r="D465" i="2"/>
  <c r="C465" i="2"/>
  <c r="D464" i="2"/>
  <c r="C464" i="2"/>
  <c r="D463" i="2"/>
  <c r="C463" i="2"/>
  <c r="D462" i="2"/>
  <c r="C462" i="2"/>
  <c r="D461" i="2"/>
  <c r="C461" i="2"/>
  <c r="D460" i="2"/>
  <c r="C460" i="2"/>
  <c r="D459" i="2"/>
  <c r="C459" i="2"/>
  <c r="D458" i="2"/>
  <c r="C458" i="2"/>
  <c r="D457" i="2"/>
  <c r="C457" i="2"/>
  <c r="D456" i="2"/>
  <c r="C456" i="2"/>
  <c r="D455" i="2"/>
  <c r="C455" i="2"/>
  <c r="D454" i="2"/>
  <c r="C454" i="2"/>
  <c r="D453" i="2"/>
  <c r="C453" i="2"/>
  <c r="D452" i="2"/>
  <c r="C452" i="2"/>
  <c r="D451" i="2"/>
  <c r="C451" i="2"/>
  <c r="D450" i="2"/>
  <c r="C450" i="2"/>
  <c r="D449" i="2"/>
  <c r="C449" i="2"/>
  <c r="D448" i="2"/>
  <c r="C448" i="2"/>
  <c r="D447" i="2"/>
  <c r="C447" i="2"/>
  <c r="D446" i="2"/>
  <c r="C446" i="2"/>
  <c r="D445" i="2"/>
  <c r="C445" i="2"/>
  <c r="D444" i="2"/>
  <c r="C444" i="2"/>
  <c r="D443" i="2"/>
  <c r="C443" i="2"/>
  <c r="D442" i="2"/>
  <c r="C442" i="2"/>
  <c r="D441" i="2"/>
  <c r="C441" i="2"/>
  <c r="D440" i="2"/>
  <c r="C440" i="2"/>
  <c r="D439" i="2"/>
  <c r="C439" i="2"/>
  <c r="D438" i="2"/>
  <c r="C438" i="2"/>
  <c r="D437" i="2"/>
  <c r="C437" i="2"/>
  <c r="D436" i="2"/>
  <c r="C436" i="2"/>
  <c r="D435" i="2"/>
  <c r="C435" i="2"/>
  <c r="D434" i="2"/>
  <c r="C434" i="2"/>
  <c r="D433" i="2"/>
  <c r="C433" i="2"/>
  <c r="D432" i="2"/>
  <c r="C432" i="2"/>
  <c r="D431" i="2"/>
  <c r="C431" i="2"/>
  <c r="D430" i="2"/>
  <c r="C430" i="2"/>
  <c r="D429" i="2"/>
  <c r="C429" i="2"/>
  <c r="D428" i="2"/>
  <c r="C428" i="2"/>
  <c r="D427" i="2"/>
  <c r="C427" i="2"/>
  <c r="D426" i="2"/>
  <c r="C426" i="2"/>
  <c r="D425" i="2"/>
  <c r="C425" i="2"/>
  <c r="D424" i="2"/>
  <c r="C424" i="2"/>
  <c r="D423" i="2"/>
  <c r="C423" i="2"/>
  <c r="D422" i="2"/>
  <c r="C422" i="2"/>
  <c r="D421" i="2"/>
  <c r="C421" i="2"/>
  <c r="D420" i="2"/>
  <c r="C420" i="2"/>
  <c r="D419" i="2"/>
  <c r="C419" i="2"/>
  <c r="D418" i="2"/>
  <c r="C418" i="2"/>
  <c r="D417" i="2"/>
  <c r="C417" i="2"/>
  <c r="D416" i="2"/>
  <c r="C416" i="2"/>
  <c r="D415" i="2"/>
  <c r="C415" i="2"/>
  <c r="D414" i="2"/>
  <c r="C414" i="2"/>
  <c r="D413" i="2"/>
  <c r="C413" i="2"/>
  <c r="D412" i="2"/>
  <c r="C412" i="2"/>
  <c r="D411" i="2"/>
  <c r="C411" i="2"/>
  <c r="D410" i="2"/>
  <c r="C410" i="2"/>
  <c r="D409" i="2"/>
  <c r="C409" i="2"/>
  <c r="D408" i="2"/>
  <c r="C408" i="2"/>
  <c r="D407" i="2"/>
  <c r="C407" i="2"/>
  <c r="D406" i="2"/>
  <c r="C406" i="2"/>
  <c r="D405" i="2"/>
  <c r="C405" i="2"/>
  <c r="D404" i="2"/>
  <c r="C404" i="2"/>
  <c r="D403" i="2"/>
  <c r="C403" i="2"/>
  <c r="D402" i="2"/>
  <c r="C402" i="2"/>
  <c r="D401" i="2"/>
  <c r="C401" i="2"/>
  <c r="D400" i="2"/>
  <c r="C400" i="2"/>
  <c r="D399" i="2"/>
  <c r="C399" i="2"/>
  <c r="D398" i="2"/>
  <c r="C398" i="2"/>
  <c r="D397" i="2"/>
  <c r="C397" i="2"/>
  <c r="D396" i="2"/>
  <c r="C396" i="2"/>
  <c r="D395" i="2"/>
  <c r="C395" i="2"/>
  <c r="D394" i="2"/>
  <c r="C394" i="2"/>
  <c r="D393" i="2"/>
  <c r="C393" i="2"/>
  <c r="D392" i="2"/>
  <c r="C392" i="2"/>
  <c r="D391" i="2"/>
  <c r="C391" i="2"/>
  <c r="D390" i="2"/>
  <c r="C390" i="2"/>
  <c r="D389" i="2"/>
  <c r="C389" i="2"/>
  <c r="D388" i="2"/>
  <c r="C388" i="2"/>
  <c r="D387" i="2"/>
  <c r="C387" i="2"/>
  <c r="D386" i="2"/>
  <c r="C386" i="2"/>
  <c r="D385" i="2"/>
  <c r="C385" i="2"/>
  <c r="D384" i="2"/>
  <c r="C384" i="2"/>
  <c r="D383" i="2"/>
  <c r="C383" i="2"/>
  <c r="D382" i="2"/>
  <c r="C382" i="2"/>
  <c r="D381" i="2"/>
  <c r="C381" i="2"/>
  <c r="D380" i="2"/>
  <c r="C380" i="2"/>
  <c r="D379" i="2"/>
  <c r="C379" i="2"/>
  <c r="D378" i="2"/>
  <c r="C378" i="2"/>
  <c r="D377" i="2"/>
  <c r="C377" i="2"/>
  <c r="D376" i="2"/>
  <c r="C376" i="2"/>
  <c r="D375" i="2"/>
  <c r="C375" i="2"/>
  <c r="D374" i="2"/>
  <c r="C374" i="2"/>
  <c r="D373" i="2"/>
  <c r="C373" i="2"/>
  <c r="D372" i="2"/>
  <c r="C372" i="2"/>
  <c r="D371" i="2"/>
  <c r="C371" i="2"/>
  <c r="D370" i="2"/>
  <c r="C370" i="2"/>
  <c r="D369" i="2"/>
  <c r="C369" i="2"/>
  <c r="D368" i="2"/>
  <c r="C368" i="2"/>
  <c r="D367" i="2"/>
  <c r="C367" i="2"/>
  <c r="D366" i="2"/>
  <c r="C366" i="2"/>
  <c r="D365" i="2"/>
  <c r="C365" i="2"/>
  <c r="D364" i="2"/>
  <c r="C364" i="2"/>
  <c r="D363" i="2"/>
  <c r="C363" i="2"/>
  <c r="D362" i="2"/>
  <c r="C362" i="2"/>
  <c r="D361" i="2"/>
  <c r="C361" i="2"/>
  <c r="D360" i="2"/>
  <c r="C360" i="2"/>
  <c r="D359" i="2"/>
  <c r="C359" i="2"/>
  <c r="D358" i="2"/>
  <c r="C358" i="2"/>
  <c r="D357" i="2"/>
  <c r="C357" i="2"/>
  <c r="D356" i="2"/>
  <c r="C356" i="2"/>
  <c r="D355" i="2"/>
  <c r="C355" i="2"/>
  <c r="D354" i="2"/>
  <c r="C354" i="2"/>
  <c r="D353" i="2"/>
  <c r="C353" i="2"/>
  <c r="D352" i="2"/>
  <c r="C352" i="2"/>
  <c r="D351" i="2"/>
  <c r="C351" i="2"/>
  <c r="D350" i="2"/>
  <c r="C350" i="2"/>
  <c r="D349" i="2"/>
  <c r="C349" i="2"/>
  <c r="D348" i="2"/>
  <c r="C348" i="2"/>
  <c r="D347" i="2"/>
  <c r="C347" i="2"/>
  <c r="D346" i="2"/>
  <c r="C346" i="2"/>
  <c r="D345" i="2"/>
  <c r="C345" i="2"/>
  <c r="D344" i="2"/>
  <c r="C344" i="2"/>
  <c r="D343" i="2"/>
  <c r="C343" i="2"/>
  <c r="D342" i="2"/>
  <c r="C342" i="2"/>
  <c r="D341" i="2"/>
  <c r="C341" i="2"/>
  <c r="D340" i="2"/>
  <c r="C340" i="2"/>
  <c r="D339" i="2"/>
  <c r="C339" i="2"/>
  <c r="D338" i="2"/>
  <c r="C338" i="2"/>
  <c r="D337" i="2"/>
  <c r="C337" i="2"/>
  <c r="D336" i="2"/>
  <c r="C336" i="2"/>
  <c r="D335" i="2"/>
  <c r="C335" i="2"/>
  <c r="D334" i="2"/>
  <c r="C334" i="2"/>
  <c r="D333" i="2"/>
  <c r="C333" i="2"/>
  <c r="D332" i="2"/>
  <c r="C332" i="2"/>
  <c r="D331" i="2"/>
  <c r="C331" i="2"/>
  <c r="D330" i="2"/>
  <c r="C330" i="2"/>
  <c r="D329" i="2"/>
  <c r="C329" i="2"/>
  <c r="D328" i="2"/>
  <c r="C328" i="2"/>
  <c r="D327" i="2"/>
  <c r="C327" i="2"/>
  <c r="D326" i="2"/>
  <c r="C326" i="2"/>
  <c r="D325" i="2"/>
  <c r="C325" i="2"/>
  <c r="D324" i="2"/>
  <c r="C324" i="2"/>
  <c r="D323" i="2"/>
  <c r="C323" i="2"/>
  <c r="D322" i="2"/>
  <c r="C322" i="2"/>
  <c r="D321" i="2"/>
  <c r="C321" i="2"/>
  <c r="D320" i="2"/>
  <c r="C320" i="2"/>
  <c r="D319" i="2"/>
  <c r="C319" i="2"/>
  <c r="D318" i="2"/>
  <c r="C318" i="2"/>
  <c r="D317" i="2"/>
  <c r="C317" i="2"/>
  <c r="D316" i="2"/>
  <c r="C316" i="2"/>
  <c r="D315" i="2"/>
  <c r="C315" i="2"/>
  <c r="D314" i="2"/>
  <c r="C314" i="2"/>
  <c r="D313" i="2"/>
  <c r="C313" i="2"/>
  <c r="D312" i="2"/>
  <c r="C312" i="2"/>
  <c r="D311" i="2"/>
  <c r="C311" i="2"/>
  <c r="D310" i="2"/>
  <c r="C310" i="2"/>
  <c r="D309" i="2"/>
  <c r="C309" i="2"/>
  <c r="D308" i="2"/>
  <c r="C308" i="2"/>
  <c r="D307" i="2"/>
  <c r="C307" i="2"/>
  <c r="D306" i="2"/>
  <c r="C306" i="2"/>
  <c r="D305" i="2"/>
  <c r="C305" i="2"/>
  <c r="D304" i="2"/>
  <c r="C304" i="2"/>
  <c r="D303" i="2"/>
  <c r="C303" i="2"/>
  <c r="D302" i="2"/>
  <c r="C302" i="2"/>
  <c r="D301" i="2"/>
  <c r="C301" i="2"/>
  <c r="D300" i="2"/>
  <c r="C300" i="2"/>
  <c r="D299" i="2"/>
  <c r="C299" i="2"/>
  <c r="D298" i="2"/>
  <c r="C298" i="2"/>
  <c r="D297" i="2"/>
  <c r="C297" i="2"/>
  <c r="D296" i="2"/>
  <c r="C296" i="2"/>
  <c r="D295" i="2"/>
  <c r="C295" i="2"/>
  <c r="D294" i="2"/>
  <c r="C294" i="2"/>
  <c r="D293" i="2"/>
  <c r="C293" i="2"/>
  <c r="D292" i="2"/>
  <c r="C292" i="2"/>
  <c r="D291" i="2"/>
  <c r="C291" i="2"/>
  <c r="D290" i="2"/>
  <c r="C290" i="2"/>
  <c r="D289" i="2"/>
  <c r="C289" i="2"/>
  <c r="D288" i="2"/>
  <c r="C288" i="2"/>
  <c r="D287" i="2"/>
  <c r="C287" i="2"/>
  <c r="D286" i="2"/>
  <c r="C286" i="2"/>
  <c r="D285" i="2"/>
  <c r="C285" i="2"/>
  <c r="D284" i="2"/>
  <c r="C284" i="2"/>
  <c r="D283" i="2"/>
  <c r="C283" i="2"/>
  <c r="D282" i="2"/>
  <c r="C282" i="2"/>
  <c r="D281" i="2"/>
  <c r="C281" i="2"/>
  <c r="D280" i="2"/>
  <c r="C280" i="2"/>
  <c r="D279" i="2"/>
  <c r="C279" i="2"/>
  <c r="D278" i="2"/>
  <c r="C278" i="2"/>
  <c r="D277" i="2"/>
  <c r="C277" i="2"/>
  <c r="D276" i="2"/>
  <c r="C276" i="2"/>
  <c r="D275" i="2"/>
  <c r="C275" i="2"/>
  <c r="D274" i="2"/>
  <c r="C274" i="2"/>
  <c r="D273" i="2"/>
  <c r="C273" i="2"/>
  <c r="D272" i="2"/>
  <c r="C272" i="2"/>
  <c r="D271" i="2"/>
  <c r="C271" i="2"/>
  <c r="D270" i="2"/>
  <c r="C270" i="2"/>
  <c r="D269" i="2"/>
  <c r="C269" i="2"/>
  <c r="D268" i="2"/>
  <c r="C268" i="2"/>
  <c r="D267" i="2"/>
  <c r="C267" i="2"/>
  <c r="D266" i="2"/>
  <c r="C266" i="2"/>
  <c r="D265" i="2"/>
  <c r="C265" i="2"/>
  <c r="D264" i="2"/>
  <c r="C264" i="2"/>
  <c r="D263" i="2"/>
  <c r="C263" i="2"/>
  <c r="D262" i="2"/>
  <c r="C262" i="2"/>
  <c r="D261" i="2"/>
  <c r="C261" i="2"/>
  <c r="D260" i="2"/>
  <c r="C260" i="2"/>
  <c r="D259" i="2"/>
  <c r="C259" i="2"/>
  <c r="D258" i="2"/>
  <c r="C258" i="2"/>
  <c r="D257" i="2"/>
  <c r="C257" i="2"/>
  <c r="D256" i="2"/>
  <c r="C256" i="2"/>
  <c r="D255" i="2"/>
  <c r="C255" i="2"/>
  <c r="D254" i="2"/>
  <c r="C254" i="2"/>
  <c r="D253" i="2"/>
  <c r="C253" i="2"/>
  <c r="D252" i="2"/>
  <c r="C252" i="2"/>
  <c r="D251" i="2"/>
  <c r="C251" i="2"/>
  <c r="D250" i="2"/>
  <c r="C250" i="2"/>
  <c r="D249" i="2"/>
  <c r="C249" i="2"/>
  <c r="D248" i="2"/>
  <c r="C248" i="2"/>
  <c r="D247" i="2"/>
  <c r="C247" i="2"/>
  <c r="D246" i="2"/>
  <c r="C246" i="2"/>
  <c r="D245" i="2"/>
  <c r="C245" i="2"/>
  <c r="D244" i="2"/>
  <c r="C244" i="2"/>
  <c r="D243" i="2"/>
  <c r="C243" i="2"/>
  <c r="D242" i="2"/>
  <c r="C242" i="2"/>
  <c r="D241" i="2"/>
  <c r="C241" i="2"/>
  <c r="D240" i="2"/>
  <c r="C240" i="2"/>
  <c r="D239" i="2"/>
  <c r="C239" i="2"/>
  <c r="D238" i="2"/>
  <c r="C238" i="2"/>
  <c r="D237" i="2"/>
  <c r="C237" i="2"/>
  <c r="D236" i="2"/>
  <c r="C236" i="2"/>
  <c r="D235" i="2"/>
  <c r="C235" i="2"/>
  <c r="D234" i="2"/>
  <c r="C234" i="2"/>
  <c r="D233" i="2"/>
  <c r="C233" i="2"/>
  <c r="D232" i="2"/>
  <c r="C232" i="2"/>
  <c r="D231" i="2"/>
  <c r="C231" i="2"/>
  <c r="D230" i="2"/>
  <c r="C230" i="2"/>
  <c r="D229" i="2"/>
  <c r="C229" i="2"/>
  <c r="D228" i="2"/>
  <c r="C228" i="2"/>
  <c r="D227" i="2"/>
  <c r="C227" i="2"/>
  <c r="D226" i="2"/>
  <c r="C226" i="2"/>
  <c r="D225" i="2"/>
  <c r="C225" i="2"/>
  <c r="D224" i="2"/>
  <c r="C224" i="2"/>
  <c r="D223" i="2"/>
  <c r="C223" i="2"/>
  <c r="D222" i="2"/>
  <c r="C222" i="2"/>
  <c r="D221" i="2"/>
  <c r="C221" i="2"/>
  <c r="D220" i="2"/>
  <c r="C220" i="2"/>
  <c r="D219" i="2"/>
  <c r="C219" i="2"/>
  <c r="D218" i="2"/>
  <c r="C218" i="2"/>
  <c r="D217" i="2"/>
  <c r="C217" i="2"/>
  <c r="D216" i="2"/>
  <c r="C216" i="2"/>
  <c r="D215" i="2"/>
  <c r="C215" i="2"/>
  <c r="D214" i="2"/>
  <c r="C214" i="2"/>
  <c r="D213" i="2"/>
  <c r="C213" i="2"/>
  <c r="D212" i="2"/>
  <c r="C212" i="2"/>
  <c r="D211" i="2"/>
  <c r="C211" i="2"/>
  <c r="D210" i="2"/>
  <c r="C210" i="2"/>
  <c r="D209" i="2"/>
  <c r="C209" i="2"/>
  <c r="D208" i="2"/>
  <c r="C208" i="2"/>
  <c r="D207" i="2"/>
  <c r="C207" i="2"/>
  <c r="D206" i="2"/>
  <c r="C206" i="2"/>
  <c r="D205" i="2"/>
  <c r="C205" i="2"/>
  <c r="D204" i="2"/>
  <c r="C204" i="2"/>
  <c r="D203" i="2"/>
  <c r="C203" i="2"/>
  <c r="D202" i="2"/>
  <c r="C202" i="2"/>
  <c r="D201" i="2"/>
  <c r="C201" i="2"/>
  <c r="D200" i="2"/>
  <c r="C200" i="2"/>
  <c r="D199" i="2"/>
  <c r="C199" i="2"/>
  <c r="D198" i="2"/>
  <c r="C198" i="2"/>
  <c r="D197" i="2"/>
  <c r="C197" i="2"/>
  <c r="D196" i="2"/>
  <c r="C196" i="2"/>
  <c r="D195" i="2"/>
  <c r="C195" i="2"/>
  <c r="D194" i="2"/>
  <c r="C194" i="2"/>
  <c r="D193" i="2"/>
  <c r="C193" i="2"/>
  <c r="D192" i="2"/>
  <c r="C192" i="2"/>
  <c r="D191" i="2"/>
  <c r="C191" i="2"/>
  <c r="D190" i="2"/>
  <c r="C190" i="2"/>
  <c r="D189" i="2"/>
  <c r="C189" i="2"/>
  <c r="D188" i="2"/>
  <c r="C188" i="2"/>
  <c r="D187" i="2"/>
  <c r="C187" i="2"/>
  <c r="D186" i="2"/>
  <c r="C186" i="2"/>
  <c r="D185" i="2"/>
  <c r="C185" i="2"/>
  <c r="D184" i="2"/>
  <c r="C184" i="2"/>
  <c r="D183" i="2"/>
  <c r="C183" i="2"/>
  <c r="D182" i="2"/>
  <c r="C182" i="2"/>
  <c r="D181" i="2"/>
  <c r="C181" i="2"/>
  <c r="D180" i="2"/>
  <c r="C180" i="2"/>
  <c r="D179" i="2"/>
  <c r="C179" i="2"/>
  <c r="D178" i="2"/>
  <c r="C178" i="2"/>
  <c r="D177" i="2"/>
  <c r="C177" i="2"/>
  <c r="D176" i="2"/>
  <c r="C176" i="2"/>
  <c r="D175" i="2"/>
  <c r="C175" i="2"/>
  <c r="D174" i="2"/>
  <c r="C174" i="2"/>
  <c r="C173" i="2"/>
  <c r="D172" i="2"/>
  <c r="C172" i="2"/>
  <c r="D171" i="2"/>
  <c r="C171" i="2"/>
  <c r="D170" i="2"/>
  <c r="C170" i="2"/>
  <c r="D169" i="2"/>
  <c r="C169" i="2"/>
  <c r="D168" i="2"/>
  <c r="C168" i="2"/>
  <c r="D167" i="2"/>
  <c r="C167" i="2"/>
  <c r="D166" i="2"/>
  <c r="C166" i="2"/>
  <c r="D165" i="2"/>
  <c r="C165" i="2"/>
  <c r="D164" i="2"/>
  <c r="C164" i="2"/>
  <c r="D163" i="2"/>
  <c r="C163" i="2"/>
  <c r="D162" i="2"/>
  <c r="C162" i="2"/>
  <c r="D161" i="2"/>
  <c r="C161" i="2"/>
  <c r="D160" i="2"/>
  <c r="C160" i="2"/>
  <c r="D159" i="2"/>
  <c r="C159" i="2"/>
  <c r="D158" i="2"/>
  <c r="C158" i="2"/>
  <c r="D157" i="2"/>
  <c r="C157" i="2"/>
  <c r="D156" i="2"/>
  <c r="C156" i="2"/>
  <c r="D155" i="2"/>
  <c r="C155" i="2"/>
  <c r="D154" i="2"/>
  <c r="C154" i="2"/>
  <c r="D153" i="2"/>
  <c r="C153" i="2"/>
  <c r="D152" i="2"/>
  <c r="C152" i="2"/>
  <c r="D151" i="2"/>
  <c r="C151" i="2"/>
  <c r="D150" i="2"/>
  <c r="C150" i="2"/>
  <c r="D149" i="2"/>
  <c r="C149" i="2"/>
  <c r="D148" i="2"/>
  <c r="C148" i="2"/>
  <c r="D147" i="2"/>
  <c r="C147" i="2"/>
  <c r="D146" i="2"/>
  <c r="C146" i="2"/>
  <c r="D145" i="2"/>
  <c r="C145" i="2"/>
  <c r="D144" i="2"/>
  <c r="C144" i="2"/>
  <c r="D143" i="2"/>
  <c r="C143" i="2"/>
  <c r="D142" i="2"/>
  <c r="C142" i="2"/>
  <c r="D141" i="2"/>
  <c r="C141" i="2"/>
  <c r="D140" i="2"/>
  <c r="C140" i="2"/>
  <c r="D139" i="2"/>
  <c r="C139" i="2"/>
  <c r="D138" i="2"/>
  <c r="C138" i="2"/>
  <c r="D137" i="2"/>
  <c r="C137" i="2"/>
  <c r="D136" i="2"/>
  <c r="C136" i="2"/>
  <c r="D135" i="2"/>
  <c r="C135" i="2"/>
  <c r="D134" i="2"/>
  <c r="C134" i="2"/>
  <c r="D133" i="2"/>
  <c r="C133" i="2"/>
  <c r="D132" i="2"/>
  <c r="C132" i="2"/>
  <c r="D131" i="2"/>
  <c r="C131" i="2"/>
  <c r="D130" i="2"/>
  <c r="C130" i="2"/>
  <c r="D129" i="2"/>
  <c r="C129" i="2"/>
  <c r="D128" i="2"/>
  <c r="C128" i="2"/>
  <c r="D127" i="2"/>
  <c r="C127" i="2"/>
  <c r="D126" i="2"/>
  <c r="C126" i="2"/>
  <c r="D125" i="2"/>
  <c r="C125" i="2"/>
  <c r="D124" i="2"/>
  <c r="C124" i="2"/>
  <c r="D123" i="2"/>
  <c r="C123" i="2"/>
  <c r="D122" i="2"/>
  <c r="C122" i="2"/>
  <c r="D121" i="2"/>
  <c r="C121" i="2"/>
  <c r="D120" i="2"/>
  <c r="C120" i="2"/>
  <c r="D119" i="2"/>
  <c r="C119" i="2"/>
  <c r="D118" i="2"/>
  <c r="C118" i="2"/>
  <c r="D117" i="2"/>
  <c r="C117" i="2"/>
  <c r="D116" i="2"/>
  <c r="C116" i="2"/>
  <c r="D115" i="2"/>
  <c r="C115" i="2"/>
  <c r="D114" i="2"/>
  <c r="C114" i="2"/>
  <c r="D113" i="2"/>
  <c r="C113" i="2"/>
  <c r="D112" i="2"/>
  <c r="C112" i="2"/>
  <c r="D111" i="2"/>
  <c r="C111" i="2"/>
  <c r="D110" i="2"/>
  <c r="C110" i="2"/>
  <c r="D109" i="2"/>
  <c r="C109" i="2"/>
  <c r="D108" i="2"/>
  <c r="C108" i="2"/>
  <c r="D107" i="2"/>
  <c r="C107" i="2"/>
  <c r="D106" i="2"/>
  <c r="C106" i="2"/>
  <c r="D105" i="2"/>
  <c r="C105" i="2"/>
  <c r="D104" i="2"/>
  <c r="C104" i="2"/>
  <c r="D103" i="2"/>
  <c r="C103" i="2"/>
  <c r="D102" i="2"/>
  <c r="C102" i="2"/>
  <c r="D101" i="2"/>
  <c r="C101" i="2"/>
  <c r="D100" i="2"/>
  <c r="C100" i="2"/>
  <c r="D99" i="2"/>
  <c r="C99" i="2"/>
  <c r="D98" i="2"/>
  <c r="C98" i="2"/>
  <c r="D97" i="2"/>
  <c r="C97" i="2"/>
  <c r="D96" i="2"/>
  <c r="C96" i="2"/>
  <c r="D95" i="2"/>
  <c r="C95" i="2"/>
  <c r="D94" i="2"/>
  <c r="C94" i="2"/>
  <c r="D93" i="2"/>
  <c r="C93" i="2"/>
  <c r="D92" i="2"/>
  <c r="C92" i="2"/>
  <c r="D91" i="2"/>
  <c r="C91" i="2"/>
  <c r="D90" i="2"/>
  <c r="C90" i="2"/>
  <c r="D89" i="2"/>
  <c r="C89" i="2"/>
  <c r="D88" i="2"/>
  <c r="C88" i="2"/>
  <c r="D87" i="2"/>
  <c r="C87" i="2"/>
  <c r="D86" i="2"/>
  <c r="C86" i="2"/>
  <c r="D85" i="2"/>
  <c r="C85" i="2"/>
  <c r="D84" i="2"/>
  <c r="C84" i="2"/>
  <c r="D83" i="2"/>
  <c r="C83" i="2"/>
  <c r="D82" i="2"/>
  <c r="C82" i="2"/>
  <c r="D81" i="2"/>
  <c r="C81" i="2"/>
  <c r="D80" i="2"/>
  <c r="C80" i="2"/>
  <c r="D79" i="2"/>
  <c r="C79" i="2"/>
  <c r="D78" i="2"/>
  <c r="C78" i="2"/>
  <c r="D77" i="2"/>
  <c r="C77" i="2"/>
  <c r="D76" i="2"/>
  <c r="C76" i="2"/>
  <c r="D75" i="2"/>
  <c r="C75" i="2"/>
  <c r="D74" i="2"/>
  <c r="C74" i="2"/>
  <c r="D73" i="2"/>
  <c r="C73" i="2"/>
  <c r="D72" i="2"/>
  <c r="C72" i="2"/>
  <c r="D71" i="2"/>
  <c r="C71" i="2"/>
  <c r="D70" i="2"/>
  <c r="C70" i="2"/>
  <c r="D69" i="2"/>
  <c r="C69" i="2"/>
  <c r="D68" i="2"/>
  <c r="C68" i="2"/>
  <c r="D67" i="2"/>
  <c r="C67" i="2"/>
  <c r="D66" i="2"/>
  <c r="C66" i="2"/>
  <c r="D65" i="2"/>
  <c r="C65" i="2"/>
  <c r="D64" i="2"/>
  <c r="C64" i="2"/>
  <c r="D63" i="2"/>
  <c r="C63" i="2"/>
  <c r="D62" i="2"/>
  <c r="C62" i="2"/>
  <c r="D61" i="2"/>
  <c r="C61" i="2"/>
  <c r="D60" i="2"/>
  <c r="C60" i="2"/>
  <c r="D59" i="2"/>
  <c r="C59" i="2"/>
  <c r="D58" i="2"/>
  <c r="C58" i="2"/>
  <c r="D57" i="2"/>
  <c r="C57" i="2"/>
  <c r="D56" i="2"/>
  <c r="C56" i="2"/>
  <c r="D55" i="2"/>
  <c r="C55" i="2"/>
  <c r="D54" i="2"/>
  <c r="C54" i="2"/>
  <c r="D53" i="2"/>
  <c r="C53" i="2"/>
  <c r="D52" i="2"/>
  <c r="C52" i="2"/>
  <c r="D51" i="2"/>
  <c r="C51" i="2"/>
  <c r="D50" i="2"/>
  <c r="C50" i="2"/>
  <c r="D49" i="2"/>
  <c r="C49" i="2"/>
  <c r="D48" i="2"/>
  <c r="C48" i="2"/>
  <c r="D47" i="2"/>
  <c r="C47" i="2"/>
  <c r="D46" i="2"/>
  <c r="C46" i="2"/>
  <c r="D45" i="2"/>
  <c r="C45" i="2"/>
  <c r="D44" i="2"/>
  <c r="C44" i="2"/>
  <c r="D43" i="2"/>
  <c r="C43" i="2"/>
  <c r="D42" i="2"/>
  <c r="C42" i="2"/>
  <c r="D41" i="2"/>
  <c r="C41" i="2"/>
  <c r="D40" i="2"/>
  <c r="C40" i="2"/>
  <c r="D39" i="2"/>
  <c r="C39" i="2"/>
  <c r="D38" i="2"/>
  <c r="C38" i="2"/>
  <c r="D37" i="2"/>
  <c r="C37" i="2"/>
  <c r="D36" i="2"/>
  <c r="C36" i="2"/>
  <c r="D35" i="2"/>
  <c r="C35" i="2"/>
  <c r="D34" i="2"/>
  <c r="C34" i="2"/>
  <c r="D33" i="2"/>
  <c r="C33" i="2"/>
  <c r="D32" i="2"/>
  <c r="C32" i="2"/>
  <c r="D31" i="2"/>
  <c r="C31" i="2"/>
  <c r="D30" i="2"/>
  <c r="C30" i="2"/>
  <c r="D29" i="2"/>
  <c r="C29" i="2"/>
  <c r="D28" i="2"/>
  <c r="C28" i="2"/>
  <c r="D27" i="2"/>
  <c r="C27" i="2"/>
  <c r="D26" i="2"/>
  <c r="C26" i="2"/>
  <c r="D25" i="2"/>
  <c r="C25" i="2"/>
  <c r="D24" i="2"/>
  <c r="C24" i="2"/>
  <c r="D23" i="2"/>
  <c r="C23" i="2"/>
  <c r="D22" i="2"/>
  <c r="C22" i="2"/>
  <c r="D21" i="2"/>
  <c r="C21" i="2"/>
  <c r="D20" i="2"/>
  <c r="C20" i="2"/>
  <c r="D19" i="2"/>
  <c r="C19" i="2"/>
  <c r="D18" i="2"/>
  <c r="C18" i="2"/>
  <c r="D17" i="2"/>
  <c r="C17" i="2"/>
  <c r="D16" i="2"/>
  <c r="C16" i="2"/>
  <c r="D15" i="2"/>
  <c r="C15" i="2"/>
  <c r="D14" i="2"/>
  <c r="C14" i="2"/>
  <c r="D13" i="2"/>
  <c r="C13" i="2"/>
  <c r="D12" i="2"/>
  <c r="C12" i="2"/>
  <c r="D11" i="2"/>
  <c r="C11" i="2"/>
  <c r="D10" i="2"/>
  <c r="C10" i="2"/>
  <c r="D9" i="2"/>
  <c r="C9" i="2"/>
  <c r="D8" i="2"/>
  <c r="C8" i="2"/>
  <c r="D7" i="2"/>
  <c r="C7" i="2"/>
  <c r="D6" i="2"/>
  <c r="C6" i="2"/>
  <c r="D5" i="2"/>
  <c r="C5" i="2"/>
  <c r="D4" i="2"/>
  <c r="C4" i="2"/>
  <c r="D3" i="2"/>
  <c r="C3" i="2"/>
  <c r="R113" i="3"/>
  <c r="Q113" i="3"/>
  <c r="P113" i="3"/>
  <c r="N113" i="3"/>
  <c r="M113" i="3"/>
  <c r="L113" i="3"/>
  <c r="K113" i="3"/>
  <c r="I113" i="3"/>
  <c r="H113" i="3"/>
  <c r="G113" i="3"/>
  <c r="F113" i="3"/>
  <c r="E113" i="3"/>
  <c r="D113" i="3"/>
  <c r="C113" i="3"/>
  <c r="R112" i="3"/>
  <c r="Q112" i="3"/>
  <c r="P112" i="3"/>
  <c r="M112" i="3"/>
  <c r="L112" i="3"/>
  <c r="I112" i="3"/>
  <c r="H112" i="3"/>
  <c r="G112" i="3"/>
  <c r="F112" i="3"/>
  <c r="E112" i="3"/>
  <c r="D112" i="3"/>
  <c r="C112" i="3"/>
  <c r="R111" i="3"/>
  <c r="Q111" i="3"/>
  <c r="P111" i="3"/>
  <c r="M111" i="3"/>
  <c r="L111" i="3"/>
  <c r="I111" i="3"/>
  <c r="H111" i="3"/>
  <c r="G111" i="3"/>
  <c r="F111" i="3"/>
  <c r="E111" i="3"/>
  <c r="D111" i="3"/>
  <c r="C111" i="3"/>
  <c r="R110" i="3"/>
  <c r="Q110" i="3"/>
  <c r="P110" i="3"/>
  <c r="M110" i="3"/>
  <c r="L110" i="3"/>
  <c r="I110" i="3"/>
  <c r="H110" i="3"/>
  <c r="G110" i="3"/>
  <c r="F110" i="3"/>
  <c r="E110" i="3"/>
  <c r="D110" i="3"/>
  <c r="C110" i="3"/>
  <c r="R109" i="3"/>
  <c r="Q109" i="3"/>
  <c r="P109" i="3"/>
  <c r="N109" i="3"/>
  <c r="M109" i="3"/>
  <c r="L109" i="3"/>
  <c r="I109" i="3"/>
  <c r="H109" i="3"/>
  <c r="G109" i="3"/>
  <c r="F109" i="3"/>
  <c r="E109" i="3"/>
  <c r="D109" i="3"/>
  <c r="C109" i="3"/>
  <c r="R108" i="3"/>
  <c r="Q108" i="3"/>
  <c r="P108" i="3"/>
  <c r="N108" i="3"/>
  <c r="M108" i="3"/>
  <c r="L108" i="3"/>
  <c r="I108" i="3"/>
  <c r="H108" i="3"/>
  <c r="G108" i="3"/>
  <c r="F108" i="3"/>
  <c r="E108" i="3"/>
  <c r="D108" i="3"/>
  <c r="C108" i="3"/>
  <c r="R107" i="3"/>
  <c r="Q107" i="3"/>
  <c r="P107" i="3"/>
  <c r="N107" i="3"/>
  <c r="M107" i="3"/>
  <c r="L107" i="3"/>
  <c r="K107" i="3"/>
  <c r="I107" i="3"/>
  <c r="H107" i="3"/>
  <c r="G107" i="3"/>
  <c r="F107" i="3"/>
  <c r="E107" i="3"/>
  <c r="D107" i="3"/>
  <c r="C107" i="3"/>
  <c r="R106" i="3"/>
  <c r="Q106" i="3"/>
  <c r="P106" i="3"/>
  <c r="N106" i="3"/>
  <c r="M106" i="3"/>
  <c r="I106" i="3"/>
  <c r="H106" i="3"/>
  <c r="G106" i="3"/>
  <c r="F106" i="3"/>
  <c r="E106" i="3"/>
  <c r="D106" i="3"/>
  <c r="C106" i="3"/>
  <c r="R105" i="3"/>
  <c r="Q105" i="3"/>
  <c r="P105" i="3"/>
  <c r="M105" i="3"/>
  <c r="L105" i="3"/>
  <c r="I105" i="3"/>
  <c r="H105" i="3"/>
  <c r="G105" i="3"/>
  <c r="F105" i="3"/>
  <c r="E105" i="3"/>
  <c r="D105" i="3"/>
  <c r="C105" i="3"/>
  <c r="R104" i="3"/>
  <c r="Q104" i="3"/>
  <c r="P104" i="3"/>
  <c r="M104" i="3"/>
  <c r="I104" i="3"/>
  <c r="H104" i="3"/>
  <c r="G104" i="3"/>
  <c r="F104" i="3"/>
  <c r="E104" i="3"/>
  <c r="D104" i="3"/>
  <c r="C104" i="3"/>
  <c r="R103" i="3"/>
  <c r="Q103" i="3"/>
  <c r="P103" i="3"/>
  <c r="M103" i="3"/>
  <c r="L103" i="3"/>
  <c r="I103" i="3"/>
  <c r="H103" i="3"/>
  <c r="G103" i="3"/>
  <c r="F103" i="3"/>
  <c r="E103" i="3"/>
  <c r="D103" i="3"/>
  <c r="C103" i="3"/>
  <c r="R102" i="3"/>
  <c r="Q102" i="3"/>
  <c r="P102" i="3"/>
  <c r="M102" i="3"/>
  <c r="L102" i="3"/>
  <c r="K102" i="3"/>
  <c r="J102" i="3"/>
  <c r="I102" i="3"/>
  <c r="H102" i="3"/>
  <c r="G102" i="3"/>
  <c r="F102" i="3"/>
  <c r="E102" i="3"/>
  <c r="D102" i="3"/>
  <c r="C102" i="3"/>
  <c r="R101" i="3"/>
  <c r="Q101" i="3"/>
  <c r="P101" i="3"/>
  <c r="M101" i="3"/>
  <c r="L101" i="3"/>
  <c r="I101" i="3"/>
  <c r="H101" i="3"/>
  <c r="G101" i="3"/>
  <c r="F101" i="3"/>
  <c r="E101" i="3"/>
  <c r="D101" i="3"/>
  <c r="C101" i="3"/>
  <c r="R100" i="3"/>
  <c r="Q100" i="3"/>
  <c r="P100" i="3"/>
  <c r="M100" i="3"/>
  <c r="L100" i="3"/>
  <c r="I100" i="3"/>
  <c r="H100" i="3"/>
  <c r="G100" i="3"/>
  <c r="F100" i="3"/>
  <c r="E100" i="3"/>
  <c r="D100" i="3"/>
  <c r="C100" i="3"/>
  <c r="R99" i="3"/>
  <c r="Q99" i="3"/>
  <c r="P99" i="3"/>
  <c r="M99" i="3"/>
  <c r="L99" i="3"/>
  <c r="J99" i="3"/>
  <c r="I99" i="3"/>
  <c r="H99" i="3"/>
  <c r="G99" i="3"/>
  <c r="F99" i="3"/>
  <c r="E99" i="3"/>
  <c r="D99" i="3"/>
  <c r="C99" i="3"/>
  <c r="R98" i="3"/>
  <c r="Q98" i="3"/>
  <c r="P98" i="3"/>
  <c r="M98" i="3"/>
  <c r="J98" i="3"/>
  <c r="I98" i="3"/>
  <c r="H98" i="3"/>
  <c r="G98" i="3"/>
  <c r="F98" i="3"/>
  <c r="E98" i="3"/>
  <c r="D98" i="3"/>
  <c r="C98" i="3"/>
  <c r="R97" i="3"/>
  <c r="Q97" i="3"/>
  <c r="P97" i="3"/>
  <c r="N97" i="3"/>
  <c r="M97" i="3"/>
  <c r="L97" i="3"/>
  <c r="I97" i="3"/>
  <c r="H97" i="3"/>
  <c r="G97" i="3"/>
  <c r="F97" i="3"/>
  <c r="E97" i="3"/>
  <c r="D97" i="3"/>
  <c r="C97" i="3"/>
  <c r="R96" i="3"/>
  <c r="Q96" i="3"/>
  <c r="P96" i="3"/>
  <c r="M96" i="3"/>
  <c r="L96" i="3"/>
  <c r="I96" i="3"/>
  <c r="H96" i="3"/>
  <c r="G96" i="3"/>
  <c r="F96" i="3"/>
  <c r="E96" i="3"/>
  <c r="D96" i="3"/>
  <c r="C96" i="3"/>
  <c r="R95" i="3"/>
  <c r="Q95" i="3"/>
  <c r="P95" i="3"/>
  <c r="N95" i="3"/>
  <c r="M95" i="3"/>
  <c r="L95" i="3"/>
  <c r="I95" i="3"/>
  <c r="H95" i="3"/>
  <c r="G95" i="3"/>
  <c r="F95" i="3"/>
  <c r="E95" i="3"/>
  <c r="D95" i="3"/>
  <c r="C95" i="3"/>
  <c r="R94" i="3"/>
  <c r="Q94" i="3"/>
  <c r="P94" i="3"/>
  <c r="M94" i="3"/>
  <c r="L94" i="3"/>
  <c r="K94" i="3"/>
  <c r="J94" i="3"/>
  <c r="I94" i="3"/>
  <c r="H94" i="3"/>
  <c r="G94" i="3"/>
  <c r="F94" i="3"/>
  <c r="E94" i="3"/>
  <c r="D94" i="3"/>
  <c r="C94" i="3"/>
  <c r="R93" i="3"/>
  <c r="Q93" i="3"/>
  <c r="P93" i="3"/>
  <c r="M93" i="3"/>
  <c r="I93" i="3"/>
  <c r="H93" i="3"/>
  <c r="G93" i="3"/>
  <c r="F93" i="3"/>
  <c r="E93" i="3"/>
  <c r="D93" i="3"/>
  <c r="C93" i="3"/>
  <c r="R92" i="3"/>
  <c r="Q92" i="3"/>
  <c r="P92" i="3"/>
  <c r="N92" i="3"/>
  <c r="M92" i="3"/>
  <c r="K92" i="3"/>
  <c r="I92" i="3"/>
  <c r="H92" i="3"/>
  <c r="G92" i="3"/>
  <c r="F92" i="3"/>
  <c r="E92" i="3"/>
  <c r="D92" i="3"/>
  <c r="C92" i="3"/>
  <c r="R91" i="3"/>
  <c r="Q91" i="3"/>
  <c r="P91" i="3"/>
  <c r="M91" i="3"/>
  <c r="L91" i="3"/>
  <c r="I91" i="3"/>
  <c r="H91" i="3"/>
  <c r="G91" i="3"/>
  <c r="F91" i="3"/>
  <c r="E91" i="3"/>
  <c r="D91" i="3"/>
  <c r="C91" i="3"/>
  <c r="R90" i="3"/>
  <c r="Q90" i="3"/>
  <c r="P90" i="3"/>
  <c r="M90" i="3"/>
  <c r="L90" i="3"/>
  <c r="J90" i="3"/>
  <c r="I90" i="3"/>
  <c r="H90" i="3"/>
  <c r="G90" i="3"/>
  <c r="F90" i="3"/>
  <c r="E90" i="3"/>
  <c r="D90" i="3"/>
  <c r="C90" i="3"/>
  <c r="R89" i="3"/>
  <c r="Q89" i="3"/>
  <c r="P89" i="3"/>
  <c r="N89" i="3"/>
  <c r="M89" i="3"/>
  <c r="L89" i="3"/>
  <c r="K89" i="3"/>
  <c r="I89" i="3"/>
  <c r="H89" i="3"/>
  <c r="G89" i="3"/>
  <c r="F89" i="3"/>
  <c r="E89" i="3"/>
  <c r="D89" i="3"/>
  <c r="C89" i="3"/>
  <c r="R88" i="3"/>
  <c r="Q88" i="3"/>
  <c r="P88" i="3"/>
  <c r="N88" i="3"/>
  <c r="M88" i="3"/>
  <c r="L88" i="3"/>
  <c r="K88" i="3"/>
  <c r="I88" i="3"/>
  <c r="H88" i="3"/>
  <c r="G88" i="3"/>
  <c r="F88" i="3"/>
  <c r="E88" i="3"/>
  <c r="D88" i="3"/>
  <c r="C88" i="3"/>
  <c r="R87" i="3"/>
  <c r="Q87" i="3"/>
  <c r="P87" i="3"/>
  <c r="M87" i="3"/>
  <c r="L87" i="3"/>
  <c r="I87" i="3"/>
  <c r="H87" i="3"/>
  <c r="G87" i="3"/>
  <c r="F87" i="3"/>
  <c r="E87" i="3"/>
  <c r="D87" i="3"/>
  <c r="C87" i="3"/>
  <c r="R86" i="3"/>
  <c r="Q86" i="3"/>
  <c r="P86" i="3"/>
  <c r="M86" i="3"/>
  <c r="L86" i="3"/>
  <c r="I86" i="3"/>
  <c r="H86" i="3"/>
  <c r="G86" i="3"/>
  <c r="F86" i="3"/>
  <c r="E86" i="3"/>
  <c r="D86" i="3"/>
  <c r="C86" i="3"/>
  <c r="R85" i="3"/>
  <c r="Q85" i="3"/>
  <c r="P85" i="3"/>
  <c r="M85" i="3"/>
  <c r="L85" i="3"/>
  <c r="J85" i="3"/>
  <c r="I85" i="3"/>
  <c r="H85" i="3"/>
  <c r="G85" i="3"/>
  <c r="F85" i="3"/>
  <c r="E85" i="3"/>
  <c r="D85" i="3"/>
  <c r="C85" i="3"/>
  <c r="R84" i="3"/>
  <c r="Q84" i="3"/>
  <c r="P84" i="3"/>
  <c r="M84" i="3"/>
  <c r="J84" i="3"/>
  <c r="I84" i="3"/>
  <c r="H84" i="3"/>
  <c r="G84" i="3"/>
  <c r="F84" i="3"/>
  <c r="E84" i="3"/>
  <c r="D84" i="3"/>
  <c r="C84" i="3"/>
  <c r="R83" i="3"/>
  <c r="Q83" i="3"/>
  <c r="P83" i="3"/>
  <c r="M83" i="3"/>
  <c r="L83" i="3"/>
  <c r="I83" i="3"/>
  <c r="H83" i="3"/>
  <c r="G83" i="3"/>
  <c r="F83" i="3"/>
  <c r="E83" i="3"/>
  <c r="D83" i="3"/>
  <c r="C83" i="3"/>
  <c r="R82" i="3"/>
  <c r="Q82" i="3"/>
  <c r="P82" i="3"/>
  <c r="M82" i="3"/>
  <c r="L82" i="3"/>
  <c r="J82" i="3"/>
  <c r="I82" i="3"/>
  <c r="H82" i="3"/>
  <c r="G82" i="3"/>
  <c r="F82" i="3"/>
  <c r="E82" i="3"/>
  <c r="D82" i="3"/>
  <c r="C82" i="3"/>
  <c r="R81" i="3"/>
  <c r="Q81" i="3"/>
  <c r="P81" i="3"/>
  <c r="N81" i="3"/>
  <c r="M81" i="3"/>
  <c r="L81" i="3"/>
  <c r="I81" i="3"/>
  <c r="H81" i="3"/>
  <c r="G81" i="3"/>
  <c r="F81" i="3"/>
  <c r="E81" i="3"/>
  <c r="D81" i="3"/>
  <c r="C81" i="3"/>
  <c r="R80" i="3"/>
  <c r="Q80" i="3"/>
  <c r="P80" i="3"/>
  <c r="M80" i="3"/>
  <c r="L80" i="3"/>
  <c r="J80" i="3"/>
  <c r="I80" i="3"/>
  <c r="H80" i="3"/>
  <c r="G80" i="3"/>
  <c r="F80" i="3"/>
  <c r="E80" i="3"/>
  <c r="D80" i="3"/>
  <c r="C80" i="3"/>
  <c r="R79" i="3"/>
  <c r="Q79" i="3"/>
  <c r="P79" i="3"/>
  <c r="M79" i="3"/>
  <c r="L79" i="3"/>
  <c r="K79" i="3"/>
  <c r="I79" i="3"/>
  <c r="H79" i="3"/>
  <c r="G79" i="3"/>
  <c r="F79" i="3"/>
  <c r="E79" i="3"/>
  <c r="D79" i="3"/>
  <c r="C79" i="3"/>
  <c r="R78" i="3"/>
  <c r="Q78" i="3"/>
  <c r="P78" i="3"/>
  <c r="N78" i="3"/>
  <c r="M78" i="3"/>
  <c r="L78" i="3"/>
  <c r="K78" i="3"/>
  <c r="I78" i="3"/>
  <c r="H78" i="3"/>
  <c r="G78" i="3"/>
  <c r="F78" i="3"/>
  <c r="E78" i="3"/>
  <c r="D78" i="3"/>
  <c r="C78" i="3"/>
  <c r="R77" i="3"/>
  <c r="Q77" i="3"/>
  <c r="P77" i="3"/>
  <c r="M77" i="3"/>
  <c r="I77" i="3"/>
  <c r="H77" i="3"/>
  <c r="G77" i="3"/>
  <c r="F77" i="3"/>
  <c r="E77" i="3"/>
  <c r="D77" i="3"/>
  <c r="C77" i="3"/>
  <c r="R76" i="3"/>
  <c r="Q76" i="3"/>
  <c r="P76" i="3"/>
  <c r="M76" i="3"/>
  <c r="L76" i="3"/>
  <c r="I76" i="3"/>
  <c r="H76" i="3"/>
  <c r="G76" i="3"/>
  <c r="F76" i="3"/>
  <c r="E76" i="3"/>
  <c r="D76" i="3"/>
  <c r="C76" i="3"/>
  <c r="R75" i="3"/>
  <c r="Q75" i="3"/>
  <c r="P75" i="3"/>
  <c r="N75" i="3"/>
  <c r="M75" i="3"/>
  <c r="L75" i="3"/>
  <c r="I75" i="3"/>
  <c r="H75" i="3"/>
  <c r="G75" i="3"/>
  <c r="F75" i="3"/>
  <c r="E75" i="3"/>
  <c r="D75" i="3"/>
  <c r="C75" i="3"/>
  <c r="R74" i="3"/>
  <c r="Q74" i="3"/>
  <c r="P74" i="3"/>
  <c r="M74" i="3"/>
  <c r="I74" i="3"/>
  <c r="H74" i="3"/>
  <c r="G74" i="3"/>
  <c r="F74" i="3"/>
  <c r="E74" i="3"/>
  <c r="D74" i="3"/>
  <c r="C74" i="3"/>
  <c r="R73" i="3"/>
  <c r="Q73" i="3"/>
  <c r="P73" i="3"/>
  <c r="M73" i="3"/>
  <c r="J73" i="3"/>
  <c r="I73" i="3"/>
  <c r="H73" i="3"/>
  <c r="G73" i="3"/>
  <c r="F73" i="3"/>
  <c r="E73" i="3"/>
  <c r="D73" i="3"/>
  <c r="C73" i="3"/>
  <c r="R72" i="3"/>
  <c r="Q72" i="3"/>
  <c r="P72" i="3"/>
  <c r="N72" i="3"/>
  <c r="M72" i="3"/>
  <c r="L72" i="3"/>
  <c r="I72" i="3"/>
  <c r="H72" i="3"/>
  <c r="G72" i="3"/>
  <c r="F72" i="3"/>
  <c r="E72" i="3"/>
  <c r="D72" i="3"/>
  <c r="C72" i="3"/>
  <c r="R71" i="3"/>
  <c r="Q71" i="3"/>
  <c r="P71" i="3"/>
  <c r="N71" i="3"/>
  <c r="M71" i="3"/>
  <c r="I71" i="3"/>
  <c r="H71" i="3"/>
  <c r="G71" i="3"/>
  <c r="F71" i="3"/>
  <c r="E71" i="3"/>
  <c r="D71" i="3"/>
  <c r="C71" i="3"/>
  <c r="R70" i="3"/>
  <c r="Q70" i="3"/>
  <c r="P70" i="3"/>
  <c r="N70" i="3"/>
  <c r="M70" i="3"/>
  <c r="I70" i="3"/>
  <c r="H70" i="3"/>
  <c r="G70" i="3"/>
  <c r="F70" i="3"/>
  <c r="E70" i="3"/>
  <c r="D70" i="3"/>
  <c r="C70" i="3"/>
  <c r="R69" i="3"/>
  <c r="Q69" i="3"/>
  <c r="P69" i="3"/>
  <c r="M69" i="3"/>
  <c r="K69" i="3"/>
  <c r="J69" i="3"/>
  <c r="I69" i="3"/>
  <c r="H69" i="3"/>
  <c r="G69" i="3"/>
  <c r="F69" i="3"/>
  <c r="E69" i="3"/>
  <c r="D69" i="3"/>
  <c r="C69" i="3"/>
  <c r="R68" i="3"/>
  <c r="Q68" i="3"/>
  <c r="P68" i="3"/>
  <c r="M68" i="3"/>
  <c r="L68" i="3"/>
  <c r="J68" i="3"/>
  <c r="I68" i="3"/>
  <c r="H68" i="3"/>
  <c r="G68" i="3"/>
  <c r="F68" i="3"/>
  <c r="E68" i="3"/>
  <c r="D68" i="3"/>
  <c r="C68" i="3"/>
  <c r="R67" i="3"/>
  <c r="Q67" i="3"/>
  <c r="P67" i="3"/>
  <c r="N67" i="3"/>
  <c r="M67" i="3"/>
  <c r="L67" i="3"/>
  <c r="J67" i="3"/>
  <c r="I67" i="3"/>
  <c r="H67" i="3"/>
  <c r="G67" i="3"/>
  <c r="F67" i="3"/>
  <c r="E67" i="3"/>
  <c r="D67" i="3"/>
  <c r="C67" i="3"/>
  <c r="R66" i="3"/>
  <c r="Q66" i="3"/>
  <c r="P66" i="3"/>
  <c r="N66" i="3"/>
  <c r="M66" i="3"/>
  <c r="L66" i="3"/>
  <c r="K66" i="3"/>
  <c r="I66" i="3"/>
  <c r="H66" i="3"/>
  <c r="G66" i="3"/>
  <c r="F66" i="3"/>
  <c r="E66" i="3"/>
  <c r="D66" i="3"/>
  <c r="C66" i="3"/>
  <c r="R65" i="3"/>
  <c r="Q65" i="3"/>
  <c r="P65" i="3"/>
  <c r="N65" i="3"/>
  <c r="M65" i="3"/>
  <c r="L65" i="3"/>
  <c r="K65" i="3"/>
  <c r="J65" i="3"/>
  <c r="I65" i="3"/>
  <c r="H65" i="3"/>
  <c r="G65" i="3"/>
  <c r="F65" i="3"/>
  <c r="E65" i="3"/>
  <c r="D65" i="3"/>
  <c r="C65" i="3"/>
  <c r="R64" i="3"/>
  <c r="Q64" i="3"/>
  <c r="P64" i="3"/>
  <c r="N64" i="3"/>
  <c r="M64" i="3"/>
  <c r="L64" i="3"/>
  <c r="J64" i="3"/>
  <c r="I64" i="3"/>
  <c r="H64" i="3"/>
  <c r="G64" i="3"/>
  <c r="F64" i="3"/>
  <c r="E64" i="3"/>
  <c r="D64" i="3"/>
  <c r="C64" i="3"/>
  <c r="R63" i="3"/>
  <c r="Q63" i="3"/>
  <c r="P63" i="3"/>
  <c r="M63" i="3"/>
  <c r="L63" i="3"/>
  <c r="I63" i="3"/>
  <c r="H63" i="3"/>
  <c r="G63" i="3"/>
  <c r="F63" i="3"/>
  <c r="E63" i="3"/>
  <c r="D63" i="3"/>
  <c r="C63" i="3"/>
  <c r="R62" i="3"/>
  <c r="Q62" i="3"/>
  <c r="P62" i="3"/>
  <c r="N62" i="3"/>
  <c r="M62" i="3"/>
  <c r="L62" i="3"/>
  <c r="J62" i="3"/>
  <c r="I62" i="3"/>
  <c r="H62" i="3"/>
  <c r="G62" i="3"/>
  <c r="F62" i="3"/>
  <c r="E62" i="3"/>
  <c r="D62" i="3"/>
  <c r="C62" i="3"/>
  <c r="R61" i="3"/>
  <c r="Q61" i="3"/>
  <c r="P61" i="3"/>
  <c r="M61" i="3"/>
  <c r="I61" i="3"/>
  <c r="H61" i="3"/>
  <c r="G61" i="3"/>
  <c r="F61" i="3"/>
  <c r="E61" i="3"/>
  <c r="D61" i="3"/>
  <c r="C61" i="3"/>
  <c r="R60" i="3"/>
  <c r="Q60" i="3"/>
  <c r="P60" i="3"/>
  <c r="M60" i="3"/>
  <c r="L60" i="3"/>
  <c r="K60" i="3"/>
  <c r="I60" i="3"/>
  <c r="H60" i="3"/>
  <c r="G60" i="3"/>
  <c r="F60" i="3"/>
  <c r="E60" i="3"/>
  <c r="D60" i="3"/>
  <c r="C60" i="3"/>
  <c r="R59" i="3"/>
  <c r="Q59" i="3"/>
  <c r="P59" i="3"/>
  <c r="M59" i="3"/>
  <c r="L59" i="3"/>
  <c r="I59" i="3"/>
  <c r="H59" i="3"/>
  <c r="G59" i="3"/>
  <c r="F59" i="3"/>
  <c r="E59" i="3"/>
  <c r="D59" i="3"/>
  <c r="C59" i="3"/>
  <c r="R58" i="3"/>
  <c r="Q58" i="3"/>
  <c r="P58" i="3"/>
  <c r="M58" i="3"/>
  <c r="L58" i="3"/>
  <c r="J58" i="3"/>
  <c r="I58" i="3"/>
  <c r="H58" i="3"/>
  <c r="G58" i="3"/>
  <c r="F58" i="3"/>
  <c r="E58" i="3"/>
  <c r="D58" i="3"/>
  <c r="C58" i="3"/>
  <c r="R57" i="3"/>
  <c r="Q57" i="3"/>
  <c r="P57" i="3"/>
  <c r="M57" i="3"/>
  <c r="L57" i="3"/>
  <c r="K57" i="3"/>
  <c r="J57" i="3"/>
  <c r="I57" i="3"/>
  <c r="H57" i="3"/>
  <c r="G57" i="3"/>
  <c r="F57" i="3"/>
  <c r="E57" i="3"/>
  <c r="D57" i="3"/>
  <c r="C57" i="3"/>
  <c r="R56" i="3"/>
  <c r="Q56" i="3"/>
  <c r="P56" i="3"/>
  <c r="M56" i="3"/>
  <c r="L56" i="3"/>
  <c r="I56" i="3"/>
  <c r="H56" i="3"/>
  <c r="G56" i="3"/>
  <c r="F56" i="3"/>
  <c r="E56" i="3"/>
  <c r="D56" i="3"/>
  <c r="C56" i="3"/>
  <c r="R55" i="3"/>
  <c r="Q55" i="3"/>
  <c r="P55" i="3"/>
  <c r="M55" i="3"/>
  <c r="L55" i="3"/>
  <c r="I55" i="3"/>
  <c r="H55" i="3"/>
  <c r="G55" i="3"/>
  <c r="F55" i="3"/>
  <c r="E55" i="3"/>
  <c r="D55" i="3"/>
  <c r="C55" i="3"/>
  <c r="R54" i="3"/>
  <c r="Q54" i="3"/>
  <c r="P54" i="3"/>
  <c r="M54" i="3"/>
  <c r="L54" i="3"/>
  <c r="I54" i="3"/>
  <c r="H54" i="3"/>
  <c r="G54" i="3"/>
  <c r="F54" i="3"/>
  <c r="E54" i="3"/>
  <c r="D54" i="3"/>
  <c r="C54" i="3"/>
  <c r="R53" i="3"/>
  <c r="Q53" i="3"/>
  <c r="P53" i="3"/>
  <c r="N53" i="3"/>
  <c r="M53" i="3"/>
  <c r="L53" i="3"/>
  <c r="K53" i="3"/>
  <c r="I53" i="3"/>
  <c r="H53" i="3"/>
  <c r="G53" i="3"/>
  <c r="F53" i="3"/>
  <c r="E53" i="3"/>
  <c r="D53" i="3"/>
  <c r="C53" i="3"/>
  <c r="R52" i="3"/>
  <c r="Q52" i="3"/>
  <c r="P52" i="3"/>
  <c r="M52" i="3"/>
  <c r="L52" i="3"/>
  <c r="J52" i="3"/>
  <c r="I52" i="3"/>
  <c r="H52" i="3"/>
  <c r="G52" i="3"/>
  <c r="F52" i="3"/>
  <c r="E52" i="3"/>
  <c r="D52" i="3"/>
  <c r="C52" i="3"/>
  <c r="R51" i="3"/>
  <c r="Q51" i="3"/>
  <c r="P51" i="3"/>
  <c r="M51" i="3"/>
  <c r="L51" i="3"/>
  <c r="J51" i="3"/>
  <c r="I51" i="3"/>
  <c r="H51" i="3"/>
  <c r="G51" i="3"/>
  <c r="F51" i="3"/>
  <c r="E51" i="3"/>
  <c r="D51" i="3"/>
  <c r="C51" i="3"/>
  <c r="R50" i="3"/>
  <c r="Q50" i="3"/>
  <c r="P50" i="3"/>
  <c r="M50" i="3"/>
  <c r="L50" i="3"/>
  <c r="I50" i="3"/>
  <c r="H50" i="3"/>
  <c r="G50" i="3"/>
  <c r="F50" i="3"/>
  <c r="E50" i="3"/>
  <c r="D50" i="3"/>
  <c r="C50" i="3"/>
  <c r="R49" i="3"/>
  <c r="Q49" i="3"/>
  <c r="P49" i="3"/>
  <c r="M49" i="3"/>
  <c r="L49" i="3"/>
  <c r="K49" i="3"/>
  <c r="J49" i="3"/>
  <c r="I49" i="3"/>
  <c r="H49" i="3"/>
  <c r="G49" i="3"/>
  <c r="F49" i="3"/>
  <c r="E49" i="3"/>
  <c r="D49" i="3"/>
  <c r="C49" i="3"/>
  <c r="R48" i="3"/>
  <c r="Q48" i="3"/>
  <c r="P48" i="3"/>
  <c r="M48" i="3"/>
  <c r="L48" i="3"/>
  <c r="I48" i="3"/>
  <c r="H48" i="3"/>
  <c r="G48" i="3"/>
  <c r="F48" i="3"/>
  <c r="E48" i="3"/>
  <c r="D48" i="3"/>
  <c r="C48" i="3"/>
  <c r="R47" i="3"/>
  <c r="Q47" i="3"/>
  <c r="P47" i="3"/>
  <c r="N47" i="3"/>
  <c r="M47" i="3"/>
  <c r="L47" i="3"/>
  <c r="I47" i="3"/>
  <c r="H47" i="3"/>
  <c r="G47" i="3"/>
  <c r="F47" i="3"/>
  <c r="E47" i="3"/>
  <c r="D47" i="3"/>
  <c r="C47" i="3"/>
  <c r="R46" i="3"/>
  <c r="Q46" i="3"/>
  <c r="P46" i="3"/>
  <c r="N46" i="3"/>
  <c r="M46" i="3"/>
  <c r="L46" i="3"/>
  <c r="I46" i="3"/>
  <c r="H46" i="3"/>
  <c r="G46" i="3"/>
  <c r="F46" i="3"/>
  <c r="E46" i="3"/>
  <c r="D46" i="3"/>
  <c r="C46" i="3"/>
  <c r="R45" i="3"/>
  <c r="Q45" i="3"/>
  <c r="P45" i="3"/>
  <c r="M45" i="3"/>
  <c r="L45" i="3"/>
  <c r="I45" i="3"/>
  <c r="H45" i="3"/>
  <c r="G45" i="3"/>
  <c r="F45" i="3"/>
  <c r="E45" i="3"/>
  <c r="D45" i="3"/>
  <c r="C45" i="3"/>
  <c r="R44" i="3"/>
  <c r="Q44" i="3"/>
  <c r="P44" i="3"/>
  <c r="M44" i="3"/>
  <c r="I44" i="3"/>
  <c r="H44" i="3"/>
  <c r="G44" i="3"/>
  <c r="F44" i="3"/>
  <c r="E44" i="3"/>
  <c r="D44" i="3"/>
  <c r="C44" i="3"/>
  <c r="R43" i="3"/>
  <c r="Q43" i="3"/>
  <c r="P43" i="3"/>
  <c r="M43" i="3"/>
  <c r="I43" i="3"/>
  <c r="H43" i="3"/>
  <c r="G43" i="3"/>
  <c r="F43" i="3"/>
  <c r="E43" i="3"/>
  <c r="D43" i="3"/>
  <c r="C43" i="3"/>
  <c r="R42" i="3"/>
  <c r="Q42" i="3"/>
  <c r="P42" i="3"/>
  <c r="N42" i="3"/>
  <c r="M42" i="3"/>
  <c r="L42" i="3"/>
  <c r="I42" i="3"/>
  <c r="H42" i="3"/>
  <c r="G42" i="3"/>
  <c r="F42" i="3"/>
  <c r="E42" i="3"/>
  <c r="D42" i="3"/>
  <c r="C42" i="3"/>
  <c r="R41" i="3"/>
  <c r="Q41" i="3"/>
  <c r="P41" i="3"/>
  <c r="N41" i="3"/>
  <c r="M41" i="3"/>
  <c r="L41" i="3"/>
  <c r="I41" i="3"/>
  <c r="H41" i="3"/>
  <c r="G41" i="3"/>
  <c r="F41" i="3"/>
  <c r="E41" i="3"/>
  <c r="D41" i="3"/>
  <c r="C41" i="3"/>
  <c r="R40" i="3"/>
  <c r="Q40" i="3"/>
  <c r="P40" i="3"/>
  <c r="N40" i="3"/>
  <c r="M40" i="3"/>
  <c r="J40" i="3"/>
  <c r="I40" i="3"/>
  <c r="H40" i="3"/>
  <c r="G40" i="3"/>
  <c r="F40" i="3"/>
  <c r="E40" i="3"/>
  <c r="D40" i="3"/>
  <c r="R39" i="3"/>
  <c r="Q39" i="3"/>
  <c r="P39" i="3"/>
  <c r="M39" i="3"/>
  <c r="L39" i="3"/>
  <c r="J39" i="3"/>
  <c r="I39" i="3"/>
  <c r="H39" i="3"/>
  <c r="G39" i="3"/>
  <c r="F39" i="3"/>
  <c r="E39" i="3"/>
  <c r="D39" i="3"/>
  <c r="C39" i="3"/>
  <c r="R38" i="3"/>
  <c r="Q38" i="3"/>
  <c r="P38" i="3"/>
  <c r="N38" i="3"/>
  <c r="M38" i="3"/>
  <c r="K38" i="3"/>
  <c r="J38" i="3"/>
  <c r="I38" i="3"/>
  <c r="H38" i="3"/>
  <c r="G38" i="3"/>
  <c r="F38" i="3"/>
  <c r="E38" i="3"/>
  <c r="D38" i="3"/>
  <c r="C38" i="3"/>
  <c r="R37" i="3"/>
  <c r="Q37" i="3"/>
  <c r="P37" i="3"/>
  <c r="N37" i="3"/>
  <c r="M37" i="3"/>
  <c r="L37" i="3"/>
  <c r="I37" i="3"/>
  <c r="H37" i="3"/>
  <c r="G37" i="3"/>
  <c r="F37" i="3"/>
  <c r="E37" i="3"/>
  <c r="D37" i="3"/>
  <c r="C37" i="3"/>
  <c r="R36" i="3"/>
  <c r="Q36" i="3"/>
  <c r="P36" i="3"/>
  <c r="M36" i="3"/>
  <c r="L36" i="3"/>
  <c r="J36" i="3"/>
  <c r="I36" i="3"/>
  <c r="H36" i="3"/>
  <c r="G36" i="3"/>
  <c r="F36" i="3"/>
  <c r="E36" i="3"/>
  <c r="D36" i="3"/>
  <c r="C36" i="3"/>
  <c r="R35" i="3"/>
  <c r="Q35" i="3"/>
  <c r="P35" i="3"/>
  <c r="M35" i="3"/>
  <c r="I35" i="3"/>
  <c r="H35" i="3"/>
  <c r="G35" i="3"/>
  <c r="F35" i="3"/>
  <c r="E35" i="3"/>
  <c r="D35" i="3"/>
  <c r="R34" i="3"/>
  <c r="Q34" i="3"/>
  <c r="P34" i="3"/>
  <c r="M34" i="3"/>
  <c r="I34" i="3"/>
  <c r="H34" i="3"/>
  <c r="G34" i="3"/>
  <c r="F34" i="3"/>
  <c r="E34" i="3"/>
  <c r="D34" i="3"/>
  <c r="R33" i="3"/>
  <c r="Q33" i="3"/>
  <c r="P33" i="3"/>
  <c r="N33" i="3"/>
  <c r="M33" i="3"/>
  <c r="L33" i="3"/>
  <c r="I33" i="3"/>
  <c r="H33" i="3"/>
  <c r="G33" i="3"/>
  <c r="F33" i="3"/>
  <c r="E33" i="3"/>
  <c r="D33" i="3"/>
  <c r="C33" i="3"/>
  <c r="R32" i="3"/>
  <c r="Q32" i="3"/>
  <c r="P32" i="3"/>
  <c r="N32" i="3"/>
  <c r="M32" i="3"/>
  <c r="L32" i="3"/>
  <c r="I32" i="3"/>
  <c r="H32" i="3"/>
  <c r="G32" i="3"/>
  <c r="F32" i="3"/>
  <c r="E32" i="3"/>
  <c r="D32" i="3"/>
  <c r="C32" i="3"/>
  <c r="R31" i="3"/>
  <c r="Q31" i="3"/>
  <c r="P31" i="3"/>
  <c r="M31" i="3"/>
  <c r="L31" i="3"/>
  <c r="J31" i="3"/>
  <c r="I31" i="3"/>
  <c r="H31" i="3"/>
  <c r="G31" i="3"/>
  <c r="F31" i="3"/>
  <c r="E31" i="3"/>
  <c r="D31" i="3"/>
  <c r="C31" i="3"/>
  <c r="R30" i="3"/>
  <c r="Q30" i="3"/>
  <c r="P30" i="3"/>
  <c r="N30" i="3"/>
  <c r="M30" i="3"/>
  <c r="L30" i="3"/>
  <c r="J30" i="3"/>
  <c r="I30" i="3"/>
  <c r="H30" i="3"/>
  <c r="G30" i="3"/>
  <c r="F30" i="3"/>
  <c r="E30" i="3"/>
  <c r="D30" i="3"/>
  <c r="C30" i="3"/>
  <c r="R29" i="3"/>
  <c r="Q29" i="3"/>
  <c r="P29" i="3"/>
  <c r="M29" i="3"/>
  <c r="I29" i="3"/>
  <c r="H29" i="3"/>
  <c r="G29" i="3"/>
  <c r="F29" i="3"/>
  <c r="E29" i="3"/>
  <c r="D29" i="3"/>
  <c r="R28" i="3"/>
  <c r="Q28" i="3"/>
  <c r="P28" i="3"/>
  <c r="M28" i="3"/>
  <c r="I28" i="3"/>
  <c r="H28" i="3"/>
  <c r="G28" i="3"/>
  <c r="F28" i="3"/>
  <c r="E28" i="3"/>
  <c r="D28" i="3"/>
  <c r="R27" i="3"/>
  <c r="Q27" i="3"/>
  <c r="P27" i="3"/>
  <c r="M27" i="3"/>
  <c r="L27" i="3"/>
  <c r="J27" i="3"/>
  <c r="I27" i="3"/>
  <c r="H27" i="3"/>
  <c r="G27" i="3"/>
  <c r="F27" i="3"/>
  <c r="E27" i="3"/>
  <c r="D27" i="3"/>
  <c r="C27" i="3"/>
  <c r="R26" i="3"/>
  <c r="Q26" i="3"/>
  <c r="P26" i="3"/>
  <c r="M26" i="3"/>
  <c r="L26" i="3"/>
  <c r="K26" i="3"/>
  <c r="J26" i="3"/>
  <c r="I26" i="3"/>
  <c r="H26" i="3"/>
  <c r="G26" i="3"/>
  <c r="F26" i="3"/>
  <c r="E26" i="3"/>
  <c r="D26" i="3"/>
  <c r="C26" i="3"/>
  <c r="R25" i="3"/>
  <c r="Q25" i="3"/>
  <c r="P25" i="3"/>
  <c r="N25" i="3"/>
  <c r="M25" i="3"/>
  <c r="L25" i="3"/>
  <c r="I25" i="3"/>
  <c r="H25" i="3"/>
  <c r="G25" i="3"/>
  <c r="F25" i="3"/>
  <c r="E25" i="3"/>
  <c r="D25" i="3"/>
  <c r="C25" i="3"/>
  <c r="R24" i="3"/>
  <c r="Q24" i="3"/>
  <c r="P24" i="3"/>
  <c r="N24" i="3"/>
  <c r="M24" i="3"/>
  <c r="L24" i="3"/>
  <c r="J24" i="3"/>
  <c r="I24" i="3"/>
  <c r="H24" i="3"/>
  <c r="G24" i="3"/>
  <c r="F24" i="3"/>
  <c r="E24" i="3"/>
  <c r="D24" i="3"/>
  <c r="C24" i="3"/>
  <c r="R23" i="3"/>
  <c r="Q23" i="3"/>
  <c r="P23" i="3"/>
  <c r="M23" i="3"/>
  <c r="I23" i="3"/>
  <c r="H23" i="3"/>
  <c r="G23" i="3"/>
  <c r="F23" i="3"/>
  <c r="E23" i="3"/>
  <c r="D23" i="3"/>
  <c r="C23" i="3"/>
  <c r="R22" i="3"/>
  <c r="Q22" i="3"/>
  <c r="P22" i="3"/>
  <c r="N22" i="3"/>
  <c r="M22" i="3"/>
  <c r="L22" i="3"/>
  <c r="I22" i="3"/>
  <c r="H22" i="3"/>
  <c r="G22" i="3"/>
  <c r="F22" i="3"/>
  <c r="E22" i="3"/>
  <c r="D22" i="3"/>
  <c r="C22" i="3"/>
  <c r="R21" i="3"/>
  <c r="Q21" i="3"/>
  <c r="P21" i="3"/>
  <c r="N21" i="3"/>
  <c r="M21" i="3"/>
  <c r="L21" i="3"/>
  <c r="J21" i="3"/>
  <c r="I21" i="3"/>
  <c r="H21" i="3"/>
  <c r="G21" i="3"/>
  <c r="F21" i="3"/>
  <c r="E21" i="3"/>
  <c r="D21" i="3"/>
  <c r="C21" i="3"/>
  <c r="R20" i="3"/>
  <c r="Q20" i="3"/>
  <c r="P20" i="3"/>
  <c r="M20" i="3"/>
  <c r="J20" i="3"/>
  <c r="I20" i="3"/>
  <c r="H20" i="3"/>
  <c r="G20" i="3"/>
  <c r="F20" i="3"/>
  <c r="E20" i="3"/>
  <c r="D20" i="3"/>
  <c r="C20" i="3"/>
  <c r="R19" i="3"/>
  <c r="Q19" i="3"/>
  <c r="P19" i="3"/>
  <c r="M19" i="3"/>
  <c r="L19" i="3"/>
  <c r="I19" i="3"/>
  <c r="H19" i="3"/>
  <c r="G19" i="3"/>
  <c r="F19" i="3"/>
  <c r="E19" i="3"/>
  <c r="D19" i="3"/>
  <c r="C19" i="3"/>
  <c r="R18" i="3"/>
  <c r="Q18" i="3"/>
  <c r="P18" i="3"/>
  <c r="M18" i="3"/>
  <c r="L18" i="3"/>
  <c r="I18" i="3"/>
  <c r="H18" i="3"/>
  <c r="G18" i="3"/>
  <c r="F18" i="3"/>
  <c r="E18" i="3"/>
  <c r="D18" i="3"/>
  <c r="C18" i="3"/>
  <c r="R17" i="3"/>
  <c r="Q17" i="3"/>
  <c r="P17" i="3"/>
  <c r="M17" i="3"/>
  <c r="L17" i="3"/>
  <c r="J17" i="3"/>
  <c r="I17" i="3"/>
  <c r="H17" i="3"/>
  <c r="G17" i="3"/>
  <c r="F17" i="3"/>
  <c r="E17" i="3"/>
  <c r="D17" i="3"/>
  <c r="C17" i="3"/>
  <c r="R16" i="3"/>
  <c r="Q16" i="3"/>
  <c r="P16" i="3"/>
  <c r="M16" i="3"/>
  <c r="L16" i="3"/>
  <c r="I16" i="3"/>
  <c r="H16" i="3"/>
  <c r="G16" i="3"/>
  <c r="F16" i="3"/>
  <c r="E16" i="3"/>
  <c r="D16" i="3"/>
  <c r="C16" i="3"/>
  <c r="R15" i="3"/>
  <c r="Q15" i="3"/>
  <c r="P15" i="3"/>
  <c r="M15" i="3"/>
  <c r="I15" i="3"/>
  <c r="H15" i="3"/>
  <c r="G15" i="3"/>
  <c r="F15" i="3"/>
  <c r="E15" i="3"/>
  <c r="D15" i="3"/>
  <c r="C15" i="3"/>
  <c r="R14" i="3"/>
  <c r="Q14" i="3"/>
  <c r="P14" i="3"/>
  <c r="M14" i="3"/>
  <c r="L14" i="3"/>
  <c r="I14" i="3"/>
  <c r="H14" i="3"/>
  <c r="G14" i="3"/>
  <c r="F14" i="3"/>
  <c r="E14" i="3"/>
  <c r="D14" i="3"/>
  <c r="C14" i="3"/>
  <c r="R13" i="3"/>
  <c r="Q13" i="3"/>
  <c r="P13" i="3"/>
  <c r="N13" i="3"/>
  <c r="M13" i="3"/>
  <c r="L13" i="3"/>
  <c r="K13" i="3"/>
  <c r="J13" i="3"/>
  <c r="I13" i="3"/>
  <c r="H13" i="3"/>
  <c r="G13" i="3"/>
  <c r="F13" i="3"/>
  <c r="E13" i="3"/>
  <c r="D13" i="3"/>
  <c r="C13" i="3"/>
  <c r="R12" i="3"/>
  <c r="Q12" i="3"/>
  <c r="P12" i="3"/>
  <c r="M12" i="3"/>
  <c r="L12" i="3"/>
  <c r="J12" i="3"/>
  <c r="I12" i="3"/>
  <c r="H12" i="3"/>
  <c r="G12" i="3"/>
  <c r="F12" i="3"/>
  <c r="E12" i="3"/>
  <c r="D12" i="3"/>
  <c r="C12" i="3"/>
  <c r="R11" i="3"/>
  <c r="Q11" i="3"/>
  <c r="P11" i="3"/>
  <c r="M11" i="3"/>
  <c r="L11" i="3"/>
  <c r="K11" i="3"/>
  <c r="I11" i="3"/>
  <c r="H11" i="3"/>
  <c r="G11" i="3"/>
  <c r="F11" i="3"/>
  <c r="E11" i="3"/>
  <c r="D11" i="3"/>
  <c r="C11" i="3"/>
  <c r="R10" i="3"/>
  <c r="Q10" i="3"/>
  <c r="P10" i="3"/>
  <c r="M10" i="3"/>
  <c r="L10" i="3"/>
  <c r="J10" i="3"/>
  <c r="I10" i="3"/>
  <c r="H10" i="3"/>
  <c r="G10" i="3"/>
  <c r="F10" i="3"/>
  <c r="E10" i="3"/>
  <c r="D10" i="3"/>
  <c r="C10" i="3"/>
  <c r="R9" i="3"/>
  <c r="Q9" i="3"/>
  <c r="P9" i="3"/>
  <c r="M9" i="3"/>
  <c r="L9" i="3"/>
  <c r="I9" i="3"/>
  <c r="H9" i="3"/>
  <c r="G9" i="3"/>
  <c r="F9" i="3"/>
  <c r="E9" i="3"/>
  <c r="D9" i="3"/>
  <c r="C9" i="3"/>
  <c r="R8" i="3"/>
  <c r="Q8" i="3"/>
  <c r="P8" i="3"/>
  <c r="N8" i="3"/>
  <c r="M8" i="3"/>
  <c r="L8" i="3"/>
  <c r="I8" i="3"/>
  <c r="H8" i="3"/>
  <c r="G8" i="3"/>
  <c r="F8" i="3"/>
  <c r="E8" i="3"/>
  <c r="D8" i="3"/>
  <c r="C8" i="3"/>
  <c r="R7" i="3"/>
  <c r="Q7" i="3"/>
  <c r="P7" i="3"/>
  <c r="N7" i="3"/>
  <c r="M7" i="3"/>
  <c r="L7" i="3"/>
  <c r="I7" i="3"/>
  <c r="H7" i="3"/>
  <c r="G7" i="3"/>
  <c r="F7" i="3"/>
  <c r="E7" i="3"/>
  <c r="D7" i="3"/>
  <c r="C7" i="3"/>
  <c r="R6" i="3"/>
  <c r="Q6" i="3"/>
  <c r="P6" i="3"/>
  <c r="N6" i="3"/>
  <c r="M6" i="3"/>
  <c r="L6" i="3"/>
  <c r="K6" i="3"/>
  <c r="J6" i="3"/>
  <c r="I6" i="3"/>
  <c r="H6" i="3"/>
  <c r="G6" i="3"/>
  <c r="F6" i="3"/>
  <c r="E6" i="3"/>
  <c r="D6" i="3"/>
  <c r="C6" i="3"/>
  <c r="R5" i="3"/>
  <c r="Q5" i="3"/>
  <c r="P5" i="3"/>
  <c r="N5" i="3"/>
  <c r="M5" i="3"/>
  <c r="L5" i="3"/>
  <c r="J5" i="3"/>
  <c r="I5" i="3"/>
  <c r="H5" i="3"/>
  <c r="G5" i="3"/>
  <c r="F5" i="3"/>
  <c r="E5" i="3"/>
  <c r="D5" i="3"/>
  <c r="C5" i="3"/>
  <c r="R4" i="3"/>
  <c r="Q4" i="3"/>
  <c r="P4" i="3"/>
  <c r="N4" i="3"/>
  <c r="M4" i="3"/>
  <c r="L4" i="3"/>
  <c r="J4" i="3"/>
  <c r="I4" i="3"/>
  <c r="H4" i="3"/>
  <c r="G4" i="3"/>
  <c r="F4" i="3"/>
  <c r="E4" i="3"/>
  <c r="D4" i="3"/>
  <c r="C4" i="3"/>
  <c r="R3" i="3"/>
  <c r="Q3" i="3"/>
  <c r="P3" i="3"/>
  <c r="N3" i="3"/>
  <c r="M3" i="3"/>
  <c r="L3" i="3"/>
  <c r="K3" i="3"/>
  <c r="J3" i="3"/>
  <c r="I3" i="3"/>
  <c r="H3" i="3"/>
  <c r="G3" i="3"/>
  <c r="O11" i="1"/>
  <c r="N11" i="1"/>
  <c r="I11" i="1"/>
  <c r="J11" i="1" s="1"/>
  <c r="M11" i="1" s="1"/>
  <c r="H11" i="1"/>
  <c r="F11" i="1"/>
  <c r="E11" i="1"/>
  <c r="D11" i="1"/>
  <c r="C11" i="1"/>
  <c r="O10" i="1"/>
  <c r="N10" i="1"/>
  <c r="I10" i="1"/>
  <c r="J10" i="1" s="1"/>
  <c r="M10" i="1" s="1"/>
  <c r="F10" i="1"/>
  <c r="E10" i="1"/>
  <c r="D10" i="1"/>
  <c r="C10" i="1"/>
  <c r="G10" i="1" s="1"/>
  <c r="O9" i="1"/>
  <c r="N9" i="1"/>
  <c r="I9" i="1"/>
  <c r="J9" i="1" s="1"/>
  <c r="M9" i="1" s="1"/>
  <c r="F9" i="1"/>
  <c r="E9" i="1"/>
  <c r="D9" i="1"/>
  <c r="C9" i="1"/>
  <c r="O8" i="1"/>
  <c r="N8" i="1"/>
  <c r="I8" i="1"/>
  <c r="J8" i="1" s="1"/>
  <c r="F8" i="1"/>
  <c r="E8" i="1"/>
  <c r="D8" i="1"/>
  <c r="C8" i="1"/>
  <c r="K8" i="1" s="1"/>
  <c r="O7" i="1"/>
  <c r="N7" i="1"/>
  <c r="I7" i="1"/>
  <c r="J7" i="1" s="1"/>
  <c r="F7" i="1"/>
  <c r="E7" i="1"/>
  <c r="D7" i="1"/>
  <c r="C7" i="1"/>
  <c r="K7" i="1" s="1"/>
  <c r="M7" i="1" s="1"/>
  <c r="O6" i="1"/>
  <c r="N6" i="1"/>
  <c r="I6" i="1"/>
  <c r="F6" i="1"/>
  <c r="E6" i="1"/>
  <c r="D6" i="1"/>
  <c r="C6" i="1"/>
  <c r="K6" i="1" s="1"/>
  <c r="O5" i="1"/>
  <c r="N5" i="1"/>
  <c r="I5" i="1"/>
  <c r="J5" i="1" s="1"/>
  <c r="F5" i="1"/>
  <c r="E5" i="1"/>
  <c r="D5" i="1"/>
  <c r="C5" i="1"/>
  <c r="K5" i="1" s="1"/>
  <c r="O4" i="1"/>
  <c r="N4" i="1"/>
  <c r="I4" i="1"/>
  <c r="J4" i="1" s="1"/>
  <c r="F4" i="1"/>
  <c r="E4" i="1"/>
  <c r="D4" i="1"/>
  <c r="C4" i="1"/>
  <c r="K4" i="1" s="1"/>
  <c r="O3" i="1"/>
  <c r="N3" i="1"/>
  <c r="K3" i="1"/>
  <c r="I3" i="1"/>
  <c r="H3" i="1"/>
  <c r="G3" i="1"/>
  <c r="J3" i="1" l="1"/>
  <c r="G5" i="1"/>
  <c r="M8" i="1"/>
  <c r="M4" i="1"/>
  <c r="M3" i="1"/>
  <c r="M5" i="1"/>
  <c r="G4" i="1"/>
  <c r="G6" i="1"/>
  <c r="H6" i="1"/>
  <c r="J6" i="1" s="1"/>
  <c r="M6" i="1" s="1"/>
</calcChain>
</file>

<file path=xl/sharedStrings.xml><?xml version="1.0" encoding="utf-8"?>
<sst xmlns="http://schemas.openxmlformats.org/spreadsheetml/2006/main" count="1703" uniqueCount="567">
  <si>
    <r>
      <rPr>
        <b/>
        <sz val="16"/>
        <color theme="1"/>
        <rFont val="等线"/>
        <family val="3"/>
        <charset val="134"/>
        <scheme val="minor"/>
      </rPr>
      <t>W11周生产计划</t>
    </r>
    <r>
      <rPr>
        <b/>
        <sz val="12"/>
        <color rgb="FFFF0000"/>
        <rFont val="等线"/>
        <family val="3"/>
        <charset val="134"/>
        <scheme val="minor"/>
      </rPr>
      <t>2.27下发</t>
    </r>
  </si>
  <si>
    <t>工厂</t>
  </si>
  <si>
    <t>物料号</t>
  </si>
  <si>
    <t>1088编码</t>
  </si>
  <si>
    <t>配额</t>
  </si>
  <si>
    <t>物料描述</t>
  </si>
  <si>
    <t>供应商</t>
  </si>
  <si>
    <t>不良</t>
  </si>
  <si>
    <t>代理</t>
  </si>
  <si>
    <t>合计</t>
  </si>
  <si>
    <t>在制</t>
  </si>
  <si>
    <t>备注</t>
  </si>
  <si>
    <t>周缺口</t>
  </si>
  <si>
    <t>周合计</t>
  </si>
  <si>
    <t>2026.02.26</t>
  </si>
  <si>
    <t>2026.02.28</t>
  </si>
  <si>
    <t>2026.03.01</t>
  </si>
  <si>
    <t>2026.03.02</t>
  </si>
  <si>
    <t>2026.03.03</t>
  </si>
  <si>
    <t>2026.03.04</t>
  </si>
  <si>
    <t>2026.03.05</t>
  </si>
  <si>
    <t>2026.03.06</t>
  </si>
  <si>
    <t>2026.03.08</t>
  </si>
  <si>
    <t>2026.03.09</t>
  </si>
  <si>
    <t>2026.03.10</t>
  </si>
  <si>
    <t>2026.03.11</t>
  </si>
  <si>
    <t>T+2前一天</t>
  </si>
  <si>
    <t>一厂</t>
  </si>
  <si>
    <t>0011800387D</t>
  </si>
  <si>
    <t>待排产2W，2/10，2/11入库</t>
  </si>
  <si>
    <t>0011800537C</t>
  </si>
  <si>
    <t>待排产1.5W，9/10/11入5K</t>
  </si>
  <si>
    <t>0011800630J</t>
  </si>
  <si>
    <t>0011800630K</t>
  </si>
  <si>
    <t>0011800630L</t>
  </si>
  <si>
    <t>在制3/1入库</t>
  </si>
  <si>
    <t>0011800630M</t>
  </si>
  <si>
    <t>待排产4500，3/11入库</t>
  </si>
  <si>
    <t>二厂</t>
  </si>
  <si>
    <t>0011800630P</t>
  </si>
  <si>
    <t>0011800630S</t>
  </si>
  <si>
    <t>0011800646A</t>
  </si>
  <si>
    <t>0011800646D</t>
  </si>
  <si>
    <t>李灿库存758</t>
  </si>
  <si>
    <t>0011800646L</t>
  </si>
  <si>
    <t>李灿库存1704</t>
  </si>
  <si>
    <t>0011800697AC</t>
  </si>
  <si>
    <t>0011800722GCH</t>
  </si>
  <si>
    <t>按配额交付满足</t>
  </si>
  <si>
    <t>0011800722GCHA</t>
  </si>
  <si>
    <t>0011800807</t>
  </si>
  <si>
    <t>0011800977AA</t>
  </si>
  <si>
    <t>李灿全交</t>
  </si>
  <si>
    <t>0011800977K</t>
  </si>
  <si>
    <t>0011800977P</t>
  </si>
  <si>
    <t>0011800977T</t>
  </si>
  <si>
    <t>0011800980E</t>
  </si>
  <si>
    <t>0011800980F</t>
  </si>
  <si>
    <t>0011800980J</t>
  </si>
  <si>
    <t>0011800980K</t>
  </si>
  <si>
    <t>0011801039AM</t>
  </si>
  <si>
    <t>待排产300,3/11入库</t>
  </si>
  <si>
    <t>0011801039AN</t>
  </si>
  <si>
    <t>0011801039AU</t>
  </si>
  <si>
    <t>刘培建交付</t>
  </si>
  <si>
    <t>0011801039AV</t>
  </si>
  <si>
    <t>0011801048AE</t>
  </si>
  <si>
    <t>待排产2K，3/4入库</t>
  </si>
  <si>
    <t>0011801048AF</t>
  </si>
  <si>
    <t>0011801048AG</t>
  </si>
  <si>
    <t>中家全交</t>
  </si>
  <si>
    <t>0011801048AH</t>
  </si>
  <si>
    <t>0011801048AM</t>
  </si>
  <si>
    <t>0011801048AN</t>
  </si>
  <si>
    <t>0011801123H</t>
  </si>
  <si>
    <t>待排产6K，3/3入库2K,3/9入库4K</t>
  </si>
  <si>
    <t>0011801123J</t>
  </si>
  <si>
    <t>0011801172BD</t>
  </si>
  <si>
    <t>0011801172CH</t>
  </si>
  <si>
    <t>0011801172DG</t>
  </si>
  <si>
    <t>在制3/2入库</t>
  </si>
  <si>
    <t>0011801172DL</t>
  </si>
  <si>
    <t>待排产1000,3/6入库</t>
  </si>
  <si>
    <t>0011801172DM</t>
  </si>
  <si>
    <t>0011801172DN</t>
  </si>
  <si>
    <t>尚研全交</t>
  </si>
  <si>
    <t>0011801172DU</t>
  </si>
  <si>
    <t>待排产</t>
  </si>
  <si>
    <t>0011801256L</t>
  </si>
  <si>
    <t>0011801256M</t>
  </si>
  <si>
    <t>0011801256R</t>
  </si>
  <si>
    <t>0011801303</t>
  </si>
  <si>
    <t>待排产138,3/3入库</t>
  </si>
  <si>
    <t>0011801327</t>
  </si>
  <si>
    <t>0011801330C</t>
  </si>
  <si>
    <t>0011801330G</t>
  </si>
  <si>
    <t>0011801330H</t>
  </si>
  <si>
    <t>0011801372A</t>
  </si>
  <si>
    <t>在制28号入库</t>
  </si>
  <si>
    <t>0011801372B</t>
  </si>
  <si>
    <t>待排产300,3/1入库</t>
  </si>
  <si>
    <t>0011801372C</t>
  </si>
  <si>
    <t>0011801372G</t>
  </si>
  <si>
    <t>0011801424AE</t>
  </si>
  <si>
    <t>0011801424AF</t>
  </si>
  <si>
    <t>0011801424AT</t>
  </si>
  <si>
    <t>待排产300（质量备件排最快）+1500（11号入库）</t>
  </si>
  <si>
    <t>0011801424AV</t>
  </si>
  <si>
    <t>0011801424AY</t>
  </si>
  <si>
    <t>韩宁全排</t>
  </si>
  <si>
    <t>0011801424B</t>
  </si>
  <si>
    <t>待排产3500,1号入库，4500--3/4入库</t>
  </si>
  <si>
    <t>0011801424BP</t>
  </si>
  <si>
    <t>待排产1000,3/2入库</t>
  </si>
  <si>
    <t>0011801424C</t>
  </si>
  <si>
    <t>0011801424K</t>
  </si>
  <si>
    <t>0011801425AA</t>
  </si>
  <si>
    <t>0011801425X</t>
  </si>
  <si>
    <t>在制2/27入库</t>
  </si>
  <si>
    <t>0011801482</t>
  </si>
  <si>
    <t>0011801482A</t>
  </si>
  <si>
    <t>智能有库存2W</t>
  </si>
  <si>
    <t>0011801490BS</t>
  </si>
  <si>
    <t>0011801490BT</t>
  </si>
  <si>
    <t>0011801516</t>
  </si>
  <si>
    <t>待排产200,3/11入库</t>
  </si>
  <si>
    <t>0011801516D</t>
  </si>
  <si>
    <t>待排产300,3/6入库</t>
  </si>
  <si>
    <t>0011801516E</t>
  </si>
  <si>
    <t>待排产200,3/2入库</t>
  </si>
  <si>
    <t>0011801593</t>
  </si>
  <si>
    <t>待排产200,3/8入库</t>
  </si>
  <si>
    <t>0011801593A</t>
  </si>
  <si>
    <t>0011801593C</t>
  </si>
  <si>
    <t>李灿库存84全交</t>
  </si>
  <si>
    <t>0011801593D</t>
  </si>
  <si>
    <t>李灿库存466</t>
  </si>
  <si>
    <t>0011801652</t>
  </si>
  <si>
    <t>李灿库存2500，可全交</t>
  </si>
  <si>
    <t>0011801652A</t>
  </si>
  <si>
    <t>李灿库存243</t>
  </si>
  <si>
    <t>0011801656</t>
  </si>
  <si>
    <t>0011801656A</t>
  </si>
  <si>
    <t>韩宁全排，428可11号入库</t>
  </si>
  <si>
    <t>0011801657</t>
  </si>
  <si>
    <t>0011801657A</t>
  </si>
  <si>
    <t>0011801659</t>
  </si>
  <si>
    <t>待排产2000,3/5入库1K，3/11入库1K</t>
  </si>
  <si>
    <t>0011801675A</t>
  </si>
  <si>
    <t>待排产1300,3/11入库</t>
  </si>
  <si>
    <t>0011801675AB</t>
  </si>
  <si>
    <t>0011801675AE</t>
  </si>
  <si>
    <t>待排产1000,3/11入库</t>
  </si>
  <si>
    <t>0011801675B</t>
  </si>
  <si>
    <t>待排产2000,3/8入库</t>
  </si>
  <si>
    <t>0011801675C</t>
  </si>
  <si>
    <t>待排产400,3/2入库</t>
  </si>
  <si>
    <t>0011801675H</t>
  </si>
  <si>
    <t>待排产1500,3/3入库</t>
  </si>
  <si>
    <t>0011801675J</t>
  </si>
  <si>
    <t>李灿库存5000</t>
  </si>
  <si>
    <t>0011801675K</t>
  </si>
  <si>
    <t>待排产4500,3/6入库2500,3/11入库2000</t>
  </si>
  <si>
    <t>0011801685</t>
  </si>
  <si>
    <t>0011801826</t>
  </si>
  <si>
    <t>在制3/8入库</t>
  </si>
  <si>
    <t>0011801843AN</t>
  </si>
  <si>
    <t>待排产700,3/11入库</t>
  </si>
  <si>
    <t>0011801843X</t>
  </si>
  <si>
    <t>在制2/28入库</t>
  </si>
  <si>
    <t>0011801843Y</t>
  </si>
  <si>
    <t>0011801850</t>
  </si>
  <si>
    <t>和而泰全交</t>
  </si>
  <si>
    <t>0011801850AA</t>
  </si>
  <si>
    <t>待排产200,3/1入库</t>
  </si>
  <si>
    <t>0011801850B</t>
  </si>
  <si>
    <t>待排产1000,3/1入库</t>
  </si>
  <si>
    <t>0011801890</t>
  </si>
  <si>
    <t>0011801890C</t>
  </si>
  <si>
    <t>待排产2300,3/11入库</t>
  </si>
  <si>
    <t>0011801907</t>
  </si>
  <si>
    <t>小批200,3/10入库，工装程序已有</t>
  </si>
  <si>
    <t>0011801922</t>
  </si>
  <si>
    <t>0011801922H</t>
  </si>
  <si>
    <t>待排产2700,3/4入库</t>
  </si>
  <si>
    <t>0011801922J</t>
  </si>
  <si>
    <t>待排产500,3/3入库</t>
  </si>
  <si>
    <t>0011801977E</t>
  </si>
  <si>
    <t>待排产500,3/9入库</t>
  </si>
  <si>
    <t>0011801977F</t>
  </si>
  <si>
    <t>0011801977G</t>
  </si>
  <si>
    <t>李灿排产</t>
  </si>
  <si>
    <t>0011801977H</t>
  </si>
  <si>
    <t>待排产200,3/6入库</t>
  </si>
  <si>
    <t>0011802020A</t>
  </si>
  <si>
    <t>待排产500,3/4入库</t>
  </si>
  <si>
    <t>0011802020B</t>
  </si>
  <si>
    <t>0010400649E</t>
  </si>
  <si>
    <t>0010400649F</t>
  </si>
  <si>
    <t>0010400649J</t>
  </si>
  <si>
    <t>0010401715B</t>
  </si>
  <si>
    <t>0010401715DG</t>
  </si>
  <si>
    <t>0010401715EB</t>
  </si>
  <si>
    <t>0010401715GT</t>
  </si>
  <si>
    <t>0010401715HL</t>
  </si>
  <si>
    <t>0010401715HQ</t>
  </si>
  <si>
    <t>0010401715HR</t>
  </si>
  <si>
    <t>0010401715HU</t>
  </si>
  <si>
    <t>0010401715HW</t>
  </si>
  <si>
    <t>0010401715JE</t>
  </si>
  <si>
    <t>0010401715JF</t>
  </si>
  <si>
    <t>0010401715JL</t>
  </si>
  <si>
    <t>0010401715KG</t>
  </si>
  <si>
    <t>0010401715P</t>
  </si>
  <si>
    <t>0010401858</t>
  </si>
  <si>
    <t>0010401858K</t>
  </si>
  <si>
    <t>0010401858L</t>
  </si>
  <si>
    <t>0010402208</t>
  </si>
  <si>
    <t>0010402208B</t>
  </si>
  <si>
    <t>0010402208D</t>
  </si>
  <si>
    <t>0010402208E</t>
  </si>
  <si>
    <t>0010402287</t>
  </si>
  <si>
    <t>0010402886BG</t>
  </si>
  <si>
    <t>0010403146</t>
  </si>
  <si>
    <t>0010403146E</t>
  </si>
  <si>
    <t>0010403146F</t>
  </si>
  <si>
    <t>0010403816</t>
  </si>
  <si>
    <t>0010403863</t>
  </si>
  <si>
    <t>0010403863H</t>
  </si>
  <si>
    <t>0010405091</t>
  </si>
  <si>
    <t>0010405967F</t>
  </si>
  <si>
    <t>0010406178A</t>
  </si>
  <si>
    <t>0010406178AH</t>
  </si>
  <si>
    <t>0010406178AK</t>
  </si>
  <si>
    <t>0010406178AP</t>
  </si>
  <si>
    <t>0010406178AT</t>
  </si>
  <si>
    <t>0010406178AW</t>
  </si>
  <si>
    <t>0010406178B</t>
  </si>
  <si>
    <t>0010406178BF</t>
  </si>
  <si>
    <t>0010406178BM</t>
  </si>
  <si>
    <t>0010406178D</t>
  </si>
  <si>
    <t>0010406178U</t>
  </si>
  <si>
    <t>0010406178V</t>
  </si>
  <si>
    <t>0010406178X</t>
  </si>
  <si>
    <t>0010406605D</t>
  </si>
  <si>
    <t>0010406608P</t>
  </si>
  <si>
    <t>0010406608Q</t>
  </si>
  <si>
    <t>0010406608R</t>
  </si>
  <si>
    <t>0010406608W</t>
  </si>
  <si>
    <t>0010406609</t>
  </si>
  <si>
    <t>0010406609A</t>
  </si>
  <si>
    <t>0010406609B</t>
  </si>
  <si>
    <t>0010406609E</t>
  </si>
  <si>
    <t>0010406609M</t>
  </si>
  <si>
    <t>0010406721</t>
  </si>
  <si>
    <t>0010406721A</t>
  </si>
  <si>
    <t>0010406870</t>
  </si>
  <si>
    <t>0010407320</t>
  </si>
  <si>
    <t>0011800376AF</t>
  </si>
  <si>
    <t>0011800376AG</t>
  </si>
  <si>
    <t>0011800387</t>
  </si>
  <si>
    <t>0011800491</t>
  </si>
  <si>
    <t>0011800491D</t>
  </si>
  <si>
    <t>0011800630AB</t>
  </si>
  <si>
    <t>0011800630AC</t>
  </si>
  <si>
    <t>0011800630N</t>
  </si>
  <si>
    <t>0011800682AU</t>
  </si>
  <si>
    <t>0011800682R</t>
  </si>
  <si>
    <t>0011800682S</t>
  </si>
  <si>
    <t>0011800697AB</t>
  </si>
  <si>
    <t>0011800697D</t>
  </si>
  <si>
    <t>0011800697K</t>
  </si>
  <si>
    <t>0011800697N</t>
  </si>
  <si>
    <t>0011800697P</t>
  </si>
  <si>
    <t>0011800697S</t>
  </si>
  <si>
    <t>0011800722A</t>
  </si>
  <si>
    <t>0011800722C</t>
  </si>
  <si>
    <t>0011800828D</t>
  </si>
  <si>
    <t>0011800828E</t>
  </si>
  <si>
    <t>0011800828F</t>
  </si>
  <si>
    <t>0011800832Y</t>
  </si>
  <si>
    <t>0011800977H</t>
  </si>
  <si>
    <t>0011800989</t>
  </si>
  <si>
    <t>0011800989C</t>
  </si>
  <si>
    <t>0011801039</t>
  </si>
  <si>
    <t>0011801039AA</t>
  </si>
  <si>
    <t>0011801039AF</t>
  </si>
  <si>
    <t>0011801039D</t>
  </si>
  <si>
    <t>0011801039E</t>
  </si>
  <si>
    <t>0011801039F</t>
  </si>
  <si>
    <t>0011801039G</t>
  </si>
  <si>
    <t>0011801039V</t>
  </si>
  <si>
    <t>0011801039W</t>
  </si>
  <si>
    <t>0011801039X</t>
  </si>
  <si>
    <t>0011801045</t>
  </si>
  <si>
    <t>0011801045A</t>
  </si>
  <si>
    <t>0011801048B</t>
  </si>
  <si>
    <t>0011801048C</t>
  </si>
  <si>
    <t>0011801048M</t>
  </si>
  <si>
    <t>0011801048N</t>
  </si>
  <si>
    <t>0011801048X</t>
  </si>
  <si>
    <t>0011801048Y</t>
  </si>
  <si>
    <t>0011801118BA</t>
  </si>
  <si>
    <t>0011801118CQ</t>
  </si>
  <si>
    <t>0011801118ZA</t>
  </si>
  <si>
    <t>0011801123A</t>
  </si>
  <si>
    <t>0011801123U</t>
  </si>
  <si>
    <t>0011801172CL</t>
  </si>
  <si>
    <t>0011801172FA</t>
  </si>
  <si>
    <t>0011801172FC</t>
  </si>
  <si>
    <t>0011801184</t>
  </si>
  <si>
    <t>0011801184A</t>
  </si>
  <si>
    <t>0011801185F</t>
  </si>
  <si>
    <t>0011801185H</t>
  </si>
  <si>
    <t>0011801185J</t>
  </si>
  <si>
    <t>0011801185K</t>
  </si>
  <si>
    <t>0011801185L</t>
  </si>
  <si>
    <t>0011801185T</t>
  </si>
  <si>
    <t>0011801330AU</t>
  </si>
  <si>
    <t>0011801330K</t>
  </si>
  <si>
    <t>0011801330M</t>
  </si>
  <si>
    <t>0011801330X</t>
  </si>
  <si>
    <t>0011801372M</t>
  </si>
  <si>
    <t>0011801424AQ</t>
  </si>
  <si>
    <t>0011801427B</t>
  </si>
  <si>
    <t>0011801427E</t>
  </si>
  <si>
    <t>0011801427F</t>
  </si>
  <si>
    <t>0011801490AH</t>
  </si>
  <si>
    <t>0011801490AX</t>
  </si>
  <si>
    <t>0011801490BM</t>
  </si>
  <si>
    <t>0011801490BN</t>
  </si>
  <si>
    <t>0011801490BW</t>
  </si>
  <si>
    <t>0011801490BX</t>
  </si>
  <si>
    <t>0011801490CA</t>
  </si>
  <si>
    <t>0011801490CY</t>
  </si>
  <si>
    <t>0011801490DB</t>
  </si>
  <si>
    <t>领智</t>
  </si>
  <si>
    <t>0011801490M</t>
  </si>
  <si>
    <t>0011801490R</t>
  </si>
  <si>
    <t>0011801675AJ</t>
  </si>
  <si>
    <t>0011801675E</t>
  </si>
  <si>
    <t>0011801675M</t>
  </si>
  <si>
    <t>0011801677</t>
  </si>
  <si>
    <t>0011801677A</t>
  </si>
  <si>
    <t>0011801677F</t>
  </si>
  <si>
    <t>0011801678</t>
  </si>
  <si>
    <t>0011801678A</t>
  </si>
  <si>
    <t>0011801678AB</t>
  </si>
  <si>
    <t>0011801678AG</t>
  </si>
  <si>
    <t>0011801678AH</t>
  </si>
  <si>
    <t>0011801678AJ</t>
  </si>
  <si>
    <t>0011801678B</t>
  </si>
  <si>
    <t>0011801678C</t>
  </si>
  <si>
    <t>0011801678D</t>
  </si>
  <si>
    <t>0011801678E</t>
  </si>
  <si>
    <t>0011801678K</t>
  </si>
  <si>
    <t>0011801678P</t>
  </si>
  <si>
    <t>0011801683A</t>
  </si>
  <si>
    <t>0011801717</t>
  </si>
  <si>
    <t>0011801766U</t>
  </si>
  <si>
    <t>0011801774</t>
  </si>
  <si>
    <t>0011801843AA</t>
  </si>
  <si>
    <t>0011801843H</t>
  </si>
  <si>
    <t>0011801876B</t>
  </si>
  <si>
    <t>0011801876C</t>
  </si>
  <si>
    <t>0011801876D</t>
  </si>
  <si>
    <t>0011801876DA</t>
  </si>
  <si>
    <t>0011801876M</t>
  </si>
  <si>
    <t>0011801876P</t>
  </si>
  <si>
    <t>0011801876Q</t>
  </si>
  <si>
    <t>0011801876T</t>
  </si>
  <si>
    <t>0011801876U</t>
  </si>
  <si>
    <t>0011801876V</t>
  </si>
  <si>
    <t>0011801876X</t>
  </si>
  <si>
    <t>0011801890D</t>
  </si>
  <si>
    <t>0011801922A</t>
  </si>
  <si>
    <t>0011801922C</t>
  </si>
  <si>
    <t>0011801926</t>
  </si>
  <si>
    <t>0011801977</t>
  </si>
  <si>
    <t>0011802004</t>
  </si>
  <si>
    <t>0011802004B</t>
  </si>
  <si>
    <t>0011802004C</t>
  </si>
  <si>
    <t>0011802068</t>
  </si>
  <si>
    <t>001A4000011</t>
  </si>
  <si>
    <t>001A4000098</t>
  </si>
  <si>
    <t>0064000418</t>
  </si>
  <si>
    <t>散件中心</t>
  </si>
  <si>
    <t>0010406608WB</t>
  </si>
  <si>
    <t>001A4000105</t>
  </si>
  <si>
    <t>0010400649</t>
  </si>
  <si>
    <t>0010400649C</t>
  </si>
  <si>
    <t>0010400649X</t>
  </si>
  <si>
    <t>0010401715AY</t>
  </si>
  <si>
    <t>0010401715DU</t>
  </si>
  <si>
    <t>0010401715FU</t>
  </si>
  <si>
    <t>0010401715FV</t>
  </si>
  <si>
    <t>0010401715JG</t>
  </si>
  <si>
    <t>0010401715JM</t>
  </si>
  <si>
    <t>0010401715JN</t>
  </si>
  <si>
    <t>0010401715KD</t>
  </si>
  <si>
    <t>0010401715Y</t>
  </si>
  <si>
    <t>0010401715YD</t>
  </si>
  <si>
    <t>0010401715YM</t>
  </si>
  <si>
    <t>0010401996S</t>
  </si>
  <si>
    <t>0010401996W</t>
  </si>
  <si>
    <t>0010402192</t>
  </si>
  <si>
    <t>0010402208C</t>
  </si>
  <si>
    <t>0010402886AC</t>
  </si>
  <si>
    <t>0010402886BH</t>
  </si>
  <si>
    <t>0010403338</t>
  </si>
  <si>
    <t>0010403766</t>
  </si>
  <si>
    <t>0010403767</t>
  </si>
  <si>
    <t>0010404555J</t>
  </si>
  <si>
    <t>0010404941A</t>
  </si>
  <si>
    <t>0010406178AJ</t>
  </si>
  <si>
    <t>0010406178AV</t>
  </si>
  <si>
    <t>0010406178AX</t>
  </si>
  <si>
    <t>0010406178BD</t>
  </si>
  <si>
    <t>0010406178J</t>
  </si>
  <si>
    <t>0010406178M</t>
  </si>
  <si>
    <t>0010406178P</t>
  </si>
  <si>
    <t>0010406178T</t>
  </si>
  <si>
    <t>0010406178Y</t>
  </si>
  <si>
    <t>0010406178Z</t>
  </si>
  <si>
    <t>0010406605B</t>
  </si>
  <si>
    <t>0010406605DJZ</t>
  </si>
  <si>
    <t>0010406608AH</t>
  </si>
  <si>
    <t>0010406608AK</t>
  </si>
  <si>
    <t>0010406608AP</t>
  </si>
  <si>
    <t>0010406608AX</t>
  </si>
  <si>
    <t>0010406608BX</t>
  </si>
  <si>
    <t>0010406608C</t>
  </si>
  <si>
    <t>0010406608D</t>
  </si>
  <si>
    <t>0010406608Y</t>
  </si>
  <si>
    <t>0010406608Z</t>
  </si>
  <si>
    <t>0010406609AA</t>
  </si>
  <si>
    <t>0010406609D</t>
  </si>
  <si>
    <t>0010406609U</t>
  </si>
  <si>
    <t>0010406609Z</t>
  </si>
  <si>
    <t>0010406875</t>
  </si>
  <si>
    <t>0010406875A</t>
  </si>
  <si>
    <t>0010406932</t>
  </si>
  <si>
    <t>0010450184EB</t>
  </si>
  <si>
    <t>0011800317S</t>
  </si>
  <si>
    <t>0011800328FA</t>
  </si>
  <si>
    <t>0011800328YA</t>
  </si>
  <si>
    <t>0011800371A</t>
  </si>
  <si>
    <t>0011800377V</t>
  </si>
  <si>
    <t>0011800410AK</t>
  </si>
  <si>
    <t>0011800410J</t>
  </si>
  <si>
    <t>0011800498</t>
  </si>
  <si>
    <t>0011800510C</t>
  </si>
  <si>
    <t>0011800537H</t>
  </si>
  <si>
    <t>0011800593</t>
  </si>
  <si>
    <t>0011800594</t>
  </si>
  <si>
    <t>0011800594G</t>
  </si>
  <si>
    <t>0011800653G</t>
  </si>
  <si>
    <t>0011800682AC</t>
  </si>
  <si>
    <t>0011800682AR</t>
  </si>
  <si>
    <t>0011800682H</t>
  </si>
  <si>
    <t>0011800682J</t>
  </si>
  <si>
    <t>0011800682Q</t>
  </si>
  <si>
    <t>0011800682U</t>
  </si>
  <si>
    <t>0011800697AA</t>
  </si>
  <si>
    <t>0011800697H</t>
  </si>
  <si>
    <t>0011800697J</t>
  </si>
  <si>
    <t>0011800697Y</t>
  </si>
  <si>
    <t>0011800697Z</t>
  </si>
  <si>
    <t>0011800722H</t>
  </si>
  <si>
    <t>0011800722J</t>
  </si>
  <si>
    <t>0011800798</t>
  </si>
  <si>
    <t>0011800865M</t>
  </si>
  <si>
    <t>0011800879G</t>
  </si>
  <si>
    <t>0011800923C</t>
  </si>
  <si>
    <t>0011800923D</t>
  </si>
  <si>
    <t>0011800950H</t>
  </si>
  <si>
    <t>0011800967B</t>
  </si>
  <si>
    <t>0011800977W</t>
  </si>
  <si>
    <t>0011800977X</t>
  </si>
  <si>
    <t>0011800980M</t>
  </si>
  <si>
    <t>0011800980P</t>
  </si>
  <si>
    <t>0011801008</t>
  </si>
  <si>
    <t>0011801039AB</t>
  </si>
  <si>
    <t>0011801039AC</t>
  </si>
  <si>
    <t>0011801039AD</t>
  </si>
  <si>
    <t>0011801039AJ</t>
  </si>
  <si>
    <t>0011801039B</t>
  </si>
  <si>
    <t>0011801039H</t>
  </si>
  <si>
    <t>0011801039J</t>
  </si>
  <si>
    <t>0011801039Y</t>
  </si>
  <si>
    <t>0011801039Z</t>
  </si>
  <si>
    <t>0011801048</t>
  </si>
  <si>
    <t>0011801048A</t>
  </si>
  <si>
    <t>0011801048AJ</t>
  </si>
  <si>
    <t>0011801048AK</t>
  </si>
  <si>
    <t>0011801048J</t>
  </si>
  <si>
    <t>0011801048K</t>
  </si>
  <si>
    <t>0011801048R</t>
  </si>
  <si>
    <t>0011801048V</t>
  </si>
  <si>
    <t>0011801048W</t>
  </si>
  <si>
    <t>0011801118AD</t>
  </si>
  <si>
    <t>0011801118BF</t>
  </si>
  <si>
    <t>0011801118CL</t>
  </si>
  <si>
    <t>0011801118CR</t>
  </si>
  <si>
    <t>0011801118Z</t>
  </si>
  <si>
    <t>0011801123</t>
  </si>
  <si>
    <t>0011801123B</t>
  </si>
  <si>
    <t>0011801123D</t>
  </si>
  <si>
    <t>0011801123E</t>
  </si>
  <si>
    <t>0011801172AH</t>
  </si>
  <si>
    <t>0011801172BH</t>
  </si>
  <si>
    <t>0011801172BY</t>
  </si>
  <si>
    <t>0011801172CP</t>
  </si>
  <si>
    <t>0011801172DA</t>
  </si>
  <si>
    <t>0011801172DF</t>
  </si>
  <si>
    <t>0011801172DW</t>
  </si>
  <si>
    <t>0011801330AC</t>
  </si>
  <si>
    <t>0011801330L</t>
  </si>
  <si>
    <t>0011801424AS</t>
  </si>
  <si>
    <t>0011801424BQ</t>
  </si>
  <si>
    <t>0011801425AF</t>
  </si>
  <si>
    <t>0011801427G</t>
  </si>
  <si>
    <t>0011801490AG</t>
  </si>
  <si>
    <t>0011801490CF</t>
  </si>
  <si>
    <t>0011801490DA</t>
  </si>
  <si>
    <t>0011801609S</t>
  </si>
  <si>
    <t>0011801627A</t>
  </si>
  <si>
    <t>0011801675AH</t>
  </si>
  <si>
    <t>0011801675AN</t>
  </si>
  <si>
    <t>0011801675D</t>
  </si>
  <si>
    <t>0011801676</t>
  </si>
  <si>
    <t>0011801676A</t>
  </si>
  <si>
    <t>0011801676B</t>
  </si>
  <si>
    <t>0011801678AW</t>
  </si>
  <si>
    <t>0011801678L</t>
  </si>
  <si>
    <t>0011801717B</t>
  </si>
  <si>
    <t>0011801727</t>
  </si>
  <si>
    <t>0011801766A</t>
  </si>
  <si>
    <t>0011801766D</t>
  </si>
  <si>
    <t>0011801766T</t>
  </si>
  <si>
    <t>0011801766X</t>
  </si>
  <si>
    <t>0011801808A</t>
  </si>
  <si>
    <t>0011801843AJ</t>
  </si>
  <si>
    <t>0011801843AK</t>
  </si>
  <si>
    <t>0011801843AQ</t>
  </si>
  <si>
    <t>0011801843BB</t>
  </si>
  <si>
    <t>领智/尚研</t>
  </si>
  <si>
    <t>0011801876</t>
  </si>
  <si>
    <t>0011801876AH</t>
  </si>
  <si>
    <t>0011801876AJ</t>
  </si>
  <si>
    <t>0011801876AK</t>
  </si>
  <si>
    <t>0011801876AL</t>
  </si>
  <si>
    <t>0011801876AM</t>
  </si>
  <si>
    <t>0011801876N</t>
  </si>
  <si>
    <t>0011801876Z</t>
  </si>
  <si>
    <t>0011801888A</t>
  </si>
  <si>
    <t>0011801888B</t>
  </si>
  <si>
    <t>0011801945</t>
  </si>
  <si>
    <t>0011802004A</t>
  </si>
  <si>
    <t>0011802020</t>
  </si>
  <si>
    <t>0011802068A</t>
  </si>
  <si>
    <t>领智/康美特</t>
  </si>
  <si>
    <t>0011802120U</t>
  </si>
  <si>
    <t>001A4000082</t>
  </si>
  <si>
    <t>001A4000107</t>
  </si>
  <si>
    <t>001A4000110</t>
  </si>
  <si>
    <t>001A4000158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</si>
</sst>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b/>
      <sz val="16"/>
      <color theme="1"/>
      <name val="等线"/>
      <family val="3"/>
      <charset val="134"/>
      <scheme val="minor"/>
    </font>
    <font>
      <b/>
      <sz val="12"/>
      <color rgb="FFFF0000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2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0" xfId="0" applyAlignment="1">
      <alignment vertical="top"/>
    </xf>
    <xf numFmtId="0" fontId="0" fillId="0" borderId="2" xfId="0" applyBorder="1" applyAlignment="1">
      <alignment horizontal="center" vertical="top"/>
    </xf>
    <xf numFmtId="0" fontId="0" fillId="3" borderId="2" xfId="0" applyFill="1" applyBorder="1" applyAlignment="1">
      <alignment horizontal="center" vertical="top"/>
    </xf>
    <xf numFmtId="0" fontId="0" fillId="0" borderId="2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</cellXfs>
  <cellStyles count="1">
    <cellStyle name="常规" xfId="0" builtinId="0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-27&#24211;&#23384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0024854/AppData/Roaming/sirius-desktop/download/ruru.xiao@szhittech.com/regular/1/AMgA4ADyKAEouYH-egAthKrJ/2026&#33014;&#24030;&#21644;&#32780;&#27888;&#24211;&#23384;&#3492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xwechat_files\wxid_1gz9gow491jh22_2aa2\msg\file\2026-02\&#24050;&#19979;&#36798;&#22312;&#21046;2.27--10.5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&#39033;&#30446;&#32534;&#30721;-&#23545;&#24212;&#30340;1088&#32534;&#30721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0024854/Desktop/&#37319;&#36141;&#37197;&#39069;&#21327;&#35758;%20(1-29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37197;&#39069;0227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esktop/&#12304;&#30005;&#22120;&#20214;&#12305;&#20379;&#24212;&#21830;&#25968;&#25454;%20(version%201)((Autorecovered-312282500600318000))%20(version%201)%20(version%201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&#21806;&#20215;2-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Data (2)"/>
      <sheetName val="Sheet1"/>
    </sheetNames>
    <sheetDataSet>
      <sheetData sheetId="0">
        <row r="1">
          <cell r="A1" t="str">
            <v>物料号</v>
          </cell>
          <cell r="B1" t="str">
            <v>物料名称</v>
          </cell>
          <cell r="C1" t="str">
            <v>描述</v>
          </cell>
          <cell r="D1" t="str">
            <v>工厂</v>
          </cell>
          <cell r="E1" t="str">
            <v>库存地点</v>
          </cell>
          <cell r="F1" t="str">
            <v>库存储位</v>
          </cell>
          <cell r="G1" t="str">
            <v>单位</v>
          </cell>
          <cell r="H1" t="str">
            <v>批次</v>
          </cell>
          <cell r="I1" t="str">
            <v>生产日期</v>
          </cell>
          <cell r="J1" t="str">
            <v>有效日期</v>
          </cell>
          <cell r="K1" t="str">
            <v>非限制库存</v>
          </cell>
        </row>
        <row r="2">
          <cell r="A2">
            <v>10880012796</v>
          </cell>
          <cell r="B2" t="str">
            <v>空调933S变频电控板</v>
          </cell>
          <cell r="C2" t="str">
            <v>693-C20018B-PC 0011800933S</v>
          </cell>
          <cell r="D2">
            <v>1900</v>
          </cell>
          <cell r="E2">
            <v>2005</v>
          </cell>
          <cell r="F2" t="str">
            <v/>
          </cell>
          <cell r="G2" t="str">
            <v>PCS</v>
          </cell>
          <cell r="H2" t="str">
            <v/>
          </cell>
          <cell r="I2" t="str">
            <v/>
          </cell>
          <cell r="J2" t="str">
            <v/>
          </cell>
          <cell r="K2">
            <v>1</v>
          </cell>
        </row>
        <row r="3">
          <cell r="A3">
            <v>10880012825</v>
          </cell>
          <cell r="B3" t="str">
            <v>空调977B室内电脑板</v>
          </cell>
          <cell r="C3" t="str">
            <v>693-C20015A 0011800977B</v>
          </cell>
          <cell r="D3">
            <v>1900</v>
          </cell>
          <cell r="E3">
            <v>2005</v>
          </cell>
          <cell r="F3" t="str">
            <v/>
          </cell>
          <cell r="G3" t="str">
            <v>PCS</v>
          </cell>
          <cell r="H3" t="str">
            <v/>
          </cell>
          <cell r="I3" t="str">
            <v/>
          </cell>
          <cell r="J3" t="str">
            <v/>
          </cell>
          <cell r="K3">
            <v>2</v>
          </cell>
        </row>
        <row r="4">
          <cell r="A4">
            <v>10880013146</v>
          </cell>
          <cell r="B4" t="str">
            <v>空调827Y变频电控板</v>
          </cell>
          <cell r="C4" t="str">
            <v>693-C20031A-PC 0011800827Y</v>
          </cell>
          <cell r="D4">
            <v>1900</v>
          </cell>
          <cell r="E4">
            <v>2005</v>
          </cell>
          <cell r="F4" t="str">
            <v/>
          </cell>
          <cell r="G4" t="str">
            <v>PCS</v>
          </cell>
          <cell r="H4" t="str">
            <v/>
          </cell>
          <cell r="I4" t="str">
            <v/>
          </cell>
          <cell r="J4" t="str">
            <v/>
          </cell>
          <cell r="K4">
            <v>3</v>
          </cell>
        </row>
        <row r="5">
          <cell r="A5">
            <v>10880016525</v>
          </cell>
          <cell r="B5" t="str">
            <v>净水云蹲600G控制板</v>
          </cell>
          <cell r="C5" t="str">
            <v>693-B2168A-C 0190400113F</v>
          </cell>
          <cell r="D5">
            <v>1900</v>
          </cell>
          <cell r="E5">
            <v>2005</v>
          </cell>
          <cell r="F5" t="str">
            <v/>
          </cell>
          <cell r="G5" t="str">
            <v>PCS</v>
          </cell>
          <cell r="H5" t="str">
            <v/>
          </cell>
          <cell r="I5" t="str">
            <v/>
          </cell>
          <cell r="J5" t="str">
            <v/>
          </cell>
          <cell r="K5">
            <v>1</v>
          </cell>
        </row>
        <row r="6">
          <cell r="A6">
            <v>10880017516</v>
          </cell>
          <cell r="B6" t="str">
            <v>空调室内电控板-CEM-1</v>
          </cell>
          <cell r="C6" t="str">
            <v>693-A2179A-PC 0011800630K</v>
          </cell>
          <cell r="D6">
            <v>1900</v>
          </cell>
          <cell r="E6">
            <v>2005</v>
          </cell>
          <cell r="F6" t="str">
            <v/>
          </cell>
          <cell r="G6" t="str">
            <v>PCS</v>
          </cell>
          <cell r="H6" t="str">
            <v/>
          </cell>
          <cell r="I6" t="str">
            <v/>
          </cell>
          <cell r="J6" t="str">
            <v/>
          </cell>
          <cell r="K6">
            <v>315</v>
          </cell>
        </row>
        <row r="7">
          <cell r="A7">
            <v>10880017527</v>
          </cell>
          <cell r="B7" t="str">
            <v>空调室内电控板-CEM-1</v>
          </cell>
          <cell r="C7" t="str">
            <v>693-A2179E-PC    0011800630J</v>
          </cell>
          <cell r="D7">
            <v>1900</v>
          </cell>
          <cell r="E7">
            <v>2005</v>
          </cell>
          <cell r="F7" t="str">
            <v/>
          </cell>
          <cell r="G7" t="str">
            <v>PCS</v>
          </cell>
          <cell r="H7" t="str">
            <v/>
          </cell>
          <cell r="I7" t="str">
            <v/>
          </cell>
          <cell r="J7" t="str">
            <v/>
          </cell>
          <cell r="K7">
            <v>1</v>
          </cell>
        </row>
        <row r="8">
          <cell r="A8">
            <v>10880017531</v>
          </cell>
          <cell r="B8" t="str">
            <v>空调室内电控板-FR-4</v>
          </cell>
          <cell r="C8" t="str">
            <v>693-A2180B-PC 0011800646D</v>
          </cell>
          <cell r="D8">
            <v>1900</v>
          </cell>
          <cell r="E8">
            <v>2005</v>
          </cell>
          <cell r="F8" t="str">
            <v/>
          </cell>
          <cell r="G8" t="str">
            <v>PCS</v>
          </cell>
          <cell r="H8" t="str">
            <v/>
          </cell>
          <cell r="I8" t="str">
            <v/>
          </cell>
          <cell r="J8" t="str">
            <v/>
          </cell>
          <cell r="K8">
            <v>1</v>
          </cell>
        </row>
        <row r="9">
          <cell r="A9">
            <v>10880017536</v>
          </cell>
          <cell r="B9" t="str">
            <v>空调室内电控板-FR-4</v>
          </cell>
          <cell r="C9" t="str">
            <v>693-A2180G-PC 0011800646L</v>
          </cell>
          <cell r="D9">
            <v>1900</v>
          </cell>
          <cell r="E9">
            <v>2005</v>
          </cell>
          <cell r="F9" t="str">
            <v/>
          </cell>
          <cell r="G9" t="str">
            <v>PCS</v>
          </cell>
          <cell r="H9" t="str">
            <v/>
          </cell>
          <cell r="I9" t="str">
            <v/>
          </cell>
          <cell r="J9" t="str">
            <v/>
          </cell>
          <cell r="K9">
            <v>70</v>
          </cell>
        </row>
        <row r="10">
          <cell r="A10">
            <v>10880017948</v>
          </cell>
          <cell r="B10" t="str">
            <v>空调室内电控板-CEM-1</v>
          </cell>
          <cell r="C10" t="str">
            <v>693-A2181A-PC   0011800537</v>
          </cell>
          <cell r="D10">
            <v>1900</v>
          </cell>
          <cell r="E10">
            <v>2005</v>
          </cell>
          <cell r="F10" t="str">
            <v/>
          </cell>
          <cell r="G10" t="str">
            <v>PCS</v>
          </cell>
          <cell r="H10" t="str">
            <v/>
          </cell>
          <cell r="I10" t="str">
            <v/>
          </cell>
          <cell r="J10" t="str">
            <v/>
          </cell>
          <cell r="K10">
            <v>2</v>
          </cell>
        </row>
        <row r="11">
          <cell r="A11">
            <v>10880017949</v>
          </cell>
          <cell r="B11" t="str">
            <v>空调室内电控板-CEM-1</v>
          </cell>
          <cell r="C11" t="str">
            <v>693-A2181B-PC     0011800537C</v>
          </cell>
          <cell r="D11">
            <v>1900</v>
          </cell>
          <cell r="E11">
            <v>2005</v>
          </cell>
          <cell r="F11" t="str">
            <v/>
          </cell>
          <cell r="G11" t="str">
            <v>PCS</v>
          </cell>
          <cell r="H11" t="str">
            <v/>
          </cell>
          <cell r="I11" t="str">
            <v/>
          </cell>
          <cell r="J11" t="str">
            <v/>
          </cell>
          <cell r="K11">
            <v>6</v>
          </cell>
        </row>
        <row r="12">
          <cell r="A12">
            <v>10880018093</v>
          </cell>
          <cell r="B12" t="str">
            <v>海尔空调电控板807</v>
          </cell>
          <cell r="C12" t="str">
            <v>693-A2182A-PC 0011800807</v>
          </cell>
          <cell r="D12">
            <v>1900</v>
          </cell>
          <cell r="E12">
            <v>2005</v>
          </cell>
          <cell r="F12" t="str">
            <v/>
          </cell>
          <cell r="G12" t="str">
            <v>PCS</v>
          </cell>
          <cell r="H12" t="str">
            <v/>
          </cell>
          <cell r="I12" t="str">
            <v/>
          </cell>
          <cell r="J12" t="str">
            <v/>
          </cell>
          <cell r="K12">
            <v>6</v>
          </cell>
        </row>
        <row r="13">
          <cell r="A13">
            <v>10880018096</v>
          </cell>
          <cell r="B13" t="str">
            <v>家用空调电控板</v>
          </cell>
          <cell r="C13" t="str">
            <v>693-B2201A-PC 0011801424A</v>
          </cell>
          <cell r="D13">
            <v>1900</v>
          </cell>
          <cell r="E13">
            <v>2005</v>
          </cell>
          <cell r="F13" t="str">
            <v/>
          </cell>
          <cell r="G13" t="str">
            <v>PCS</v>
          </cell>
          <cell r="H13" t="str">
            <v/>
          </cell>
          <cell r="I13" t="str">
            <v/>
          </cell>
          <cell r="J13" t="str">
            <v/>
          </cell>
          <cell r="K13">
            <v>11</v>
          </cell>
        </row>
        <row r="14">
          <cell r="A14">
            <v>10880018097</v>
          </cell>
          <cell r="B14" t="str">
            <v>家用空调电控板</v>
          </cell>
          <cell r="C14" t="str">
            <v>693-B2201B-PC 0011801424B</v>
          </cell>
          <cell r="D14">
            <v>1900</v>
          </cell>
          <cell r="E14">
            <v>2005</v>
          </cell>
          <cell r="F14" t="str">
            <v/>
          </cell>
          <cell r="G14" t="str">
            <v>PCS</v>
          </cell>
          <cell r="H14" t="str">
            <v/>
          </cell>
          <cell r="I14" t="str">
            <v/>
          </cell>
          <cell r="J14" t="str">
            <v/>
          </cell>
          <cell r="K14">
            <v>67</v>
          </cell>
        </row>
        <row r="15">
          <cell r="A15">
            <v>10880018524</v>
          </cell>
          <cell r="B15" t="str">
            <v>空调显示板</v>
          </cell>
          <cell r="C15" t="str">
            <v>693-A2190A-D 0011800387D</v>
          </cell>
          <cell r="D15">
            <v>1900</v>
          </cell>
          <cell r="E15">
            <v>2005</v>
          </cell>
          <cell r="F15" t="str">
            <v/>
          </cell>
          <cell r="G15" t="str">
            <v>PCS</v>
          </cell>
          <cell r="H15" t="str">
            <v/>
          </cell>
          <cell r="I15" t="str">
            <v/>
          </cell>
          <cell r="J15" t="str">
            <v/>
          </cell>
          <cell r="K15">
            <v>7</v>
          </cell>
        </row>
        <row r="16">
          <cell r="A16">
            <v>10880018845</v>
          </cell>
          <cell r="B16" t="str">
            <v>海尔空调电控板</v>
          </cell>
          <cell r="C16" t="str">
            <v>693-A2178C-PC 0011800612Z</v>
          </cell>
          <cell r="D16">
            <v>1900</v>
          </cell>
          <cell r="E16">
            <v>2005</v>
          </cell>
          <cell r="F16" t="str">
            <v/>
          </cell>
          <cell r="G16" t="str">
            <v>PCS</v>
          </cell>
          <cell r="H16" t="str">
            <v/>
          </cell>
          <cell r="I16" t="str">
            <v/>
          </cell>
          <cell r="J16" t="str">
            <v/>
          </cell>
          <cell r="K16">
            <v>36</v>
          </cell>
        </row>
        <row r="17">
          <cell r="A17">
            <v>10880018847</v>
          </cell>
          <cell r="B17" t="str">
            <v>海尔空调电控板</v>
          </cell>
          <cell r="C17" t="str">
            <v>693-A2178E-PC 0011800612H</v>
          </cell>
          <cell r="D17">
            <v>1900</v>
          </cell>
          <cell r="E17">
            <v>2005</v>
          </cell>
          <cell r="F17" t="str">
            <v/>
          </cell>
          <cell r="G17" t="str">
            <v>PCS</v>
          </cell>
          <cell r="H17" t="str">
            <v/>
          </cell>
          <cell r="I17" t="str">
            <v/>
          </cell>
          <cell r="J17" t="str">
            <v/>
          </cell>
          <cell r="K17">
            <v>2</v>
          </cell>
        </row>
        <row r="18">
          <cell r="A18">
            <v>10880018848</v>
          </cell>
          <cell r="B18" t="str">
            <v>海尔空调电控板</v>
          </cell>
          <cell r="C18" t="str">
            <v>693-A2178G-PC 0011800612L</v>
          </cell>
          <cell r="D18">
            <v>1900</v>
          </cell>
          <cell r="E18">
            <v>2005</v>
          </cell>
          <cell r="F18" t="str">
            <v/>
          </cell>
          <cell r="G18" t="str">
            <v>PCS</v>
          </cell>
          <cell r="H18" t="str">
            <v/>
          </cell>
          <cell r="I18" t="str">
            <v/>
          </cell>
          <cell r="J18" t="str">
            <v/>
          </cell>
          <cell r="K18">
            <v>65</v>
          </cell>
        </row>
        <row r="19">
          <cell r="A19">
            <v>10880018850</v>
          </cell>
          <cell r="B19" t="str">
            <v>海尔空调电控板</v>
          </cell>
          <cell r="C19" t="str">
            <v>693-A2178I-PC 0011800612V</v>
          </cell>
          <cell r="D19">
            <v>1900</v>
          </cell>
          <cell r="E19">
            <v>2005</v>
          </cell>
          <cell r="F19" t="str">
            <v/>
          </cell>
          <cell r="G19" t="str">
            <v>PCS</v>
          </cell>
          <cell r="H19" t="str">
            <v/>
          </cell>
          <cell r="I19" t="str">
            <v/>
          </cell>
          <cell r="J19" t="str">
            <v/>
          </cell>
          <cell r="K19">
            <v>2</v>
          </cell>
        </row>
        <row r="20">
          <cell r="A20">
            <v>10880019039</v>
          </cell>
          <cell r="B20" t="str">
            <v>家用空调电控板</v>
          </cell>
          <cell r="C20" t="str">
            <v>693-B2201F-PC 0011801424H</v>
          </cell>
          <cell r="D20">
            <v>1900</v>
          </cell>
          <cell r="E20">
            <v>2005</v>
          </cell>
          <cell r="F20" t="str">
            <v/>
          </cell>
          <cell r="G20" t="str">
            <v>PCS</v>
          </cell>
          <cell r="H20" t="str">
            <v/>
          </cell>
          <cell r="I20" t="str">
            <v/>
          </cell>
          <cell r="J20" t="str">
            <v/>
          </cell>
          <cell r="K20">
            <v>1</v>
          </cell>
        </row>
        <row r="21">
          <cell r="A21">
            <v>10880019041</v>
          </cell>
          <cell r="B21" t="str">
            <v>家用空调电控板</v>
          </cell>
          <cell r="C21" t="str">
            <v>693-B2201H-PC  0011801424V</v>
          </cell>
          <cell r="D21">
            <v>1900</v>
          </cell>
          <cell r="E21">
            <v>2005</v>
          </cell>
          <cell r="F21" t="str">
            <v/>
          </cell>
          <cell r="G21" t="str">
            <v>PCS</v>
          </cell>
          <cell r="H21" t="str">
            <v/>
          </cell>
          <cell r="I21" t="str">
            <v/>
          </cell>
          <cell r="J21" t="str">
            <v/>
          </cell>
          <cell r="K21">
            <v>100</v>
          </cell>
        </row>
        <row r="22">
          <cell r="A22">
            <v>10880019042</v>
          </cell>
          <cell r="B22" t="str">
            <v>家用空调电控板</v>
          </cell>
          <cell r="C22" t="str">
            <v>693-B2201I-PC 0011801424W</v>
          </cell>
          <cell r="D22">
            <v>1900</v>
          </cell>
          <cell r="E22">
            <v>2005</v>
          </cell>
          <cell r="F22" t="str">
            <v/>
          </cell>
          <cell r="G22" t="str">
            <v>PCS</v>
          </cell>
          <cell r="H22" t="str">
            <v/>
          </cell>
          <cell r="I22" t="str">
            <v/>
          </cell>
          <cell r="J22" t="str">
            <v/>
          </cell>
          <cell r="K22">
            <v>179</v>
          </cell>
        </row>
        <row r="23">
          <cell r="A23">
            <v>10880019240</v>
          </cell>
          <cell r="B23" t="str">
            <v>家用空调电控板</v>
          </cell>
          <cell r="C23" t="str">
            <v>693-B2201J-PC 0011801424C</v>
          </cell>
          <cell r="D23">
            <v>1900</v>
          </cell>
          <cell r="E23">
            <v>2005</v>
          </cell>
          <cell r="F23" t="str">
            <v/>
          </cell>
          <cell r="G23" t="str">
            <v>PCS</v>
          </cell>
          <cell r="H23" t="str">
            <v/>
          </cell>
          <cell r="I23" t="str">
            <v/>
          </cell>
          <cell r="J23" t="str">
            <v/>
          </cell>
          <cell r="K23">
            <v>6</v>
          </cell>
        </row>
        <row r="24">
          <cell r="A24">
            <v>10880019434</v>
          </cell>
          <cell r="B24" t="str">
            <v>家用空调电控板</v>
          </cell>
          <cell r="C24" t="str">
            <v>693-B2209A-PC-0011801425N</v>
          </cell>
          <cell r="D24">
            <v>1900</v>
          </cell>
          <cell r="E24">
            <v>2005</v>
          </cell>
          <cell r="F24" t="str">
            <v/>
          </cell>
          <cell r="G24" t="str">
            <v>PCS</v>
          </cell>
          <cell r="H24" t="str">
            <v/>
          </cell>
          <cell r="I24" t="str">
            <v/>
          </cell>
          <cell r="J24" t="str">
            <v/>
          </cell>
          <cell r="K24">
            <v>625</v>
          </cell>
        </row>
        <row r="25">
          <cell r="A25">
            <v>10880020048</v>
          </cell>
          <cell r="B25" t="str">
            <v>海尔空调电控板</v>
          </cell>
          <cell r="C25" t="str">
            <v>693-C2203A-PC 0011801327</v>
          </cell>
          <cell r="D25">
            <v>1900</v>
          </cell>
          <cell r="E25">
            <v>2005</v>
          </cell>
          <cell r="F25" t="str">
            <v/>
          </cell>
          <cell r="G25" t="str">
            <v>PCS</v>
          </cell>
          <cell r="H25" t="str">
            <v/>
          </cell>
          <cell r="I25" t="str">
            <v/>
          </cell>
          <cell r="J25" t="str">
            <v/>
          </cell>
          <cell r="K25">
            <v>2</v>
          </cell>
        </row>
        <row r="26">
          <cell r="A26">
            <v>10880020187</v>
          </cell>
          <cell r="B26" t="str">
            <v>家用空调电控板</v>
          </cell>
          <cell r="C26" t="str">
            <v>693-B2209J-PC-0011801425D</v>
          </cell>
          <cell r="D26">
            <v>1900</v>
          </cell>
          <cell r="E26">
            <v>2005</v>
          </cell>
          <cell r="F26" t="str">
            <v/>
          </cell>
          <cell r="G26" t="str">
            <v>PCS</v>
          </cell>
          <cell r="H26" t="str">
            <v/>
          </cell>
          <cell r="I26" t="str">
            <v/>
          </cell>
          <cell r="J26" t="str">
            <v/>
          </cell>
          <cell r="K26">
            <v>2</v>
          </cell>
        </row>
        <row r="27">
          <cell r="A27">
            <v>10880020192</v>
          </cell>
          <cell r="B27" t="str">
            <v>家用空调电控板</v>
          </cell>
          <cell r="C27" t="str">
            <v>693-B2209L-PC-0011801425F</v>
          </cell>
          <cell r="D27">
            <v>1900</v>
          </cell>
          <cell r="E27">
            <v>2005</v>
          </cell>
          <cell r="F27" t="str">
            <v/>
          </cell>
          <cell r="G27" t="str">
            <v>PCS</v>
          </cell>
          <cell r="H27" t="str">
            <v/>
          </cell>
          <cell r="I27" t="str">
            <v/>
          </cell>
          <cell r="J27" t="str">
            <v/>
          </cell>
          <cell r="K27">
            <v>1</v>
          </cell>
        </row>
        <row r="28">
          <cell r="A28">
            <v>10880020209</v>
          </cell>
          <cell r="B28" t="str">
            <v>海尔空调电控板</v>
          </cell>
          <cell r="C28" t="str">
            <v>693-A2210C-PC 0011801372F</v>
          </cell>
          <cell r="D28">
            <v>1900</v>
          </cell>
          <cell r="E28">
            <v>2005</v>
          </cell>
          <cell r="F28" t="str">
            <v/>
          </cell>
          <cell r="G28" t="str">
            <v>PCS</v>
          </cell>
          <cell r="H28" t="str">
            <v/>
          </cell>
          <cell r="I28" t="str">
            <v/>
          </cell>
          <cell r="J28" t="str">
            <v/>
          </cell>
          <cell r="K28">
            <v>1</v>
          </cell>
        </row>
        <row r="29">
          <cell r="A29">
            <v>10880020222</v>
          </cell>
          <cell r="B29" t="str">
            <v>空调电控板</v>
          </cell>
          <cell r="C29" t="str">
            <v>693-A2179H-PC 0011800630S</v>
          </cell>
          <cell r="D29">
            <v>1900</v>
          </cell>
          <cell r="E29">
            <v>2005</v>
          </cell>
          <cell r="F29" t="str">
            <v/>
          </cell>
          <cell r="G29" t="str">
            <v>PCS</v>
          </cell>
          <cell r="H29" t="str">
            <v/>
          </cell>
          <cell r="I29" t="str">
            <v/>
          </cell>
          <cell r="J29" t="str">
            <v/>
          </cell>
          <cell r="K29">
            <v>1</v>
          </cell>
        </row>
        <row r="30">
          <cell r="A30">
            <v>10880020555</v>
          </cell>
          <cell r="B30" t="str">
            <v>海尔空调除湿机显示板</v>
          </cell>
          <cell r="C30" t="str">
            <v>1323-B2207A-D  0011800950F</v>
          </cell>
          <cell r="D30">
            <v>1900</v>
          </cell>
          <cell r="E30">
            <v>2005</v>
          </cell>
          <cell r="F30" t="str">
            <v/>
          </cell>
          <cell r="G30" t="str">
            <v>PCS</v>
          </cell>
          <cell r="H30" t="str">
            <v/>
          </cell>
          <cell r="I30" t="str">
            <v/>
          </cell>
          <cell r="J30" t="str">
            <v/>
          </cell>
          <cell r="K30">
            <v>43</v>
          </cell>
        </row>
        <row r="31">
          <cell r="A31">
            <v>10880020556</v>
          </cell>
          <cell r="B31" t="str">
            <v>海尔空调电控板</v>
          </cell>
          <cell r="C31" t="str">
            <v>693-C2250A-PC 0011800980J</v>
          </cell>
          <cell r="D31">
            <v>1900</v>
          </cell>
          <cell r="E31">
            <v>2005</v>
          </cell>
          <cell r="F31" t="str">
            <v/>
          </cell>
          <cell r="G31" t="str">
            <v>PCS</v>
          </cell>
          <cell r="H31" t="str">
            <v/>
          </cell>
          <cell r="I31" t="str">
            <v/>
          </cell>
          <cell r="J31" t="str">
            <v/>
          </cell>
          <cell r="K31">
            <v>49</v>
          </cell>
        </row>
        <row r="32">
          <cell r="A32">
            <v>10880020775</v>
          </cell>
          <cell r="B32" t="str">
            <v>海尔空调电控板</v>
          </cell>
          <cell r="C32" t="str">
            <v>693-C2246C-PC 0011801172S</v>
          </cell>
          <cell r="D32">
            <v>1900</v>
          </cell>
          <cell r="E32">
            <v>2005</v>
          </cell>
          <cell r="F32" t="str">
            <v/>
          </cell>
          <cell r="G32" t="str">
            <v>PCS</v>
          </cell>
          <cell r="H32" t="str">
            <v/>
          </cell>
          <cell r="I32" t="str">
            <v/>
          </cell>
          <cell r="J32" t="str">
            <v/>
          </cell>
          <cell r="K32">
            <v>164</v>
          </cell>
        </row>
        <row r="33">
          <cell r="A33">
            <v>10880020802</v>
          </cell>
          <cell r="B33" t="str">
            <v>海尔空调电控板</v>
          </cell>
          <cell r="C33" t="str">
            <v>693-C2246AC-PC 0011801172BD</v>
          </cell>
          <cell r="D33">
            <v>1900</v>
          </cell>
          <cell r="E33">
            <v>2005</v>
          </cell>
          <cell r="F33" t="str">
            <v/>
          </cell>
          <cell r="G33" t="str">
            <v>PCS</v>
          </cell>
          <cell r="H33" t="str">
            <v/>
          </cell>
          <cell r="I33" t="str">
            <v/>
          </cell>
          <cell r="J33" t="str">
            <v/>
          </cell>
          <cell r="K33">
            <v>6</v>
          </cell>
        </row>
        <row r="34">
          <cell r="A34">
            <v>10880021015</v>
          </cell>
          <cell r="B34" t="str">
            <v>家用空调电控板</v>
          </cell>
          <cell r="C34" t="str">
            <v>693-B2201N-PC-0011801424AE</v>
          </cell>
          <cell r="D34">
            <v>1900</v>
          </cell>
          <cell r="E34">
            <v>2005</v>
          </cell>
          <cell r="F34" t="str">
            <v/>
          </cell>
          <cell r="G34" t="str">
            <v>PCS</v>
          </cell>
          <cell r="H34" t="str">
            <v/>
          </cell>
          <cell r="I34" t="str">
            <v/>
          </cell>
          <cell r="J34" t="str">
            <v/>
          </cell>
          <cell r="K34">
            <v>22</v>
          </cell>
        </row>
        <row r="35">
          <cell r="A35">
            <v>10880021019</v>
          </cell>
          <cell r="B35" t="str">
            <v>家用空调电控板</v>
          </cell>
          <cell r="C35" t="str">
            <v>693-B2201O-PC-0011801424AF</v>
          </cell>
          <cell r="D35">
            <v>1900</v>
          </cell>
          <cell r="E35">
            <v>2005</v>
          </cell>
          <cell r="F35" t="str">
            <v/>
          </cell>
          <cell r="G35" t="str">
            <v>PCS</v>
          </cell>
          <cell r="H35" t="str">
            <v/>
          </cell>
          <cell r="I35" t="str">
            <v/>
          </cell>
          <cell r="J35" t="str">
            <v/>
          </cell>
          <cell r="K35">
            <v>1</v>
          </cell>
        </row>
        <row r="36">
          <cell r="A36">
            <v>10880021029</v>
          </cell>
          <cell r="B36" t="str">
            <v>海尔空调电控板</v>
          </cell>
          <cell r="C36" t="str">
            <v>693-C2260A-PC 0011801256B</v>
          </cell>
          <cell r="D36">
            <v>1900</v>
          </cell>
          <cell r="E36">
            <v>2005</v>
          </cell>
          <cell r="F36" t="str">
            <v/>
          </cell>
          <cell r="G36" t="str">
            <v>PCS</v>
          </cell>
          <cell r="H36" t="str">
            <v/>
          </cell>
          <cell r="I36" t="str">
            <v/>
          </cell>
          <cell r="J36" t="str">
            <v/>
          </cell>
          <cell r="K36">
            <v>8</v>
          </cell>
        </row>
        <row r="37">
          <cell r="A37">
            <v>10880021107</v>
          </cell>
          <cell r="B37" t="str">
            <v>海尔空调显示板</v>
          </cell>
          <cell r="C37" t="str">
            <v>693-C2216H-D 0011800324N</v>
          </cell>
          <cell r="D37">
            <v>1900</v>
          </cell>
          <cell r="E37">
            <v>2005</v>
          </cell>
          <cell r="F37" t="str">
            <v/>
          </cell>
          <cell r="G37" t="str">
            <v>PCS</v>
          </cell>
          <cell r="H37" t="str">
            <v/>
          </cell>
          <cell r="I37" t="str">
            <v/>
          </cell>
          <cell r="J37" t="str">
            <v/>
          </cell>
          <cell r="K37">
            <v>3</v>
          </cell>
        </row>
        <row r="38">
          <cell r="A38">
            <v>10880021173</v>
          </cell>
          <cell r="B38" t="str">
            <v>家用空调电控板</v>
          </cell>
          <cell r="C38" t="str">
            <v>693-B2201Q-PC-0011801424K</v>
          </cell>
          <cell r="D38">
            <v>1900</v>
          </cell>
          <cell r="E38">
            <v>2005</v>
          </cell>
          <cell r="F38" t="str">
            <v/>
          </cell>
          <cell r="G38" t="str">
            <v>PCS</v>
          </cell>
          <cell r="H38" t="str">
            <v/>
          </cell>
          <cell r="I38" t="str">
            <v/>
          </cell>
          <cell r="J38" t="str">
            <v/>
          </cell>
          <cell r="K38">
            <v>15</v>
          </cell>
        </row>
        <row r="39">
          <cell r="A39">
            <v>10880021174</v>
          </cell>
          <cell r="B39" t="str">
            <v>家用空调电控板</v>
          </cell>
          <cell r="C39" t="str">
            <v>693-B2201R-PC-0011801424L</v>
          </cell>
          <cell r="D39">
            <v>1900</v>
          </cell>
          <cell r="E39">
            <v>2005</v>
          </cell>
          <cell r="F39" t="str">
            <v/>
          </cell>
          <cell r="G39" t="str">
            <v>PCS</v>
          </cell>
          <cell r="H39" t="str">
            <v/>
          </cell>
          <cell r="I39" t="str">
            <v/>
          </cell>
          <cell r="J39" t="str">
            <v/>
          </cell>
          <cell r="K39">
            <v>1</v>
          </cell>
        </row>
        <row r="40">
          <cell r="A40">
            <v>10880021175</v>
          </cell>
          <cell r="B40" t="str">
            <v>家用空调电控板</v>
          </cell>
          <cell r="C40" t="str">
            <v>693-B2201P-PC-0011801424N</v>
          </cell>
          <cell r="D40">
            <v>1900</v>
          </cell>
          <cell r="E40">
            <v>2005</v>
          </cell>
          <cell r="F40" t="str">
            <v/>
          </cell>
          <cell r="G40" t="str">
            <v>PCS</v>
          </cell>
          <cell r="H40" t="str">
            <v/>
          </cell>
          <cell r="I40" t="str">
            <v/>
          </cell>
          <cell r="J40" t="str">
            <v/>
          </cell>
          <cell r="K40">
            <v>7</v>
          </cell>
        </row>
        <row r="41">
          <cell r="A41">
            <v>10880021203</v>
          </cell>
          <cell r="B41" t="str">
            <v>净水云鳟空壳显示板</v>
          </cell>
          <cell r="C41" t="str">
            <v>693-C2215B-D 0190400112F</v>
          </cell>
          <cell r="D41">
            <v>1900</v>
          </cell>
          <cell r="E41">
            <v>2005</v>
          </cell>
          <cell r="F41" t="str">
            <v/>
          </cell>
          <cell r="G41" t="str">
            <v>PCS</v>
          </cell>
          <cell r="H41" t="str">
            <v/>
          </cell>
          <cell r="I41" t="str">
            <v/>
          </cell>
          <cell r="J41" t="str">
            <v/>
          </cell>
          <cell r="K41">
            <v>700</v>
          </cell>
        </row>
        <row r="42">
          <cell r="A42">
            <v>10880021269</v>
          </cell>
          <cell r="B42" t="str">
            <v>海尔空调电控板</v>
          </cell>
          <cell r="C42" t="str">
            <v>693-C2246AF-PC 0011801172AV</v>
          </cell>
          <cell r="D42">
            <v>1900</v>
          </cell>
          <cell r="E42">
            <v>2005</v>
          </cell>
          <cell r="F42" t="str">
            <v/>
          </cell>
          <cell r="G42" t="str">
            <v>PCS</v>
          </cell>
          <cell r="H42" t="str">
            <v/>
          </cell>
          <cell r="I42" t="str">
            <v/>
          </cell>
          <cell r="J42" t="str">
            <v/>
          </cell>
          <cell r="K42">
            <v>27</v>
          </cell>
        </row>
        <row r="43">
          <cell r="A43">
            <v>10880021342</v>
          </cell>
          <cell r="B43" t="str">
            <v>净水云鳟800G控制板</v>
          </cell>
          <cell r="C43" t="str">
            <v>693-C2177G-C 0190400113M 芯朋电源方案</v>
          </cell>
          <cell r="D43">
            <v>1900</v>
          </cell>
          <cell r="E43">
            <v>2005</v>
          </cell>
          <cell r="F43" t="str">
            <v/>
          </cell>
          <cell r="G43" t="str">
            <v>PCS</v>
          </cell>
          <cell r="H43" t="str">
            <v/>
          </cell>
          <cell r="I43" t="str">
            <v/>
          </cell>
          <cell r="J43" t="str">
            <v/>
          </cell>
          <cell r="K43">
            <v>960</v>
          </cell>
        </row>
        <row r="44">
          <cell r="A44">
            <v>10880021345</v>
          </cell>
          <cell r="B44" t="str">
            <v>家用空调电控板</v>
          </cell>
          <cell r="C44" t="str">
            <v>693-B2201U-PC-0011801424AB</v>
          </cell>
          <cell r="D44">
            <v>1900</v>
          </cell>
          <cell r="E44">
            <v>2005</v>
          </cell>
          <cell r="F44" t="str">
            <v/>
          </cell>
          <cell r="G44" t="str">
            <v>PCS</v>
          </cell>
          <cell r="H44" t="str">
            <v/>
          </cell>
          <cell r="I44" t="str">
            <v/>
          </cell>
          <cell r="J44" t="str">
            <v/>
          </cell>
          <cell r="K44">
            <v>14</v>
          </cell>
        </row>
        <row r="45">
          <cell r="A45">
            <v>10880021476</v>
          </cell>
          <cell r="B45" t="str">
            <v>空调电控板</v>
          </cell>
          <cell r="C45" t="str">
            <v>693-C2246AG-PC 0011801172CH</v>
          </cell>
          <cell r="D45">
            <v>1900</v>
          </cell>
          <cell r="E45">
            <v>2005</v>
          </cell>
          <cell r="F45" t="str">
            <v/>
          </cell>
          <cell r="G45" t="str">
            <v>PCS</v>
          </cell>
          <cell r="H45" t="str">
            <v/>
          </cell>
          <cell r="I45" t="str">
            <v/>
          </cell>
          <cell r="J45" t="str">
            <v/>
          </cell>
          <cell r="K45">
            <v>1</v>
          </cell>
        </row>
        <row r="46">
          <cell r="A46">
            <v>10880021545</v>
          </cell>
          <cell r="B46" t="str">
            <v>海尔空调电控板</v>
          </cell>
          <cell r="C46" t="str">
            <v>693-C2238B-PC 0011800977S</v>
          </cell>
          <cell r="D46">
            <v>1900</v>
          </cell>
          <cell r="E46">
            <v>2005</v>
          </cell>
          <cell r="F46" t="str">
            <v/>
          </cell>
          <cell r="G46" t="str">
            <v>PCS</v>
          </cell>
          <cell r="H46" t="str">
            <v/>
          </cell>
          <cell r="I46" t="str">
            <v/>
          </cell>
          <cell r="J46" t="str">
            <v/>
          </cell>
          <cell r="K46">
            <v>1</v>
          </cell>
        </row>
        <row r="47">
          <cell r="A47">
            <v>10880021796</v>
          </cell>
          <cell r="B47" t="str">
            <v>海尔洗衣机显示板</v>
          </cell>
          <cell r="C47" t="str">
            <v>693-B2272A-D 0031800374</v>
          </cell>
          <cell r="D47">
            <v>1900</v>
          </cell>
          <cell r="E47">
            <v>2005</v>
          </cell>
          <cell r="F47" t="str">
            <v/>
          </cell>
          <cell r="G47" t="str">
            <v>PCS</v>
          </cell>
          <cell r="H47" t="str">
            <v/>
          </cell>
          <cell r="I47" t="str">
            <v/>
          </cell>
          <cell r="J47" t="str">
            <v/>
          </cell>
          <cell r="K47">
            <v>252</v>
          </cell>
        </row>
        <row r="48">
          <cell r="A48">
            <v>10880022010</v>
          </cell>
          <cell r="B48" t="str">
            <v>空调电控板</v>
          </cell>
          <cell r="C48" t="str">
            <v>693-C2246AH-PC 0011801172BR</v>
          </cell>
          <cell r="D48">
            <v>1900</v>
          </cell>
          <cell r="E48">
            <v>2005</v>
          </cell>
          <cell r="F48" t="str">
            <v/>
          </cell>
          <cell r="G48" t="str">
            <v>PCS</v>
          </cell>
          <cell r="H48" t="str">
            <v/>
          </cell>
          <cell r="I48" t="str">
            <v/>
          </cell>
          <cell r="J48" t="str">
            <v/>
          </cell>
          <cell r="K48">
            <v>1</v>
          </cell>
        </row>
        <row r="49">
          <cell r="A49">
            <v>10880027924</v>
          </cell>
          <cell r="B49" t="str">
            <v>海尔空调电控板</v>
          </cell>
          <cell r="C49" t="str">
            <v>693-C2317A-PC 0011800977P</v>
          </cell>
          <cell r="D49">
            <v>1900</v>
          </cell>
          <cell r="E49">
            <v>2005</v>
          </cell>
          <cell r="F49" t="str">
            <v/>
          </cell>
          <cell r="G49" t="str">
            <v>PCS</v>
          </cell>
          <cell r="H49" t="str">
            <v/>
          </cell>
          <cell r="I49" t="str">
            <v/>
          </cell>
          <cell r="J49" t="str">
            <v/>
          </cell>
          <cell r="K49">
            <v>1</v>
          </cell>
        </row>
        <row r="50">
          <cell r="A50">
            <v>10880027925</v>
          </cell>
          <cell r="B50" t="str">
            <v>海尔空调电控板</v>
          </cell>
          <cell r="C50" t="str">
            <v>693-C2317B-PC 0011800977R</v>
          </cell>
          <cell r="D50">
            <v>1900</v>
          </cell>
          <cell r="E50">
            <v>2005</v>
          </cell>
          <cell r="F50" t="str">
            <v/>
          </cell>
          <cell r="G50" t="str">
            <v>PCS</v>
          </cell>
          <cell r="H50" t="str">
            <v/>
          </cell>
          <cell r="I50" t="str">
            <v/>
          </cell>
          <cell r="J50" t="str">
            <v/>
          </cell>
          <cell r="K50">
            <v>1</v>
          </cell>
        </row>
        <row r="51">
          <cell r="A51">
            <v>10880027958</v>
          </cell>
          <cell r="B51" t="str">
            <v>家用空调电控板</v>
          </cell>
          <cell r="C51" t="str">
            <v>693-C2318B-PC 0011801425X</v>
          </cell>
          <cell r="D51">
            <v>1900</v>
          </cell>
          <cell r="E51">
            <v>2005</v>
          </cell>
          <cell r="F51" t="str">
            <v/>
          </cell>
          <cell r="G51" t="str">
            <v>PCS</v>
          </cell>
          <cell r="H51" t="str">
            <v/>
          </cell>
          <cell r="I51" t="str">
            <v/>
          </cell>
          <cell r="J51" t="str">
            <v/>
          </cell>
          <cell r="K51">
            <v>5</v>
          </cell>
        </row>
        <row r="52">
          <cell r="A52">
            <v>10880027989</v>
          </cell>
          <cell r="B52" t="str">
            <v>海尔空调电控板</v>
          </cell>
          <cell r="C52" t="str">
            <v>693-C2302B-PC 0011800879N</v>
          </cell>
          <cell r="D52">
            <v>1900</v>
          </cell>
          <cell r="E52">
            <v>2005</v>
          </cell>
          <cell r="F52" t="str">
            <v/>
          </cell>
          <cell r="G52" t="str">
            <v>PCS</v>
          </cell>
          <cell r="H52" t="str">
            <v/>
          </cell>
          <cell r="I52" t="str">
            <v/>
          </cell>
          <cell r="J52" t="str">
            <v/>
          </cell>
          <cell r="K52">
            <v>1</v>
          </cell>
        </row>
        <row r="53">
          <cell r="A53">
            <v>10880028306</v>
          </cell>
          <cell r="B53" t="str">
            <v>海尔空调电控板</v>
          </cell>
          <cell r="C53" t="str">
            <v>693-C2256D-PC 0011801123H</v>
          </cell>
          <cell r="D53">
            <v>1900</v>
          </cell>
          <cell r="E53">
            <v>2005</v>
          </cell>
          <cell r="F53" t="str">
            <v/>
          </cell>
          <cell r="G53" t="str">
            <v>PCS</v>
          </cell>
          <cell r="H53" t="str">
            <v/>
          </cell>
          <cell r="I53" t="str">
            <v/>
          </cell>
          <cell r="J53" t="str">
            <v/>
          </cell>
          <cell r="K53">
            <v>46</v>
          </cell>
        </row>
        <row r="54">
          <cell r="A54">
            <v>10880028831</v>
          </cell>
          <cell r="B54" t="str">
            <v>海尔空调电控板</v>
          </cell>
          <cell r="C54" t="str">
            <v>693-C2349A-PC 0011800923G</v>
          </cell>
          <cell r="D54">
            <v>1900</v>
          </cell>
          <cell r="E54">
            <v>2005</v>
          </cell>
          <cell r="F54" t="str">
            <v/>
          </cell>
          <cell r="G54" t="str">
            <v>PCS</v>
          </cell>
          <cell r="H54" t="str">
            <v/>
          </cell>
          <cell r="I54" t="str">
            <v/>
          </cell>
          <cell r="J54" t="str">
            <v/>
          </cell>
          <cell r="K54">
            <v>1</v>
          </cell>
        </row>
        <row r="55">
          <cell r="A55">
            <v>10880028833</v>
          </cell>
          <cell r="B55" t="str">
            <v>海尔空调显示板</v>
          </cell>
          <cell r="C55" t="str">
            <v>693-C2355A-D 0011800607T</v>
          </cell>
          <cell r="D55">
            <v>1900</v>
          </cell>
          <cell r="E55">
            <v>2005</v>
          </cell>
          <cell r="F55" t="str">
            <v/>
          </cell>
          <cell r="G55" t="str">
            <v>PCS</v>
          </cell>
          <cell r="H55" t="str">
            <v/>
          </cell>
          <cell r="I55" t="str">
            <v/>
          </cell>
          <cell r="J55" t="str">
            <v/>
          </cell>
          <cell r="K55">
            <v>46</v>
          </cell>
        </row>
        <row r="56">
          <cell r="A56">
            <v>10880028929</v>
          </cell>
          <cell r="B56" t="str">
            <v>海尔空调电控板</v>
          </cell>
          <cell r="C56" t="str">
            <v>693-C2358A-PC 0011800977J</v>
          </cell>
          <cell r="D56">
            <v>1900</v>
          </cell>
          <cell r="E56">
            <v>2005</v>
          </cell>
          <cell r="F56" t="str">
            <v/>
          </cell>
          <cell r="G56" t="str">
            <v>PCS</v>
          </cell>
          <cell r="H56" t="str">
            <v/>
          </cell>
          <cell r="I56" t="str">
            <v/>
          </cell>
          <cell r="J56" t="str">
            <v/>
          </cell>
          <cell r="K56">
            <v>4</v>
          </cell>
        </row>
        <row r="57">
          <cell r="A57">
            <v>10880029033</v>
          </cell>
          <cell r="B57" t="str">
            <v>海尔空调显示板</v>
          </cell>
          <cell r="C57" t="str">
            <v>693-C2375A-D 0011800387D 合肥专用</v>
          </cell>
          <cell r="D57">
            <v>1900</v>
          </cell>
          <cell r="E57">
            <v>2005</v>
          </cell>
          <cell r="F57" t="str">
            <v/>
          </cell>
          <cell r="G57" t="str">
            <v>PCS</v>
          </cell>
          <cell r="H57" t="str">
            <v/>
          </cell>
          <cell r="I57" t="str">
            <v/>
          </cell>
          <cell r="J57" t="str">
            <v/>
          </cell>
          <cell r="K57">
            <v>106</v>
          </cell>
        </row>
        <row r="58">
          <cell r="A58">
            <v>10880029078</v>
          </cell>
          <cell r="B58" t="str">
            <v>海尔空调挂机显示板</v>
          </cell>
          <cell r="C58" t="str">
            <v>693-B2363A-D 0011801125</v>
          </cell>
          <cell r="D58">
            <v>1900</v>
          </cell>
          <cell r="E58">
            <v>2005</v>
          </cell>
          <cell r="F58" t="str">
            <v/>
          </cell>
          <cell r="G58" t="str">
            <v>PCS</v>
          </cell>
          <cell r="H58" t="str">
            <v/>
          </cell>
          <cell r="I58" t="str">
            <v/>
          </cell>
          <cell r="J58" t="str">
            <v/>
          </cell>
          <cell r="K58">
            <v>171</v>
          </cell>
        </row>
        <row r="59">
          <cell r="A59">
            <v>10880029958</v>
          </cell>
          <cell r="B59" t="str">
            <v>挂机显示板</v>
          </cell>
          <cell r="C59" t="str">
            <v>1323-C2305A-D 0011801659</v>
          </cell>
          <cell r="D59">
            <v>1900</v>
          </cell>
          <cell r="E59">
            <v>2005</v>
          </cell>
          <cell r="F59" t="str">
            <v/>
          </cell>
          <cell r="G59" t="str">
            <v>PCS</v>
          </cell>
          <cell r="H59" t="str">
            <v/>
          </cell>
          <cell r="I59" t="str">
            <v/>
          </cell>
          <cell r="J59" t="str">
            <v/>
          </cell>
          <cell r="K59">
            <v>323</v>
          </cell>
        </row>
        <row r="60">
          <cell r="A60">
            <v>10880030124</v>
          </cell>
          <cell r="B60" t="str">
            <v>海尔空调显示板</v>
          </cell>
          <cell r="C60" t="str">
            <v>693-C2378A-D 0011801737</v>
          </cell>
          <cell r="D60">
            <v>1900</v>
          </cell>
          <cell r="E60">
            <v>2005</v>
          </cell>
          <cell r="F60" t="str">
            <v/>
          </cell>
          <cell r="G60" t="str">
            <v>PCS</v>
          </cell>
          <cell r="H60" t="str">
            <v/>
          </cell>
          <cell r="I60" t="str">
            <v/>
          </cell>
          <cell r="J60" t="str">
            <v/>
          </cell>
          <cell r="K60">
            <v>3</v>
          </cell>
        </row>
        <row r="61">
          <cell r="A61">
            <v>10880030132</v>
          </cell>
          <cell r="B61" t="str">
            <v>海尔空调控制板</v>
          </cell>
          <cell r="C61" t="str">
            <v>693-C2394A-PC 0011801423AB</v>
          </cell>
          <cell r="D61">
            <v>1900</v>
          </cell>
          <cell r="E61">
            <v>2005</v>
          </cell>
          <cell r="F61" t="str">
            <v/>
          </cell>
          <cell r="G61" t="str">
            <v>PCS</v>
          </cell>
          <cell r="H61" t="str">
            <v/>
          </cell>
          <cell r="I61" t="str">
            <v/>
          </cell>
          <cell r="J61" t="str">
            <v/>
          </cell>
          <cell r="K61">
            <v>435</v>
          </cell>
        </row>
        <row r="62">
          <cell r="A62">
            <v>10880030179</v>
          </cell>
          <cell r="B62" t="str">
            <v>燃热1136E显示板</v>
          </cell>
          <cell r="C62" t="str">
            <v>693-C23B6F-PC 0041801136E</v>
          </cell>
          <cell r="D62">
            <v>1900</v>
          </cell>
          <cell r="E62">
            <v>2005</v>
          </cell>
          <cell r="F62" t="str">
            <v/>
          </cell>
          <cell r="G62" t="str">
            <v>PCS</v>
          </cell>
          <cell r="H62" t="str">
            <v/>
          </cell>
          <cell r="I62" t="str">
            <v/>
          </cell>
          <cell r="J62" t="str">
            <v/>
          </cell>
          <cell r="K62">
            <v>30</v>
          </cell>
        </row>
        <row r="63">
          <cell r="A63">
            <v>10880030187</v>
          </cell>
          <cell r="B63" t="str">
            <v>海尔空调电控板</v>
          </cell>
          <cell r="C63" t="str">
            <v>693-C2398A-PC 0151801003A</v>
          </cell>
          <cell r="D63">
            <v>1900</v>
          </cell>
          <cell r="E63">
            <v>2005</v>
          </cell>
          <cell r="F63" t="str">
            <v/>
          </cell>
          <cell r="G63" t="str">
            <v>PCS</v>
          </cell>
          <cell r="H63" t="str">
            <v/>
          </cell>
          <cell r="I63" t="str">
            <v/>
          </cell>
          <cell r="J63" t="str">
            <v/>
          </cell>
          <cell r="K63">
            <v>1</v>
          </cell>
        </row>
        <row r="64">
          <cell r="A64">
            <v>10880030203</v>
          </cell>
          <cell r="B64" t="str">
            <v>海尔空调内机电控板</v>
          </cell>
          <cell r="C64" t="str">
            <v>693-C23C8A-PC 0011800977T</v>
          </cell>
          <cell r="D64">
            <v>1900</v>
          </cell>
          <cell r="E64">
            <v>2005</v>
          </cell>
          <cell r="F64" t="str">
            <v/>
          </cell>
          <cell r="G64" t="str">
            <v>PCS</v>
          </cell>
          <cell r="H64" t="str">
            <v/>
          </cell>
          <cell r="I64" t="str">
            <v/>
          </cell>
          <cell r="J64" t="str">
            <v/>
          </cell>
          <cell r="K64">
            <v>1</v>
          </cell>
        </row>
        <row r="65">
          <cell r="A65">
            <v>10880030296</v>
          </cell>
          <cell r="B65" t="str">
            <v>海尔空调显示板</v>
          </cell>
          <cell r="C65" t="str">
            <v>1911-C2301A-D  0011800607T(泰国)</v>
          </cell>
          <cell r="D65">
            <v>1900</v>
          </cell>
          <cell r="E65">
            <v>2005</v>
          </cell>
          <cell r="F65" t="str">
            <v/>
          </cell>
          <cell r="G65" t="str">
            <v>PCS</v>
          </cell>
          <cell r="H65" t="str">
            <v/>
          </cell>
          <cell r="I65" t="str">
            <v/>
          </cell>
          <cell r="J65" t="str">
            <v/>
          </cell>
          <cell r="K65">
            <v>9</v>
          </cell>
        </row>
        <row r="66">
          <cell r="A66">
            <v>10880030450</v>
          </cell>
          <cell r="B66" t="str">
            <v>空调226电容板</v>
          </cell>
          <cell r="C66" t="str">
            <v>693-C23E6A-X 0150410226</v>
          </cell>
          <cell r="D66">
            <v>1900</v>
          </cell>
          <cell r="E66">
            <v>2005</v>
          </cell>
          <cell r="F66" t="str">
            <v/>
          </cell>
          <cell r="G66" t="str">
            <v>PCS</v>
          </cell>
          <cell r="H66" t="str">
            <v/>
          </cell>
          <cell r="I66" t="str">
            <v/>
          </cell>
          <cell r="J66" t="str">
            <v/>
          </cell>
          <cell r="K66">
            <v>2</v>
          </cell>
        </row>
        <row r="67">
          <cell r="A67">
            <v>10880030519</v>
          </cell>
          <cell r="B67" t="str">
            <v>海尔空调1031电控板</v>
          </cell>
          <cell r="C67" t="str">
            <v>693-C23D5A-PC 0151801031</v>
          </cell>
          <cell r="D67">
            <v>1900</v>
          </cell>
          <cell r="E67">
            <v>2005</v>
          </cell>
          <cell r="F67" t="str">
            <v/>
          </cell>
          <cell r="G67" t="str">
            <v>PCS</v>
          </cell>
          <cell r="H67" t="str">
            <v/>
          </cell>
          <cell r="I67" t="str">
            <v/>
          </cell>
          <cell r="J67" t="str">
            <v/>
          </cell>
          <cell r="K67">
            <v>37</v>
          </cell>
        </row>
        <row r="68">
          <cell r="A68">
            <v>10880030520</v>
          </cell>
          <cell r="B68" t="str">
            <v>海尔空调1031A电控板</v>
          </cell>
          <cell r="C68" t="str">
            <v>693-C23D5B-PC 0151801031A</v>
          </cell>
          <cell r="D68">
            <v>1900</v>
          </cell>
          <cell r="E68">
            <v>2005</v>
          </cell>
          <cell r="F68" t="str">
            <v/>
          </cell>
          <cell r="G68" t="str">
            <v>PCS</v>
          </cell>
          <cell r="H68" t="str">
            <v/>
          </cell>
          <cell r="I68" t="str">
            <v/>
          </cell>
          <cell r="J68" t="str">
            <v/>
          </cell>
          <cell r="K68">
            <v>36</v>
          </cell>
        </row>
        <row r="69">
          <cell r="A69">
            <v>10880030607</v>
          </cell>
          <cell r="B69" t="str">
            <v>海尔空调电控板</v>
          </cell>
          <cell r="C69" t="str">
            <v>693-B23G7A-PC  0011801048AE</v>
          </cell>
          <cell r="D69">
            <v>1900</v>
          </cell>
          <cell r="E69">
            <v>2005</v>
          </cell>
          <cell r="F69" t="str">
            <v/>
          </cell>
          <cell r="G69" t="str">
            <v>PCS</v>
          </cell>
          <cell r="H69" t="str">
            <v/>
          </cell>
          <cell r="I69" t="str">
            <v/>
          </cell>
          <cell r="J69" t="str">
            <v/>
          </cell>
          <cell r="K69">
            <v>6</v>
          </cell>
        </row>
        <row r="70">
          <cell r="A70">
            <v>10880030608</v>
          </cell>
          <cell r="B70" t="str">
            <v>海尔空调电控板</v>
          </cell>
          <cell r="C70" t="str">
            <v>693-B23G7B-PC  0011801048AF</v>
          </cell>
          <cell r="D70">
            <v>1900</v>
          </cell>
          <cell r="E70">
            <v>2005</v>
          </cell>
          <cell r="F70" t="str">
            <v/>
          </cell>
          <cell r="G70" t="str">
            <v>PCS</v>
          </cell>
          <cell r="H70" t="str">
            <v/>
          </cell>
          <cell r="I70" t="str">
            <v/>
          </cell>
          <cell r="J70" t="str">
            <v/>
          </cell>
          <cell r="K70">
            <v>2</v>
          </cell>
        </row>
        <row r="71">
          <cell r="A71">
            <v>10880030620</v>
          </cell>
          <cell r="B71" t="str">
            <v>海尔空调1825电控板</v>
          </cell>
          <cell r="C71" t="str">
            <v>693-C23G6A-PC 0011801825</v>
          </cell>
          <cell r="D71">
            <v>1900</v>
          </cell>
          <cell r="E71">
            <v>2005</v>
          </cell>
          <cell r="F71" t="str">
            <v/>
          </cell>
          <cell r="G71" t="str">
            <v>PCS</v>
          </cell>
          <cell r="H71" t="str">
            <v/>
          </cell>
          <cell r="I71" t="str">
            <v/>
          </cell>
          <cell r="J71" t="str">
            <v/>
          </cell>
          <cell r="K71">
            <v>2</v>
          </cell>
        </row>
        <row r="72">
          <cell r="A72">
            <v>10880030734</v>
          </cell>
          <cell r="B72" t="str">
            <v>家用空调电控板</v>
          </cell>
          <cell r="C72" t="str">
            <v>693-C23H4A-PC 0011801424AW</v>
          </cell>
          <cell r="D72">
            <v>1900</v>
          </cell>
          <cell r="E72">
            <v>2005</v>
          </cell>
          <cell r="F72" t="str">
            <v/>
          </cell>
          <cell r="G72" t="str">
            <v>PCS</v>
          </cell>
          <cell r="H72" t="str">
            <v/>
          </cell>
          <cell r="I72" t="str">
            <v/>
          </cell>
          <cell r="J72" t="str">
            <v/>
          </cell>
          <cell r="K72">
            <v>1</v>
          </cell>
        </row>
        <row r="73">
          <cell r="A73">
            <v>10880030738</v>
          </cell>
          <cell r="B73" t="str">
            <v>家用空调电控板</v>
          </cell>
          <cell r="C73" t="str">
            <v>693-C23H4B-PC  0011801424AZ</v>
          </cell>
          <cell r="D73">
            <v>1900</v>
          </cell>
          <cell r="E73">
            <v>2005</v>
          </cell>
          <cell r="F73" t="str">
            <v/>
          </cell>
          <cell r="G73" t="str">
            <v>PCS</v>
          </cell>
          <cell r="H73" t="str">
            <v/>
          </cell>
          <cell r="I73" t="str">
            <v/>
          </cell>
          <cell r="J73" t="str">
            <v/>
          </cell>
          <cell r="K73">
            <v>39</v>
          </cell>
        </row>
        <row r="74">
          <cell r="A74">
            <v>10880030742</v>
          </cell>
          <cell r="B74" t="str">
            <v>家用空调电控板</v>
          </cell>
          <cell r="C74" t="str">
            <v>693-C23H4C-PC  0011801424AX</v>
          </cell>
          <cell r="D74">
            <v>1900</v>
          </cell>
          <cell r="E74">
            <v>2005</v>
          </cell>
          <cell r="F74" t="str">
            <v/>
          </cell>
          <cell r="G74" t="str">
            <v>PCS</v>
          </cell>
          <cell r="H74" t="str">
            <v/>
          </cell>
          <cell r="I74" t="str">
            <v/>
          </cell>
          <cell r="J74" t="str">
            <v/>
          </cell>
          <cell r="K74">
            <v>1</v>
          </cell>
        </row>
        <row r="75">
          <cell r="A75">
            <v>10880030784</v>
          </cell>
          <cell r="B75" t="str">
            <v>内机电控板</v>
          </cell>
          <cell r="C75" t="str">
            <v>693-C23I1A-PC 0011801652A</v>
          </cell>
          <cell r="D75">
            <v>1900</v>
          </cell>
          <cell r="E75">
            <v>2005</v>
          </cell>
          <cell r="F75" t="str">
            <v/>
          </cell>
          <cell r="G75" t="str">
            <v>PCS</v>
          </cell>
          <cell r="H75" t="str">
            <v/>
          </cell>
          <cell r="I75" t="str">
            <v/>
          </cell>
          <cell r="J75" t="str">
            <v/>
          </cell>
          <cell r="K75">
            <v>4</v>
          </cell>
        </row>
        <row r="76">
          <cell r="A76">
            <v>10880030920</v>
          </cell>
          <cell r="B76" t="str">
            <v>家用空调电控板</v>
          </cell>
          <cell r="C76" t="str">
            <v>693-B23G9A-PC  0011801424AT</v>
          </cell>
          <cell r="D76">
            <v>1900</v>
          </cell>
          <cell r="E76">
            <v>2005</v>
          </cell>
          <cell r="F76" t="str">
            <v/>
          </cell>
          <cell r="G76" t="str">
            <v>PCS</v>
          </cell>
          <cell r="H76" t="str">
            <v/>
          </cell>
          <cell r="I76" t="str">
            <v/>
          </cell>
          <cell r="J76" t="str">
            <v/>
          </cell>
          <cell r="K76">
            <v>324</v>
          </cell>
        </row>
        <row r="77">
          <cell r="A77">
            <v>10880030932</v>
          </cell>
          <cell r="B77" t="str">
            <v>净水534A电控板</v>
          </cell>
          <cell r="C77" t="str">
            <v>693-C2328B-PC 0190400534A</v>
          </cell>
          <cell r="D77">
            <v>1900</v>
          </cell>
          <cell r="E77">
            <v>2005</v>
          </cell>
          <cell r="F77" t="str">
            <v/>
          </cell>
          <cell r="G77" t="str">
            <v>PCS</v>
          </cell>
          <cell r="H77" t="str">
            <v/>
          </cell>
          <cell r="I77" t="str">
            <v/>
          </cell>
          <cell r="J77" t="str">
            <v/>
          </cell>
          <cell r="K77">
            <v>300</v>
          </cell>
        </row>
        <row r="78">
          <cell r="A78">
            <v>10880031072</v>
          </cell>
          <cell r="B78" t="str">
            <v>净水908电控板</v>
          </cell>
          <cell r="C78" t="str">
            <v>2006-C2301A-PC 888000908</v>
          </cell>
          <cell r="D78">
            <v>1900</v>
          </cell>
          <cell r="E78">
            <v>2005</v>
          </cell>
          <cell r="F78" t="str">
            <v/>
          </cell>
          <cell r="G78" t="str">
            <v>PCS</v>
          </cell>
          <cell r="H78" t="str">
            <v/>
          </cell>
          <cell r="I78" t="str">
            <v/>
          </cell>
          <cell r="J78" t="str">
            <v/>
          </cell>
          <cell r="K78">
            <v>29</v>
          </cell>
        </row>
        <row r="79">
          <cell r="A79">
            <v>10880031096</v>
          </cell>
          <cell r="B79" t="str">
            <v>净水1414电控板</v>
          </cell>
          <cell r="C79" t="str">
            <v>2006-C2301B-PC 888001414</v>
          </cell>
          <cell r="D79">
            <v>1900</v>
          </cell>
          <cell r="E79">
            <v>2005</v>
          </cell>
          <cell r="F79" t="str">
            <v/>
          </cell>
          <cell r="G79" t="str">
            <v>PCS</v>
          </cell>
          <cell r="H79" t="str">
            <v/>
          </cell>
          <cell r="I79" t="str">
            <v/>
          </cell>
          <cell r="J79" t="str">
            <v/>
          </cell>
          <cell r="K79">
            <v>39</v>
          </cell>
        </row>
        <row r="80">
          <cell r="A80">
            <v>10880031115</v>
          </cell>
          <cell r="B80" t="str">
            <v>空调内机1720B电控板</v>
          </cell>
          <cell r="C80" t="str">
            <v>693-C23K1C-PC 0011801720B</v>
          </cell>
          <cell r="D80">
            <v>1900</v>
          </cell>
          <cell r="E80">
            <v>2005</v>
          </cell>
          <cell r="F80" t="str">
            <v/>
          </cell>
          <cell r="G80" t="str">
            <v>PCS</v>
          </cell>
          <cell r="H80" t="str">
            <v/>
          </cell>
          <cell r="I80" t="str">
            <v/>
          </cell>
          <cell r="J80" t="str">
            <v/>
          </cell>
          <cell r="K80">
            <v>49</v>
          </cell>
        </row>
        <row r="81">
          <cell r="A81">
            <v>10880031182</v>
          </cell>
          <cell r="B81" t="str">
            <v>空调1330G电控板</v>
          </cell>
          <cell r="C81" t="str">
            <v>693-B23G2A-PC 0011801330G</v>
          </cell>
          <cell r="D81">
            <v>1900</v>
          </cell>
          <cell r="E81">
            <v>2005</v>
          </cell>
          <cell r="F81" t="str">
            <v/>
          </cell>
          <cell r="G81" t="str">
            <v>PCS</v>
          </cell>
          <cell r="H81" t="str">
            <v/>
          </cell>
          <cell r="I81" t="str">
            <v/>
          </cell>
          <cell r="J81" t="str">
            <v/>
          </cell>
          <cell r="K81">
            <v>4</v>
          </cell>
        </row>
        <row r="82">
          <cell r="A82">
            <v>10880031183</v>
          </cell>
          <cell r="B82" t="str">
            <v>空调1330H电控板</v>
          </cell>
          <cell r="C82" t="str">
            <v>693-B23G2B-PC 0011801330H</v>
          </cell>
          <cell r="D82">
            <v>1900</v>
          </cell>
          <cell r="E82">
            <v>2005</v>
          </cell>
          <cell r="F82" t="str">
            <v/>
          </cell>
          <cell r="G82" t="str">
            <v>PCS</v>
          </cell>
          <cell r="H82" t="str">
            <v/>
          </cell>
          <cell r="I82" t="str">
            <v/>
          </cell>
          <cell r="J82" t="str">
            <v/>
          </cell>
          <cell r="K82">
            <v>1</v>
          </cell>
        </row>
        <row r="83">
          <cell r="A83">
            <v>10880031184</v>
          </cell>
          <cell r="B83" t="str">
            <v>空调1330J电控板</v>
          </cell>
          <cell r="C83" t="str">
            <v>693-B23G2C-PC 0011801330J</v>
          </cell>
          <cell r="D83">
            <v>1900</v>
          </cell>
          <cell r="E83">
            <v>2005</v>
          </cell>
          <cell r="F83" t="str">
            <v/>
          </cell>
          <cell r="G83" t="str">
            <v>PCS</v>
          </cell>
          <cell r="H83" t="str">
            <v/>
          </cell>
          <cell r="I83" t="str">
            <v/>
          </cell>
          <cell r="J83" t="str">
            <v/>
          </cell>
          <cell r="K83">
            <v>4</v>
          </cell>
        </row>
        <row r="84">
          <cell r="A84">
            <v>10880031185</v>
          </cell>
          <cell r="B84" t="str">
            <v>空调1071E电控板</v>
          </cell>
          <cell r="C84" t="str">
            <v>693-C23I5A-PC 0011801071E</v>
          </cell>
          <cell r="D84">
            <v>1900</v>
          </cell>
          <cell r="E84">
            <v>2005</v>
          </cell>
          <cell r="F84" t="str">
            <v/>
          </cell>
          <cell r="G84" t="str">
            <v>PCS</v>
          </cell>
          <cell r="H84" t="str">
            <v/>
          </cell>
          <cell r="I84" t="str">
            <v/>
          </cell>
          <cell r="J84" t="str">
            <v/>
          </cell>
          <cell r="K84">
            <v>20</v>
          </cell>
        </row>
        <row r="85">
          <cell r="A85">
            <v>10880031242</v>
          </cell>
          <cell r="B85" t="str">
            <v>空调外机1039AM电控板</v>
          </cell>
          <cell r="C85" t="str">
            <v>693-B23I7A-PC 0011801039AM</v>
          </cell>
          <cell r="D85">
            <v>1900</v>
          </cell>
          <cell r="E85">
            <v>2005</v>
          </cell>
          <cell r="F85" t="str">
            <v/>
          </cell>
          <cell r="G85" t="str">
            <v>PCS</v>
          </cell>
          <cell r="H85" t="str">
            <v/>
          </cell>
          <cell r="I85" t="str">
            <v/>
          </cell>
          <cell r="J85" t="str">
            <v/>
          </cell>
          <cell r="K85">
            <v>3</v>
          </cell>
        </row>
        <row r="86">
          <cell r="A86">
            <v>10880031243</v>
          </cell>
          <cell r="B86" t="str">
            <v>空调外机1039AN电控板</v>
          </cell>
          <cell r="C86" t="str">
            <v>693-B23I7B-PC 0011801039AN</v>
          </cell>
          <cell r="D86">
            <v>1900</v>
          </cell>
          <cell r="E86">
            <v>2005</v>
          </cell>
          <cell r="F86" t="str">
            <v/>
          </cell>
          <cell r="G86" t="str">
            <v>PCS</v>
          </cell>
          <cell r="H86" t="str">
            <v/>
          </cell>
          <cell r="I86" t="str">
            <v/>
          </cell>
          <cell r="J86" t="str">
            <v/>
          </cell>
          <cell r="K86">
            <v>3</v>
          </cell>
        </row>
        <row r="87">
          <cell r="A87">
            <v>10880031304</v>
          </cell>
          <cell r="B87" t="str">
            <v>空调主控1482电控板</v>
          </cell>
          <cell r="C87" t="str">
            <v>693-B23K2A-PC 0011801482</v>
          </cell>
          <cell r="D87">
            <v>1900</v>
          </cell>
          <cell r="E87">
            <v>2005</v>
          </cell>
          <cell r="F87" t="str">
            <v/>
          </cell>
          <cell r="G87" t="str">
            <v>PCS</v>
          </cell>
          <cell r="H87" t="str">
            <v/>
          </cell>
          <cell r="I87" t="str">
            <v/>
          </cell>
          <cell r="J87" t="str">
            <v/>
          </cell>
          <cell r="K87">
            <v>13</v>
          </cell>
        </row>
        <row r="88">
          <cell r="A88">
            <v>10880031362</v>
          </cell>
          <cell r="B88" t="str">
            <v>海尔空调1119Q电控板</v>
          </cell>
          <cell r="C88" t="str">
            <v>693-C23C6C-PC 0011801119Q</v>
          </cell>
          <cell r="D88">
            <v>1900</v>
          </cell>
          <cell r="E88">
            <v>2005</v>
          </cell>
          <cell r="F88" t="str">
            <v/>
          </cell>
          <cell r="G88" t="str">
            <v>PCS</v>
          </cell>
          <cell r="H88" t="str">
            <v/>
          </cell>
          <cell r="I88" t="str">
            <v/>
          </cell>
          <cell r="J88" t="str">
            <v/>
          </cell>
          <cell r="K88">
            <v>2</v>
          </cell>
        </row>
        <row r="89">
          <cell r="A89">
            <v>10880031812</v>
          </cell>
          <cell r="B89" t="str">
            <v>净水527B显示板</v>
          </cell>
          <cell r="C89" t="str">
            <v>693-C2325D-D 0190400527B</v>
          </cell>
          <cell r="D89">
            <v>1900</v>
          </cell>
          <cell r="E89">
            <v>2005</v>
          </cell>
          <cell r="F89" t="str">
            <v/>
          </cell>
          <cell r="G89" t="str">
            <v>PCS</v>
          </cell>
          <cell r="H89" t="str">
            <v/>
          </cell>
          <cell r="I89" t="str">
            <v/>
          </cell>
          <cell r="J89" t="str">
            <v/>
          </cell>
          <cell r="K89">
            <v>432</v>
          </cell>
        </row>
        <row r="90">
          <cell r="A90">
            <v>10880031847</v>
          </cell>
          <cell r="B90" t="str">
            <v>家用空调1516D电控板</v>
          </cell>
          <cell r="C90" t="str">
            <v>693-C2352C-PC 0011801516D</v>
          </cell>
          <cell r="D90">
            <v>1900</v>
          </cell>
          <cell r="E90">
            <v>2005</v>
          </cell>
          <cell r="F90" t="str">
            <v/>
          </cell>
          <cell r="G90" t="str">
            <v>PCS</v>
          </cell>
          <cell r="H90" t="str">
            <v/>
          </cell>
          <cell r="I90" t="str">
            <v/>
          </cell>
          <cell r="J90" t="str">
            <v/>
          </cell>
          <cell r="K90">
            <v>16</v>
          </cell>
        </row>
        <row r="91">
          <cell r="A91">
            <v>10880031869</v>
          </cell>
          <cell r="B91" t="str">
            <v>海尔热泵变频电控板</v>
          </cell>
          <cell r="C91" t="str">
            <v>693-B2301C-PC 0041801545A</v>
          </cell>
          <cell r="D91">
            <v>1900</v>
          </cell>
          <cell r="E91">
            <v>2005</v>
          </cell>
          <cell r="F91" t="str">
            <v/>
          </cell>
          <cell r="G91" t="str">
            <v>PCS</v>
          </cell>
          <cell r="H91" t="str">
            <v/>
          </cell>
          <cell r="I91" t="str">
            <v/>
          </cell>
          <cell r="J91" t="str">
            <v/>
          </cell>
          <cell r="K91">
            <v>20</v>
          </cell>
        </row>
        <row r="92">
          <cell r="A92">
            <v>10880031871</v>
          </cell>
          <cell r="B92" t="str">
            <v>海尔太阳能热水器电控板</v>
          </cell>
          <cell r="C92" t="str">
            <v>693-C2412A-PC 0041801687</v>
          </cell>
          <cell r="D92">
            <v>1900</v>
          </cell>
          <cell r="E92">
            <v>2005</v>
          </cell>
          <cell r="F92" t="str">
            <v/>
          </cell>
          <cell r="G92" t="str">
            <v>PCS</v>
          </cell>
          <cell r="H92" t="str">
            <v/>
          </cell>
          <cell r="I92" t="str">
            <v/>
          </cell>
          <cell r="J92" t="str">
            <v/>
          </cell>
          <cell r="K92">
            <v>15</v>
          </cell>
        </row>
        <row r="93">
          <cell r="A93">
            <v>10880032322</v>
          </cell>
          <cell r="B93" t="str">
            <v>净水主控板534D电控板</v>
          </cell>
          <cell r="C93" t="str">
            <v>693-C2328D-PC 0190400534D</v>
          </cell>
          <cell r="D93">
            <v>1900</v>
          </cell>
          <cell r="E93">
            <v>2005</v>
          </cell>
          <cell r="F93" t="str">
            <v/>
          </cell>
          <cell r="G93" t="str">
            <v>PCS</v>
          </cell>
          <cell r="H93" t="str">
            <v/>
          </cell>
          <cell r="I93" t="str">
            <v/>
          </cell>
          <cell r="J93" t="str">
            <v/>
          </cell>
          <cell r="K93">
            <v>500</v>
          </cell>
        </row>
        <row r="94">
          <cell r="A94">
            <v>10880032383</v>
          </cell>
          <cell r="B94" t="str">
            <v>冰箱远场拾音板</v>
          </cell>
          <cell r="C94" t="str">
            <v>201-A2412A-X G0020 3677805 BCD-600W MIC&amp;</v>
          </cell>
          <cell r="D94">
            <v>1900</v>
          </cell>
          <cell r="E94">
            <v>2005</v>
          </cell>
          <cell r="F94" t="str">
            <v/>
          </cell>
          <cell r="G94" t="str">
            <v>PCS</v>
          </cell>
          <cell r="H94" t="str">
            <v/>
          </cell>
          <cell r="I94" t="str">
            <v/>
          </cell>
          <cell r="J94" t="str">
            <v/>
          </cell>
          <cell r="K94">
            <v>174</v>
          </cell>
        </row>
        <row r="95">
          <cell r="A95">
            <v>10880032479</v>
          </cell>
          <cell r="B95" t="str">
            <v>海尔空调内机电控板</v>
          </cell>
          <cell r="C95" t="str">
            <v>693-C2441A-PC  0011801583A    锡膏工艺</v>
          </cell>
          <cell r="D95">
            <v>1900</v>
          </cell>
          <cell r="E95">
            <v>2005</v>
          </cell>
          <cell r="F95" t="str">
            <v/>
          </cell>
          <cell r="G95" t="str">
            <v>PCS</v>
          </cell>
          <cell r="H95" t="str">
            <v/>
          </cell>
          <cell r="I95" t="str">
            <v/>
          </cell>
          <cell r="J95" t="str">
            <v/>
          </cell>
          <cell r="K95">
            <v>5</v>
          </cell>
        </row>
        <row r="96">
          <cell r="A96">
            <v>10880032945</v>
          </cell>
          <cell r="B96" t="str">
            <v>洗衣机电控板</v>
          </cell>
          <cell r="C96" t="str">
            <v>2189-B2401C-PC 2397168</v>
          </cell>
          <cell r="D96">
            <v>1900</v>
          </cell>
          <cell r="E96">
            <v>2005</v>
          </cell>
          <cell r="F96" t="str">
            <v/>
          </cell>
          <cell r="G96" t="str">
            <v>PCS</v>
          </cell>
          <cell r="H96" t="str">
            <v/>
          </cell>
          <cell r="I96" t="str">
            <v/>
          </cell>
          <cell r="J96" t="str">
            <v/>
          </cell>
          <cell r="K96">
            <v>10</v>
          </cell>
        </row>
        <row r="97">
          <cell r="A97">
            <v>10880033136</v>
          </cell>
          <cell r="B97" t="str">
            <v>空调电控板</v>
          </cell>
          <cell r="C97" t="str">
            <v>500323-B24A6C-PC 0011801490E</v>
          </cell>
          <cell r="D97">
            <v>1900</v>
          </cell>
          <cell r="E97">
            <v>2005</v>
          </cell>
          <cell r="F97" t="str">
            <v/>
          </cell>
          <cell r="G97" t="str">
            <v>PCS</v>
          </cell>
          <cell r="H97" t="str">
            <v/>
          </cell>
          <cell r="I97" t="str">
            <v/>
          </cell>
          <cell r="J97" t="str">
            <v/>
          </cell>
          <cell r="K97">
            <v>27</v>
          </cell>
        </row>
        <row r="98">
          <cell r="A98">
            <v>10880033217</v>
          </cell>
          <cell r="B98" t="str">
            <v>空调电控板</v>
          </cell>
          <cell r="C98" t="str">
            <v>500323-C2488A-PC 0011801482A</v>
          </cell>
          <cell r="D98">
            <v>1900</v>
          </cell>
          <cell r="E98">
            <v>2005</v>
          </cell>
          <cell r="F98" t="str">
            <v/>
          </cell>
          <cell r="G98" t="str">
            <v>PCS</v>
          </cell>
          <cell r="H98" t="str">
            <v/>
          </cell>
          <cell r="I98" t="str">
            <v/>
          </cell>
          <cell r="J98" t="str">
            <v/>
          </cell>
          <cell r="K98">
            <v>15</v>
          </cell>
        </row>
        <row r="99">
          <cell r="A99">
            <v>10880033251</v>
          </cell>
          <cell r="B99" t="str">
            <v>空调电控板</v>
          </cell>
          <cell r="C99" t="str">
            <v>500323-C24A3A-PC 0011801850</v>
          </cell>
          <cell r="D99">
            <v>1900</v>
          </cell>
          <cell r="E99">
            <v>2005</v>
          </cell>
          <cell r="F99" t="str">
            <v/>
          </cell>
          <cell r="G99" t="str">
            <v>PCS</v>
          </cell>
          <cell r="H99" t="str">
            <v/>
          </cell>
          <cell r="I99" t="str">
            <v/>
          </cell>
          <cell r="J99" t="str">
            <v/>
          </cell>
          <cell r="K99">
            <v>10</v>
          </cell>
        </row>
        <row r="100">
          <cell r="A100">
            <v>10880033252</v>
          </cell>
          <cell r="B100" t="str">
            <v>空调电控板</v>
          </cell>
          <cell r="C100" t="str">
            <v>500323-C24A3B-PC 0011801850A</v>
          </cell>
          <cell r="D100">
            <v>1900</v>
          </cell>
          <cell r="E100">
            <v>2005</v>
          </cell>
          <cell r="F100" t="str">
            <v/>
          </cell>
          <cell r="G100" t="str">
            <v>PCS</v>
          </cell>
          <cell r="H100" t="str">
            <v/>
          </cell>
          <cell r="I100" t="str">
            <v/>
          </cell>
          <cell r="J100" t="str">
            <v/>
          </cell>
          <cell r="K100">
            <v>15</v>
          </cell>
        </row>
        <row r="101">
          <cell r="A101">
            <v>10880033273</v>
          </cell>
          <cell r="B101" t="str">
            <v>空调电控板</v>
          </cell>
          <cell r="C101" t="str">
            <v>500323-C2492A-PC 0011801424BG</v>
          </cell>
          <cell r="D101">
            <v>1900</v>
          </cell>
          <cell r="E101">
            <v>2005</v>
          </cell>
          <cell r="F101" t="str">
            <v/>
          </cell>
          <cell r="G101" t="str">
            <v>PCS</v>
          </cell>
          <cell r="H101" t="str">
            <v/>
          </cell>
          <cell r="I101" t="str">
            <v/>
          </cell>
          <cell r="J101" t="str">
            <v/>
          </cell>
          <cell r="K101">
            <v>322</v>
          </cell>
        </row>
        <row r="102">
          <cell r="A102">
            <v>10880033279</v>
          </cell>
          <cell r="B102" t="str">
            <v>空调电控板</v>
          </cell>
          <cell r="C102" t="str">
            <v>500323-C2491A-PC 0011801656A</v>
          </cell>
          <cell r="D102">
            <v>1900</v>
          </cell>
          <cell r="E102">
            <v>2005</v>
          </cell>
          <cell r="F102" t="str">
            <v/>
          </cell>
          <cell r="G102" t="str">
            <v>PCS</v>
          </cell>
          <cell r="H102" t="str">
            <v/>
          </cell>
          <cell r="I102" t="str">
            <v/>
          </cell>
          <cell r="J102" t="str">
            <v/>
          </cell>
          <cell r="K102">
            <v>13</v>
          </cell>
        </row>
        <row r="103">
          <cell r="A103">
            <v>10880033280</v>
          </cell>
          <cell r="B103" t="str">
            <v>空调电控板</v>
          </cell>
          <cell r="C103" t="str">
            <v>500323-C2491B-PC 0011801657A</v>
          </cell>
          <cell r="D103">
            <v>1900</v>
          </cell>
          <cell r="E103">
            <v>2005</v>
          </cell>
          <cell r="F103" t="str">
            <v/>
          </cell>
          <cell r="G103" t="str">
            <v>PCS</v>
          </cell>
          <cell r="H103" t="str">
            <v/>
          </cell>
          <cell r="I103" t="str">
            <v/>
          </cell>
          <cell r="J103" t="str">
            <v/>
          </cell>
          <cell r="K103">
            <v>5</v>
          </cell>
        </row>
        <row r="104">
          <cell r="A104">
            <v>10880033296</v>
          </cell>
          <cell r="B104" t="str">
            <v>净水器显示板</v>
          </cell>
          <cell r="C104" t="str">
            <v>500325-C2402D-D 888001871-415C</v>
          </cell>
          <cell r="D104">
            <v>1900</v>
          </cell>
          <cell r="E104">
            <v>2005</v>
          </cell>
          <cell r="F104" t="str">
            <v/>
          </cell>
          <cell r="G104" t="str">
            <v>PCS</v>
          </cell>
          <cell r="H104" t="str">
            <v/>
          </cell>
          <cell r="I104" t="str">
            <v/>
          </cell>
          <cell r="J104" t="str">
            <v/>
          </cell>
          <cell r="K104">
            <v>18</v>
          </cell>
        </row>
        <row r="105">
          <cell r="A105">
            <v>10880033312</v>
          </cell>
          <cell r="B105" t="str">
            <v>空调电控板</v>
          </cell>
          <cell r="C105" t="str">
            <v>500323-C2496A-PC 0011801423AS</v>
          </cell>
          <cell r="D105">
            <v>1900</v>
          </cell>
          <cell r="E105">
            <v>2005</v>
          </cell>
          <cell r="F105" t="str">
            <v/>
          </cell>
          <cell r="G105" t="str">
            <v>PCS</v>
          </cell>
          <cell r="H105" t="str">
            <v/>
          </cell>
          <cell r="I105" t="str">
            <v/>
          </cell>
          <cell r="J105" t="str">
            <v/>
          </cell>
          <cell r="K105">
            <v>1751</v>
          </cell>
        </row>
        <row r="106">
          <cell r="A106">
            <v>10880033329</v>
          </cell>
          <cell r="B106" t="str">
            <v>空调电控板</v>
          </cell>
          <cell r="C106" t="str">
            <v>500323-C24A9A-PC 0011801490S</v>
          </cell>
          <cell r="D106">
            <v>1900</v>
          </cell>
          <cell r="E106">
            <v>2005</v>
          </cell>
          <cell r="F106" t="str">
            <v/>
          </cell>
          <cell r="G106" t="str">
            <v>PCS</v>
          </cell>
          <cell r="H106" t="str">
            <v/>
          </cell>
          <cell r="I106" t="str">
            <v/>
          </cell>
          <cell r="J106" t="str">
            <v/>
          </cell>
          <cell r="K106">
            <v>58</v>
          </cell>
        </row>
        <row r="107">
          <cell r="A107">
            <v>10880033367</v>
          </cell>
          <cell r="B107" t="str">
            <v>空调电控板</v>
          </cell>
          <cell r="C107" t="str">
            <v>500323-C2493A-PC 0011801583R</v>
          </cell>
          <cell r="D107">
            <v>1900</v>
          </cell>
          <cell r="E107">
            <v>2005</v>
          </cell>
          <cell r="F107" t="str">
            <v/>
          </cell>
          <cell r="G107" t="str">
            <v>PCS</v>
          </cell>
          <cell r="H107" t="str">
            <v/>
          </cell>
          <cell r="I107" t="str">
            <v/>
          </cell>
          <cell r="J107" t="str">
            <v/>
          </cell>
          <cell r="K107">
            <v>52</v>
          </cell>
        </row>
        <row r="108">
          <cell r="A108">
            <v>10880033487</v>
          </cell>
          <cell r="B108" t="str">
            <v>热水器电控板</v>
          </cell>
          <cell r="C108" t="str">
            <v>500323-C24F6A-PC 0041801140</v>
          </cell>
          <cell r="D108">
            <v>1900</v>
          </cell>
          <cell r="E108">
            <v>2005</v>
          </cell>
          <cell r="F108" t="str">
            <v/>
          </cell>
          <cell r="G108" t="str">
            <v>PCS</v>
          </cell>
          <cell r="H108" t="str">
            <v/>
          </cell>
          <cell r="I108" t="str">
            <v/>
          </cell>
          <cell r="J108" t="str">
            <v/>
          </cell>
          <cell r="K108">
            <v>4</v>
          </cell>
        </row>
        <row r="109">
          <cell r="A109">
            <v>10880033488</v>
          </cell>
          <cell r="B109" t="str">
            <v>热水器电控板</v>
          </cell>
          <cell r="C109" t="str">
            <v>500323-C24F6B-PC 0041801140A</v>
          </cell>
          <cell r="D109">
            <v>1900</v>
          </cell>
          <cell r="E109">
            <v>2005</v>
          </cell>
          <cell r="F109" t="str">
            <v/>
          </cell>
          <cell r="G109" t="str">
            <v>PCS</v>
          </cell>
          <cell r="H109" t="str">
            <v/>
          </cell>
          <cell r="I109" t="str">
            <v/>
          </cell>
          <cell r="J109" t="str">
            <v/>
          </cell>
          <cell r="K109">
            <v>2</v>
          </cell>
        </row>
        <row r="110">
          <cell r="A110">
            <v>10880033602</v>
          </cell>
          <cell r="B110" t="str">
            <v>空调电控板</v>
          </cell>
          <cell r="C110" t="str">
            <v>500323-C24F7A-PC 0151801003</v>
          </cell>
          <cell r="D110">
            <v>1900</v>
          </cell>
          <cell r="E110">
            <v>2005</v>
          </cell>
          <cell r="F110" t="str">
            <v/>
          </cell>
          <cell r="G110" t="str">
            <v>PCS</v>
          </cell>
          <cell r="H110" t="str">
            <v/>
          </cell>
          <cell r="I110" t="str">
            <v/>
          </cell>
          <cell r="J110" t="str">
            <v/>
          </cell>
          <cell r="K110">
            <v>6</v>
          </cell>
        </row>
        <row r="111">
          <cell r="A111">
            <v>10880033605</v>
          </cell>
          <cell r="B111" t="str">
            <v>空调电控板</v>
          </cell>
          <cell r="C111" t="str">
            <v>500323-C2496G-PC 0011801423AV</v>
          </cell>
          <cell r="D111">
            <v>1900</v>
          </cell>
          <cell r="E111">
            <v>2005</v>
          </cell>
          <cell r="F111" t="str">
            <v/>
          </cell>
          <cell r="G111" t="str">
            <v>PCS</v>
          </cell>
          <cell r="H111" t="str">
            <v/>
          </cell>
          <cell r="I111" t="str">
            <v/>
          </cell>
          <cell r="J111" t="str">
            <v/>
          </cell>
          <cell r="K111">
            <v>63</v>
          </cell>
        </row>
        <row r="112">
          <cell r="A112">
            <v>10880033695</v>
          </cell>
          <cell r="B112" t="str">
            <v>空调显示板</v>
          </cell>
          <cell r="C112" t="str">
            <v>500323-C24I2A-D 0011801917</v>
          </cell>
          <cell r="D112">
            <v>1900</v>
          </cell>
          <cell r="E112">
            <v>2005</v>
          </cell>
          <cell r="F112" t="str">
            <v/>
          </cell>
          <cell r="G112" t="str">
            <v>PCS</v>
          </cell>
          <cell r="H112" t="str">
            <v/>
          </cell>
          <cell r="I112" t="str">
            <v/>
          </cell>
          <cell r="J112" t="str">
            <v/>
          </cell>
          <cell r="K112">
            <v>87</v>
          </cell>
        </row>
        <row r="113">
          <cell r="A113">
            <v>10880033785</v>
          </cell>
          <cell r="B113" t="str">
            <v>洗衣机显示板</v>
          </cell>
          <cell r="C113" t="str">
            <v>500323-C24D2B-D 0021800616C</v>
          </cell>
          <cell r="D113">
            <v>1900</v>
          </cell>
          <cell r="E113">
            <v>2005</v>
          </cell>
          <cell r="F113" t="str">
            <v/>
          </cell>
          <cell r="G113" t="str">
            <v>PCS</v>
          </cell>
          <cell r="H113" t="str">
            <v/>
          </cell>
          <cell r="I113" t="str">
            <v/>
          </cell>
          <cell r="J113" t="str">
            <v/>
          </cell>
          <cell r="K113">
            <v>1</v>
          </cell>
        </row>
        <row r="114">
          <cell r="A114">
            <v>10880033805</v>
          </cell>
          <cell r="B114" t="str">
            <v>空调电控板</v>
          </cell>
          <cell r="C114" t="str">
            <v>500323-C24J3A-PC 0011801890</v>
          </cell>
          <cell r="D114">
            <v>1900</v>
          </cell>
          <cell r="E114">
            <v>2005</v>
          </cell>
          <cell r="F114" t="str">
            <v/>
          </cell>
          <cell r="G114" t="str">
            <v>PCS</v>
          </cell>
          <cell r="H114" t="str">
            <v/>
          </cell>
          <cell r="I114" t="str">
            <v/>
          </cell>
          <cell r="J114" t="str">
            <v/>
          </cell>
          <cell r="K114">
            <v>1</v>
          </cell>
        </row>
        <row r="115">
          <cell r="A115">
            <v>10880033911</v>
          </cell>
          <cell r="B115" t="str">
            <v>空调显示板</v>
          </cell>
          <cell r="C115" t="str">
            <v>500323-C24F3A-D 0011801685</v>
          </cell>
          <cell r="D115">
            <v>1900</v>
          </cell>
          <cell r="E115">
            <v>2005</v>
          </cell>
          <cell r="F115" t="str">
            <v/>
          </cell>
          <cell r="G115" t="str">
            <v>PCS</v>
          </cell>
          <cell r="H115" t="str">
            <v/>
          </cell>
          <cell r="I115" t="str">
            <v/>
          </cell>
          <cell r="J115" t="str">
            <v/>
          </cell>
          <cell r="K115">
            <v>11</v>
          </cell>
        </row>
        <row r="116">
          <cell r="A116">
            <v>10880034194</v>
          </cell>
          <cell r="B116" t="str">
            <v>空调电控板</v>
          </cell>
          <cell r="C116" t="str">
            <v>500323-C24F7B-PC 0151801003C</v>
          </cell>
          <cell r="D116">
            <v>1900</v>
          </cell>
          <cell r="E116">
            <v>2005</v>
          </cell>
          <cell r="F116" t="str">
            <v/>
          </cell>
          <cell r="G116" t="str">
            <v>PCS</v>
          </cell>
          <cell r="H116" t="str">
            <v/>
          </cell>
          <cell r="I116" t="str">
            <v/>
          </cell>
          <cell r="J116" t="str">
            <v/>
          </cell>
          <cell r="K116">
            <v>2</v>
          </cell>
        </row>
        <row r="117">
          <cell r="A117">
            <v>10880034195</v>
          </cell>
          <cell r="B117" t="str">
            <v>空调电控板</v>
          </cell>
          <cell r="C117" t="str">
            <v>500323-C24N5A-PC 0151801031C</v>
          </cell>
          <cell r="D117">
            <v>1900</v>
          </cell>
          <cell r="E117">
            <v>2005</v>
          </cell>
          <cell r="F117" t="str">
            <v/>
          </cell>
          <cell r="G117" t="str">
            <v>PCS</v>
          </cell>
          <cell r="H117" t="str">
            <v/>
          </cell>
          <cell r="I117" t="str">
            <v/>
          </cell>
          <cell r="J117" t="str">
            <v/>
          </cell>
          <cell r="K117">
            <v>52</v>
          </cell>
        </row>
        <row r="118">
          <cell r="A118">
            <v>10880034197</v>
          </cell>
          <cell r="B118" t="str">
            <v>空调电控板</v>
          </cell>
          <cell r="C118" t="str">
            <v>500323-C24N5C-PC 0151801031E</v>
          </cell>
          <cell r="D118">
            <v>1900</v>
          </cell>
          <cell r="E118">
            <v>2005</v>
          </cell>
          <cell r="F118" t="str">
            <v/>
          </cell>
          <cell r="G118" t="str">
            <v>PCS</v>
          </cell>
          <cell r="H118" t="str">
            <v/>
          </cell>
          <cell r="I118" t="str">
            <v/>
          </cell>
          <cell r="J118" t="str">
            <v/>
          </cell>
          <cell r="K118">
            <v>34</v>
          </cell>
        </row>
        <row r="119">
          <cell r="A119">
            <v>10880034198</v>
          </cell>
          <cell r="B119" t="str">
            <v>空调电控板</v>
          </cell>
          <cell r="C119" t="str">
            <v>500323-C24L2A-PC 0011801889</v>
          </cell>
          <cell r="D119">
            <v>1900</v>
          </cell>
          <cell r="E119">
            <v>2005</v>
          </cell>
          <cell r="F119" t="str">
            <v/>
          </cell>
          <cell r="G119" t="str">
            <v>PCS</v>
          </cell>
          <cell r="H119" t="str">
            <v/>
          </cell>
          <cell r="I119" t="str">
            <v/>
          </cell>
          <cell r="J119" t="str">
            <v/>
          </cell>
          <cell r="K119">
            <v>82</v>
          </cell>
        </row>
        <row r="120">
          <cell r="A120">
            <v>10880034251</v>
          </cell>
          <cell r="B120" t="str">
            <v>洗衣机显示板</v>
          </cell>
          <cell r="C120" t="str">
            <v>500323-C24D2C-D 0021800616A</v>
          </cell>
          <cell r="D120">
            <v>1900</v>
          </cell>
          <cell r="E120">
            <v>2005</v>
          </cell>
          <cell r="F120" t="str">
            <v/>
          </cell>
          <cell r="G120" t="str">
            <v>PCS</v>
          </cell>
          <cell r="H120" t="str">
            <v/>
          </cell>
          <cell r="I120" t="str">
            <v/>
          </cell>
          <cell r="J120" t="str">
            <v/>
          </cell>
          <cell r="K120">
            <v>3</v>
          </cell>
        </row>
        <row r="121">
          <cell r="A121">
            <v>10880034384</v>
          </cell>
          <cell r="B121" t="str">
            <v>净水器显示板</v>
          </cell>
          <cell r="C121" t="str">
            <v>500325-C2402G-D 888002542(415AA)</v>
          </cell>
          <cell r="D121">
            <v>1900</v>
          </cell>
          <cell r="E121">
            <v>2005</v>
          </cell>
          <cell r="F121" t="str">
            <v/>
          </cell>
          <cell r="G121" t="str">
            <v>PCS</v>
          </cell>
          <cell r="H121" t="str">
            <v/>
          </cell>
          <cell r="I121" t="str">
            <v/>
          </cell>
          <cell r="J121" t="str">
            <v/>
          </cell>
          <cell r="K121">
            <v>1</v>
          </cell>
        </row>
        <row r="122">
          <cell r="A122">
            <v>10880034385</v>
          </cell>
          <cell r="B122" t="str">
            <v>净水器显示板</v>
          </cell>
          <cell r="C122" t="str">
            <v>500325-C2402H-D 888002452(415AB)</v>
          </cell>
          <cell r="D122">
            <v>1900</v>
          </cell>
          <cell r="E122">
            <v>2005</v>
          </cell>
          <cell r="F122" t="str">
            <v/>
          </cell>
          <cell r="G122" t="str">
            <v>PCS</v>
          </cell>
          <cell r="H122" t="str">
            <v/>
          </cell>
          <cell r="I122" t="str">
            <v/>
          </cell>
          <cell r="J122" t="str">
            <v/>
          </cell>
          <cell r="K122">
            <v>588</v>
          </cell>
        </row>
        <row r="123">
          <cell r="A123">
            <v>10880034554</v>
          </cell>
          <cell r="B123" t="str">
            <v>净水器电控板</v>
          </cell>
          <cell r="C123" t="str">
            <v>693-B2287D-PC 0190400359AB</v>
          </cell>
          <cell r="D123">
            <v>1900</v>
          </cell>
          <cell r="E123">
            <v>2005</v>
          </cell>
          <cell r="F123" t="str">
            <v/>
          </cell>
          <cell r="G123" t="str">
            <v>PCS</v>
          </cell>
          <cell r="H123" t="str">
            <v/>
          </cell>
          <cell r="I123" t="str">
            <v/>
          </cell>
          <cell r="J123" t="str">
            <v/>
          </cell>
          <cell r="K123">
            <v>2</v>
          </cell>
        </row>
        <row r="124">
          <cell r="A124">
            <v>10880034562</v>
          </cell>
          <cell r="B124" t="str">
            <v>空调电控板</v>
          </cell>
          <cell r="C124" t="str">
            <v>500323-C2496K-PC 0011801423AX</v>
          </cell>
          <cell r="D124">
            <v>1900</v>
          </cell>
          <cell r="E124">
            <v>2005</v>
          </cell>
          <cell r="F124" t="str">
            <v/>
          </cell>
          <cell r="G124" t="str">
            <v>PCS</v>
          </cell>
          <cell r="H124" t="str">
            <v/>
          </cell>
          <cell r="I124" t="str">
            <v/>
          </cell>
          <cell r="J124" t="str">
            <v/>
          </cell>
          <cell r="K124">
            <v>664</v>
          </cell>
        </row>
        <row r="125">
          <cell r="A125">
            <v>10880034563</v>
          </cell>
          <cell r="B125" t="str">
            <v>空调电控板</v>
          </cell>
          <cell r="C125" t="str">
            <v>500323-C2496L-PC 0011801423AL</v>
          </cell>
          <cell r="D125">
            <v>1900</v>
          </cell>
          <cell r="E125">
            <v>2005</v>
          </cell>
          <cell r="F125" t="str">
            <v/>
          </cell>
          <cell r="G125" t="str">
            <v>PCS</v>
          </cell>
          <cell r="H125" t="str">
            <v/>
          </cell>
          <cell r="I125" t="str">
            <v/>
          </cell>
          <cell r="J125" t="str">
            <v/>
          </cell>
          <cell r="K125">
            <v>403</v>
          </cell>
        </row>
        <row r="126">
          <cell r="A126">
            <v>10880034565</v>
          </cell>
          <cell r="B126" t="str">
            <v>空调电控板</v>
          </cell>
          <cell r="C126" t="str">
            <v>500323-C24L6C-PC 0011801172DG</v>
          </cell>
          <cell r="D126">
            <v>1900</v>
          </cell>
          <cell r="E126">
            <v>2005</v>
          </cell>
          <cell r="F126" t="str">
            <v/>
          </cell>
          <cell r="G126" t="str">
            <v>PCS</v>
          </cell>
          <cell r="H126" t="str">
            <v/>
          </cell>
          <cell r="I126" t="str">
            <v/>
          </cell>
          <cell r="J126" t="str">
            <v/>
          </cell>
          <cell r="K126">
            <v>26</v>
          </cell>
        </row>
        <row r="127">
          <cell r="A127">
            <v>10880034669</v>
          </cell>
          <cell r="B127" t="str">
            <v>洗衣机电控板</v>
          </cell>
          <cell r="C127" t="str">
            <v>693-C2413A-PC 0181800103 加水泥电阻</v>
          </cell>
          <cell r="D127">
            <v>1900</v>
          </cell>
          <cell r="E127">
            <v>2005</v>
          </cell>
          <cell r="F127" t="str">
            <v/>
          </cell>
          <cell r="G127" t="str">
            <v>PCS</v>
          </cell>
          <cell r="H127" t="str">
            <v/>
          </cell>
          <cell r="I127" t="str">
            <v/>
          </cell>
          <cell r="J127" t="str">
            <v/>
          </cell>
          <cell r="K127">
            <v>23</v>
          </cell>
        </row>
        <row r="128">
          <cell r="A128">
            <v>10880034957</v>
          </cell>
          <cell r="B128" t="str">
            <v>空调电控板</v>
          </cell>
          <cell r="C128" t="str">
            <v>500323-C24N9H-PC 0011801490AZ</v>
          </cell>
          <cell r="D128">
            <v>1900</v>
          </cell>
          <cell r="E128">
            <v>2005</v>
          </cell>
          <cell r="F128" t="str">
            <v/>
          </cell>
          <cell r="G128" t="str">
            <v>PCS</v>
          </cell>
          <cell r="H128" t="str">
            <v/>
          </cell>
          <cell r="I128" t="str">
            <v/>
          </cell>
          <cell r="J128" t="str">
            <v/>
          </cell>
          <cell r="K128">
            <v>1</v>
          </cell>
        </row>
        <row r="129">
          <cell r="A129">
            <v>10880035166</v>
          </cell>
          <cell r="B129" t="str">
            <v>空调电控板</v>
          </cell>
          <cell r="C129" t="str">
            <v>500323-C24N5D-PC 0151801031F</v>
          </cell>
          <cell r="D129">
            <v>1900</v>
          </cell>
          <cell r="E129">
            <v>2005</v>
          </cell>
          <cell r="F129" t="str">
            <v/>
          </cell>
          <cell r="G129" t="str">
            <v>PCS</v>
          </cell>
          <cell r="H129" t="str">
            <v/>
          </cell>
          <cell r="I129" t="str">
            <v/>
          </cell>
          <cell r="J129" t="str">
            <v/>
          </cell>
          <cell r="K129">
            <v>14</v>
          </cell>
        </row>
        <row r="130">
          <cell r="A130">
            <v>10880035169</v>
          </cell>
          <cell r="B130" t="str">
            <v>空调电控板</v>
          </cell>
          <cell r="C130" t="str">
            <v>693-C23I5B-PC 0011801071K</v>
          </cell>
          <cell r="D130">
            <v>1900</v>
          </cell>
          <cell r="E130">
            <v>2005</v>
          </cell>
          <cell r="F130" t="str">
            <v/>
          </cell>
          <cell r="G130" t="str">
            <v>PCS</v>
          </cell>
          <cell r="H130" t="str">
            <v/>
          </cell>
          <cell r="I130" t="str">
            <v/>
          </cell>
          <cell r="J130" t="str">
            <v/>
          </cell>
          <cell r="K130">
            <v>843</v>
          </cell>
        </row>
        <row r="131">
          <cell r="A131">
            <v>10880035196</v>
          </cell>
          <cell r="B131" t="str">
            <v>空调电控板</v>
          </cell>
          <cell r="C131" t="str">
            <v>500323-C24N9M-PC 0011801490BP</v>
          </cell>
          <cell r="D131">
            <v>1900</v>
          </cell>
          <cell r="E131">
            <v>2005</v>
          </cell>
          <cell r="F131" t="str">
            <v/>
          </cell>
          <cell r="G131" t="str">
            <v>PCS</v>
          </cell>
          <cell r="H131" t="str">
            <v/>
          </cell>
          <cell r="I131" t="str">
            <v/>
          </cell>
          <cell r="J131" t="str">
            <v/>
          </cell>
          <cell r="K131">
            <v>3</v>
          </cell>
        </row>
        <row r="132">
          <cell r="A132">
            <v>10880035235</v>
          </cell>
          <cell r="B132" t="str">
            <v>洗衣机通讯板</v>
          </cell>
          <cell r="C132" t="str">
            <v>500493-C2504A-CB 2468085</v>
          </cell>
          <cell r="D132">
            <v>1900</v>
          </cell>
          <cell r="E132">
            <v>2005</v>
          </cell>
          <cell r="F132" t="str">
            <v/>
          </cell>
          <cell r="G132" t="str">
            <v>PCS</v>
          </cell>
          <cell r="H132" t="str">
            <v/>
          </cell>
          <cell r="I132" t="str">
            <v/>
          </cell>
          <cell r="J132" t="str">
            <v/>
          </cell>
          <cell r="K132">
            <v>374</v>
          </cell>
        </row>
        <row r="133">
          <cell r="A133">
            <v>10880035265</v>
          </cell>
          <cell r="B133" t="str">
            <v>空调电控板</v>
          </cell>
          <cell r="C133" t="str">
            <v>500323-B2515B-PC 0011801490JZ</v>
          </cell>
          <cell r="D133">
            <v>1900</v>
          </cell>
          <cell r="E133">
            <v>2005</v>
          </cell>
          <cell r="F133" t="str">
            <v/>
          </cell>
          <cell r="G133" t="str">
            <v>PCS</v>
          </cell>
          <cell r="H133" t="str">
            <v/>
          </cell>
          <cell r="I133" t="str">
            <v/>
          </cell>
          <cell r="J133" t="str">
            <v/>
          </cell>
          <cell r="K133">
            <v>13</v>
          </cell>
        </row>
        <row r="134">
          <cell r="A134">
            <v>10880035513</v>
          </cell>
          <cell r="B134" t="str">
            <v>空调电控板</v>
          </cell>
          <cell r="C134" t="str">
            <v>693-C2513A-PC G0044 0011800537F</v>
          </cell>
          <cell r="D134">
            <v>1900</v>
          </cell>
          <cell r="E134">
            <v>2005</v>
          </cell>
          <cell r="F134" t="str">
            <v/>
          </cell>
          <cell r="G134" t="str">
            <v>PCS</v>
          </cell>
          <cell r="H134" t="str">
            <v/>
          </cell>
          <cell r="I134" t="str">
            <v/>
          </cell>
          <cell r="J134" t="str">
            <v/>
          </cell>
          <cell r="K134">
            <v>89</v>
          </cell>
        </row>
        <row r="135">
          <cell r="A135">
            <v>10880035661</v>
          </cell>
          <cell r="B135" t="str">
            <v>空调电控板</v>
          </cell>
          <cell r="C135" t="str">
            <v>693-C2534G-PC G0044 0011801843Y</v>
          </cell>
          <cell r="D135">
            <v>1900</v>
          </cell>
          <cell r="E135">
            <v>2005</v>
          </cell>
          <cell r="F135" t="str">
            <v/>
          </cell>
          <cell r="G135" t="str">
            <v>PCS</v>
          </cell>
          <cell r="H135" t="str">
            <v/>
          </cell>
          <cell r="I135" t="str">
            <v/>
          </cell>
          <cell r="J135" t="str">
            <v/>
          </cell>
          <cell r="K135">
            <v>83</v>
          </cell>
        </row>
        <row r="136">
          <cell r="A136">
            <v>10880035721</v>
          </cell>
          <cell r="B136" t="str">
            <v>空调电控板</v>
          </cell>
          <cell r="C136" t="str">
            <v>500323-C2508C-PC G0044 0011801824B</v>
          </cell>
          <cell r="D136">
            <v>1900</v>
          </cell>
          <cell r="E136">
            <v>2005</v>
          </cell>
          <cell r="F136" t="str">
            <v/>
          </cell>
          <cell r="G136" t="str">
            <v>PCS</v>
          </cell>
          <cell r="H136" t="str">
            <v/>
          </cell>
          <cell r="I136" t="str">
            <v/>
          </cell>
          <cell r="J136" t="str">
            <v/>
          </cell>
          <cell r="K136">
            <v>2045</v>
          </cell>
        </row>
        <row r="137">
          <cell r="A137">
            <v>10880035754</v>
          </cell>
          <cell r="B137" t="str">
            <v>空调显示板</v>
          </cell>
          <cell r="C137" t="str">
            <v>500323-C24G5A-D G0044 0011801911 新</v>
          </cell>
          <cell r="D137">
            <v>1900</v>
          </cell>
          <cell r="E137">
            <v>2005</v>
          </cell>
          <cell r="F137" t="str">
            <v/>
          </cell>
          <cell r="G137" t="str">
            <v>PCS</v>
          </cell>
          <cell r="H137" t="str">
            <v/>
          </cell>
          <cell r="I137" t="str">
            <v/>
          </cell>
          <cell r="J137" t="str">
            <v/>
          </cell>
          <cell r="K137">
            <v>3</v>
          </cell>
        </row>
        <row r="138">
          <cell r="A138">
            <v>10880035788</v>
          </cell>
          <cell r="B138" t="str">
            <v>空调电控板</v>
          </cell>
          <cell r="C138" t="str">
            <v>693-C2516E-PC G0044 0011801675AF</v>
          </cell>
          <cell r="D138">
            <v>1900</v>
          </cell>
          <cell r="E138">
            <v>2005</v>
          </cell>
          <cell r="F138" t="str">
            <v/>
          </cell>
          <cell r="G138" t="str">
            <v>PCS</v>
          </cell>
          <cell r="H138" t="str">
            <v/>
          </cell>
          <cell r="I138" t="str">
            <v/>
          </cell>
          <cell r="J138" t="str">
            <v/>
          </cell>
          <cell r="K138">
            <v>2</v>
          </cell>
        </row>
        <row r="139">
          <cell r="A139">
            <v>10880035986</v>
          </cell>
          <cell r="B139" t="str">
            <v>洗衣机显示板</v>
          </cell>
          <cell r="C139" t="str">
            <v>500493-B2407E-D G0020 2491646</v>
          </cell>
          <cell r="D139">
            <v>1900</v>
          </cell>
          <cell r="E139">
            <v>2005</v>
          </cell>
          <cell r="F139" t="str">
            <v/>
          </cell>
          <cell r="G139" t="str">
            <v>PCS</v>
          </cell>
          <cell r="H139" t="str">
            <v/>
          </cell>
          <cell r="I139" t="str">
            <v/>
          </cell>
          <cell r="J139" t="str">
            <v/>
          </cell>
          <cell r="K139">
            <v>1</v>
          </cell>
        </row>
        <row r="140">
          <cell r="A140">
            <v>10880036044</v>
          </cell>
          <cell r="B140" t="str">
            <v>热水器电控板</v>
          </cell>
          <cell r="C140" t="str">
            <v>693-B2301E-PC G0044 0041801545AA</v>
          </cell>
          <cell r="D140">
            <v>1900</v>
          </cell>
          <cell r="E140">
            <v>2005</v>
          </cell>
          <cell r="F140" t="str">
            <v/>
          </cell>
          <cell r="G140" t="str">
            <v>PCS</v>
          </cell>
          <cell r="H140" t="str">
            <v/>
          </cell>
          <cell r="I140" t="str">
            <v/>
          </cell>
          <cell r="J140" t="str">
            <v/>
          </cell>
          <cell r="K140">
            <v>1</v>
          </cell>
        </row>
        <row r="141">
          <cell r="A141">
            <v>10880036189</v>
          </cell>
          <cell r="B141" t="str">
            <v>冰箱电控板</v>
          </cell>
          <cell r="C141" t="str">
            <v>501764-B2501A-PC G1417 NTD10-FRZ</v>
          </cell>
          <cell r="D141">
            <v>1900</v>
          </cell>
          <cell r="E141">
            <v>2005</v>
          </cell>
          <cell r="F141" t="str">
            <v/>
          </cell>
          <cell r="G141" t="str">
            <v>PCS</v>
          </cell>
          <cell r="H141" t="str">
            <v/>
          </cell>
          <cell r="I141" t="str">
            <v/>
          </cell>
          <cell r="J141" t="str">
            <v/>
          </cell>
          <cell r="K141">
            <v>84</v>
          </cell>
        </row>
        <row r="142">
          <cell r="A142">
            <v>10880036190</v>
          </cell>
          <cell r="B142" t="str">
            <v>冰箱电控板</v>
          </cell>
          <cell r="C142" t="str">
            <v>501764-B2501B-PC G1417 NTD10-REF</v>
          </cell>
          <cell r="D142">
            <v>1900</v>
          </cell>
          <cell r="E142">
            <v>2005</v>
          </cell>
          <cell r="F142" t="str">
            <v/>
          </cell>
          <cell r="G142" t="str">
            <v>PCS</v>
          </cell>
          <cell r="H142" t="str">
            <v/>
          </cell>
          <cell r="I142" t="str">
            <v/>
          </cell>
          <cell r="J142" t="str">
            <v/>
          </cell>
          <cell r="K142">
            <v>84</v>
          </cell>
        </row>
        <row r="143">
          <cell r="A143">
            <v>10880036421</v>
          </cell>
          <cell r="B143" t="str">
            <v>空调电控板</v>
          </cell>
          <cell r="C143" t="str">
            <v>500323-C24P7G-PC G0044 0011801973L</v>
          </cell>
          <cell r="D143">
            <v>1900</v>
          </cell>
          <cell r="E143">
            <v>2005</v>
          </cell>
          <cell r="F143" t="str">
            <v/>
          </cell>
          <cell r="G143" t="str">
            <v>PCS</v>
          </cell>
          <cell r="H143" t="str">
            <v/>
          </cell>
          <cell r="I143" t="str">
            <v/>
          </cell>
          <cell r="J143" t="str">
            <v/>
          </cell>
          <cell r="K143">
            <v>27</v>
          </cell>
        </row>
        <row r="144">
          <cell r="A144">
            <v>10880036498</v>
          </cell>
          <cell r="B144" t="str">
            <v>空调电控板</v>
          </cell>
          <cell r="C144" t="str">
            <v>693-C2534K-PC G0044 0011801843AH</v>
          </cell>
          <cell r="D144">
            <v>1900</v>
          </cell>
          <cell r="E144">
            <v>2005</v>
          </cell>
          <cell r="F144" t="str">
            <v/>
          </cell>
          <cell r="G144" t="str">
            <v>PCS</v>
          </cell>
          <cell r="H144" t="str">
            <v/>
          </cell>
          <cell r="I144" t="str">
            <v/>
          </cell>
          <cell r="J144" t="str">
            <v/>
          </cell>
          <cell r="K144">
            <v>184</v>
          </cell>
        </row>
        <row r="145">
          <cell r="A145">
            <v>10880036761</v>
          </cell>
          <cell r="B145" t="str">
            <v>空调电控板</v>
          </cell>
          <cell r="C145" t="str">
            <v>500323-C24A2E-PC G0044 0011801675C 新</v>
          </cell>
          <cell r="D145">
            <v>1900</v>
          </cell>
          <cell r="E145">
            <v>2005</v>
          </cell>
          <cell r="F145" t="str">
            <v/>
          </cell>
          <cell r="G145" t="str">
            <v>PCS</v>
          </cell>
          <cell r="H145" t="str">
            <v/>
          </cell>
          <cell r="I145" t="str">
            <v/>
          </cell>
          <cell r="J145" t="str">
            <v/>
          </cell>
          <cell r="K145">
            <v>1</v>
          </cell>
        </row>
        <row r="146">
          <cell r="A146">
            <v>10880037046</v>
          </cell>
          <cell r="B146" t="str">
            <v>洗衣机显示板</v>
          </cell>
          <cell r="C146" t="str">
            <v>500493-B2407G-D G0020 2493878</v>
          </cell>
          <cell r="D146">
            <v>1900</v>
          </cell>
          <cell r="E146">
            <v>2005</v>
          </cell>
          <cell r="F146" t="str">
            <v/>
          </cell>
          <cell r="G146" t="str">
            <v>PCS</v>
          </cell>
          <cell r="H146" t="str">
            <v/>
          </cell>
          <cell r="I146" t="str">
            <v/>
          </cell>
          <cell r="J146" t="str">
            <v/>
          </cell>
          <cell r="K146">
            <v>1</v>
          </cell>
        </row>
        <row r="147">
          <cell r="A147">
            <v>10880037047</v>
          </cell>
          <cell r="B147" t="str">
            <v>洗衣机显示板</v>
          </cell>
          <cell r="C147" t="str">
            <v>500493-B2407H-D G0020 20114667</v>
          </cell>
          <cell r="D147">
            <v>1900</v>
          </cell>
          <cell r="E147">
            <v>2005</v>
          </cell>
          <cell r="F147" t="str">
            <v/>
          </cell>
          <cell r="G147" t="str">
            <v>PCS</v>
          </cell>
          <cell r="H147" t="str">
            <v/>
          </cell>
          <cell r="I147" t="str">
            <v/>
          </cell>
          <cell r="J147" t="str">
            <v/>
          </cell>
          <cell r="K147">
            <v>4</v>
          </cell>
        </row>
        <row r="148">
          <cell r="A148">
            <v>10880037179</v>
          </cell>
          <cell r="B148" t="str">
            <v>洗衣机显示板</v>
          </cell>
          <cell r="C148" t="str">
            <v>500493-B2407J-D G0020 20107934</v>
          </cell>
          <cell r="D148">
            <v>1900</v>
          </cell>
          <cell r="E148">
            <v>2005</v>
          </cell>
          <cell r="F148" t="str">
            <v/>
          </cell>
          <cell r="G148" t="str">
            <v>PCS</v>
          </cell>
          <cell r="H148" t="str">
            <v/>
          </cell>
          <cell r="I148" t="str">
            <v/>
          </cell>
          <cell r="J148" t="str">
            <v/>
          </cell>
          <cell r="K148">
            <v>1</v>
          </cell>
        </row>
        <row r="149">
          <cell r="A149">
            <v>10880037262</v>
          </cell>
          <cell r="B149" t="str">
            <v>商用空调电控板</v>
          </cell>
          <cell r="C149" t="str">
            <v>693-C25A6A-PC G0044 0151801003CA</v>
          </cell>
          <cell r="D149">
            <v>1900</v>
          </cell>
          <cell r="E149">
            <v>2005</v>
          </cell>
          <cell r="F149" t="str">
            <v/>
          </cell>
          <cell r="G149" t="str">
            <v>PCS</v>
          </cell>
          <cell r="H149" t="str">
            <v/>
          </cell>
          <cell r="I149" t="str">
            <v/>
          </cell>
          <cell r="J149" t="str">
            <v/>
          </cell>
          <cell r="K149">
            <v>2</v>
          </cell>
        </row>
        <row r="150">
          <cell r="A150">
            <v>10880037617</v>
          </cell>
          <cell r="B150" t="str">
            <v>商用空调电控板</v>
          </cell>
          <cell r="C150" t="str">
            <v>693-C25A9A-PC G0044 0151801003AB</v>
          </cell>
          <cell r="D150">
            <v>1900</v>
          </cell>
          <cell r="E150">
            <v>2005</v>
          </cell>
          <cell r="F150" t="str">
            <v/>
          </cell>
          <cell r="G150" t="str">
            <v>PCS</v>
          </cell>
          <cell r="H150" t="str">
            <v/>
          </cell>
          <cell r="I150" t="str">
            <v/>
          </cell>
          <cell r="J150" t="str">
            <v/>
          </cell>
          <cell r="K150">
            <v>55</v>
          </cell>
        </row>
        <row r="151">
          <cell r="A151">
            <v>40880000587</v>
          </cell>
          <cell r="B151" t="str">
            <v>海尔洗衣机售后检测仪</v>
          </cell>
          <cell r="C151" t="str">
            <v>500323-C24R1A G0044</v>
          </cell>
          <cell r="D151">
            <v>1900</v>
          </cell>
          <cell r="E151">
            <v>2005</v>
          </cell>
          <cell r="F151" t="str">
            <v/>
          </cell>
          <cell r="G151" t="str">
            <v>SET</v>
          </cell>
          <cell r="H151" t="str">
            <v/>
          </cell>
          <cell r="I151" t="str">
            <v/>
          </cell>
          <cell r="J151" t="str">
            <v/>
          </cell>
          <cell r="K151">
            <v>50</v>
          </cell>
        </row>
      </sheetData>
      <sheetData sheetId="1">
        <row r="1">
          <cell r="A1" t="str">
            <v>物料号</v>
          </cell>
          <cell r="B1" t="str">
            <v>物料名称</v>
          </cell>
          <cell r="C1" t="str">
            <v>描述</v>
          </cell>
          <cell r="D1" t="str">
            <v>工厂</v>
          </cell>
          <cell r="E1" t="str">
            <v>库存地点</v>
          </cell>
          <cell r="F1" t="str">
            <v>库存储位</v>
          </cell>
          <cell r="G1" t="str">
            <v>单位</v>
          </cell>
          <cell r="H1" t="str">
            <v>批次</v>
          </cell>
          <cell r="I1" t="str">
            <v>生产日期</v>
          </cell>
          <cell r="J1" t="str">
            <v>有效日期</v>
          </cell>
          <cell r="K1" t="str">
            <v>非限制库存</v>
          </cell>
        </row>
        <row r="2">
          <cell r="A2">
            <v>10880012795</v>
          </cell>
          <cell r="B2" t="str">
            <v>空调933Y变频电控板</v>
          </cell>
          <cell r="C2" t="str">
            <v>693-C20018A-PC 0011800933Y</v>
          </cell>
          <cell r="D2">
            <v>1900</v>
          </cell>
          <cell r="E2">
            <v>2001</v>
          </cell>
          <cell r="F2" t="str">
            <v/>
          </cell>
          <cell r="G2" t="str">
            <v>PCS</v>
          </cell>
          <cell r="H2" t="str">
            <v/>
          </cell>
          <cell r="I2" t="str">
            <v/>
          </cell>
          <cell r="J2" t="str">
            <v/>
          </cell>
          <cell r="K2">
            <v>39</v>
          </cell>
        </row>
        <row r="3">
          <cell r="A3">
            <v>10880012985</v>
          </cell>
          <cell r="B3" t="str">
            <v>净水器500G控制器</v>
          </cell>
          <cell r="C3" t="str">
            <v>693-C20023C-C 0190400002B</v>
          </cell>
          <cell r="D3">
            <v>1900</v>
          </cell>
          <cell r="E3">
            <v>2001</v>
          </cell>
          <cell r="F3" t="str">
            <v/>
          </cell>
          <cell r="G3" t="str">
            <v>PCS</v>
          </cell>
          <cell r="H3" t="str">
            <v/>
          </cell>
          <cell r="I3" t="str">
            <v/>
          </cell>
          <cell r="J3" t="str">
            <v/>
          </cell>
          <cell r="K3">
            <v>2</v>
          </cell>
        </row>
        <row r="4">
          <cell r="A4">
            <v>10880013146</v>
          </cell>
          <cell r="B4" t="str">
            <v>空调827Y变频电控板</v>
          </cell>
          <cell r="C4" t="str">
            <v>693-C20031A-PC 0011800827Y</v>
          </cell>
          <cell r="D4">
            <v>1900</v>
          </cell>
          <cell r="E4">
            <v>2001</v>
          </cell>
          <cell r="F4" t="str">
            <v/>
          </cell>
          <cell r="G4" t="str">
            <v>PCS</v>
          </cell>
          <cell r="H4" t="str">
            <v/>
          </cell>
          <cell r="I4" t="str">
            <v/>
          </cell>
          <cell r="J4" t="str">
            <v/>
          </cell>
          <cell r="K4">
            <v>4</v>
          </cell>
        </row>
        <row r="5">
          <cell r="A5">
            <v>10880014439</v>
          </cell>
          <cell r="B5" t="str">
            <v>云鲸激光紫净水器800G控制器</v>
          </cell>
          <cell r="C5" t="str">
            <v>693-C20023E-PC</v>
          </cell>
          <cell r="D5">
            <v>1900</v>
          </cell>
          <cell r="E5">
            <v>2001</v>
          </cell>
          <cell r="F5" t="str">
            <v/>
          </cell>
          <cell r="G5" t="str">
            <v>PCS</v>
          </cell>
          <cell r="H5" t="str">
            <v/>
          </cell>
          <cell r="I5" t="str">
            <v/>
          </cell>
          <cell r="J5" t="str">
            <v/>
          </cell>
          <cell r="K5">
            <v>1</v>
          </cell>
        </row>
        <row r="6">
          <cell r="A6">
            <v>10880014812</v>
          </cell>
          <cell r="B6" t="str">
            <v>海尔净水器主控板</v>
          </cell>
          <cell r="C6" t="str">
            <v>693-B2113A-C(0190400172)</v>
          </cell>
          <cell r="D6">
            <v>1900</v>
          </cell>
          <cell r="E6">
            <v>2001</v>
          </cell>
          <cell r="F6" t="str">
            <v/>
          </cell>
          <cell r="G6" t="str">
            <v>PCS</v>
          </cell>
          <cell r="H6" t="str">
            <v/>
          </cell>
          <cell r="I6" t="str">
            <v/>
          </cell>
          <cell r="J6" t="str">
            <v/>
          </cell>
          <cell r="K6">
            <v>169</v>
          </cell>
        </row>
        <row r="7">
          <cell r="A7">
            <v>10880015829</v>
          </cell>
          <cell r="B7" t="str">
            <v>卡萨帝云鲸500G衍生品显示器</v>
          </cell>
          <cell r="C7" t="str">
            <v>693-C2157B-D(0190400001H)</v>
          </cell>
          <cell r="D7">
            <v>1900</v>
          </cell>
          <cell r="E7">
            <v>2001</v>
          </cell>
          <cell r="F7" t="str">
            <v/>
          </cell>
          <cell r="G7" t="str">
            <v>PCS</v>
          </cell>
          <cell r="H7" t="str">
            <v/>
          </cell>
          <cell r="I7" t="str">
            <v/>
          </cell>
          <cell r="J7" t="str">
            <v/>
          </cell>
          <cell r="K7">
            <v>437</v>
          </cell>
        </row>
        <row r="8">
          <cell r="A8">
            <v>10880015879</v>
          </cell>
          <cell r="B8" t="str">
            <v>Mini7-400净水器灯板</v>
          </cell>
          <cell r="C8" t="str">
            <v>693-B2158A-L(0190400174A)</v>
          </cell>
          <cell r="D8">
            <v>1900</v>
          </cell>
          <cell r="E8">
            <v>2001</v>
          </cell>
          <cell r="F8" t="str">
            <v/>
          </cell>
          <cell r="G8" t="str">
            <v>PCS</v>
          </cell>
          <cell r="H8" t="str">
            <v/>
          </cell>
          <cell r="I8" t="str">
            <v/>
          </cell>
          <cell r="J8" t="str">
            <v/>
          </cell>
          <cell r="K8">
            <v>96</v>
          </cell>
        </row>
        <row r="9">
          <cell r="A9">
            <v>10880017516</v>
          </cell>
          <cell r="B9" t="str">
            <v>空调室内电控板-CEM-1</v>
          </cell>
          <cell r="C9" t="str">
            <v>693-A2179A-PC 0011800630K</v>
          </cell>
          <cell r="D9">
            <v>1900</v>
          </cell>
          <cell r="E9">
            <v>2001</v>
          </cell>
          <cell r="F9" t="str">
            <v/>
          </cell>
          <cell r="G9" t="str">
            <v>PCS</v>
          </cell>
          <cell r="H9" t="str">
            <v/>
          </cell>
          <cell r="I9" t="str">
            <v/>
          </cell>
          <cell r="J9" t="str">
            <v/>
          </cell>
          <cell r="K9">
            <v>4</v>
          </cell>
        </row>
        <row r="10">
          <cell r="A10">
            <v>10880017530</v>
          </cell>
          <cell r="B10" t="str">
            <v>空调室内电控板-FR-4</v>
          </cell>
          <cell r="C10" t="str">
            <v>693-A2180A-PC 0011800646A</v>
          </cell>
          <cell r="D10">
            <v>1900</v>
          </cell>
          <cell r="E10">
            <v>2001</v>
          </cell>
          <cell r="F10" t="str">
            <v/>
          </cell>
          <cell r="G10" t="str">
            <v>PCS</v>
          </cell>
          <cell r="H10" t="str">
            <v/>
          </cell>
          <cell r="I10" t="str">
            <v/>
          </cell>
          <cell r="J10" t="str">
            <v/>
          </cell>
          <cell r="K10">
            <v>23</v>
          </cell>
        </row>
        <row r="11">
          <cell r="A11">
            <v>10880017532</v>
          </cell>
          <cell r="B11" t="str">
            <v>空调室内电控板-FR-4</v>
          </cell>
          <cell r="C11" t="str">
            <v>693-A2180C-PC 0011800646F</v>
          </cell>
          <cell r="D11">
            <v>1900</v>
          </cell>
          <cell r="E11">
            <v>2001</v>
          </cell>
          <cell r="F11" t="str">
            <v/>
          </cell>
          <cell r="G11" t="str">
            <v>PCS</v>
          </cell>
          <cell r="H11" t="str">
            <v/>
          </cell>
          <cell r="I11" t="str">
            <v/>
          </cell>
          <cell r="J11" t="str">
            <v/>
          </cell>
          <cell r="K11">
            <v>348</v>
          </cell>
        </row>
        <row r="12">
          <cell r="A12">
            <v>10880017536</v>
          </cell>
          <cell r="B12" t="str">
            <v>空调室内电控板-FR-4</v>
          </cell>
          <cell r="C12" t="str">
            <v>693-A2180G-PC 0011800646L</v>
          </cell>
          <cell r="D12">
            <v>1900</v>
          </cell>
          <cell r="E12">
            <v>2001</v>
          </cell>
          <cell r="F12" t="str">
            <v/>
          </cell>
          <cell r="G12" t="str">
            <v>PCS</v>
          </cell>
          <cell r="H12" t="str">
            <v/>
          </cell>
          <cell r="I12" t="str">
            <v/>
          </cell>
          <cell r="J12" t="str">
            <v/>
          </cell>
          <cell r="K12">
            <v>202</v>
          </cell>
        </row>
        <row r="13">
          <cell r="A13">
            <v>10880017948</v>
          </cell>
          <cell r="B13" t="str">
            <v>空调室内电控板-CEM-1</v>
          </cell>
          <cell r="C13" t="str">
            <v>693-A2181A-PC   0011800537</v>
          </cell>
          <cell r="D13">
            <v>1900</v>
          </cell>
          <cell r="E13">
            <v>2001</v>
          </cell>
          <cell r="F13" t="str">
            <v/>
          </cell>
          <cell r="G13" t="str">
            <v>PCS</v>
          </cell>
          <cell r="H13" t="str">
            <v/>
          </cell>
          <cell r="I13" t="str">
            <v/>
          </cell>
          <cell r="J13" t="str">
            <v/>
          </cell>
          <cell r="K13">
            <v>7</v>
          </cell>
        </row>
        <row r="14">
          <cell r="A14">
            <v>10880017949</v>
          </cell>
          <cell r="B14" t="str">
            <v>空调室内电控板-CEM-1</v>
          </cell>
          <cell r="C14" t="str">
            <v>693-A2181B-PC     0011800537C</v>
          </cell>
          <cell r="D14">
            <v>1900</v>
          </cell>
          <cell r="E14">
            <v>2001</v>
          </cell>
          <cell r="F14" t="str">
            <v/>
          </cell>
          <cell r="G14" t="str">
            <v>PCS</v>
          </cell>
          <cell r="H14" t="str">
            <v/>
          </cell>
          <cell r="I14" t="str">
            <v/>
          </cell>
          <cell r="J14" t="str">
            <v/>
          </cell>
          <cell r="K14">
            <v>3989</v>
          </cell>
        </row>
        <row r="15">
          <cell r="A15">
            <v>10880018097</v>
          </cell>
          <cell r="B15" t="str">
            <v>家用空调电控板</v>
          </cell>
          <cell r="C15" t="str">
            <v>693-B2201B-PC 0011801424B</v>
          </cell>
          <cell r="D15">
            <v>1900</v>
          </cell>
          <cell r="E15">
            <v>2001</v>
          </cell>
          <cell r="F15" t="str">
            <v/>
          </cell>
          <cell r="G15" t="str">
            <v>PCS</v>
          </cell>
          <cell r="H15" t="str">
            <v/>
          </cell>
          <cell r="I15" t="str">
            <v/>
          </cell>
          <cell r="J15" t="str">
            <v/>
          </cell>
          <cell r="K15">
            <v>3097</v>
          </cell>
        </row>
        <row r="16">
          <cell r="A16">
            <v>10880018105</v>
          </cell>
          <cell r="B16" t="str">
            <v>海尔滚筒洗衣机</v>
          </cell>
          <cell r="C16" t="str">
            <v>693-A2169A-D 0021800442</v>
          </cell>
          <cell r="D16">
            <v>1900</v>
          </cell>
          <cell r="E16">
            <v>2001</v>
          </cell>
          <cell r="F16" t="str">
            <v/>
          </cell>
          <cell r="G16" t="str">
            <v>PCS</v>
          </cell>
          <cell r="H16" t="str">
            <v/>
          </cell>
          <cell r="I16" t="str">
            <v/>
          </cell>
          <cell r="J16" t="str">
            <v/>
          </cell>
          <cell r="K16">
            <v>13192</v>
          </cell>
        </row>
        <row r="17">
          <cell r="A17">
            <v>10880018842</v>
          </cell>
          <cell r="B17" t="str">
            <v>海尔空调电控板</v>
          </cell>
          <cell r="C17" t="str">
            <v>693-A2178A-PC 0011800612X</v>
          </cell>
          <cell r="D17">
            <v>1900</v>
          </cell>
          <cell r="E17">
            <v>2001</v>
          </cell>
          <cell r="F17" t="str">
            <v/>
          </cell>
          <cell r="G17" t="str">
            <v>PCS</v>
          </cell>
          <cell r="H17" t="str">
            <v/>
          </cell>
          <cell r="I17" t="str">
            <v/>
          </cell>
          <cell r="J17" t="str">
            <v/>
          </cell>
          <cell r="K17">
            <v>1091</v>
          </cell>
        </row>
        <row r="18">
          <cell r="A18">
            <v>10880018845</v>
          </cell>
          <cell r="B18" t="str">
            <v>海尔空调电控板</v>
          </cell>
          <cell r="C18" t="str">
            <v>693-A2178C-PC 0011800612Z</v>
          </cell>
          <cell r="D18">
            <v>1900</v>
          </cell>
          <cell r="E18">
            <v>2001</v>
          </cell>
          <cell r="F18" t="str">
            <v/>
          </cell>
          <cell r="G18" t="str">
            <v>PCS</v>
          </cell>
          <cell r="H18" t="str">
            <v/>
          </cell>
          <cell r="I18" t="str">
            <v/>
          </cell>
          <cell r="J18" t="str">
            <v/>
          </cell>
          <cell r="K18">
            <v>441</v>
          </cell>
        </row>
        <row r="19">
          <cell r="A19">
            <v>10880018847</v>
          </cell>
          <cell r="B19" t="str">
            <v>海尔空调电控板</v>
          </cell>
          <cell r="C19" t="str">
            <v>693-A2178E-PC 0011800612H</v>
          </cell>
          <cell r="D19">
            <v>1900</v>
          </cell>
          <cell r="E19">
            <v>2001</v>
          </cell>
          <cell r="F19" t="str">
            <v/>
          </cell>
          <cell r="G19" t="str">
            <v>PCS</v>
          </cell>
          <cell r="H19" t="str">
            <v/>
          </cell>
          <cell r="I19" t="str">
            <v/>
          </cell>
          <cell r="J19" t="str">
            <v/>
          </cell>
          <cell r="K19">
            <v>575</v>
          </cell>
        </row>
        <row r="20">
          <cell r="A20">
            <v>10880018848</v>
          </cell>
          <cell r="B20" t="str">
            <v>海尔空调电控板</v>
          </cell>
          <cell r="C20" t="str">
            <v>693-A2178G-PC 0011800612L</v>
          </cell>
          <cell r="D20">
            <v>1900</v>
          </cell>
          <cell r="E20">
            <v>2001</v>
          </cell>
          <cell r="F20" t="str">
            <v/>
          </cell>
          <cell r="G20" t="str">
            <v>PCS</v>
          </cell>
          <cell r="H20" t="str">
            <v/>
          </cell>
          <cell r="I20" t="str">
            <v/>
          </cell>
          <cell r="J20" t="str">
            <v/>
          </cell>
          <cell r="K20">
            <v>2</v>
          </cell>
        </row>
        <row r="21">
          <cell r="A21">
            <v>10880018849</v>
          </cell>
          <cell r="B21" t="str">
            <v>海尔空调电控板</v>
          </cell>
          <cell r="C21" t="str">
            <v>693-A2178H-PC 0011800612AB</v>
          </cell>
          <cell r="D21">
            <v>1900</v>
          </cell>
          <cell r="E21">
            <v>2001</v>
          </cell>
          <cell r="F21" t="str">
            <v/>
          </cell>
          <cell r="G21" t="str">
            <v>PCS</v>
          </cell>
          <cell r="H21" t="str">
            <v/>
          </cell>
          <cell r="I21" t="str">
            <v/>
          </cell>
          <cell r="J21" t="str">
            <v/>
          </cell>
          <cell r="K21">
            <v>87</v>
          </cell>
        </row>
        <row r="22">
          <cell r="A22">
            <v>10880019042</v>
          </cell>
          <cell r="B22" t="str">
            <v>家用空调电控板</v>
          </cell>
          <cell r="C22" t="str">
            <v>693-B2201I-PC 0011801424W</v>
          </cell>
          <cell r="D22">
            <v>1900</v>
          </cell>
          <cell r="E22">
            <v>2001</v>
          </cell>
          <cell r="F22" t="str">
            <v/>
          </cell>
          <cell r="G22" t="str">
            <v>PCS</v>
          </cell>
          <cell r="H22" t="str">
            <v/>
          </cell>
          <cell r="I22" t="str">
            <v/>
          </cell>
          <cell r="J22" t="str">
            <v/>
          </cell>
          <cell r="K22">
            <v>4</v>
          </cell>
        </row>
        <row r="23">
          <cell r="A23">
            <v>10880019240</v>
          </cell>
          <cell r="B23" t="str">
            <v>家用空调电控板</v>
          </cell>
          <cell r="C23" t="str">
            <v>693-B2201J-PC 0011801424C</v>
          </cell>
          <cell r="D23">
            <v>1900</v>
          </cell>
          <cell r="E23">
            <v>2001</v>
          </cell>
          <cell r="F23" t="str">
            <v/>
          </cell>
          <cell r="G23" t="str">
            <v>PCS</v>
          </cell>
          <cell r="H23" t="str">
            <v/>
          </cell>
          <cell r="I23" t="str">
            <v/>
          </cell>
          <cell r="J23" t="str">
            <v/>
          </cell>
          <cell r="K23">
            <v>1391</v>
          </cell>
        </row>
        <row r="24">
          <cell r="A24">
            <v>10880019434</v>
          </cell>
          <cell r="B24" t="str">
            <v>家用空调电控板</v>
          </cell>
          <cell r="C24" t="str">
            <v>693-B2209A-PC-0011801425N</v>
          </cell>
          <cell r="D24">
            <v>1900</v>
          </cell>
          <cell r="E24">
            <v>2001</v>
          </cell>
          <cell r="F24" t="str">
            <v/>
          </cell>
          <cell r="G24" t="str">
            <v>PCS</v>
          </cell>
          <cell r="H24" t="str">
            <v/>
          </cell>
          <cell r="I24" t="str">
            <v/>
          </cell>
          <cell r="J24" t="str">
            <v/>
          </cell>
          <cell r="K24">
            <v>342</v>
          </cell>
        </row>
        <row r="25">
          <cell r="A25">
            <v>10880019639</v>
          </cell>
          <cell r="B25" t="str">
            <v>海尔净水器电控板</v>
          </cell>
          <cell r="C25" t="str">
            <v>693-C2213A-PC 0190400102C</v>
          </cell>
          <cell r="D25">
            <v>1900</v>
          </cell>
          <cell r="E25">
            <v>2001</v>
          </cell>
          <cell r="F25" t="str">
            <v/>
          </cell>
          <cell r="G25" t="str">
            <v>PCS</v>
          </cell>
          <cell r="H25" t="str">
            <v/>
          </cell>
          <cell r="I25" t="str">
            <v/>
          </cell>
          <cell r="J25" t="str">
            <v/>
          </cell>
          <cell r="K25">
            <v>1177</v>
          </cell>
        </row>
        <row r="26">
          <cell r="A26">
            <v>10880019640</v>
          </cell>
          <cell r="B26" t="str">
            <v>海尔净水器电控板</v>
          </cell>
          <cell r="C26" t="str">
            <v>693-C2213B-PC 0190400102D</v>
          </cell>
          <cell r="D26">
            <v>1900</v>
          </cell>
          <cell r="E26">
            <v>2001</v>
          </cell>
          <cell r="F26" t="str">
            <v/>
          </cell>
          <cell r="G26" t="str">
            <v>PCS</v>
          </cell>
          <cell r="H26" t="str">
            <v/>
          </cell>
          <cell r="I26" t="str">
            <v/>
          </cell>
          <cell r="J26" t="str">
            <v/>
          </cell>
          <cell r="K26">
            <v>1752</v>
          </cell>
        </row>
        <row r="27">
          <cell r="A27">
            <v>10880019773</v>
          </cell>
          <cell r="B27" t="str">
            <v>海尔空调电控板</v>
          </cell>
          <cell r="C27" t="str">
            <v>1323-C2205B-PC 0011801036B</v>
          </cell>
          <cell r="D27">
            <v>1900</v>
          </cell>
          <cell r="E27">
            <v>2001</v>
          </cell>
          <cell r="F27" t="str">
            <v/>
          </cell>
          <cell r="G27" t="str">
            <v>PCS</v>
          </cell>
          <cell r="H27" t="str">
            <v/>
          </cell>
          <cell r="I27" t="str">
            <v/>
          </cell>
          <cell r="J27" t="str">
            <v/>
          </cell>
          <cell r="K27">
            <v>152</v>
          </cell>
        </row>
        <row r="28">
          <cell r="A28">
            <v>10880019777</v>
          </cell>
          <cell r="B28" t="str">
            <v>海尔空调显示板</v>
          </cell>
          <cell r="C28" t="str">
            <v>1323-C2206A-D 0011801037A</v>
          </cell>
          <cell r="D28">
            <v>1900</v>
          </cell>
          <cell r="E28">
            <v>2001</v>
          </cell>
          <cell r="F28" t="str">
            <v/>
          </cell>
          <cell r="G28" t="str">
            <v>PCS</v>
          </cell>
          <cell r="H28" t="str">
            <v/>
          </cell>
          <cell r="I28" t="str">
            <v/>
          </cell>
          <cell r="J28" t="str">
            <v/>
          </cell>
          <cell r="K28">
            <v>1</v>
          </cell>
        </row>
        <row r="29">
          <cell r="A29">
            <v>10880020036</v>
          </cell>
          <cell r="B29" t="str">
            <v>海尔净水器电控板</v>
          </cell>
          <cell r="C29" t="str">
            <v>693-C2213C-PC 0190400102B</v>
          </cell>
          <cell r="D29">
            <v>1900</v>
          </cell>
          <cell r="E29">
            <v>2001</v>
          </cell>
          <cell r="F29" t="str">
            <v/>
          </cell>
          <cell r="G29" t="str">
            <v>PCS</v>
          </cell>
          <cell r="H29" t="str">
            <v/>
          </cell>
          <cell r="I29" t="str">
            <v/>
          </cell>
          <cell r="J29" t="str">
            <v/>
          </cell>
          <cell r="K29">
            <v>326</v>
          </cell>
        </row>
        <row r="30">
          <cell r="A30">
            <v>10880020048</v>
          </cell>
          <cell r="B30" t="str">
            <v>海尔空调电控板</v>
          </cell>
          <cell r="C30" t="str">
            <v>693-C2203A-PC 0011801327</v>
          </cell>
          <cell r="D30">
            <v>1900</v>
          </cell>
          <cell r="E30">
            <v>2001</v>
          </cell>
          <cell r="F30" t="str">
            <v/>
          </cell>
          <cell r="G30" t="str">
            <v>PCS</v>
          </cell>
          <cell r="H30" t="str">
            <v/>
          </cell>
          <cell r="I30" t="str">
            <v/>
          </cell>
          <cell r="J30" t="str">
            <v/>
          </cell>
          <cell r="K30">
            <v>161</v>
          </cell>
        </row>
        <row r="31">
          <cell r="A31">
            <v>10880020192</v>
          </cell>
          <cell r="B31" t="str">
            <v>家用空调电控板</v>
          </cell>
          <cell r="C31" t="str">
            <v>693-B2209L-PC-0011801425F</v>
          </cell>
          <cell r="D31">
            <v>1900</v>
          </cell>
          <cell r="E31">
            <v>2001</v>
          </cell>
          <cell r="F31" t="str">
            <v/>
          </cell>
          <cell r="G31" t="str">
            <v>PCS</v>
          </cell>
          <cell r="H31" t="str">
            <v/>
          </cell>
          <cell r="I31" t="str">
            <v/>
          </cell>
          <cell r="J31" t="str">
            <v/>
          </cell>
          <cell r="K31">
            <v>31</v>
          </cell>
        </row>
        <row r="32">
          <cell r="A32">
            <v>10880020208</v>
          </cell>
          <cell r="B32" t="str">
            <v>海尔空调电控板</v>
          </cell>
          <cell r="C32" t="str">
            <v>693-A2210B-PC 0011801372A</v>
          </cell>
          <cell r="D32">
            <v>1900</v>
          </cell>
          <cell r="E32">
            <v>2001</v>
          </cell>
          <cell r="F32" t="str">
            <v/>
          </cell>
          <cell r="G32" t="str">
            <v>PCS</v>
          </cell>
          <cell r="H32" t="str">
            <v/>
          </cell>
          <cell r="I32" t="str">
            <v/>
          </cell>
          <cell r="J32" t="str">
            <v/>
          </cell>
          <cell r="K32">
            <v>27</v>
          </cell>
        </row>
        <row r="33">
          <cell r="A33">
            <v>10880020209</v>
          </cell>
          <cell r="B33" t="str">
            <v>海尔空调电控板</v>
          </cell>
          <cell r="C33" t="str">
            <v>693-A2210C-PC 0011801372F</v>
          </cell>
          <cell r="D33">
            <v>1900</v>
          </cell>
          <cell r="E33">
            <v>2001</v>
          </cell>
          <cell r="F33" t="str">
            <v/>
          </cell>
          <cell r="G33" t="str">
            <v>PCS</v>
          </cell>
          <cell r="H33" t="str">
            <v/>
          </cell>
          <cell r="I33" t="str">
            <v/>
          </cell>
          <cell r="J33" t="str">
            <v/>
          </cell>
          <cell r="K33">
            <v>4</v>
          </cell>
        </row>
        <row r="34">
          <cell r="A34">
            <v>10880020275</v>
          </cell>
          <cell r="B34" t="str">
            <v>海尔定频窗机显示板</v>
          </cell>
          <cell r="C34" t="str">
            <v>1323-C2209A-D 0011800607R</v>
          </cell>
          <cell r="D34">
            <v>1900</v>
          </cell>
          <cell r="E34">
            <v>2001</v>
          </cell>
          <cell r="F34" t="str">
            <v/>
          </cell>
          <cell r="G34" t="str">
            <v>PCS</v>
          </cell>
          <cell r="H34" t="str">
            <v/>
          </cell>
          <cell r="I34" t="str">
            <v/>
          </cell>
          <cell r="J34" t="str">
            <v/>
          </cell>
          <cell r="K34">
            <v>1</v>
          </cell>
        </row>
        <row r="35">
          <cell r="A35">
            <v>10880020558</v>
          </cell>
          <cell r="B35" t="str">
            <v>海尔空调电控板</v>
          </cell>
          <cell r="C35" t="str">
            <v>693-C2246A-PC 0011801172AG</v>
          </cell>
          <cell r="D35">
            <v>1900</v>
          </cell>
          <cell r="E35">
            <v>2001</v>
          </cell>
          <cell r="F35" t="str">
            <v/>
          </cell>
          <cell r="G35" t="str">
            <v>PCS</v>
          </cell>
          <cell r="H35" t="str">
            <v/>
          </cell>
          <cell r="I35" t="str">
            <v/>
          </cell>
          <cell r="J35" t="str">
            <v/>
          </cell>
          <cell r="K35">
            <v>21</v>
          </cell>
        </row>
        <row r="36">
          <cell r="A36">
            <v>10880020637</v>
          </cell>
          <cell r="B36" t="str">
            <v>海尔空调显示板</v>
          </cell>
          <cell r="C36" t="str">
            <v>693-C2216A-D 0011800324S</v>
          </cell>
          <cell r="D36">
            <v>1900</v>
          </cell>
          <cell r="E36">
            <v>2001</v>
          </cell>
          <cell r="F36" t="str">
            <v/>
          </cell>
          <cell r="G36" t="str">
            <v>PCS</v>
          </cell>
          <cell r="H36" t="str">
            <v/>
          </cell>
          <cell r="I36" t="str">
            <v/>
          </cell>
          <cell r="J36" t="str">
            <v/>
          </cell>
          <cell r="K36">
            <v>56</v>
          </cell>
        </row>
        <row r="37">
          <cell r="A37">
            <v>10880020647</v>
          </cell>
          <cell r="B37" t="str">
            <v>海尔空调内机电控板</v>
          </cell>
          <cell r="C37" t="str">
            <v>1323-C2205C-PC 0011801036C</v>
          </cell>
          <cell r="D37">
            <v>1900</v>
          </cell>
          <cell r="E37">
            <v>2001</v>
          </cell>
          <cell r="F37" t="str">
            <v/>
          </cell>
          <cell r="G37" t="str">
            <v>PCS</v>
          </cell>
          <cell r="H37" t="str">
            <v/>
          </cell>
          <cell r="I37" t="str">
            <v/>
          </cell>
          <cell r="J37" t="str">
            <v/>
          </cell>
          <cell r="K37">
            <v>3</v>
          </cell>
        </row>
        <row r="38">
          <cell r="A38">
            <v>10880020681</v>
          </cell>
          <cell r="B38" t="str">
            <v>海尔空调电控板</v>
          </cell>
          <cell r="C38" t="str">
            <v>693-A2210F-PC 0011801372D</v>
          </cell>
          <cell r="D38">
            <v>1900</v>
          </cell>
          <cell r="E38">
            <v>2001</v>
          </cell>
          <cell r="F38" t="str">
            <v/>
          </cell>
          <cell r="G38" t="str">
            <v>PCS</v>
          </cell>
          <cell r="H38" t="str">
            <v/>
          </cell>
          <cell r="I38" t="str">
            <v/>
          </cell>
          <cell r="J38" t="str">
            <v/>
          </cell>
          <cell r="K38">
            <v>10</v>
          </cell>
        </row>
        <row r="39">
          <cell r="A39">
            <v>10880020802</v>
          </cell>
          <cell r="B39" t="str">
            <v>海尔空调电控板</v>
          </cell>
          <cell r="C39" t="str">
            <v>693-C2246AC-PC 0011801172BD</v>
          </cell>
          <cell r="D39">
            <v>1900</v>
          </cell>
          <cell r="E39">
            <v>2001</v>
          </cell>
          <cell r="F39" t="str">
            <v/>
          </cell>
          <cell r="G39" t="str">
            <v>PCS</v>
          </cell>
          <cell r="H39" t="str">
            <v/>
          </cell>
          <cell r="I39" t="str">
            <v/>
          </cell>
          <cell r="J39" t="str">
            <v/>
          </cell>
          <cell r="K39">
            <v>2</v>
          </cell>
        </row>
        <row r="40">
          <cell r="A40">
            <v>10880021015</v>
          </cell>
          <cell r="B40" t="str">
            <v>家用空调电控板</v>
          </cell>
          <cell r="C40" t="str">
            <v>693-B2201N-PC-0011801424AE</v>
          </cell>
          <cell r="D40">
            <v>1900</v>
          </cell>
          <cell r="E40">
            <v>2001</v>
          </cell>
          <cell r="F40" t="str">
            <v/>
          </cell>
          <cell r="G40" t="str">
            <v>PCS</v>
          </cell>
          <cell r="H40" t="str">
            <v/>
          </cell>
          <cell r="I40" t="str">
            <v/>
          </cell>
          <cell r="J40" t="str">
            <v/>
          </cell>
          <cell r="K40">
            <v>5</v>
          </cell>
        </row>
        <row r="41">
          <cell r="A41">
            <v>10880021105</v>
          </cell>
          <cell r="B41" t="str">
            <v>海尔空调显示板</v>
          </cell>
          <cell r="C41" t="str">
            <v>693-C2216E-D 0011800324</v>
          </cell>
          <cell r="D41">
            <v>1900</v>
          </cell>
          <cell r="E41">
            <v>2001</v>
          </cell>
          <cell r="F41" t="str">
            <v/>
          </cell>
          <cell r="G41" t="str">
            <v>PCS</v>
          </cell>
          <cell r="H41" t="str">
            <v/>
          </cell>
          <cell r="I41" t="str">
            <v/>
          </cell>
          <cell r="J41" t="str">
            <v/>
          </cell>
          <cell r="K41">
            <v>123</v>
          </cell>
        </row>
        <row r="42">
          <cell r="A42">
            <v>10880021173</v>
          </cell>
          <cell r="B42" t="str">
            <v>家用空调电控板</v>
          </cell>
          <cell r="C42" t="str">
            <v>693-B2201Q-PC-0011801424K</v>
          </cell>
          <cell r="D42">
            <v>1900</v>
          </cell>
          <cell r="E42">
            <v>2001</v>
          </cell>
          <cell r="F42" t="str">
            <v/>
          </cell>
          <cell r="G42" t="str">
            <v>PCS</v>
          </cell>
          <cell r="H42" t="str">
            <v/>
          </cell>
          <cell r="I42" t="str">
            <v/>
          </cell>
          <cell r="J42" t="str">
            <v/>
          </cell>
          <cell r="K42">
            <v>24</v>
          </cell>
        </row>
        <row r="43">
          <cell r="A43">
            <v>10880021289</v>
          </cell>
          <cell r="B43" t="str">
            <v>海尔空调显示板</v>
          </cell>
          <cell r="C43" t="str">
            <v>693-B2190F-D 0011800387A</v>
          </cell>
          <cell r="D43">
            <v>1900</v>
          </cell>
          <cell r="E43">
            <v>2001</v>
          </cell>
          <cell r="F43" t="str">
            <v/>
          </cell>
          <cell r="G43" t="str">
            <v>PCS</v>
          </cell>
          <cell r="H43" t="str">
            <v/>
          </cell>
          <cell r="I43" t="str">
            <v/>
          </cell>
          <cell r="J43" t="str">
            <v/>
          </cell>
          <cell r="K43">
            <v>20</v>
          </cell>
        </row>
        <row r="44">
          <cell r="A44">
            <v>10880021344</v>
          </cell>
          <cell r="B44" t="str">
            <v>家用空调电控板</v>
          </cell>
          <cell r="C44" t="str">
            <v>693-B2201T-PC-0011801424AA</v>
          </cell>
          <cell r="D44">
            <v>1900</v>
          </cell>
          <cell r="E44">
            <v>2001</v>
          </cell>
          <cell r="F44" t="str">
            <v/>
          </cell>
          <cell r="G44" t="str">
            <v>PCS</v>
          </cell>
          <cell r="H44" t="str">
            <v/>
          </cell>
          <cell r="I44" t="str">
            <v/>
          </cell>
          <cell r="J44" t="str">
            <v/>
          </cell>
          <cell r="K44">
            <v>31</v>
          </cell>
        </row>
        <row r="45">
          <cell r="A45">
            <v>10880022010</v>
          </cell>
          <cell r="B45" t="str">
            <v>空调电控板</v>
          </cell>
          <cell r="C45" t="str">
            <v>693-C2246AH-PC 0011801172BR</v>
          </cell>
          <cell r="D45">
            <v>1900</v>
          </cell>
          <cell r="E45">
            <v>2001</v>
          </cell>
          <cell r="F45" t="str">
            <v/>
          </cell>
          <cell r="G45" t="str">
            <v>PCS</v>
          </cell>
          <cell r="H45" t="str">
            <v/>
          </cell>
          <cell r="I45" t="str">
            <v/>
          </cell>
          <cell r="J45" t="str">
            <v/>
          </cell>
          <cell r="K45">
            <v>54</v>
          </cell>
        </row>
        <row r="46">
          <cell r="A46">
            <v>10880022044</v>
          </cell>
          <cell r="B46" t="str">
            <v>干衣机442G显示板</v>
          </cell>
          <cell r="C46" t="str">
            <v>693-B2286A-D 0021800442G</v>
          </cell>
          <cell r="D46">
            <v>1900</v>
          </cell>
          <cell r="E46">
            <v>2001</v>
          </cell>
          <cell r="F46" t="str">
            <v/>
          </cell>
          <cell r="G46" t="str">
            <v>PCS</v>
          </cell>
          <cell r="H46" t="str">
            <v/>
          </cell>
          <cell r="I46" t="str">
            <v/>
          </cell>
          <cell r="J46" t="str">
            <v/>
          </cell>
          <cell r="K46">
            <v>1493</v>
          </cell>
        </row>
        <row r="47">
          <cell r="A47">
            <v>10880022123</v>
          </cell>
          <cell r="B47" t="str">
            <v>洗衣机442A显示板</v>
          </cell>
          <cell r="C47" t="str">
            <v>693-B2286B-D 0021800442A</v>
          </cell>
          <cell r="D47">
            <v>1900</v>
          </cell>
          <cell r="E47">
            <v>2001</v>
          </cell>
          <cell r="F47" t="str">
            <v/>
          </cell>
          <cell r="G47" t="str">
            <v>PCS</v>
          </cell>
          <cell r="H47" t="str">
            <v/>
          </cell>
          <cell r="I47" t="str">
            <v/>
          </cell>
          <cell r="J47" t="str">
            <v/>
          </cell>
          <cell r="K47">
            <v>20050</v>
          </cell>
        </row>
        <row r="48">
          <cell r="A48">
            <v>10880022405</v>
          </cell>
          <cell r="B48" t="str">
            <v>洗衣机04FH电控板</v>
          </cell>
          <cell r="C48" t="str">
            <v>693-B2276A-PC 0031800004FH</v>
          </cell>
          <cell r="D48">
            <v>1900</v>
          </cell>
          <cell r="E48">
            <v>2001</v>
          </cell>
          <cell r="F48" t="str">
            <v/>
          </cell>
          <cell r="G48" t="str">
            <v>PCS</v>
          </cell>
          <cell r="H48" t="str">
            <v/>
          </cell>
          <cell r="I48" t="str">
            <v/>
          </cell>
          <cell r="J48" t="str">
            <v/>
          </cell>
          <cell r="K48">
            <v>107</v>
          </cell>
        </row>
        <row r="49">
          <cell r="A49">
            <v>10880022406</v>
          </cell>
          <cell r="B49" t="str">
            <v>洗衣机386JL电控板</v>
          </cell>
          <cell r="C49" t="str">
            <v>693-B2275A-PC 0031800386JL</v>
          </cell>
          <cell r="D49">
            <v>1900</v>
          </cell>
          <cell r="E49">
            <v>2001</v>
          </cell>
          <cell r="F49" t="str">
            <v/>
          </cell>
          <cell r="G49" t="str">
            <v>PCS</v>
          </cell>
          <cell r="H49" t="str">
            <v/>
          </cell>
          <cell r="I49" t="str">
            <v/>
          </cell>
          <cell r="J49" t="str">
            <v/>
          </cell>
          <cell r="K49">
            <v>3007</v>
          </cell>
        </row>
        <row r="50">
          <cell r="A50">
            <v>10880022444</v>
          </cell>
          <cell r="B50" t="str">
            <v>空调电控板</v>
          </cell>
          <cell r="C50" t="str">
            <v>693-A2311B-PC 0151800561BBB</v>
          </cell>
          <cell r="D50">
            <v>1900</v>
          </cell>
          <cell r="E50">
            <v>2001</v>
          </cell>
          <cell r="F50" t="str">
            <v/>
          </cell>
          <cell r="G50" t="str">
            <v>PCS</v>
          </cell>
          <cell r="H50" t="str">
            <v/>
          </cell>
          <cell r="I50" t="str">
            <v/>
          </cell>
          <cell r="J50" t="str">
            <v/>
          </cell>
          <cell r="K50">
            <v>45</v>
          </cell>
        </row>
        <row r="51">
          <cell r="A51">
            <v>10880022470</v>
          </cell>
          <cell r="B51" t="str">
            <v>净水主变一体板电控板</v>
          </cell>
          <cell r="C51" t="str">
            <v>693-B2301A-PC  0041801545</v>
          </cell>
          <cell r="D51">
            <v>1900</v>
          </cell>
          <cell r="E51">
            <v>2001</v>
          </cell>
          <cell r="F51" t="str">
            <v/>
          </cell>
          <cell r="G51" t="str">
            <v>PCS</v>
          </cell>
          <cell r="H51" t="str">
            <v/>
          </cell>
          <cell r="I51" t="str">
            <v/>
          </cell>
          <cell r="J51" t="str">
            <v/>
          </cell>
          <cell r="K51">
            <v>20</v>
          </cell>
        </row>
        <row r="52">
          <cell r="A52">
            <v>10880022471</v>
          </cell>
          <cell r="B52" t="str">
            <v>海尔空调窗机电控板</v>
          </cell>
          <cell r="C52" t="str">
            <v>1323-C2302A-PC 0011801644</v>
          </cell>
          <cell r="D52">
            <v>1900</v>
          </cell>
          <cell r="E52">
            <v>2001</v>
          </cell>
          <cell r="F52" t="str">
            <v/>
          </cell>
          <cell r="G52" t="str">
            <v>PCS</v>
          </cell>
          <cell r="H52" t="str">
            <v/>
          </cell>
          <cell r="I52" t="str">
            <v/>
          </cell>
          <cell r="J52" t="str">
            <v/>
          </cell>
          <cell r="K52">
            <v>11</v>
          </cell>
        </row>
        <row r="53">
          <cell r="A53">
            <v>10880027924</v>
          </cell>
          <cell r="B53" t="str">
            <v>海尔空调电控板</v>
          </cell>
          <cell r="C53" t="str">
            <v>693-C2317A-PC 0011800977P</v>
          </cell>
          <cell r="D53">
            <v>1900</v>
          </cell>
          <cell r="E53">
            <v>2001</v>
          </cell>
          <cell r="F53" t="str">
            <v/>
          </cell>
          <cell r="G53" t="str">
            <v>PCS</v>
          </cell>
          <cell r="H53" t="str">
            <v/>
          </cell>
          <cell r="I53" t="str">
            <v/>
          </cell>
          <cell r="J53" t="str">
            <v/>
          </cell>
          <cell r="K53">
            <v>1998</v>
          </cell>
        </row>
        <row r="54">
          <cell r="A54">
            <v>10880028087</v>
          </cell>
          <cell r="B54" t="str">
            <v>家用空调电控板</v>
          </cell>
          <cell r="C54" t="str">
            <v>693-C2172D-PC 0011800377X</v>
          </cell>
          <cell r="D54">
            <v>1900</v>
          </cell>
          <cell r="E54">
            <v>2001</v>
          </cell>
          <cell r="F54" t="str">
            <v/>
          </cell>
          <cell r="G54" t="str">
            <v>PCS</v>
          </cell>
          <cell r="H54" t="str">
            <v/>
          </cell>
          <cell r="I54" t="str">
            <v/>
          </cell>
          <cell r="J54" t="str">
            <v/>
          </cell>
          <cell r="K54">
            <v>289</v>
          </cell>
        </row>
        <row r="55">
          <cell r="A55">
            <v>10880028088</v>
          </cell>
          <cell r="B55" t="str">
            <v>家用空调电控板</v>
          </cell>
          <cell r="C55" t="str">
            <v>693-C2172E-PC 0011800377Y</v>
          </cell>
          <cell r="D55">
            <v>1900</v>
          </cell>
          <cell r="E55">
            <v>2001</v>
          </cell>
          <cell r="F55" t="str">
            <v/>
          </cell>
          <cell r="G55" t="str">
            <v>PCS</v>
          </cell>
          <cell r="H55" t="str">
            <v/>
          </cell>
          <cell r="I55" t="str">
            <v/>
          </cell>
          <cell r="J55" t="str">
            <v/>
          </cell>
          <cell r="K55">
            <v>392</v>
          </cell>
        </row>
        <row r="56">
          <cell r="A56">
            <v>10880028307</v>
          </cell>
          <cell r="B56" t="str">
            <v>海尔空调电控板</v>
          </cell>
          <cell r="C56" t="str">
            <v>693-C2256E-PC 0011801123J</v>
          </cell>
          <cell r="D56">
            <v>1900</v>
          </cell>
          <cell r="E56">
            <v>2001</v>
          </cell>
          <cell r="F56" t="str">
            <v/>
          </cell>
          <cell r="G56" t="str">
            <v>PCS</v>
          </cell>
          <cell r="H56" t="str">
            <v/>
          </cell>
          <cell r="I56" t="str">
            <v/>
          </cell>
          <cell r="J56" t="str">
            <v/>
          </cell>
          <cell r="K56">
            <v>1204</v>
          </cell>
        </row>
        <row r="57">
          <cell r="A57">
            <v>10880028328</v>
          </cell>
          <cell r="B57" t="str">
            <v>净水器电控板</v>
          </cell>
          <cell r="C57" t="str">
            <v>693-C2328A-PC 0190400534</v>
          </cell>
          <cell r="D57">
            <v>1900</v>
          </cell>
          <cell r="E57">
            <v>2001</v>
          </cell>
          <cell r="F57" t="str">
            <v/>
          </cell>
          <cell r="G57" t="str">
            <v>PCS</v>
          </cell>
          <cell r="H57" t="str">
            <v/>
          </cell>
          <cell r="I57" t="str">
            <v/>
          </cell>
          <cell r="J57" t="str">
            <v/>
          </cell>
          <cell r="K57">
            <v>1128</v>
          </cell>
        </row>
        <row r="58">
          <cell r="A58">
            <v>10880028832</v>
          </cell>
          <cell r="B58" t="str">
            <v>海尔空调电控板</v>
          </cell>
          <cell r="C58" t="str">
            <v>693-C2344A-PC 0011801738</v>
          </cell>
          <cell r="D58">
            <v>1900</v>
          </cell>
          <cell r="E58">
            <v>2001</v>
          </cell>
          <cell r="F58" t="str">
            <v/>
          </cell>
          <cell r="G58" t="str">
            <v>PCS</v>
          </cell>
          <cell r="H58" t="str">
            <v/>
          </cell>
          <cell r="I58" t="str">
            <v/>
          </cell>
          <cell r="J58" t="str">
            <v/>
          </cell>
          <cell r="K58">
            <v>2</v>
          </cell>
        </row>
        <row r="59">
          <cell r="A59">
            <v>10880028905</v>
          </cell>
          <cell r="B59" t="str">
            <v>净水主控板</v>
          </cell>
          <cell r="C59" t="str">
            <v>693-C2336A-PC 0190400507</v>
          </cell>
          <cell r="D59">
            <v>1900</v>
          </cell>
          <cell r="E59">
            <v>2001</v>
          </cell>
          <cell r="F59" t="str">
            <v/>
          </cell>
          <cell r="G59" t="str">
            <v>PCS</v>
          </cell>
          <cell r="H59" t="str">
            <v/>
          </cell>
          <cell r="I59" t="str">
            <v/>
          </cell>
          <cell r="J59" t="str">
            <v/>
          </cell>
          <cell r="K59">
            <v>1</v>
          </cell>
        </row>
        <row r="60">
          <cell r="A60">
            <v>10880029033</v>
          </cell>
          <cell r="B60" t="str">
            <v>海尔空调显示板</v>
          </cell>
          <cell r="C60" t="str">
            <v>693-C2375A-D 0011800387D 合肥专用</v>
          </cell>
          <cell r="D60">
            <v>1900</v>
          </cell>
          <cell r="E60">
            <v>2001</v>
          </cell>
          <cell r="F60" t="str">
            <v/>
          </cell>
          <cell r="G60" t="str">
            <v>PCS</v>
          </cell>
          <cell r="H60" t="str">
            <v/>
          </cell>
          <cell r="I60" t="str">
            <v/>
          </cell>
          <cell r="J60" t="str">
            <v/>
          </cell>
          <cell r="K60">
            <v>6354</v>
          </cell>
        </row>
        <row r="61">
          <cell r="A61">
            <v>10880029078</v>
          </cell>
          <cell r="B61" t="str">
            <v>海尔空调挂机显示板</v>
          </cell>
          <cell r="C61" t="str">
            <v>693-B2363A-D 0011801125</v>
          </cell>
          <cell r="D61">
            <v>1900</v>
          </cell>
          <cell r="E61">
            <v>2001</v>
          </cell>
          <cell r="F61" t="str">
            <v/>
          </cell>
          <cell r="G61" t="str">
            <v>PCS</v>
          </cell>
          <cell r="H61" t="str">
            <v/>
          </cell>
          <cell r="I61" t="str">
            <v/>
          </cell>
          <cell r="J61" t="str">
            <v/>
          </cell>
          <cell r="K61">
            <v>307</v>
          </cell>
        </row>
        <row r="62">
          <cell r="A62">
            <v>10880029108</v>
          </cell>
          <cell r="B62" t="str">
            <v>海尔空调显示板</v>
          </cell>
          <cell r="C62" t="str">
            <v>693-B2364A-D 0011801112H</v>
          </cell>
          <cell r="D62">
            <v>1900</v>
          </cell>
          <cell r="E62">
            <v>2001</v>
          </cell>
          <cell r="F62" t="str">
            <v/>
          </cell>
          <cell r="G62" t="str">
            <v>PCS</v>
          </cell>
          <cell r="H62" t="str">
            <v/>
          </cell>
          <cell r="I62" t="str">
            <v/>
          </cell>
          <cell r="J62" t="str">
            <v/>
          </cell>
          <cell r="K62">
            <v>176</v>
          </cell>
        </row>
        <row r="63">
          <cell r="A63">
            <v>10880029957</v>
          </cell>
          <cell r="B63" t="str">
            <v>内机电控板</v>
          </cell>
          <cell r="C63" t="str">
            <v>1323-C2306A-PC 0011801652</v>
          </cell>
          <cell r="D63">
            <v>1900</v>
          </cell>
          <cell r="E63">
            <v>2001</v>
          </cell>
          <cell r="F63" t="str">
            <v/>
          </cell>
          <cell r="G63" t="str">
            <v>PCS</v>
          </cell>
          <cell r="H63" t="str">
            <v/>
          </cell>
          <cell r="I63" t="str">
            <v/>
          </cell>
          <cell r="J63" t="str">
            <v/>
          </cell>
          <cell r="K63">
            <v>2</v>
          </cell>
        </row>
        <row r="64">
          <cell r="A64">
            <v>10880029999</v>
          </cell>
          <cell r="B64" t="str">
            <v>洗衣机615显示板</v>
          </cell>
          <cell r="C64" t="str">
            <v>693-C2389A-D 0021800615</v>
          </cell>
          <cell r="D64">
            <v>1900</v>
          </cell>
          <cell r="E64">
            <v>2001</v>
          </cell>
          <cell r="F64" t="str">
            <v/>
          </cell>
          <cell r="G64" t="str">
            <v>PCS</v>
          </cell>
          <cell r="H64" t="str">
            <v/>
          </cell>
          <cell r="I64" t="str">
            <v/>
          </cell>
          <cell r="J64" t="str">
            <v/>
          </cell>
          <cell r="K64">
            <v>275</v>
          </cell>
        </row>
        <row r="65">
          <cell r="A65">
            <v>10880030004</v>
          </cell>
          <cell r="B65" t="str">
            <v>洗衣机616显示板</v>
          </cell>
          <cell r="C65" t="str">
            <v>693-C2390A-D 0021800616</v>
          </cell>
          <cell r="D65">
            <v>1900</v>
          </cell>
          <cell r="E65">
            <v>2001</v>
          </cell>
          <cell r="F65" t="str">
            <v/>
          </cell>
          <cell r="G65" t="str">
            <v>PCS</v>
          </cell>
          <cell r="H65" t="str">
            <v/>
          </cell>
          <cell r="I65" t="str">
            <v/>
          </cell>
          <cell r="J65" t="str">
            <v/>
          </cell>
          <cell r="K65">
            <v>808</v>
          </cell>
        </row>
        <row r="66">
          <cell r="A66">
            <v>10880030023</v>
          </cell>
          <cell r="B66" t="str">
            <v>海尔空调挂机显示板</v>
          </cell>
          <cell r="C66" t="str">
            <v>693-A2380A-D 0011801125A</v>
          </cell>
          <cell r="D66">
            <v>1900</v>
          </cell>
          <cell r="E66">
            <v>2001</v>
          </cell>
          <cell r="F66" t="str">
            <v/>
          </cell>
          <cell r="G66" t="str">
            <v>PCS</v>
          </cell>
          <cell r="H66" t="str">
            <v/>
          </cell>
          <cell r="I66" t="str">
            <v/>
          </cell>
          <cell r="J66" t="str">
            <v/>
          </cell>
          <cell r="K66">
            <v>1</v>
          </cell>
        </row>
        <row r="67">
          <cell r="A67">
            <v>10880030124</v>
          </cell>
          <cell r="B67" t="str">
            <v>海尔空调显示板</v>
          </cell>
          <cell r="C67" t="str">
            <v>693-C2378A-D 0011801737</v>
          </cell>
          <cell r="D67">
            <v>1900</v>
          </cell>
          <cell r="E67">
            <v>2001</v>
          </cell>
          <cell r="F67" t="str">
            <v/>
          </cell>
          <cell r="G67" t="str">
            <v>PCS</v>
          </cell>
          <cell r="H67" t="str">
            <v/>
          </cell>
          <cell r="I67" t="str">
            <v/>
          </cell>
          <cell r="J67" t="str">
            <v/>
          </cell>
          <cell r="K67">
            <v>997</v>
          </cell>
        </row>
        <row r="68">
          <cell r="A68">
            <v>10880030132</v>
          </cell>
          <cell r="B68" t="str">
            <v>海尔空调控制板</v>
          </cell>
          <cell r="C68" t="str">
            <v>693-C2394A-PC 0011801423AB</v>
          </cell>
          <cell r="D68">
            <v>1900</v>
          </cell>
          <cell r="E68">
            <v>2001</v>
          </cell>
          <cell r="F68" t="str">
            <v/>
          </cell>
          <cell r="G68" t="str">
            <v>PCS</v>
          </cell>
          <cell r="H68" t="str">
            <v/>
          </cell>
          <cell r="I68" t="str">
            <v/>
          </cell>
          <cell r="J68" t="str">
            <v/>
          </cell>
          <cell r="K68">
            <v>8</v>
          </cell>
        </row>
        <row r="69">
          <cell r="A69">
            <v>10880030187</v>
          </cell>
          <cell r="B69" t="str">
            <v>海尔空调电控板</v>
          </cell>
          <cell r="C69" t="str">
            <v>693-C2398A-PC 0151801003A</v>
          </cell>
          <cell r="D69">
            <v>1900</v>
          </cell>
          <cell r="E69">
            <v>2001</v>
          </cell>
          <cell r="F69" t="str">
            <v/>
          </cell>
          <cell r="G69" t="str">
            <v>PCS</v>
          </cell>
          <cell r="H69" t="str">
            <v/>
          </cell>
          <cell r="I69" t="str">
            <v/>
          </cell>
          <cell r="J69" t="str">
            <v/>
          </cell>
          <cell r="K69">
            <v>29</v>
          </cell>
        </row>
        <row r="70">
          <cell r="A70">
            <v>10880030243</v>
          </cell>
          <cell r="B70" t="str">
            <v>干衣机442GB显示板</v>
          </cell>
          <cell r="C70" t="str">
            <v>693-B2286D-D 0021800442GB</v>
          </cell>
          <cell r="D70">
            <v>1900</v>
          </cell>
          <cell r="E70">
            <v>2001</v>
          </cell>
          <cell r="F70" t="str">
            <v/>
          </cell>
          <cell r="G70" t="str">
            <v>PCS</v>
          </cell>
          <cell r="H70" t="str">
            <v/>
          </cell>
          <cell r="I70" t="str">
            <v/>
          </cell>
          <cell r="J70" t="str">
            <v/>
          </cell>
          <cell r="K70">
            <v>1080</v>
          </cell>
        </row>
        <row r="71">
          <cell r="A71">
            <v>10880030285</v>
          </cell>
          <cell r="B71" t="str">
            <v>净水507A电控板</v>
          </cell>
          <cell r="C71" t="str">
            <v>693-C2336B-PC 0190400507A</v>
          </cell>
          <cell r="D71">
            <v>1900</v>
          </cell>
          <cell r="E71">
            <v>2001</v>
          </cell>
          <cell r="F71" t="str">
            <v/>
          </cell>
          <cell r="G71" t="str">
            <v>PCS</v>
          </cell>
          <cell r="H71" t="str">
            <v/>
          </cell>
          <cell r="I71" t="str">
            <v/>
          </cell>
          <cell r="J71" t="str">
            <v/>
          </cell>
          <cell r="K71">
            <v>15</v>
          </cell>
        </row>
        <row r="72">
          <cell r="A72">
            <v>10880030296</v>
          </cell>
          <cell r="B72" t="str">
            <v>海尔空调显示板</v>
          </cell>
          <cell r="C72" t="str">
            <v>1911-C2301A-D  0011800607T(泰国)</v>
          </cell>
          <cell r="D72">
            <v>1900</v>
          </cell>
          <cell r="E72">
            <v>2001</v>
          </cell>
          <cell r="F72" t="str">
            <v/>
          </cell>
          <cell r="G72" t="str">
            <v>PCS</v>
          </cell>
          <cell r="H72" t="str">
            <v/>
          </cell>
          <cell r="I72" t="str">
            <v/>
          </cell>
          <cell r="J72" t="str">
            <v/>
          </cell>
          <cell r="K72">
            <v>62</v>
          </cell>
        </row>
        <row r="73">
          <cell r="A73">
            <v>10880030334</v>
          </cell>
          <cell r="B73" t="str">
            <v>空调228CA电控板</v>
          </cell>
          <cell r="C73" t="str">
            <v>693-C23B7A-PC 0151800228CA</v>
          </cell>
          <cell r="D73">
            <v>1900</v>
          </cell>
          <cell r="E73">
            <v>2001</v>
          </cell>
          <cell r="F73" t="str">
            <v/>
          </cell>
          <cell r="G73" t="str">
            <v>PCS</v>
          </cell>
          <cell r="H73" t="str">
            <v/>
          </cell>
          <cell r="I73" t="str">
            <v/>
          </cell>
          <cell r="J73" t="str">
            <v/>
          </cell>
          <cell r="K73">
            <v>330</v>
          </cell>
        </row>
        <row r="74">
          <cell r="A74">
            <v>10880030335</v>
          </cell>
          <cell r="B74" t="str">
            <v>空调561CA电控板</v>
          </cell>
          <cell r="C74" t="str">
            <v>693-C23B8A-PC 0151800561CA</v>
          </cell>
          <cell r="D74">
            <v>1900</v>
          </cell>
          <cell r="E74">
            <v>2001</v>
          </cell>
          <cell r="F74" t="str">
            <v/>
          </cell>
          <cell r="G74" t="str">
            <v>PCS</v>
          </cell>
          <cell r="H74" t="str">
            <v/>
          </cell>
          <cell r="I74" t="str">
            <v/>
          </cell>
          <cell r="J74" t="str">
            <v/>
          </cell>
          <cell r="K74">
            <v>110</v>
          </cell>
        </row>
        <row r="75">
          <cell r="A75">
            <v>10880030447</v>
          </cell>
          <cell r="B75" t="str">
            <v>海尔空调显示板</v>
          </cell>
          <cell r="C75" t="str">
            <v>1911-C2302A-D 0011800607S(泰国)</v>
          </cell>
          <cell r="D75">
            <v>1900</v>
          </cell>
          <cell r="E75">
            <v>2001</v>
          </cell>
          <cell r="F75" t="str">
            <v/>
          </cell>
          <cell r="G75" t="str">
            <v>PCS</v>
          </cell>
          <cell r="H75" t="str">
            <v/>
          </cell>
          <cell r="I75" t="str">
            <v/>
          </cell>
          <cell r="J75" t="str">
            <v/>
          </cell>
          <cell r="K75">
            <v>144</v>
          </cell>
        </row>
        <row r="76">
          <cell r="A76">
            <v>10880030519</v>
          </cell>
          <cell r="B76" t="str">
            <v>海尔空调1031电控板</v>
          </cell>
          <cell r="C76" t="str">
            <v>693-C23D5A-PC 0151801031</v>
          </cell>
          <cell r="D76">
            <v>1900</v>
          </cell>
          <cell r="E76">
            <v>2001</v>
          </cell>
          <cell r="F76" t="str">
            <v/>
          </cell>
          <cell r="G76" t="str">
            <v>PCS</v>
          </cell>
          <cell r="H76" t="str">
            <v/>
          </cell>
          <cell r="I76" t="str">
            <v/>
          </cell>
          <cell r="J76" t="str">
            <v/>
          </cell>
          <cell r="K76">
            <v>621</v>
          </cell>
        </row>
        <row r="77">
          <cell r="A77">
            <v>10880030520</v>
          </cell>
          <cell r="B77" t="str">
            <v>海尔空调1031A电控板</v>
          </cell>
          <cell r="C77" t="str">
            <v>693-C23D5B-PC 0151801031A</v>
          </cell>
          <cell r="D77">
            <v>1900</v>
          </cell>
          <cell r="E77">
            <v>2001</v>
          </cell>
          <cell r="F77" t="str">
            <v/>
          </cell>
          <cell r="G77" t="str">
            <v>PCS</v>
          </cell>
          <cell r="H77" t="str">
            <v/>
          </cell>
          <cell r="I77" t="str">
            <v/>
          </cell>
          <cell r="J77" t="str">
            <v/>
          </cell>
          <cell r="K77">
            <v>1468</v>
          </cell>
        </row>
        <row r="78">
          <cell r="A78">
            <v>10880030545</v>
          </cell>
          <cell r="B78" t="str">
            <v>干衣机旋钮板</v>
          </cell>
          <cell r="C78" t="str">
            <v>201-A2378A-O HLP5602-GWM.01</v>
          </cell>
          <cell r="D78">
            <v>1900</v>
          </cell>
          <cell r="E78">
            <v>2001</v>
          </cell>
          <cell r="F78" t="str">
            <v/>
          </cell>
          <cell r="G78" t="str">
            <v>PCS</v>
          </cell>
          <cell r="H78" t="str">
            <v/>
          </cell>
          <cell r="I78" t="str">
            <v/>
          </cell>
          <cell r="J78" t="str">
            <v/>
          </cell>
          <cell r="K78">
            <v>17</v>
          </cell>
        </row>
        <row r="79">
          <cell r="A79">
            <v>10880030550</v>
          </cell>
          <cell r="B79" t="str">
            <v>干衣机通用板</v>
          </cell>
          <cell r="C79" t="str">
            <v>201-A2379A-O HLP5602-GWM.01</v>
          </cell>
          <cell r="D79">
            <v>1900</v>
          </cell>
          <cell r="E79">
            <v>2001</v>
          </cell>
          <cell r="F79" t="str">
            <v/>
          </cell>
          <cell r="G79" t="str">
            <v>PCS</v>
          </cell>
          <cell r="H79" t="str">
            <v/>
          </cell>
          <cell r="I79" t="str">
            <v/>
          </cell>
          <cell r="J79" t="str">
            <v/>
          </cell>
          <cell r="K79">
            <v>1</v>
          </cell>
        </row>
        <row r="80">
          <cell r="A80">
            <v>10880030551</v>
          </cell>
          <cell r="B80" t="str">
            <v>干衣机面板</v>
          </cell>
          <cell r="C80" t="str">
            <v>201-A2381A-O HLP5602-GWM.01</v>
          </cell>
          <cell r="D80">
            <v>1900</v>
          </cell>
          <cell r="E80">
            <v>2001</v>
          </cell>
          <cell r="F80" t="str">
            <v/>
          </cell>
          <cell r="G80" t="str">
            <v>PCS</v>
          </cell>
          <cell r="H80" t="str">
            <v/>
          </cell>
          <cell r="I80" t="str">
            <v/>
          </cell>
          <cell r="J80" t="str">
            <v/>
          </cell>
          <cell r="K80">
            <v>635</v>
          </cell>
        </row>
        <row r="81">
          <cell r="A81">
            <v>10880030598</v>
          </cell>
          <cell r="B81" t="str">
            <v>家用空调电控板</v>
          </cell>
          <cell r="C81" t="str">
            <v>693-C23C6A-PC 0011801119N</v>
          </cell>
          <cell r="D81">
            <v>1900</v>
          </cell>
          <cell r="E81">
            <v>2001</v>
          </cell>
          <cell r="F81" t="str">
            <v/>
          </cell>
          <cell r="G81" t="str">
            <v>PCS</v>
          </cell>
          <cell r="H81" t="str">
            <v/>
          </cell>
          <cell r="I81" t="str">
            <v/>
          </cell>
          <cell r="J81" t="str">
            <v/>
          </cell>
          <cell r="K81">
            <v>14</v>
          </cell>
        </row>
        <row r="82">
          <cell r="A82">
            <v>10880030607</v>
          </cell>
          <cell r="B82" t="str">
            <v>海尔空调电控板</v>
          </cell>
          <cell r="C82" t="str">
            <v>693-B23G7A-PC  0011801048AE</v>
          </cell>
          <cell r="D82">
            <v>1900</v>
          </cell>
          <cell r="E82">
            <v>2001</v>
          </cell>
          <cell r="F82" t="str">
            <v/>
          </cell>
          <cell r="G82" t="str">
            <v>PCS</v>
          </cell>
          <cell r="H82" t="str">
            <v/>
          </cell>
          <cell r="I82" t="str">
            <v/>
          </cell>
          <cell r="J82" t="str">
            <v/>
          </cell>
          <cell r="K82">
            <v>960</v>
          </cell>
        </row>
        <row r="83">
          <cell r="A83">
            <v>10880030734</v>
          </cell>
          <cell r="B83" t="str">
            <v>家用空调电控板</v>
          </cell>
          <cell r="C83" t="str">
            <v>693-C23H4A-PC 0011801424AW</v>
          </cell>
          <cell r="D83">
            <v>1900</v>
          </cell>
          <cell r="E83">
            <v>2001</v>
          </cell>
          <cell r="F83" t="str">
            <v/>
          </cell>
          <cell r="G83" t="str">
            <v>PCS</v>
          </cell>
          <cell r="H83" t="str">
            <v/>
          </cell>
          <cell r="I83" t="str">
            <v/>
          </cell>
          <cell r="J83" t="str">
            <v/>
          </cell>
          <cell r="K83">
            <v>10</v>
          </cell>
        </row>
        <row r="84">
          <cell r="A84">
            <v>10880030742</v>
          </cell>
          <cell r="B84" t="str">
            <v>家用空调电控板</v>
          </cell>
          <cell r="C84" t="str">
            <v>693-C23H4C-PC  0011801424AX</v>
          </cell>
          <cell r="D84">
            <v>1900</v>
          </cell>
          <cell r="E84">
            <v>2001</v>
          </cell>
          <cell r="F84" t="str">
            <v/>
          </cell>
          <cell r="G84" t="str">
            <v>PCS</v>
          </cell>
          <cell r="H84" t="str">
            <v/>
          </cell>
          <cell r="I84" t="str">
            <v/>
          </cell>
          <cell r="J84" t="str">
            <v/>
          </cell>
          <cell r="K84">
            <v>8</v>
          </cell>
        </row>
        <row r="85">
          <cell r="A85">
            <v>10880030841</v>
          </cell>
          <cell r="B85" t="str">
            <v>海尔空调内机电控板</v>
          </cell>
          <cell r="C85" t="str">
            <v>693-B2351F-PC 0011801606F</v>
          </cell>
          <cell r="D85">
            <v>1900</v>
          </cell>
          <cell r="E85">
            <v>2001</v>
          </cell>
          <cell r="F85" t="str">
            <v/>
          </cell>
          <cell r="G85" t="str">
            <v>PCS</v>
          </cell>
          <cell r="H85" t="str">
            <v/>
          </cell>
          <cell r="I85" t="str">
            <v/>
          </cell>
          <cell r="J85" t="str">
            <v/>
          </cell>
          <cell r="K85">
            <v>8</v>
          </cell>
        </row>
        <row r="86">
          <cell r="A86">
            <v>10880030932</v>
          </cell>
          <cell r="B86" t="str">
            <v>净水534A电控板</v>
          </cell>
          <cell r="C86" t="str">
            <v>693-C2328B-PC 0190400534A</v>
          </cell>
          <cell r="D86">
            <v>1900</v>
          </cell>
          <cell r="E86">
            <v>2001</v>
          </cell>
          <cell r="F86" t="str">
            <v/>
          </cell>
          <cell r="G86" t="str">
            <v>PCS</v>
          </cell>
          <cell r="H86" t="str">
            <v/>
          </cell>
          <cell r="I86" t="str">
            <v/>
          </cell>
          <cell r="J86" t="str">
            <v/>
          </cell>
          <cell r="K86">
            <v>470</v>
          </cell>
        </row>
        <row r="87">
          <cell r="A87">
            <v>10880030934</v>
          </cell>
          <cell r="B87" t="str">
            <v>净水377显示板</v>
          </cell>
          <cell r="C87" t="str">
            <v>693-C2371A-D 0190400377</v>
          </cell>
          <cell r="D87">
            <v>1900</v>
          </cell>
          <cell r="E87">
            <v>2001</v>
          </cell>
          <cell r="F87" t="str">
            <v/>
          </cell>
          <cell r="G87" t="str">
            <v>PCS</v>
          </cell>
          <cell r="H87" t="str">
            <v/>
          </cell>
          <cell r="I87" t="str">
            <v/>
          </cell>
          <cell r="J87" t="str">
            <v/>
          </cell>
          <cell r="K87">
            <v>630</v>
          </cell>
        </row>
        <row r="88">
          <cell r="A88">
            <v>10880030976</v>
          </cell>
          <cell r="B88" t="str">
            <v>日本空调1656电控板</v>
          </cell>
          <cell r="C88" t="str">
            <v>693-C23I3A-PC 0011801656</v>
          </cell>
          <cell r="D88">
            <v>1900</v>
          </cell>
          <cell r="E88">
            <v>2001</v>
          </cell>
          <cell r="F88" t="str">
            <v/>
          </cell>
          <cell r="G88" t="str">
            <v>PCS</v>
          </cell>
          <cell r="H88" t="str">
            <v/>
          </cell>
          <cell r="I88" t="str">
            <v/>
          </cell>
          <cell r="J88" t="str">
            <v/>
          </cell>
          <cell r="K88">
            <v>160</v>
          </cell>
        </row>
        <row r="89">
          <cell r="A89">
            <v>10880031011</v>
          </cell>
          <cell r="B89" t="str">
            <v>洗衣机面板</v>
          </cell>
          <cell r="C89" t="str">
            <v>201-A2381B-X HLP5602-GWM(天青墨)</v>
          </cell>
          <cell r="D89">
            <v>1900</v>
          </cell>
          <cell r="E89">
            <v>2001</v>
          </cell>
          <cell r="F89" t="str">
            <v/>
          </cell>
          <cell r="G89" t="str">
            <v>PCS</v>
          </cell>
          <cell r="H89" t="str">
            <v/>
          </cell>
          <cell r="I89" t="str">
            <v/>
          </cell>
          <cell r="J89" t="str">
            <v/>
          </cell>
          <cell r="K89">
            <v>1102</v>
          </cell>
        </row>
        <row r="90">
          <cell r="A90">
            <v>10880031072</v>
          </cell>
          <cell r="B90" t="str">
            <v>净水908电控板</v>
          </cell>
          <cell r="C90" t="str">
            <v>2006-C2301A-PC 888000908</v>
          </cell>
          <cell r="D90">
            <v>1900</v>
          </cell>
          <cell r="E90">
            <v>2001</v>
          </cell>
          <cell r="F90" t="str">
            <v/>
          </cell>
          <cell r="G90" t="str">
            <v>PCS</v>
          </cell>
          <cell r="H90" t="str">
            <v/>
          </cell>
          <cell r="I90" t="str">
            <v/>
          </cell>
          <cell r="J90" t="str">
            <v/>
          </cell>
          <cell r="K90">
            <v>1999</v>
          </cell>
        </row>
        <row r="91">
          <cell r="A91">
            <v>10880031096</v>
          </cell>
          <cell r="B91" t="str">
            <v>净水1414电控板</v>
          </cell>
          <cell r="C91" t="str">
            <v>2006-C2301B-PC 888001414</v>
          </cell>
          <cell r="D91">
            <v>1900</v>
          </cell>
          <cell r="E91">
            <v>2001</v>
          </cell>
          <cell r="F91" t="str">
            <v/>
          </cell>
          <cell r="G91" t="str">
            <v>PCS</v>
          </cell>
          <cell r="H91" t="str">
            <v/>
          </cell>
          <cell r="I91" t="str">
            <v/>
          </cell>
          <cell r="J91" t="str">
            <v/>
          </cell>
          <cell r="K91">
            <v>129</v>
          </cell>
        </row>
        <row r="92">
          <cell r="A92">
            <v>10880031113</v>
          </cell>
          <cell r="B92" t="str">
            <v>空调内机1720电控板</v>
          </cell>
          <cell r="C92" t="str">
            <v>693-C23K1A-PC 0011801720</v>
          </cell>
          <cell r="D92">
            <v>1900</v>
          </cell>
          <cell r="E92">
            <v>2001</v>
          </cell>
          <cell r="F92" t="str">
            <v/>
          </cell>
          <cell r="G92" t="str">
            <v>PCS</v>
          </cell>
          <cell r="H92" t="str">
            <v/>
          </cell>
          <cell r="I92" t="str">
            <v/>
          </cell>
          <cell r="J92" t="str">
            <v/>
          </cell>
          <cell r="K92">
            <v>1039</v>
          </cell>
        </row>
        <row r="93">
          <cell r="A93">
            <v>10880031114</v>
          </cell>
          <cell r="B93" t="str">
            <v>空调内机1720A电控板</v>
          </cell>
          <cell r="C93" t="str">
            <v>693-C23K1B-PC 0011801720A</v>
          </cell>
          <cell r="D93">
            <v>1900</v>
          </cell>
          <cell r="E93">
            <v>2001</v>
          </cell>
          <cell r="F93" t="str">
            <v/>
          </cell>
          <cell r="G93" t="str">
            <v>PCS</v>
          </cell>
          <cell r="H93" t="str">
            <v/>
          </cell>
          <cell r="I93" t="str">
            <v/>
          </cell>
          <cell r="J93" t="str">
            <v/>
          </cell>
          <cell r="K93">
            <v>480</v>
          </cell>
        </row>
        <row r="94">
          <cell r="A94">
            <v>10880031115</v>
          </cell>
          <cell r="B94" t="str">
            <v>空调内机1720B电控板</v>
          </cell>
          <cell r="C94" t="str">
            <v>693-C23K1C-PC 0011801720B</v>
          </cell>
          <cell r="D94">
            <v>1900</v>
          </cell>
          <cell r="E94">
            <v>2001</v>
          </cell>
          <cell r="F94" t="str">
            <v/>
          </cell>
          <cell r="G94" t="str">
            <v>PCS</v>
          </cell>
          <cell r="H94" t="str">
            <v/>
          </cell>
          <cell r="I94" t="str">
            <v/>
          </cell>
          <cell r="J94" t="str">
            <v/>
          </cell>
          <cell r="K94">
            <v>333</v>
          </cell>
        </row>
        <row r="95">
          <cell r="A95">
            <v>10880031135</v>
          </cell>
          <cell r="B95" t="str">
            <v>家用空调电控板</v>
          </cell>
          <cell r="C95" t="str">
            <v>693-B23G9B-PC  0011801424AV</v>
          </cell>
          <cell r="D95">
            <v>1900</v>
          </cell>
          <cell r="E95">
            <v>2001</v>
          </cell>
          <cell r="F95" t="str">
            <v/>
          </cell>
          <cell r="G95" t="str">
            <v>PCS</v>
          </cell>
          <cell r="H95" t="str">
            <v/>
          </cell>
          <cell r="I95" t="str">
            <v/>
          </cell>
          <cell r="J95" t="str">
            <v/>
          </cell>
          <cell r="K95">
            <v>10</v>
          </cell>
        </row>
        <row r="96">
          <cell r="A96">
            <v>10880031161</v>
          </cell>
          <cell r="B96" t="str">
            <v>海尔空调内机电控板</v>
          </cell>
          <cell r="C96" t="str">
            <v>693-C2331E-PC 0011801593D</v>
          </cell>
          <cell r="D96">
            <v>1900</v>
          </cell>
          <cell r="E96">
            <v>2001</v>
          </cell>
          <cell r="F96" t="str">
            <v/>
          </cell>
          <cell r="G96" t="str">
            <v>PCS</v>
          </cell>
          <cell r="H96" t="str">
            <v/>
          </cell>
          <cell r="I96" t="str">
            <v/>
          </cell>
          <cell r="J96" t="str">
            <v/>
          </cell>
          <cell r="K96">
            <v>1</v>
          </cell>
        </row>
        <row r="97">
          <cell r="A97">
            <v>10880031164</v>
          </cell>
          <cell r="B97" t="str">
            <v>净水340A电控板</v>
          </cell>
          <cell r="C97" t="str">
            <v>693-C2310B-PC 0190400340A</v>
          </cell>
          <cell r="D97">
            <v>1900</v>
          </cell>
          <cell r="E97">
            <v>2001</v>
          </cell>
          <cell r="F97" t="str">
            <v/>
          </cell>
          <cell r="G97" t="str">
            <v>PCS</v>
          </cell>
          <cell r="H97" t="str">
            <v/>
          </cell>
          <cell r="I97" t="str">
            <v/>
          </cell>
          <cell r="J97" t="str">
            <v/>
          </cell>
          <cell r="K97">
            <v>371</v>
          </cell>
        </row>
        <row r="98">
          <cell r="A98">
            <v>10880031185</v>
          </cell>
          <cell r="B98" t="str">
            <v>空调1071E电控板</v>
          </cell>
          <cell r="C98" t="str">
            <v>693-C23I5A-PC 0011801071E</v>
          </cell>
          <cell r="D98">
            <v>1900</v>
          </cell>
          <cell r="E98">
            <v>2001</v>
          </cell>
          <cell r="F98" t="str">
            <v/>
          </cell>
          <cell r="G98" t="str">
            <v>PCS</v>
          </cell>
          <cell r="H98" t="str">
            <v/>
          </cell>
          <cell r="I98" t="str">
            <v/>
          </cell>
          <cell r="J98" t="str">
            <v/>
          </cell>
          <cell r="K98">
            <v>12</v>
          </cell>
        </row>
        <row r="99">
          <cell r="A99">
            <v>10880031242</v>
          </cell>
          <cell r="B99" t="str">
            <v>空调外机1039AM电控板</v>
          </cell>
          <cell r="C99" t="str">
            <v>693-B23I7A-PC 0011801039AM</v>
          </cell>
          <cell r="D99">
            <v>1900</v>
          </cell>
          <cell r="E99">
            <v>2001</v>
          </cell>
          <cell r="F99" t="str">
            <v/>
          </cell>
          <cell r="G99" t="str">
            <v>PCS</v>
          </cell>
          <cell r="H99" t="str">
            <v/>
          </cell>
          <cell r="I99" t="str">
            <v/>
          </cell>
          <cell r="J99" t="str">
            <v/>
          </cell>
          <cell r="K99">
            <v>12</v>
          </cell>
        </row>
        <row r="100">
          <cell r="A100">
            <v>10880031249</v>
          </cell>
          <cell r="B100" t="str">
            <v>洗碗机显示板</v>
          </cell>
          <cell r="C100" t="str">
            <v>693-C23H5A-D G0044 0121800104W</v>
          </cell>
          <cell r="D100">
            <v>1900</v>
          </cell>
          <cell r="E100">
            <v>2001</v>
          </cell>
          <cell r="F100" t="str">
            <v/>
          </cell>
          <cell r="G100" t="str">
            <v>PCS</v>
          </cell>
          <cell r="H100" t="str">
            <v/>
          </cell>
          <cell r="I100" t="str">
            <v/>
          </cell>
          <cell r="J100" t="str">
            <v/>
          </cell>
          <cell r="K100">
            <v>5</v>
          </cell>
        </row>
        <row r="101">
          <cell r="A101">
            <v>10880031362</v>
          </cell>
          <cell r="B101" t="str">
            <v>海尔空调1119Q电控板</v>
          </cell>
          <cell r="C101" t="str">
            <v>693-C23C6C-PC 0011801119Q</v>
          </cell>
          <cell r="D101">
            <v>1900</v>
          </cell>
          <cell r="E101">
            <v>2001</v>
          </cell>
          <cell r="F101" t="str">
            <v/>
          </cell>
          <cell r="G101" t="str">
            <v>PCS</v>
          </cell>
          <cell r="H101" t="str">
            <v/>
          </cell>
          <cell r="I101" t="str">
            <v/>
          </cell>
          <cell r="J101" t="str">
            <v/>
          </cell>
          <cell r="K101">
            <v>15</v>
          </cell>
        </row>
        <row r="102">
          <cell r="A102">
            <v>10880031461</v>
          </cell>
          <cell r="B102" t="str">
            <v>净水主变一体板电控板</v>
          </cell>
          <cell r="C102" t="str">
            <v>693-B2301B-PC 0041801545D</v>
          </cell>
          <cell r="D102">
            <v>1900</v>
          </cell>
          <cell r="E102">
            <v>2001</v>
          </cell>
          <cell r="F102" t="str">
            <v/>
          </cell>
          <cell r="G102" t="str">
            <v>PCS</v>
          </cell>
          <cell r="H102" t="str">
            <v/>
          </cell>
          <cell r="I102" t="str">
            <v/>
          </cell>
          <cell r="J102" t="str">
            <v/>
          </cell>
          <cell r="K102">
            <v>4</v>
          </cell>
        </row>
        <row r="103">
          <cell r="A103">
            <v>10880031525</v>
          </cell>
          <cell r="B103" t="str">
            <v>变频空调室外电控板</v>
          </cell>
          <cell r="C103" t="str">
            <v>201-A2401A-PC 1203877_H7B11804A-D/PV220&amp;</v>
          </cell>
          <cell r="D103">
            <v>1900</v>
          </cell>
          <cell r="E103">
            <v>2001</v>
          </cell>
          <cell r="F103" t="str">
            <v/>
          </cell>
          <cell r="G103" t="str">
            <v>PCS</v>
          </cell>
          <cell r="H103" t="str">
            <v/>
          </cell>
          <cell r="I103" t="str">
            <v/>
          </cell>
          <cell r="J103" t="str">
            <v/>
          </cell>
          <cell r="K103">
            <v>184</v>
          </cell>
        </row>
        <row r="104">
          <cell r="A104">
            <v>10880031560</v>
          </cell>
          <cell r="B104" t="str">
            <v>变频空调室外电控板</v>
          </cell>
          <cell r="C104" t="str">
            <v>201-A2401B-PC 1203878_H7B11804B-D/PV220&amp;</v>
          </cell>
          <cell r="D104">
            <v>1900</v>
          </cell>
          <cell r="E104">
            <v>2001</v>
          </cell>
          <cell r="F104" t="str">
            <v/>
          </cell>
          <cell r="G104" t="str">
            <v>PCS</v>
          </cell>
          <cell r="H104" t="str">
            <v/>
          </cell>
          <cell r="I104" t="str">
            <v/>
          </cell>
          <cell r="J104" t="str">
            <v/>
          </cell>
          <cell r="K104">
            <v>1248</v>
          </cell>
        </row>
        <row r="105">
          <cell r="A105">
            <v>10880031570</v>
          </cell>
          <cell r="B105" t="str">
            <v>洗衣机显示板</v>
          </cell>
          <cell r="C105" t="str">
            <v>693-C2404A-D 0021800615A(俄罗斯)</v>
          </cell>
          <cell r="D105">
            <v>1900</v>
          </cell>
          <cell r="E105">
            <v>2001</v>
          </cell>
          <cell r="F105" t="str">
            <v/>
          </cell>
          <cell r="G105" t="str">
            <v>PCS</v>
          </cell>
          <cell r="H105" t="str">
            <v/>
          </cell>
          <cell r="I105" t="str">
            <v/>
          </cell>
          <cell r="J105" t="str">
            <v/>
          </cell>
          <cell r="K105">
            <v>2000</v>
          </cell>
        </row>
        <row r="106">
          <cell r="A106">
            <v>10880031600</v>
          </cell>
          <cell r="B106" t="str">
            <v>变频空调室外电控板</v>
          </cell>
          <cell r="C106" t="str">
            <v>201-A2402B-PC 1203876_H7B11803B-D/PV220&amp;</v>
          </cell>
          <cell r="D106">
            <v>1900</v>
          </cell>
          <cell r="E106">
            <v>2001</v>
          </cell>
          <cell r="F106" t="str">
            <v/>
          </cell>
          <cell r="G106" t="str">
            <v>PCS</v>
          </cell>
          <cell r="H106" t="str">
            <v/>
          </cell>
          <cell r="I106" t="str">
            <v/>
          </cell>
          <cell r="J106" t="str">
            <v/>
          </cell>
          <cell r="K106">
            <v>280</v>
          </cell>
        </row>
        <row r="107">
          <cell r="A107">
            <v>10880031760</v>
          </cell>
          <cell r="B107" t="str">
            <v>洗衣机面板</v>
          </cell>
          <cell r="C107" t="str">
            <v>201-A2381C-X 2297595 冼衣机面板(全球白)</v>
          </cell>
          <cell r="D107">
            <v>1900</v>
          </cell>
          <cell r="E107">
            <v>2001</v>
          </cell>
          <cell r="F107" t="str">
            <v/>
          </cell>
          <cell r="G107" t="str">
            <v>PCS</v>
          </cell>
          <cell r="H107" t="str">
            <v/>
          </cell>
          <cell r="I107" t="str">
            <v/>
          </cell>
          <cell r="J107" t="str">
            <v/>
          </cell>
          <cell r="K107">
            <v>202</v>
          </cell>
        </row>
        <row r="108">
          <cell r="A108">
            <v>10880031846</v>
          </cell>
          <cell r="B108" t="str">
            <v>家用空调1516C电控板</v>
          </cell>
          <cell r="C108" t="str">
            <v>693-C2352B-PC 0011801516C</v>
          </cell>
          <cell r="D108">
            <v>1900</v>
          </cell>
          <cell r="E108">
            <v>2001</v>
          </cell>
          <cell r="F108" t="str">
            <v/>
          </cell>
          <cell r="G108" t="str">
            <v>PCS</v>
          </cell>
          <cell r="H108" t="str">
            <v/>
          </cell>
          <cell r="I108" t="str">
            <v/>
          </cell>
          <cell r="J108" t="str">
            <v/>
          </cell>
          <cell r="K108">
            <v>1</v>
          </cell>
        </row>
        <row r="109">
          <cell r="A109">
            <v>10880031870</v>
          </cell>
          <cell r="B109" t="str">
            <v>海尔热泵变频电控板</v>
          </cell>
          <cell r="C109" t="str">
            <v>693-B2301D-PC 0041801545C</v>
          </cell>
          <cell r="D109">
            <v>1900</v>
          </cell>
          <cell r="E109">
            <v>2001</v>
          </cell>
          <cell r="F109" t="str">
            <v/>
          </cell>
          <cell r="G109" t="str">
            <v>PCS</v>
          </cell>
          <cell r="H109" t="str">
            <v/>
          </cell>
          <cell r="I109" t="str">
            <v/>
          </cell>
          <cell r="J109" t="str">
            <v/>
          </cell>
          <cell r="K109">
            <v>16</v>
          </cell>
        </row>
        <row r="110">
          <cell r="A110">
            <v>10880032024</v>
          </cell>
          <cell r="B110" t="str">
            <v>净水主控板534B电控板</v>
          </cell>
          <cell r="C110" t="str">
            <v>693-C2328C-PC 0190400534B</v>
          </cell>
          <cell r="D110">
            <v>1900</v>
          </cell>
          <cell r="E110">
            <v>2001</v>
          </cell>
          <cell r="F110" t="str">
            <v/>
          </cell>
          <cell r="G110" t="str">
            <v>PCS</v>
          </cell>
          <cell r="H110" t="str">
            <v/>
          </cell>
          <cell r="I110" t="str">
            <v/>
          </cell>
          <cell r="J110" t="str">
            <v/>
          </cell>
          <cell r="K110">
            <v>601</v>
          </cell>
        </row>
        <row r="111">
          <cell r="A111">
            <v>10880032298</v>
          </cell>
          <cell r="B111" t="str">
            <v>净水主控板359AA电控板</v>
          </cell>
          <cell r="C111" t="str">
            <v>693-B2287C-PC 0190400359AA</v>
          </cell>
          <cell r="D111">
            <v>1900</v>
          </cell>
          <cell r="E111">
            <v>2001</v>
          </cell>
          <cell r="F111" t="str">
            <v/>
          </cell>
          <cell r="G111" t="str">
            <v>PCS</v>
          </cell>
          <cell r="H111" t="str">
            <v/>
          </cell>
          <cell r="I111" t="str">
            <v/>
          </cell>
          <cell r="J111" t="str">
            <v/>
          </cell>
          <cell r="K111">
            <v>1</v>
          </cell>
        </row>
        <row r="112">
          <cell r="A112">
            <v>10880032383</v>
          </cell>
          <cell r="B112" t="str">
            <v>冰箱远场拾音板</v>
          </cell>
          <cell r="C112" t="str">
            <v>201-A2412A-X G0020 3677805 BCD-600W MIC&amp;</v>
          </cell>
          <cell r="D112">
            <v>1900</v>
          </cell>
          <cell r="E112">
            <v>2001</v>
          </cell>
          <cell r="F112" t="str">
            <v/>
          </cell>
          <cell r="G112" t="str">
            <v>PCS</v>
          </cell>
          <cell r="H112" t="str">
            <v/>
          </cell>
          <cell r="I112" t="str">
            <v/>
          </cell>
          <cell r="J112" t="str">
            <v/>
          </cell>
          <cell r="K112">
            <v>23</v>
          </cell>
        </row>
        <row r="113">
          <cell r="A113">
            <v>10880032573</v>
          </cell>
          <cell r="B113" t="str">
            <v>变频空调室外电控板</v>
          </cell>
          <cell r="C113" t="str">
            <v>201-A2423B-PC 1204350 H7B11853B-D PV2206</v>
          </cell>
          <cell r="D113">
            <v>1900</v>
          </cell>
          <cell r="E113">
            <v>2001</v>
          </cell>
          <cell r="F113" t="str">
            <v/>
          </cell>
          <cell r="G113" t="str">
            <v>PCS</v>
          </cell>
          <cell r="H113" t="str">
            <v/>
          </cell>
          <cell r="I113" t="str">
            <v/>
          </cell>
          <cell r="J113" t="str">
            <v/>
          </cell>
          <cell r="K113">
            <v>341</v>
          </cell>
        </row>
        <row r="114">
          <cell r="A114">
            <v>10880032683</v>
          </cell>
          <cell r="B114" t="str">
            <v>海信洗衣机091电控板</v>
          </cell>
          <cell r="C114" t="str">
            <v>2189-B2401A-PC 2389091</v>
          </cell>
          <cell r="D114">
            <v>1900</v>
          </cell>
          <cell r="E114">
            <v>2001</v>
          </cell>
          <cell r="F114" t="str">
            <v/>
          </cell>
          <cell r="G114" t="str">
            <v>PCS</v>
          </cell>
          <cell r="H114" t="str">
            <v/>
          </cell>
          <cell r="I114" t="str">
            <v/>
          </cell>
          <cell r="J114" t="str">
            <v/>
          </cell>
          <cell r="K114">
            <v>4</v>
          </cell>
        </row>
        <row r="115">
          <cell r="A115">
            <v>10880032759</v>
          </cell>
          <cell r="B115" t="str">
            <v>电控板</v>
          </cell>
          <cell r="C115" t="str">
            <v>1911-C2401A-PC 0011801036C 海尔空调1036C电控板</v>
          </cell>
          <cell r="D115">
            <v>1900</v>
          </cell>
          <cell r="E115">
            <v>2001</v>
          </cell>
          <cell r="F115" t="str">
            <v/>
          </cell>
          <cell r="G115" t="str">
            <v>PCS</v>
          </cell>
          <cell r="H115" t="str">
            <v/>
          </cell>
          <cell r="I115" t="str">
            <v/>
          </cell>
          <cell r="J115" t="str">
            <v/>
          </cell>
          <cell r="K115">
            <v>843</v>
          </cell>
        </row>
        <row r="116">
          <cell r="A116">
            <v>10880032885</v>
          </cell>
          <cell r="B116" t="str">
            <v>洗衣机电控板</v>
          </cell>
          <cell r="C116" t="str">
            <v>693-C2434A-PC 0031800138R</v>
          </cell>
          <cell r="D116">
            <v>1900</v>
          </cell>
          <cell r="E116">
            <v>2001</v>
          </cell>
          <cell r="F116" t="str">
            <v/>
          </cell>
          <cell r="G116" t="str">
            <v>PCS</v>
          </cell>
          <cell r="H116" t="str">
            <v/>
          </cell>
          <cell r="I116" t="str">
            <v/>
          </cell>
          <cell r="J116" t="str">
            <v/>
          </cell>
          <cell r="K116">
            <v>1225</v>
          </cell>
        </row>
        <row r="117">
          <cell r="A117">
            <v>10880032933</v>
          </cell>
          <cell r="B117" t="str">
            <v>洗衣机电控板</v>
          </cell>
          <cell r="C117" t="str">
            <v>2189-B2401B-PC 2397243</v>
          </cell>
          <cell r="D117">
            <v>1900</v>
          </cell>
          <cell r="E117">
            <v>2001</v>
          </cell>
          <cell r="F117" t="str">
            <v/>
          </cell>
          <cell r="G117" t="str">
            <v>PCS</v>
          </cell>
          <cell r="H117" t="str">
            <v/>
          </cell>
          <cell r="I117" t="str">
            <v/>
          </cell>
          <cell r="J117" t="str">
            <v/>
          </cell>
          <cell r="K117">
            <v>3</v>
          </cell>
        </row>
        <row r="118">
          <cell r="A118">
            <v>10880032937</v>
          </cell>
          <cell r="B118" t="str">
            <v>洗衣机电控板</v>
          </cell>
          <cell r="C118" t="str">
            <v>2189-B2401E-PC 2397246</v>
          </cell>
          <cell r="D118">
            <v>1900</v>
          </cell>
          <cell r="E118">
            <v>2001</v>
          </cell>
          <cell r="F118" t="str">
            <v/>
          </cell>
          <cell r="G118" t="str">
            <v>PCS</v>
          </cell>
          <cell r="H118" t="str">
            <v/>
          </cell>
          <cell r="I118" t="str">
            <v/>
          </cell>
          <cell r="J118" t="str">
            <v/>
          </cell>
          <cell r="K118">
            <v>3</v>
          </cell>
        </row>
        <row r="119">
          <cell r="A119">
            <v>10880032942</v>
          </cell>
          <cell r="B119" t="str">
            <v>洗衣机电控板</v>
          </cell>
          <cell r="C119" t="str">
            <v>2189-B2401F-PC 2397248</v>
          </cell>
          <cell r="D119">
            <v>1900</v>
          </cell>
          <cell r="E119">
            <v>2001</v>
          </cell>
          <cell r="F119" t="str">
            <v/>
          </cell>
          <cell r="G119" t="str">
            <v>PCS</v>
          </cell>
          <cell r="H119" t="str">
            <v/>
          </cell>
          <cell r="I119" t="str">
            <v/>
          </cell>
          <cell r="J119" t="str">
            <v/>
          </cell>
          <cell r="K119">
            <v>11</v>
          </cell>
        </row>
        <row r="120">
          <cell r="A120">
            <v>10880032943</v>
          </cell>
          <cell r="B120" t="str">
            <v>洗衣机电控板</v>
          </cell>
          <cell r="C120" t="str">
            <v>2189-B2401D-PC 2397172</v>
          </cell>
          <cell r="D120">
            <v>1900</v>
          </cell>
          <cell r="E120">
            <v>2001</v>
          </cell>
          <cell r="F120" t="str">
            <v/>
          </cell>
          <cell r="G120" t="str">
            <v>PCS</v>
          </cell>
          <cell r="H120" t="str">
            <v/>
          </cell>
          <cell r="I120" t="str">
            <v/>
          </cell>
          <cell r="J120" t="str">
            <v/>
          </cell>
          <cell r="K120">
            <v>539</v>
          </cell>
        </row>
        <row r="121">
          <cell r="A121">
            <v>10880032944</v>
          </cell>
          <cell r="B121" t="str">
            <v>洗衣机电控板</v>
          </cell>
          <cell r="C121" t="str">
            <v>2189-B2401I-PC 2397245</v>
          </cell>
          <cell r="D121">
            <v>1900</v>
          </cell>
          <cell r="E121">
            <v>2001</v>
          </cell>
          <cell r="F121" t="str">
            <v/>
          </cell>
          <cell r="G121" t="str">
            <v>PCS</v>
          </cell>
          <cell r="H121" t="str">
            <v/>
          </cell>
          <cell r="I121" t="str">
            <v/>
          </cell>
          <cell r="J121" t="str">
            <v/>
          </cell>
          <cell r="K121">
            <v>2</v>
          </cell>
        </row>
        <row r="122">
          <cell r="A122">
            <v>10880032945</v>
          </cell>
          <cell r="B122" t="str">
            <v>洗衣机电控板</v>
          </cell>
          <cell r="C122" t="str">
            <v>2189-B2401C-PC 2397168</v>
          </cell>
          <cell r="D122">
            <v>1900</v>
          </cell>
          <cell r="E122">
            <v>2001</v>
          </cell>
          <cell r="F122" t="str">
            <v/>
          </cell>
          <cell r="G122" t="str">
            <v>PCS</v>
          </cell>
          <cell r="H122" t="str">
            <v/>
          </cell>
          <cell r="I122" t="str">
            <v/>
          </cell>
          <cell r="J122" t="str">
            <v/>
          </cell>
          <cell r="K122">
            <v>1502</v>
          </cell>
        </row>
        <row r="123">
          <cell r="A123">
            <v>10880033130</v>
          </cell>
          <cell r="B123" t="str">
            <v>净水器电控板</v>
          </cell>
          <cell r="C123" t="str">
            <v>500323-C24A1A-PC 0190400340BA</v>
          </cell>
          <cell r="D123">
            <v>1900</v>
          </cell>
          <cell r="E123">
            <v>2001</v>
          </cell>
          <cell r="F123" t="str">
            <v/>
          </cell>
          <cell r="G123" t="str">
            <v>PCS</v>
          </cell>
          <cell r="H123" t="str">
            <v/>
          </cell>
          <cell r="I123" t="str">
            <v/>
          </cell>
          <cell r="J123" t="str">
            <v/>
          </cell>
          <cell r="K123">
            <v>384</v>
          </cell>
        </row>
        <row r="124">
          <cell r="A124">
            <v>10880033216</v>
          </cell>
          <cell r="B124" t="str">
            <v>空调电控板</v>
          </cell>
          <cell r="C124" t="str">
            <v>500323-C2489A-PC 0011801425AA</v>
          </cell>
          <cell r="D124">
            <v>1900</v>
          </cell>
          <cell r="E124">
            <v>2001</v>
          </cell>
          <cell r="F124" t="str">
            <v/>
          </cell>
          <cell r="G124" t="str">
            <v>PCS</v>
          </cell>
          <cell r="H124" t="str">
            <v/>
          </cell>
          <cell r="I124" t="str">
            <v/>
          </cell>
          <cell r="J124" t="str">
            <v/>
          </cell>
          <cell r="K124">
            <v>11</v>
          </cell>
        </row>
        <row r="125">
          <cell r="A125">
            <v>10880033217</v>
          </cell>
          <cell r="B125" t="str">
            <v>空调电控板</v>
          </cell>
          <cell r="C125" t="str">
            <v>500323-C2488A-PC 0011801482A</v>
          </cell>
          <cell r="D125">
            <v>1900</v>
          </cell>
          <cell r="E125">
            <v>2001</v>
          </cell>
          <cell r="F125" t="str">
            <v/>
          </cell>
          <cell r="G125" t="str">
            <v>PCS</v>
          </cell>
          <cell r="H125" t="str">
            <v/>
          </cell>
          <cell r="I125" t="str">
            <v/>
          </cell>
          <cell r="J125" t="str">
            <v/>
          </cell>
          <cell r="K125">
            <v>38</v>
          </cell>
        </row>
        <row r="126">
          <cell r="A126">
            <v>10880033252</v>
          </cell>
          <cell r="B126" t="str">
            <v>空调电控板</v>
          </cell>
          <cell r="C126" t="str">
            <v>500323-C24A3B-PC 0011801850A</v>
          </cell>
          <cell r="D126">
            <v>1900</v>
          </cell>
          <cell r="E126">
            <v>2001</v>
          </cell>
          <cell r="F126" t="str">
            <v/>
          </cell>
          <cell r="G126" t="str">
            <v>PCS</v>
          </cell>
          <cell r="H126" t="str">
            <v/>
          </cell>
          <cell r="I126" t="str">
            <v/>
          </cell>
          <cell r="J126" t="str">
            <v/>
          </cell>
          <cell r="K126">
            <v>343</v>
          </cell>
        </row>
        <row r="127">
          <cell r="A127">
            <v>10880033291</v>
          </cell>
          <cell r="B127" t="str">
            <v>净水器显示板</v>
          </cell>
          <cell r="C127" t="str">
            <v>500325-C2402B-D 888002157-415A</v>
          </cell>
          <cell r="D127">
            <v>1900</v>
          </cell>
          <cell r="E127">
            <v>2001</v>
          </cell>
          <cell r="F127" t="str">
            <v/>
          </cell>
          <cell r="G127" t="str">
            <v>PCS</v>
          </cell>
          <cell r="H127" t="str">
            <v/>
          </cell>
          <cell r="I127" t="str">
            <v/>
          </cell>
          <cell r="J127" t="str">
            <v/>
          </cell>
          <cell r="K127">
            <v>298</v>
          </cell>
        </row>
        <row r="128">
          <cell r="A128">
            <v>10880033293</v>
          </cell>
          <cell r="B128" t="str">
            <v>净水器显示板</v>
          </cell>
          <cell r="C128" t="str">
            <v>500325-C2402C-D 888002082-415B</v>
          </cell>
          <cell r="D128">
            <v>1900</v>
          </cell>
          <cell r="E128">
            <v>2001</v>
          </cell>
          <cell r="F128" t="str">
            <v/>
          </cell>
          <cell r="G128" t="str">
            <v>PCS</v>
          </cell>
          <cell r="H128" t="str">
            <v/>
          </cell>
          <cell r="I128" t="str">
            <v/>
          </cell>
          <cell r="J128" t="str">
            <v/>
          </cell>
          <cell r="K128">
            <v>452</v>
          </cell>
        </row>
        <row r="129">
          <cell r="A129">
            <v>10880033296</v>
          </cell>
          <cell r="B129" t="str">
            <v>净水器显示板</v>
          </cell>
          <cell r="C129" t="str">
            <v>500325-C2402D-D 888001871-415C</v>
          </cell>
          <cell r="D129">
            <v>1900</v>
          </cell>
          <cell r="E129">
            <v>2001</v>
          </cell>
          <cell r="F129" t="str">
            <v/>
          </cell>
          <cell r="G129" t="str">
            <v>PCS</v>
          </cell>
          <cell r="H129" t="str">
            <v/>
          </cell>
          <cell r="I129" t="str">
            <v/>
          </cell>
          <cell r="J129" t="str">
            <v/>
          </cell>
          <cell r="K129">
            <v>852</v>
          </cell>
        </row>
        <row r="130">
          <cell r="A130">
            <v>10880033297</v>
          </cell>
          <cell r="B130" t="str">
            <v>净水器显示板</v>
          </cell>
          <cell r="C130" t="str">
            <v>500325-C2402E-D 888001870-415D</v>
          </cell>
          <cell r="D130">
            <v>1900</v>
          </cell>
          <cell r="E130">
            <v>2001</v>
          </cell>
          <cell r="F130" t="str">
            <v/>
          </cell>
          <cell r="G130" t="str">
            <v>PCS</v>
          </cell>
          <cell r="H130" t="str">
            <v/>
          </cell>
          <cell r="I130" t="str">
            <v/>
          </cell>
          <cell r="J130" t="str">
            <v/>
          </cell>
          <cell r="K130">
            <v>4</v>
          </cell>
        </row>
        <row r="131">
          <cell r="A131">
            <v>10880033301</v>
          </cell>
          <cell r="B131" t="str">
            <v>空调电控板</v>
          </cell>
          <cell r="C131" t="str">
            <v>500323-C24A5A-PC 0011801583P</v>
          </cell>
          <cell r="D131">
            <v>1900</v>
          </cell>
          <cell r="E131">
            <v>2001</v>
          </cell>
          <cell r="F131" t="str">
            <v/>
          </cell>
          <cell r="G131" t="str">
            <v>PCS</v>
          </cell>
          <cell r="H131" t="str">
            <v/>
          </cell>
          <cell r="I131" t="str">
            <v/>
          </cell>
          <cell r="J131" t="str">
            <v/>
          </cell>
          <cell r="K131">
            <v>4264</v>
          </cell>
        </row>
        <row r="132">
          <cell r="A132">
            <v>10880033311</v>
          </cell>
          <cell r="B132" t="str">
            <v>空调电控板</v>
          </cell>
          <cell r="C132" t="str">
            <v>500323-C2494B-PC 0011800997BZ</v>
          </cell>
          <cell r="D132">
            <v>1900</v>
          </cell>
          <cell r="E132">
            <v>2001</v>
          </cell>
          <cell r="F132" t="str">
            <v/>
          </cell>
          <cell r="G132" t="str">
            <v>PCS</v>
          </cell>
          <cell r="H132" t="str">
            <v/>
          </cell>
          <cell r="I132" t="str">
            <v/>
          </cell>
          <cell r="J132" t="str">
            <v/>
          </cell>
          <cell r="K132">
            <v>14533</v>
          </cell>
        </row>
        <row r="133">
          <cell r="A133">
            <v>10880033312</v>
          </cell>
          <cell r="B133" t="str">
            <v>空调电控板</v>
          </cell>
          <cell r="C133" t="str">
            <v>500323-C2496A-PC 0011801423AS</v>
          </cell>
          <cell r="D133">
            <v>1900</v>
          </cell>
          <cell r="E133">
            <v>2001</v>
          </cell>
          <cell r="F133" t="str">
            <v/>
          </cell>
          <cell r="G133" t="str">
            <v>PCS</v>
          </cell>
          <cell r="H133" t="str">
            <v/>
          </cell>
          <cell r="I133" t="str">
            <v/>
          </cell>
          <cell r="J133" t="str">
            <v/>
          </cell>
          <cell r="K133">
            <v>84</v>
          </cell>
        </row>
        <row r="134">
          <cell r="A134">
            <v>10880033325</v>
          </cell>
          <cell r="B134" t="str">
            <v>洗衣机显示板</v>
          </cell>
          <cell r="C134" t="str">
            <v>500323-C24D2A-D 0021800616B</v>
          </cell>
          <cell r="D134">
            <v>1900</v>
          </cell>
          <cell r="E134">
            <v>2001</v>
          </cell>
          <cell r="F134" t="str">
            <v/>
          </cell>
          <cell r="G134" t="str">
            <v>PCS</v>
          </cell>
          <cell r="H134" t="str">
            <v/>
          </cell>
          <cell r="I134" t="str">
            <v/>
          </cell>
          <cell r="J134" t="str">
            <v/>
          </cell>
          <cell r="K134">
            <v>1556</v>
          </cell>
        </row>
        <row r="135">
          <cell r="A135">
            <v>10880033329</v>
          </cell>
          <cell r="B135" t="str">
            <v>空调电控板</v>
          </cell>
          <cell r="C135" t="str">
            <v>500323-C24A9A-PC 0011801490S</v>
          </cell>
          <cell r="D135">
            <v>1900</v>
          </cell>
          <cell r="E135">
            <v>2001</v>
          </cell>
          <cell r="F135" t="str">
            <v/>
          </cell>
          <cell r="G135" t="str">
            <v>PCS</v>
          </cell>
          <cell r="H135" t="str">
            <v/>
          </cell>
          <cell r="I135" t="str">
            <v/>
          </cell>
          <cell r="J135" t="str">
            <v/>
          </cell>
          <cell r="K135">
            <v>3532</v>
          </cell>
        </row>
        <row r="136">
          <cell r="A136">
            <v>10880033367</v>
          </cell>
          <cell r="B136" t="str">
            <v>空调电控板</v>
          </cell>
          <cell r="C136" t="str">
            <v>500323-C2493A-PC 0011801583R</v>
          </cell>
          <cell r="D136">
            <v>1900</v>
          </cell>
          <cell r="E136">
            <v>2001</v>
          </cell>
          <cell r="F136" t="str">
            <v/>
          </cell>
          <cell r="G136" t="str">
            <v>PCS</v>
          </cell>
          <cell r="H136" t="str">
            <v/>
          </cell>
          <cell r="I136" t="str">
            <v/>
          </cell>
          <cell r="J136" t="str">
            <v/>
          </cell>
          <cell r="K136">
            <v>1</v>
          </cell>
        </row>
        <row r="137">
          <cell r="A137">
            <v>10880033368</v>
          </cell>
          <cell r="B137" t="str">
            <v>洗碗机显示板</v>
          </cell>
          <cell r="C137" t="str">
            <v>500323-C24F2A-D 0121800104WD</v>
          </cell>
          <cell r="D137">
            <v>1900</v>
          </cell>
          <cell r="E137">
            <v>2001</v>
          </cell>
          <cell r="F137" t="str">
            <v/>
          </cell>
          <cell r="G137" t="str">
            <v>PCS</v>
          </cell>
          <cell r="H137" t="str">
            <v/>
          </cell>
          <cell r="I137" t="str">
            <v/>
          </cell>
          <cell r="J137" t="str">
            <v/>
          </cell>
          <cell r="K137">
            <v>319</v>
          </cell>
        </row>
        <row r="138">
          <cell r="A138">
            <v>10880033400</v>
          </cell>
          <cell r="B138" t="str">
            <v>洗衣机显示板</v>
          </cell>
          <cell r="C138" t="str">
            <v>500323-C24F5A-D 0021800615B</v>
          </cell>
          <cell r="D138">
            <v>1900</v>
          </cell>
          <cell r="E138">
            <v>2001</v>
          </cell>
          <cell r="F138" t="str">
            <v/>
          </cell>
          <cell r="G138" t="str">
            <v>PCS</v>
          </cell>
          <cell r="H138" t="str">
            <v/>
          </cell>
          <cell r="I138" t="str">
            <v/>
          </cell>
          <cell r="J138" t="str">
            <v/>
          </cell>
          <cell r="K138">
            <v>1061</v>
          </cell>
        </row>
        <row r="139">
          <cell r="A139">
            <v>10880033460</v>
          </cell>
          <cell r="B139" t="str">
            <v>空调电控板</v>
          </cell>
          <cell r="C139" t="str">
            <v>500323-C2496B-PC 0011801423AT</v>
          </cell>
          <cell r="D139">
            <v>1900</v>
          </cell>
          <cell r="E139">
            <v>2001</v>
          </cell>
          <cell r="F139" t="str">
            <v/>
          </cell>
          <cell r="G139" t="str">
            <v>PCS</v>
          </cell>
          <cell r="H139" t="str">
            <v/>
          </cell>
          <cell r="I139" t="str">
            <v/>
          </cell>
          <cell r="J139" t="str">
            <v/>
          </cell>
          <cell r="K139">
            <v>1096</v>
          </cell>
        </row>
        <row r="140">
          <cell r="A140">
            <v>10880033488</v>
          </cell>
          <cell r="B140" t="str">
            <v>热水器电控板</v>
          </cell>
          <cell r="C140" t="str">
            <v>500323-C24F6B-PC 0041801140A</v>
          </cell>
          <cell r="D140">
            <v>1900</v>
          </cell>
          <cell r="E140">
            <v>2001</v>
          </cell>
          <cell r="F140" t="str">
            <v/>
          </cell>
          <cell r="G140" t="str">
            <v>PCS</v>
          </cell>
          <cell r="H140" t="str">
            <v/>
          </cell>
          <cell r="I140" t="str">
            <v/>
          </cell>
          <cell r="J140" t="str">
            <v/>
          </cell>
          <cell r="K140">
            <v>17</v>
          </cell>
        </row>
        <row r="141">
          <cell r="A141">
            <v>10880033523</v>
          </cell>
          <cell r="B141" t="str">
            <v>空调电控板</v>
          </cell>
          <cell r="C141" t="str">
            <v>500323-C24A5B-PC 0011801583X</v>
          </cell>
          <cell r="D141">
            <v>1900</v>
          </cell>
          <cell r="E141">
            <v>2001</v>
          </cell>
          <cell r="F141" t="str">
            <v/>
          </cell>
          <cell r="G141" t="str">
            <v>PCS</v>
          </cell>
          <cell r="H141" t="str">
            <v/>
          </cell>
          <cell r="I141" t="str">
            <v/>
          </cell>
          <cell r="J141" t="str">
            <v/>
          </cell>
          <cell r="K141">
            <v>2252</v>
          </cell>
        </row>
        <row r="142">
          <cell r="A142">
            <v>10880033533</v>
          </cell>
          <cell r="B142" t="str">
            <v>洗衣机显示板</v>
          </cell>
          <cell r="C142" t="str">
            <v>500493-B2402C-D 2417973</v>
          </cell>
          <cell r="D142">
            <v>1900</v>
          </cell>
          <cell r="E142">
            <v>2001</v>
          </cell>
          <cell r="F142" t="str">
            <v/>
          </cell>
          <cell r="G142" t="str">
            <v>PCS</v>
          </cell>
          <cell r="H142" t="str">
            <v/>
          </cell>
          <cell r="I142" t="str">
            <v/>
          </cell>
          <cell r="J142" t="str">
            <v/>
          </cell>
          <cell r="K142">
            <v>147</v>
          </cell>
        </row>
        <row r="143">
          <cell r="A143">
            <v>10880033535</v>
          </cell>
          <cell r="B143" t="str">
            <v>洗衣机显示板</v>
          </cell>
          <cell r="C143" t="str">
            <v>500493-B2402E-D 2418237</v>
          </cell>
          <cell r="D143">
            <v>1900</v>
          </cell>
          <cell r="E143">
            <v>2001</v>
          </cell>
          <cell r="F143" t="str">
            <v/>
          </cell>
          <cell r="G143" t="str">
            <v>PCS</v>
          </cell>
          <cell r="H143" t="str">
            <v/>
          </cell>
          <cell r="I143" t="str">
            <v/>
          </cell>
          <cell r="J143" t="str">
            <v/>
          </cell>
          <cell r="K143">
            <v>1963</v>
          </cell>
        </row>
        <row r="144">
          <cell r="A144">
            <v>10880033560</v>
          </cell>
          <cell r="B144" t="str">
            <v>空调电控板</v>
          </cell>
          <cell r="C144" t="str">
            <v>500323-C2496C-PC 0011801423AP</v>
          </cell>
          <cell r="D144">
            <v>1900</v>
          </cell>
          <cell r="E144">
            <v>2001</v>
          </cell>
          <cell r="F144" t="str">
            <v/>
          </cell>
          <cell r="G144" t="str">
            <v>PCS</v>
          </cell>
          <cell r="H144" t="str">
            <v/>
          </cell>
          <cell r="I144" t="str">
            <v/>
          </cell>
          <cell r="J144" t="str">
            <v/>
          </cell>
          <cell r="K144">
            <v>396</v>
          </cell>
        </row>
        <row r="145">
          <cell r="A145">
            <v>10880033566</v>
          </cell>
          <cell r="B145" t="str">
            <v>空调电控板</v>
          </cell>
          <cell r="C145" t="str">
            <v>500323-C2496E-PC 0011801423AC</v>
          </cell>
          <cell r="D145">
            <v>1900</v>
          </cell>
          <cell r="E145">
            <v>2001</v>
          </cell>
          <cell r="F145" t="str">
            <v/>
          </cell>
          <cell r="G145" t="str">
            <v>PCS</v>
          </cell>
          <cell r="H145" t="str">
            <v/>
          </cell>
          <cell r="I145" t="str">
            <v/>
          </cell>
          <cell r="J145" t="str">
            <v/>
          </cell>
          <cell r="K145">
            <v>452</v>
          </cell>
        </row>
        <row r="146">
          <cell r="A146">
            <v>10880033567</v>
          </cell>
          <cell r="B146" t="str">
            <v>空调电控板</v>
          </cell>
          <cell r="C146" t="str">
            <v>500323-C2496F-PC 0011801423T</v>
          </cell>
          <cell r="D146">
            <v>1900</v>
          </cell>
          <cell r="E146">
            <v>2001</v>
          </cell>
          <cell r="F146" t="str">
            <v/>
          </cell>
          <cell r="G146" t="str">
            <v>PCS</v>
          </cell>
          <cell r="H146" t="str">
            <v/>
          </cell>
          <cell r="I146" t="str">
            <v/>
          </cell>
          <cell r="J146" t="str">
            <v/>
          </cell>
          <cell r="K146">
            <v>97</v>
          </cell>
        </row>
        <row r="147">
          <cell r="A147">
            <v>10880033584</v>
          </cell>
          <cell r="B147" t="str">
            <v>空调电控板</v>
          </cell>
          <cell r="C147" t="str">
            <v>500323-C24F8A-PC 0011801852</v>
          </cell>
          <cell r="D147">
            <v>1900</v>
          </cell>
          <cell r="E147">
            <v>2001</v>
          </cell>
          <cell r="F147" t="str">
            <v/>
          </cell>
          <cell r="G147" t="str">
            <v>PCS</v>
          </cell>
          <cell r="H147" t="str">
            <v/>
          </cell>
          <cell r="I147" t="str">
            <v/>
          </cell>
          <cell r="J147" t="str">
            <v/>
          </cell>
          <cell r="K147">
            <v>1</v>
          </cell>
        </row>
        <row r="148">
          <cell r="A148">
            <v>10880033585</v>
          </cell>
          <cell r="B148" t="str">
            <v>空调电控板</v>
          </cell>
          <cell r="C148" t="str">
            <v>500323-B24A6H-PC 0011801490Y</v>
          </cell>
          <cell r="D148">
            <v>1900</v>
          </cell>
          <cell r="E148">
            <v>2001</v>
          </cell>
          <cell r="F148" t="str">
            <v/>
          </cell>
          <cell r="G148" t="str">
            <v>PCS</v>
          </cell>
          <cell r="H148" t="str">
            <v/>
          </cell>
          <cell r="I148" t="str">
            <v/>
          </cell>
          <cell r="J148" t="str">
            <v/>
          </cell>
          <cell r="K148">
            <v>82</v>
          </cell>
        </row>
        <row r="149">
          <cell r="A149">
            <v>10880033602</v>
          </cell>
          <cell r="B149" t="str">
            <v>空调电控板</v>
          </cell>
          <cell r="C149" t="str">
            <v>500323-C24F7A-PC 0151801003</v>
          </cell>
          <cell r="D149">
            <v>1900</v>
          </cell>
          <cell r="E149">
            <v>2001</v>
          </cell>
          <cell r="F149" t="str">
            <v/>
          </cell>
          <cell r="G149" t="str">
            <v>PCS</v>
          </cell>
          <cell r="H149" t="str">
            <v/>
          </cell>
          <cell r="I149" t="str">
            <v/>
          </cell>
          <cell r="J149" t="str">
            <v/>
          </cell>
          <cell r="K149">
            <v>45</v>
          </cell>
        </row>
        <row r="150">
          <cell r="A150">
            <v>10880033610</v>
          </cell>
          <cell r="B150" t="str">
            <v>7S洗烘面板</v>
          </cell>
          <cell r="C150" t="str">
            <v>500269-C2401A-X 2399506 天青墨</v>
          </cell>
          <cell r="D150">
            <v>1900</v>
          </cell>
          <cell r="E150">
            <v>2001</v>
          </cell>
          <cell r="F150" t="str">
            <v/>
          </cell>
          <cell r="G150" t="str">
            <v>PCS</v>
          </cell>
          <cell r="H150" t="str">
            <v/>
          </cell>
          <cell r="I150" t="str">
            <v/>
          </cell>
          <cell r="J150" t="str">
            <v/>
          </cell>
          <cell r="K150">
            <v>186</v>
          </cell>
        </row>
        <row r="151">
          <cell r="A151">
            <v>10880033655</v>
          </cell>
          <cell r="B151" t="str">
            <v>空调显示板</v>
          </cell>
          <cell r="C151" t="str">
            <v>500323-C24G5B-D 0011801911A</v>
          </cell>
          <cell r="D151">
            <v>1900</v>
          </cell>
          <cell r="E151">
            <v>2001</v>
          </cell>
          <cell r="F151" t="str">
            <v/>
          </cell>
          <cell r="G151" t="str">
            <v>PCS</v>
          </cell>
          <cell r="H151" t="str">
            <v/>
          </cell>
          <cell r="I151" t="str">
            <v/>
          </cell>
          <cell r="J151" t="str">
            <v/>
          </cell>
          <cell r="K151">
            <v>783</v>
          </cell>
        </row>
        <row r="152">
          <cell r="A152">
            <v>10880033663</v>
          </cell>
          <cell r="B152" t="str">
            <v>净水器电控板</v>
          </cell>
          <cell r="C152" t="str">
            <v>500323-C24A1B-PC 0190400340CA</v>
          </cell>
          <cell r="D152">
            <v>1900</v>
          </cell>
          <cell r="E152">
            <v>2001</v>
          </cell>
          <cell r="F152" t="str">
            <v/>
          </cell>
          <cell r="G152" t="str">
            <v>PCS</v>
          </cell>
          <cell r="H152" t="str">
            <v/>
          </cell>
          <cell r="I152" t="str">
            <v/>
          </cell>
          <cell r="J152" t="str">
            <v/>
          </cell>
          <cell r="K152">
            <v>742</v>
          </cell>
        </row>
        <row r="153">
          <cell r="A153">
            <v>10880033689</v>
          </cell>
          <cell r="B153" t="str">
            <v>空调电控板</v>
          </cell>
          <cell r="C153" t="str">
            <v>500323-C24H8A-PC 0011801903A</v>
          </cell>
          <cell r="D153">
            <v>1900</v>
          </cell>
          <cell r="E153">
            <v>2001</v>
          </cell>
          <cell r="F153" t="str">
            <v/>
          </cell>
          <cell r="G153" t="str">
            <v>PCS</v>
          </cell>
          <cell r="H153" t="str">
            <v/>
          </cell>
          <cell r="I153" t="str">
            <v/>
          </cell>
          <cell r="J153" t="str">
            <v/>
          </cell>
          <cell r="K153">
            <v>4</v>
          </cell>
        </row>
        <row r="154">
          <cell r="A154">
            <v>10880033690</v>
          </cell>
          <cell r="B154" t="str">
            <v>空调电控板</v>
          </cell>
          <cell r="C154" t="str">
            <v>500323-C24H8B-PC 0011801903B</v>
          </cell>
          <cell r="D154">
            <v>1900</v>
          </cell>
          <cell r="E154">
            <v>2001</v>
          </cell>
          <cell r="F154" t="str">
            <v/>
          </cell>
          <cell r="G154" t="str">
            <v>PCS</v>
          </cell>
          <cell r="H154" t="str">
            <v/>
          </cell>
          <cell r="I154" t="str">
            <v/>
          </cell>
          <cell r="J154" t="str">
            <v/>
          </cell>
          <cell r="K154">
            <v>1</v>
          </cell>
        </row>
        <row r="155">
          <cell r="A155">
            <v>10880033692</v>
          </cell>
          <cell r="B155" t="str">
            <v>空调电控板</v>
          </cell>
          <cell r="C155" t="str">
            <v>500323-C24H8C-PC 0011801903C</v>
          </cell>
          <cell r="D155">
            <v>1900</v>
          </cell>
          <cell r="E155">
            <v>2001</v>
          </cell>
          <cell r="F155" t="str">
            <v/>
          </cell>
          <cell r="G155" t="str">
            <v>PCS</v>
          </cell>
          <cell r="H155" t="str">
            <v/>
          </cell>
          <cell r="I155" t="str">
            <v/>
          </cell>
          <cell r="J155" t="str">
            <v/>
          </cell>
          <cell r="K155">
            <v>16</v>
          </cell>
        </row>
        <row r="156">
          <cell r="A156">
            <v>10880033717</v>
          </cell>
          <cell r="B156" t="str">
            <v>空调显示板</v>
          </cell>
          <cell r="C156" t="str">
            <v>500323-C24I2B-D 0011801917A</v>
          </cell>
          <cell r="D156">
            <v>1900</v>
          </cell>
          <cell r="E156">
            <v>2001</v>
          </cell>
          <cell r="F156" t="str">
            <v/>
          </cell>
          <cell r="G156" t="str">
            <v>PCS</v>
          </cell>
          <cell r="H156" t="str">
            <v/>
          </cell>
          <cell r="I156" t="str">
            <v/>
          </cell>
          <cell r="J156" t="str">
            <v/>
          </cell>
          <cell r="K156">
            <v>3</v>
          </cell>
        </row>
        <row r="157">
          <cell r="A157">
            <v>10880033720</v>
          </cell>
          <cell r="B157" t="str">
            <v>空调显示板</v>
          </cell>
          <cell r="C157" t="str">
            <v>500323-C24I2C-D 0011801917C</v>
          </cell>
          <cell r="D157">
            <v>1900</v>
          </cell>
          <cell r="E157">
            <v>2001</v>
          </cell>
          <cell r="F157" t="str">
            <v/>
          </cell>
          <cell r="G157" t="str">
            <v>PCS</v>
          </cell>
          <cell r="H157" t="str">
            <v/>
          </cell>
          <cell r="I157" t="str">
            <v/>
          </cell>
          <cell r="J157" t="str">
            <v/>
          </cell>
          <cell r="K157">
            <v>2</v>
          </cell>
        </row>
        <row r="158">
          <cell r="A158">
            <v>10880033745</v>
          </cell>
          <cell r="B158" t="str">
            <v>净水器电控板</v>
          </cell>
          <cell r="C158" t="str">
            <v>693-C2328F-PC 0190400534AA</v>
          </cell>
          <cell r="D158">
            <v>1900</v>
          </cell>
          <cell r="E158">
            <v>2001</v>
          </cell>
          <cell r="F158" t="str">
            <v/>
          </cell>
          <cell r="G158" t="str">
            <v>PCS</v>
          </cell>
          <cell r="H158" t="str">
            <v/>
          </cell>
          <cell r="I158" t="str">
            <v/>
          </cell>
          <cell r="J158" t="str">
            <v/>
          </cell>
          <cell r="K158">
            <v>1325</v>
          </cell>
        </row>
        <row r="159">
          <cell r="A159">
            <v>10880033785</v>
          </cell>
          <cell r="B159" t="str">
            <v>洗衣机显示板</v>
          </cell>
          <cell r="C159" t="str">
            <v>500323-C24D2B-D 0021800616C</v>
          </cell>
          <cell r="D159">
            <v>1900</v>
          </cell>
          <cell r="E159">
            <v>2001</v>
          </cell>
          <cell r="F159" t="str">
            <v/>
          </cell>
          <cell r="G159" t="str">
            <v>PCS</v>
          </cell>
          <cell r="H159" t="str">
            <v/>
          </cell>
          <cell r="I159" t="str">
            <v/>
          </cell>
          <cell r="J159" t="str">
            <v/>
          </cell>
          <cell r="K159">
            <v>292</v>
          </cell>
        </row>
        <row r="160">
          <cell r="A160">
            <v>10880033805</v>
          </cell>
          <cell r="B160" t="str">
            <v>空调电控板</v>
          </cell>
          <cell r="C160" t="str">
            <v>500323-C24J3A-PC 0011801890</v>
          </cell>
          <cell r="D160">
            <v>1900</v>
          </cell>
          <cell r="E160">
            <v>2001</v>
          </cell>
          <cell r="F160" t="str">
            <v/>
          </cell>
          <cell r="G160" t="str">
            <v>PCS</v>
          </cell>
          <cell r="H160" t="str">
            <v/>
          </cell>
          <cell r="I160" t="str">
            <v/>
          </cell>
          <cell r="J160" t="str">
            <v/>
          </cell>
          <cell r="K160">
            <v>295</v>
          </cell>
        </row>
        <row r="161">
          <cell r="A161">
            <v>10880033855</v>
          </cell>
          <cell r="B161" t="str">
            <v>洗衣机电控板</v>
          </cell>
          <cell r="C161" t="str">
            <v>693-B2275A-PC 0031800386JL 重庆</v>
          </cell>
          <cell r="D161">
            <v>1900</v>
          </cell>
          <cell r="E161">
            <v>2001</v>
          </cell>
          <cell r="F161" t="str">
            <v/>
          </cell>
          <cell r="G161" t="str">
            <v>PCS</v>
          </cell>
          <cell r="H161" t="str">
            <v/>
          </cell>
          <cell r="I161" t="str">
            <v/>
          </cell>
          <cell r="J161" t="str">
            <v/>
          </cell>
          <cell r="K161">
            <v>8503</v>
          </cell>
        </row>
        <row r="162">
          <cell r="A162">
            <v>10880033911</v>
          </cell>
          <cell r="B162" t="str">
            <v>空调显示板</v>
          </cell>
          <cell r="C162" t="str">
            <v>500323-C24F3A-D 0011801685</v>
          </cell>
          <cell r="D162">
            <v>1900</v>
          </cell>
          <cell r="E162">
            <v>2001</v>
          </cell>
          <cell r="F162" t="str">
            <v/>
          </cell>
          <cell r="G162" t="str">
            <v>PCS</v>
          </cell>
          <cell r="H162" t="str">
            <v/>
          </cell>
          <cell r="I162" t="str">
            <v/>
          </cell>
          <cell r="J162" t="str">
            <v/>
          </cell>
          <cell r="K162">
            <v>300</v>
          </cell>
        </row>
        <row r="163">
          <cell r="A163">
            <v>10880033916</v>
          </cell>
          <cell r="B163" t="str">
            <v>洗衣机显示板</v>
          </cell>
          <cell r="C163" t="str">
            <v>500323-C24F5B-D 0021800615C</v>
          </cell>
          <cell r="D163">
            <v>1900</v>
          </cell>
          <cell r="E163">
            <v>2001</v>
          </cell>
          <cell r="F163" t="str">
            <v/>
          </cell>
          <cell r="G163" t="str">
            <v>PCS</v>
          </cell>
          <cell r="H163" t="str">
            <v/>
          </cell>
          <cell r="I163" t="str">
            <v/>
          </cell>
          <cell r="J163" t="str">
            <v/>
          </cell>
          <cell r="K163">
            <v>798</v>
          </cell>
        </row>
        <row r="164">
          <cell r="A164">
            <v>10880033996</v>
          </cell>
          <cell r="B164" t="str">
            <v>洗衣机显示板</v>
          </cell>
          <cell r="C164" t="str">
            <v>500493-B2407A-D 2436207</v>
          </cell>
          <cell r="D164">
            <v>1900</v>
          </cell>
          <cell r="E164">
            <v>2001</v>
          </cell>
          <cell r="F164" t="str">
            <v/>
          </cell>
          <cell r="G164" t="str">
            <v>PCS</v>
          </cell>
          <cell r="H164" t="str">
            <v/>
          </cell>
          <cell r="I164" t="str">
            <v/>
          </cell>
          <cell r="J164" t="str">
            <v/>
          </cell>
          <cell r="K164">
            <v>1</v>
          </cell>
        </row>
        <row r="165">
          <cell r="A165">
            <v>10880034142</v>
          </cell>
          <cell r="B165" t="str">
            <v>空调电控板</v>
          </cell>
          <cell r="C165" t="str">
            <v>500323-C24F8B-PC 0011801852A</v>
          </cell>
          <cell r="D165">
            <v>1900</v>
          </cell>
          <cell r="E165">
            <v>2001</v>
          </cell>
          <cell r="F165" t="str">
            <v/>
          </cell>
          <cell r="G165" t="str">
            <v>PCS</v>
          </cell>
          <cell r="H165" t="str">
            <v/>
          </cell>
          <cell r="I165" t="str">
            <v/>
          </cell>
          <cell r="J165" t="str">
            <v/>
          </cell>
          <cell r="K165">
            <v>7</v>
          </cell>
        </row>
        <row r="166">
          <cell r="A166">
            <v>10880034194</v>
          </cell>
          <cell r="B166" t="str">
            <v>空调电控板</v>
          </cell>
          <cell r="C166" t="str">
            <v>500323-C24F7B-PC 0151801003C</v>
          </cell>
          <cell r="D166">
            <v>1900</v>
          </cell>
          <cell r="E166">
            <v>2001</v>
          </cell>
          <cell r="F166" t="str">
            <v/>
          </cell>
          <cell r="G166" t="str">
            <v>PCS</v>
          </cell>
          <cell r="H166" t="str">
            <v/>
          </cell>
          <cell r="I166" t="str">
            <v/>
          </cell>
          <cell r="J166" t="str">
            <v/>
          </cell>
          <cell r="K166">
            <v>20</v>
          </cell>
        </row>
        <row r="167">
          <cell r="A167">
            <v>10880034196</v>
          </cell>
          <cell r="B167" t="str">
            <v>空调电控板</v>
          </cell>
          <cell r="C167" t="str">
            <v>500323-C24N5B-PC 0151801031D</v>
          </cell>
          <cell r="D167">
            <v>1900</v>
          </cell>
          <cell r="E167">
            <v>2001</v>
          </cell>
          <cell r="F167" t="str">
            <v/>
          </cell>
          <cell r="G167" t="str">
            <v>PCS</v>
          </cell>
          <cell r="H167" t="str">
            <v/>
          </cell>
          <cell r="I167" t="str">
            <v/>
          </cell>
          <cell r="J167" t="str">
            <v/>
          </cell>
          <cell r="K167">
            <v>38</v>
          </cell>
        </row>
        <row r="168">
          <cell r="A168">
            <v>10880034197</v>
          </cell>
          <cell r="B168" t="str">
            <v>空调电控板</v>
          </cell>
          <cell r="C168" t="str">
            <v>500323-C24N5C-PC 0151801031E</v>
          </cell>
          <cell r="D168">
            <v>1900</v>
          </cell>
          <cell r="E168">
            <v>2001</v>
          </cell>
          <cell r="F168" t="str">
            <v/>
          </cell>
          <cell r="G168" t="str">
            <v>PCS</v>
          </cell>
          <cell r="H168" t="str">
            <v/>
          </cell>
          <cell r="I168" t="str">
            <v/>
          </cell>
          <cell r="J168" t="str">
            <v/>
          </cell>
          <cell r="K168">
            <v>155</v>
          </cell>
        </row>
        <row r="169">
          <cell r="A169">
            <v>10880034251</v>
          </cell>
          <cell r="B169" t="str">
            <v>洗衣机显示板</v>
          </cell>
          <cell r="C169" t="str">
            <v>500323-C24D2C-D 0021800616A</v>
          </cell>
          <cell r="D169">
            <v>1900</v>
          </cell>
          <cell r="E169">
            <v>2001</v>
          </cell>
          <cell r="F169" t="str">
            <v/>
          </cell>
          <cell r="G169" t="str">
            <v>PCS</v>
          </cell>
          <cell r="H169" t="str">
            <v/>
          </cell>
          <cell r="I169" t="str">
            <v/>
          </cell>
          <cell r="J169" t="str">
            <v/>
          </cell>
          <cell r="K169">
            <v>350</v>
          </cell>
        </row>
        <row r="170">
          <cell r="A170">
            <v>10880034384</v>
          </cell>
          <cell r="B170" t="str">
            <v>净水器显示板</v>
          </cell>
          <cell r="C170" t="str">
            <v>500325-C2402G-D 888002542(415AA)</v>
          </cell>
          <cell r="D170">
            <v>1900</v>
          </cell>
          <cell r="E170">
            <v>2001</v>
          </cell>
          <cell r="F170" t="str">
            <v/>
          </cell>
          <cell r="G170" t="str">
            <v>PCS</v>
          </cell>
          <cell r="H170" t="str">
            <v/>
          </cell>
          <cell r="I170" t="str">
            <v/>
          </cell>
          <cell r="J170" t="str">
            <v/>
          </cell>
          <cell r="K170">
            <v>176</v>
          </cell>
        </row>
        <row r="171">
          <cell r="A171">
            <v>10880034385</v>
          </cell>
          <cell r="B171" t="str">
            <v>净水器显示板</v>
          </cell>
          <cell r="C171" t="str">
            <v>500325-C2402H-D 888002452(415AB)</v>
          </cell>
          <cell r="D171">
            <v>1900</v>
          </cell>
          <cell r="E171">
            <v>2001</v>
          </cell>
          <cell r="F171" t="str">
            <v/>
          </cell>
          <cell r="G171" t="str">
            <v>PCS</v>
          </cell>
          <cell r="H171" t="str">
            <v/>
          </cell>
          <cell r="I171" t="str">
            <v/>
          </cell>
          <cell r="J171" t="str">
            <v/>
          </cell>
          <cell r="K171">
            <v>384</v>
          </cell>
        </row>
        <row r="172">
          <cell r="A172">
            <v>10880034417</v>
          </cell>
          <cell r="B172" t="str">
            <v>空调显示板</v>
          </cell>
          <cell r="C172" t="str">
            <v>500323-C24I2D-D 0011801917D</v>
          </cell>
          <cell r="D172">
            <v>1900</v>
          </cell>
          <cell r="E172">
            <v>2001</v>
          </cell>
          <cell r="F172" t="str">
            <v/>
          </cell>
          <cell r="G172" t="str">
            <v>PCS</v>
          </cell>
          <cell r="H172" t="str">
            <v/>
          </cell>
          <cell r="I172" t="str">
            <v/>
          </cell>
          <cell r="J172" t="str">
            <v/>
          </cell>
          <cell r="K172">
            <v>77</v>
          </cell>
        </row>
        <row r="173">
          <cell r="A173">
            <v>10880034471</v>
          </cell>
          <cell r="B173" t="str">
            <v>空调电控板</v>
          </cell>
          <cell r="C173" t="str">
            <v>500323-C2490D-PC 0011801859F</v>
          </cell>
          <cell r="D173">
            <v>1900</v>
          </cell>
          <cell r="E173">
            <v>2001</v>
          </cell>
          <cell r="F173" t="str">
            <v/>
          </cell>
          <cell r="G173" t="str">
            <v>PCS</v>
          </cell>
          <cell r="H173" t="str">
            <v/>
          </cell>
          <cell r="I173" t="str">
            <v/>
          </cell>
          <cell r="J173" t="str">
            <v/>
          </cell>
          <cell r="K173">
            <v>193</v>
          </cell>
        </row>
        <row r="174">
          <cell r="A174">
            <v>10880034554</v>
          </cell>
          <cell r="B174" t="str">
            <v>净水器电控板</v>
          </cell>
          <cell r="C174" t="str">
            <v>693-B2287D-PC 0190400359AB</v>
          </cell>
          <cell r="D174">
            <v>1900</v>
          </cell>
          <cell r="E174">
            <v>2001</v>
          </cell>
          <cell r="F174" t="str">
            <v/>
          </cell>
          <cell r="G174" t="str">
            <v>PCS</v>
          </cell>
          <cell r="H174" t="str">
            <v/>
          </cell>
          <cell r="I174" t="str">
            <v/>
          </cell>
          <cell r="J174" t="str">
            <v/>
          </cell>
          <cell r="K174">
            <v>363</v>
          </cell>
        </row>
        <row r="175">
          <cell r="A175">
            <v>10880034562</v>
          </cell>
          <cell r="B175" t="str">
            <v>空调电控板</v>
          </cell>
          <cell r="C175" t="str">
            <v>500323-C2496K-PC 0011801423AX</v>
          </cell>
          <cell r="D175">
            <v>1900</v>
          </cell>
          <cell r="E175">
            <v>2001</v>
          </cell>
          <cell r="F175" t="str">
            <v/>
          </cell>
          <cell r="G175" t="str">
            <v>PCS</v>
          </cell>
          <cell r="H175" t="str">
            <v/>
          </cell>
          <cell r="I175" t="str">
            <v/>
          </cell>
          <cell r="J175" t="str">
            <v/>
          </cell>
          <cell r="K175">
            <v>35</v>
          </cell>
        </row>
        <row r="176">
          <cell r="A176">
            <v>10880034563</v>
          </cell>
          <cell r="B176" t="str">
            <v>空调电控板</v>
          </cell>
          <cell r="C176" t="str">
            <v>500323-C2496L-PC 0011801423AL</v>
          </cell>
          <cell r="D176">
            <v>1900</v>
          </cell>
          <cell r="E176">
            <v>2001</v>
          </cell>
          <cell r="F176" t="str">
            <v/>
          </cell>
          <cell r="G176" t="str">
            <v>PCS</v>
          </cell>
          <cell r="H176" t="str">
            <v/>
          </cell>
          <cell r="I176" t="str">
            <v/>
          </cell>
          <cell r="J176" t="str">
            <v/>
          </cell>
          <cell r="K176">
            <v>306</v>
          </cell>
        </row>
        <row r="177">
          <cell r="A177">
            <v>10880034564</v>
          </cell>
          <cell r="B177" t="str">
            <v>空调电控板</v>
          </cell>
          <cell r="C177" t="str">
            <v>500323-C2496M-PC 0011801423AJ</v>
          </cell>
          <cell r="D177">
            <v>1900</v>
          </cell>
          <cell r="E177">
            <v>2001</v>
          </cell>
          <cell r="F177" t="str">
            <v/>
          </cell>
          <cell r="G177" t="str">
            <v>PCS</v>
          </cell>
          <cell r="H177" t="str">
            <v/>
          </cell>
          <cell r="I177" t="str">
            <v/>
          </cell>
          <cell r="J177" t="str">
            <v/>
          </cell>
          <cell r="K177">
            <v>203</v>
          </cell>
        </row>
        <row r="178">
          <cell r="A178">
            <v>10880034609</v>
          </cell>
          <cell r="B178" t="str">
            <v>一体机储能系统BMS板</v>
          </cell>
          <cell r="C178" t="str">
            <v>501649-B2401B-BMS 二级主控-GD32E505-BMS-150&amp;</v>
          </cell>
          <cell r="D178">
            <v>1900</v>
          </cell>
          <cell r="E178">
            <v>2001</v>
          </cell>
          <cell r="F178" t="str">
            <v/>
          </cell>
          <cell r="G178" t="str">
            <v>PCS</v>
          </cell>
          <cell r="H178" t="str">
            <v/>
          </cell>
          <cell r="I178" t="str">
            <v/>
          </cell>
          <cell r="J178" t="str">
            <v/>
          </cell>
          <cell r="K178">
            <v>143</v>
          </cell>
        </row>
        <row r="179">
          <cell r="A179">
            <v>10880034610</v>
          </cell>
          <cell r="B179" t="str">
            <v>一体机储能系统BMS板</v>
          </cell>
          <cell r="C179" t="str">
            <v>501649-B2401C-BMS 三级总控-A53-6254-3LEVEL-&amp;</v>
          </cell>
          <cell r="D179">
            <v>1900</v>
          </cell>
          <cell r="E179">
            <v>2001</v>
          </cell>
          <cell r="F179" t="str">
            <v/>
          </cell>
          <cell r="G179" t="str">
            <v>PCS</v>
          </cell>
          <cell r="H179" t="str">
            <v/>
          </cell>
          <cell r="I179" t="str">
            <v/>
          </cell>
          <cell r="J179" t="str">
            <v/>
          </cell>
          <cell r="K179">
            <v>42</v>
          </cell>
        </row>
        <row r="180">
          <cell r="A180">
            <v>10880034619</v>
          </cell>
          <cell r="B180" t="str">
            <v>7S干衣机面板(新欧标)</v>
          </cell>
          <cell r="C180" t="str">
            <v>500269-C2405A-X 2446112 天青墨</v>
          </cell>
          <cell r="D180">
            <v>1900</v>
          </cell>
          <cell r="E180">
            <v>2001</v>
          </cell>
          <cell r="F180" t="str">
            <v/>
          </cell>
          <cell r="G180" t="str">
            <v>PCS</v>
          </cell>
          <cell r="H180" t="str">
            <v/>
          </cell>
          <cell r="I180" t="str">
            <v/>
          </cell>
          <cell r="J180" t="str">
            <v/>
          </cell>
          <cell r="K180">
            <v>670</v>
          </cell>
        </row>
        <row r="181">
          <cell r="A181">
            <v>10880034621</v>
          </cell>
          <cell r="B181" t="str">
            <v>7S干衣机面板</v>
          </cell>
          <cell r="C181" t="str">
            <v>500269-C2408A-X 2447564 全球白 新欧标</v>
          </cell>
          <cell r="D181">
            <v>1900</v>
          </cell>
          <cell r="E181">
            <v>2001</v>
          </cell>
          <cell r="F181" t="str">
            <v/>
          </cell>
          <cell r="G181" t="str">
            <v>PCS</v>
          </cell>
          <cell r="H181" t="str">
            <v/>
          </cell>
          <cell r="I181" t="str">
            <v/>
          </cell>
          <cell r="J181" t="str">
            <v/>
          </cell>
          <cell r="K181">
            <v>271</v>
          </cell>
        </row>
        <row r="182">
          <cell r="A182">
            <v>10880034669</v>
          </cell>
          <cell r="B182" t="str">
            <v>洗衣机电控板</v>
          </cell>
          <cell r="C182" t="str">
            <v>693-C2413A-PC 0181800103 加水泥电阻</v>
          </cell>
          <cell r="D182">
            <v>1900</v>
          </cell>
          <cell r="E182">
            <v>2001</v>
          </cell>
          <cell r="F182" t="str">
            <v/>
          </cell>
          <cell r="G182" t="str">
            <v>PCS</v>
          </cell>
          <cell r="H182" t="str">
            <v/>
          </cell>
          <cell r="I182" t="str">
            <v/>
          </cell>
          <cell r="J182" t="str">
            <v/>
          </cell>
          <cell r="K182">
            <v>3973</v>
          </cell>
        </row>
        <row r="183">
          <cell r="A183">
            <v>10880034956</v>
          </cell>
          <cell r="B183" t="str">
            <v>空调电控板</v>
          </cell>
          <cell r="C183" t="str">
            <v>500323-C24N9G-PC 0011801490AV</v>
          </cell>
          <cell r="D183">
            <v>1900</v>
          </cell>
          <cell r="E183">
            <v>2001</v>
          </cell>
          <cell r="F183" t="str">
            <v/>
          </cell>
          <cell r="G183" t="str">
            <v>PCS</v>
          </cell>
          <cell r="H183" t="str">
            <v/>
          </cell>
          <cell r="I183" t="str">
            <v/>
          </cell>
          <cell r="J183" t="str">
            <v/>
          </cell>
          <cell r="K183">
            <v>3</v>
          </cell>
        </row>
        <row r="184">
          <cell r="A184">
            <v>10880034957</v>
          </cell>
          <cell r="B184" t="str">
            <v>空调电控板</v>
          </cell>
          <cell r="C184" t="str">
            <v>500323-C24N9H-PC 0011801490AZ</v>
          </cell>
          <cell r="D184">
            <v>1900</v>
          </cell>
          <cell r="E184">
            <v>2001</v>
          </cell>
          <cell r="F184" t="str">
            <v/>
          </cell>
          <cell r="G184" t="str">
            <v>PCS</v>
          </cell>
          <cell r="H184" t="str">
            <v/>
          </cell>
          <cell r="I184" t="str">
            <v/>
          </cell>
          <cell r="J184" t="str">
            <v/>
          </cell>
          <cell r="K184">
            <v>19</v>
          </cell>
        </row>
        <row r="185">
          <cell r="A185">
            <v>10880034995</v>
          </cell>
          <cell r="B185" t="str">
            <v>洗衣机显示板</v>
          </cell>
          <cell r="C185" t="str">
            <v>500323-C24D2D-D 0021800616D</v>
          </cell>
          <cell r="D185">
            <v>1900</v>
          </cell>
          <cell r="E185">
            <v>2001</v>
          </cell>
          <cell r="F185" t="str">
            <v/>
          </cell>
          <cell r="G185" t="str">
            <v>PCS</v>
          </cell>
          <cell r="H185" t="str">
            <v/>
          </cell>
          <cell r="I185" t="str">
            <v/>
          </cell>
          <cell r="J185" t="str">
            <v/>
          </cell>
          <cell r="K185">
            <v>246</v>
          </cell>
        </row>
        <row r="186">
          <cell r="A186">
            <v>10880035045</v>
          </cell>
          <cell r="B186" t="str">
            <v>洗衣机控制器</v>
          </cell>
          <cell r="C186" t="str">
            <v>500493-C2501A G0020 20105971</v>
          </cell>
          <cell r="D186">
            <v>1900</v>
          </cell>
          <cell r="E186">
            <v>2001</v>
          </cell>
          <cell r="F186" t="str">
            <v/>
          </cell>
          <cell r="G186" t="str">
            <v>SET</v>
          </cell>
          <cell r="H186" t="str">
            <v/>
          </cell>
          <cell r="I186" t="str">
            <v/>
          </cell>
          <cell r="J186" t="str">
            <v/>
          </cell>
          <cell r="K186">
            <v>46</v>
          </cell>
        </row>
        <row r="187">
          <cell r="A187">
            <v>10880035167</v>
          </cell>
          <cell r="B187" t="str">
            <v>空调电控板</v>
          </cell>
          <cell r="C187" t="str">
            <v>500323-C2508A-PC 0011801824</v>
          </cell>
          <cell r="D187">
            <v>1900</v>
          </cell>
          <cell r="E187">
            <v>2001</v>
          </cell>
          <cell r="F187" t="str">
            <v/>
          </cell>
          <cell r="G187" t="str">
            <v>PCS</v>
          </cell>
          <cell r="H187" t="str">
            <v/>
          </cell>
          <cell r="I187" t="str">
            <v/>
          </cell>
          <cell r="J187" t="str">
            <v/>
          </cell>
          <cell r="K187">
            <v>170</v>
          </cell>
        </row>
        <row r="188">
          <cell r="A188">
            <v>10880035169</v>
          </cell>
          <cell r="B188" t="str">
            <v>空调电控板</v>
          </cell>
          <cell r="C188" t="str">
            <v>693-C23I5B-PC 0011801071K</v>
          </cell>
          <cell r="D188">
            <v>1900</v>
          </cell>
          <cell r="E188">
            <v>2001</v>
          </cell>
          <cell r="F188" t="str">
            <v/>
          </cell>
          <cell r="G188" t="str">
            <v>PCS</v>
          </cell>
          <cell r="H188" t="str">
            <v/>
          </cell>
          <cell r="I188" t="str">
            <v/>
          </cell>
          <cell r="J188" t="str">
            <v/>
          </cell>
          <cell r="K188">
            <v>3971</v>
          </cell>
        </row>
        <row r="189">
          <cell r="A189">
            <v>10880035196</v>
          </cell>
          <cell r="B189" t="str">
            <v>空调电控板</v>
          </cell>
          <cell r="C189" t="str">
            <v>500323-C24N9M-PC 0011801490BP</v>
          </cell>
          <cell r="D189">
            <v>1900</v>
          </cell>
          <cell r="E189">
            <v>2001</v>
          </cell>
          <cell r="F189" t="str">
            <v/>
          </cell>
          <cell r="G189" t="str">
            <v>PCS</v>
          </cell>
          <cell r="H189" t="str">
            <v/>
          </cell>
          <cell r="I189" t="str">
            <v/>
          </cell>
          <cell r="J189" t="str">
            <v/>
          </cell>
          <cell r="K189">
            <v>5</v>
          </cell>
        </row>
        <row r="190">
          <cell r="A190">
            <v>10880035235</v>
          </cell>
          <cell r="B190" t="str">
            <v>洗衣机通讯板</v>
          </cell>
          <cell r="C190" t="str">
            <v>500493-C2504A-CB 2468085</v>
          </cell>
          <cell r="D190">
            <v>1900</v>
          </cell>
          <cell r="E190">
            <v>2001</v>
          </cell>
          <cell r="F190" t="str">
            <v/>
          </cell>
          <cell r="G190" t="str">
            <v>PCS</v>
          </cell>
          <cell r="H190" t="str">
            <v/>
          </cell>
          <cell r="I190" t="str">
            <v/>
          </cell>
          <cell r="J190" t="str">
            <v/>
          </cell>
          <cell r="K190">
            <v>1</v>
          </cell>
        </row>
        <row r="191">
          <cell r="A191">
            <v>10880035236</v>
          </cell>
          <cell r="B191" t="str">
            <v>洗衣机显示板</v>
          </cell>
          <cell r="C191" t="str">
            <v>500493-B2402F-D 2466931</v>
          </cell>
          <cell r="D191">
            <v>1900</v>
          </cell>
          <cell r="E191">
            <v>2001</v>
          </cell>
          <cell r="F191" t="str">
            <v/>
          </cell>
          <cell r="G191" t="str">
            <v>PCS</v>
          </cell>
          <cell r="H191" t="str">
            <v/>
          </cell>
          <cell r="I191" t="str">
            <v/>
          </cell>
          <cell r="J191" t="str">
            <v/>
          </cell>
          <cell r="K191">
            <v>77</v>
          </cell>
        </row>
        <row r="192">
          <cell r="A192">
            <v>10880035265</v>
          </cell>
          <cell r="B192" t="str">
            <v>空调电控板</v>
          </cell>
          <cell r="C192" t="str">
            <v>500323-B2515B-PC 0011801490JZ</v>
          </cell>
          <cell r="D192">
            <v>1900</v>
          </cell>
          <cell r="E192">
            <v>2001</v>
          </cell>
          <cell r="F192" t="str">
            <v/>
          </cell>
          <cell r="G192" t="str">
            <v>PCS</v>
          </cell>
          <cell r="H192" t="str">
            <v/>
          </cell>
          <cell r="I192" t="str">
            <v/>
          </cell>
          <cell r="J192" t="str">
            <v/>
          </cell>
          <cell r="K192">
            <v>846</v>
          </cell>
        </row>
        <row r="193">
          <cell r="A193">
            <v>10880035302</v>
          </cell>
          <cell r="B193" t="str">
            <v>车内外视频监视电控板</v>
          </cell>
          <cell r="C193" t="str">
            <v>501650-C2401F-PC 1R017064LC</v>
          </cell>
          <cell r="D193">
            <v>1900</v>
          </cell>
          <cell r="E193">
            <v>2001</v>
          </cell>
          <cell r="F193" t="str">
            <v/>
          </cell>
          <cell r="G193" t="str">
            <v>PCS</v>
          </cell>
          <cell r="H193" t="str">
            <v/>
          </cell>
          <cell r="I193" t="str">
            <v/>
          </cell>
          <cell r="J193" t="str">
            <v/>
          </cell>
          <cell r="K193">
            <v>91</v>
          </cell>
        </row>
        <row r="194">
          <cell r="A194">
            <v>10880035379</v>
          </cell>
          <cell r="B194" t="str">
            <v>空调显示板</v>
          </cell>
          <cell r="C194" t="str">
            <v>1911-C2302C-D G0044 0011800950G</v>
          </cell>
          <cell r="D194">
            <v>1900</v>
          </cell>
          <cell r="E194">
            <v>2001</v>
          </cell>
          <cell r="F194" t="str">
            <v/>
          </cell>
          <cell r="G194" t="str">
            <v>PCS</v>
          </cell>
          <cell r="H194" t="str">
            <v/>
          </cell>
          <cell r="I194" t="str">
            <v/>
          </cell>
          <cell r="J194" t="str">
            <v/>
          </cell>
          <cell r="K194">
            <v>2586</v>
          </cell>
        </row>
        <row r="195">
          <cell r="A195">
            <v>10880035380</v>
          </cell>
          <cell r="B195" t="str">
            <v>空调显示板</v>
          </cell>
          <cell r="C195" t="str">
            <v>1911-C2302B-D G0044 0011800950F</v>
          </cell>
          <cell r="D195">
            <v>1900</v>
          </cell>
          <cell r="E195">
            <v>2001</v>
          </cell>
          <cell r="F195" t="str">
            <v/>
          </cell>
          <cell r="G195" t="str">
            <v>PCS</v>
          </cell>
          <cell r="H195" t="str">
            <v/>
          </cell>
          <cell r="I195" t="str">
            <v/>
          </cell>
          <cell r="J195" t="str">
            <v/>
          </cell>
          <cell r="K195">
            <v>3114</v>
          </cell>
        </row>
        <row r="196">
          <cell r="A196">
            <v>10880035381</v>
          </cell>
          <cell r="B196" t="str">
            <v>空调电控板</v>
          </cell>
          <cell r="C196" t="str">
            <v>1911-C2302D-PC G0044 0011800951B</v>
          </cell>
          <cell r="D196">
            <v>1900</v>
          </cell>
          <cell r="E196">
            <v>2001</v>
          </cell>
          <cell r="F196" t="str">
            <v/>
          </cell>
          <cell r="G196" t="str">
            <v>PCS</v>
          </cell>
          <cell r="H196" t="str">
            <v/>
          </cell>
          <cell r="I196" t="str">
            <v/>
          </cell>
          <cell r="J196" t="str">
            <v/>
          </cell>
          <cell r="K196">
            <v>1706</v>
          </cell>
        </row>
        <row r="197">
          <cell r="A197">
            <v>10880035407</v>
          </cell>
          <cell r="B197" t="str">
            <v>洗衣机显示板</v>
          </cell>
          <cell r="C197" t="str">
            <v>500323-C24F5C-D G0044 0021800615G</v>
          </cell>
          <cell r="D197">
            <v>1900</v>
          </cell>
          <cell r="E197">
            <v>2001</v>
          </cell>
          <cell r="F197" t="str">
            <v/>
          </cell>
          <cell r="G197" t="str">
            <v>PCS</v>
          </cell>
          <cell r="H197" t="str">
            <v/>
          </cell>
          <cell r="I197" t="str">
            <v/>
          </cell>
          <cell r="J197" t="str">
            <v/>
          </cell>
          <cell r="K197">
            <v>1000</v>
          </cell>
        </row>
        <row r="198">
          <cell r="A198">
            <v>10880035441</v>
          </cell>
          <cell r="B198" t="str">
            <v>空调电控板</v>
          </cell>
          <cell r="C198" t="str">
            <v>693-C2246A-PC G0044 0011801172AG  小批验证用</v>
          </cell>
          <cell r="D198">
            <v>1900</v>
          </cell>
          <cell r="E198">
            <v>2001</v>
          </cell>
          <cell r="F198" t="str">
            <v/>
          </cell>
          <cell r="G198" t="str">
            <v>PCS</v>
          </cell>
          <cell r="H198" t="str">
            <v/>
          </cell>
          <cell r="I198" t="str">
            <v/>
          </cell>
          <cell r="J198" t="str">
            <v/>
          </cell>
          <cell r="K198">
            <v>1221</v>
          </cell>
        </row>
        <row r="199">
          <cell r="A199">
            <v>10880035448</v>
          </cell>
          <cell r="B199" t="str">
            <v>7S洗烘面板</v>
          </cell>
          <cell r="C199" t="str">
            <v>500269-C2401C-X G0020 2444226 天青墨</v>
          </cell>
          <cell r="D199">
            <v>1900</v>
          </cell>
          <cell r="E199">
            <v>2001</v>
          </cell>
          <cell r="F199" t="str">
            <v/>
          </cell>
          <cell r="G199" t="str">
            <v>PCS</v>
          </cell>
          <cell r="H199" t="str">
            <v/>
          </cell>
          <cell r="I199" t="str">
            <v/>
          </cell>
          <cell r="J199" t="str">
            <v/>
          </cell>
          <cell r="K199">
            <v>168</v>
          </cell>
        </row>
        <row r="200">
          <cell r="A200">
            <v>10880035543</v>
          </cell>
          <cell r="B200" t="str">
            <v>洗衣机显示板</v>
          </cell>
          <cell r="C200" t="str">
            <v>500323-C24D2F-D G0044 0021800616E</v>
          </cell>
          <cell r="D200">
            <v>1900</v>
          </cell>
          <cell r="E200">
            <v>2001</v>
          </cell>
          <cell r="F200" t="str">
            <v/>
          </cell>
          <cell r="G200" t="str">
            <v>PCS</v>
          </cell>
          <cell r="H200" t="str">
            <v/>
          </cell>
          <cell r="I200" t="str">
            <v/>
          </cell>
          <cell r="J200" t="str">
            <v/>
          </cell>
          <cell r="K200">
            <v>27</v>
          </cell>
        </row>
        <row r="201">
          <cell r="A201">
            <v>10880035709</v>
          </cell>
          <cell r="B201" t="str">
            <v>净水器电控板</v>
          </cell>
          <cell r="C201" t="str">
            <v>501706-C2501A-PC G0044 1060171</v>
          </cell>
          <cell r="D201">
            <v>1900</v>
          </cell>
          <cell r="E201">
            <v>2001</v>
          </cell>
          <cell r="F201" t="str">
            <v/>
          </cell>
          <cell r="G201" t="str">
            <v>PCS</v>
          </cell>
          <cell r="H201" t="str">
            <v/>
          </cell>
          <cell r="I201" t="str">
            <v/>
          </cell>
          <cell r="J201" t="str">
            <v/>
          </cell>
          <cell r="K201">
            <v>2587</v>
          </cell>
        </row>
        <row r="202">
          <cell r="A202">
            <v>10880035754</v>
          </cell>
          <cell r="B202" t="str">
            <v>空调显示板</v>
          </cell>
          <cell r="C202" t="str">
            <v>500323-C24G5A-D G0044 0011801911 新</v>
          </cell>
          <cell r="D202">
            <v>1900</v>
          </cell>
          <cell r="E202">
            <v>2001</v>
          </cell>
          <cell r="F202" t="str">
            <v/>
          </cell>
          <cell r="G202" t="str">
            <v>PCS</v>
          </cell>
          <cell r="H202" t="str">
            <v/>
          </cell>
          <cell r="I202" t="str">
            <v/>
          </cell>
          <cell r="J202" t="str">
            <v/>
          </cell>
          <cell r="K202">
            <v>2389</v>
          </cell>
        </row>
        <row r="203">
          <cell r="A203">
            <v>10880035903</v>
          </cell>
          <cell r="B203" t="str">
            <v>洗碗机控制器</v>
          </cell>
          <cell r="C203" t="str">
            <v>500323-C24F2B G0044 0121800104WE</v>
          </cell>
          <cell r="D203">
            <v>1900</v>
          </cell>
          <cell r="E203">
            <v>2001</v>
          </cell>
          <cell r="F203" t="str">
            <v/>
          </cell>
          <cell r="G203" t="str">
            <v>SET</v>
          </cell>
          <cell r="H203" t="str">
            <v/>
          </cell>
          <cell r="I203" t="str">
            <v/>
          </cell>
          <cell r="J203" t="str">
            <v/>
          </cell>
          <cell r="K203">
            <v>343</v>
          </cell>
        </row>
        <row r="204">
          <cell r="A204">
            <v>10880035984</v>
          </cell>
          <cell r="B204" t="str">
            <v>洗衣机显示板</v>
          </cell>
          <cell r="C204" t="str">
            <v>500493-B2407C-D G0020 2488431</v>
          </cell>
          <cell r="D204">
            <v>1900</v>
          </cell>
          <cell r="E204">
            <v>2001</v>
          </cell>
          <cell r="F204" t="str">
            <v/>
          </cell>
          <cell r="G204" t="str">
            <v>PCS</v>
          </cell>
          <cell r="H204" t="str">
            <v/>
          </cell>
          <cell r="I204" t="str">
            <v/>
          </cell>
          <cell r="J204" t="str">
            <v/>
          </cell>
          <cell r="K204">
            <v>6</v>
          </cell>
        </row>
        <row r="205">
          <cell r="A205">
            <v>10880035989</v>
          </cell>
          <cell r="B205" t="str">
            <v>洗衣机显示板</v>
          </cell>
          <cell r="C205" t="str">
            <v>500323-C24F5D-D G0044 0021800615D</v>
          </cell>
          <cell r="D205">
            <v>1900</v>
          </cell>
          <cell r="E205">
            <v>2001</v>
          </cell>
          <cell r="F205" t="str">
            <v/>
          </cell>
          <cell r="G205" t="str">
            <v>PCS</v>
          </cell>
          <cell r="H205" t="str">
            <v/>
          </cell>
          <cell r="I205" t="str">
            <v/>
          </cell>
          <cell r="J205" t="str">
            <v/>
          </cell>
          <cell r="K205">
            <v>151</v>
          </cell>
        </row>
        <row r="206">
          <cell r="A206">
            <v>10880036044</v>
          </cell>
          <cell r="B206" t="str">
            <v>热水器电控板</v>
          </cell>
          <cell r="C206" t="str">
            <v>693-B2301E-PC G0044 0041801545AA</v>
          </cell>
          <cell r="D206">
            <v>1900</v>
          </cell>
          <cell r="E206">
            <v>2001</v>
          </cell>
          <cell r="F206" t="str">
            <v/>
          </cell>
          <cell r="G206" t="str">
            <v>PCS</v>
          </cell>
          <cell r="H206" t="str">
            <v/>
          </cell>
          <cell r="I206" t="str">
            <v/>
          </cell>
          <cell r="J206" t="str">
            <v/>
          </cell>
          <cell r="K206">
            <v>3</v>
          </cell>
        </row>
        <row r="207">
          <cell r="A207">
            <v>10880036045</v>
          </cell>
          <cell r="B207" t="str">
            <v>热水器电控板</v>
          </cell>
          <cell r="C207" t="str">
            <v>693-B2301F-PC G0044 0041801545AB</v>
          </cell>
          <cell r="D207">
            <v>1900</v>
          </cell>
          <cell r="E207">
            <v>2001</v>
          </cell>
          <cell r="F207" t="str">
            <v/>
          </cell>
          <cell r="G207" t="str">
            <v>PCS</v>
          </cell>
          <cell r="H207" t="str">
            <v/>
          </cell>
          <cell r="I207" t="str">
            <v/>
          </cell>
          <cell r="J207" t="str">
            <v/>
          </cell>
          <cell r="K207">
            <v>30</v>
          </cell>
        </row>
        <row r="208">
          <cell r="A208">
            <v>10880036134</v>
          </cell>
          <cell r="B208" t="str">
            <v>新一代侧出风驱动板</v>
          </cell>
          <cell r="C208" t="str">
            <v>697-C2503A G0020 1240104 H7A09529E/PV22&amp;</v>
          </cell>
          <cell r="D208">
            <v>1900</v>
          </cell>
          <cell r="E208">
            <v>2001</v>
          </cell>
          <cell r="F208" t="str">
            <v/>
          </cell>
          <cell r="G208" t="str">
            <v>SET</v>
          </cell>
          <cell r="H208" t="str">
            <v/>
          </cell>
          <cell r="I208" t="str">
            <v/>
          </cell>
          <cell r="J208" t="str">
            <v/>
          </cell>
          <cell r="K208">
            <v>247</v>
          </cell>
        </row>
        <row r="209">
          <cell r="A209">
            <v>10880036135</v>
          </cell>
          <cell r="B209" t="str">
            <v>新一代侧出风驱动板</v>
          </cell>
          <cell r="C209" t="str">
            <v>697-C2504A G0020 1235820 H7A09158D/PV22&amp;</v>
          </cell>
          <cell r="D209">
            <v>1900</v>
          </cell>
          <cell r="E209">
            <v>2001</v>
          </cell>
          <cell r="F209" t="str">
            <v/>
          </cell>
          <cell r="G209" t="str">
            <v>SET</v>
          </cell>
          <cell r="H209" t="str">
            <v/>
          </cell>
          <cell r="I209" t="str">
            <v/>
          </cell>
          <cell r="J209" t="str">
            <v/>
          </cell>
          <cell r="K209">
            <v>695</v>
          </cell>
        </row>
        <row r="210">
          <cell r="A210">
            <v>10880036189</v>
          </cell>
          <cell r="B210" t="str">
            <v>冰箱电控板</v>
          </cell>
          <cell r="C210" t="str">
            <v>501764-B2501A-PC G1417 NTD10-FRZ</v>
          </cell>
          <cell r="D210">
            <v>1900</v>
          </cell>
          <cell r="E210">
            <v>2001</v>
          </cell>
          <cell r="F210" t="str">
            <v/>
          </cell>
          <cell r="G210" t="str">
            <v>PCS</v>
          </cell>
          <cell r="H210" t="str">
            <v/>
          </cell>
          <cell r="I210" t="str">
            <v/>
          </cell>
          <cell r="J210" t="str">
            <v/>
          </cell>
          <cell r="K210">
            <v>363</v>
          </cell>
        </row>
        <row r="211">
          <cell r="A211">
            <v>10880036190</v>
          </cell>
          <cell r="B211" t="str">
            <v>冰箱电控板</v>
          </cell>
          <cell r="C211" t="str">
            <v>501764-B2501B-PC G1417 NTD10-REF</v>
          </cell>
          <cell r="D211">
            <v>1900</v>
          </cell>
          <cell r="E211">
            <v>2001</v>
          </cell>
          <cell r="F211" t="str">
            <v/>
          </cell>
          <cell r="G211" t="str">
            <v>PCS</v>
          </cell>
          <cell r="H211" t="str">
            <v/>
          </cell>
          <cell r="I211" t="str">
            <v/>
          </cell>
          <cell r="J211" t="str">
            <v/>
          </cell>
          <cell r="K211">
            <v>365</v>
          </cell>
        </row>
        <row r="212">
          <cell r="A212">
            <v>10880036191</v>
          </cell>
          <cell r="B212" t="str">
            <v>冰箱显示板</v>
          </cell>
          <cell r="C212" t="str">
            <v>501764-B2501C-D G1417 NTD10-REF</v>
          </cell>
          <cell r="D212">
            <v>1900</v>
          </cell>
          <cell r="E212">
            <v>2001</v>
          </cell>
          <cell r="F212" t="str">
            <v/>
          </cell>
          <cell r="G212" t="str">
            <v>PCS</v>
          </cell>
          <cell r="H212" t="str">
            <v/>
          </cell>
          <cell r="I212" t="str">
            <v/>
          </cell>
          <cell r="J212" t="str">
            <v/>
          </cell>
          <cell r="K212">
            <v>445</v>
          </cell>
        </row>
        <row r="213">
          <cell r="A213">
            <v>10880036205</v>
          </cell>
          <cell r="B213" t="str">
            <v>新一代侧出风驱动板</v>
          </cell>
          <cell r="C213" t="str">
            <v>697-C2503C G0020 1235823 H7A09529D/PV22&amp;</v>
          </cell>
          <cell r="D213">
            <v>1900</v>
          </cell>
          <cell r="E213">
            <v>2001</v>
          </cell>
          <cell r="F213" t="str">
            <v/>
          </cell>
          <cell r="G213" t="str">
            <v>SET</v>
          </cell>
          <cell r="H213" t="str">
            <v/>
          </cell>
          <cell r="I213" t="str">
            <v/>
          </cell>
          <cell r="J213" t="str">
            <v/>
          </cell>
          <cell r="K213">
            <v>514</v>
          </cell>
        </row>
        <row r="214">
          <cell r="A214">
            <v>10880036206</v>
          </cell>
          <cell r="B214" t="str">
            <v>新一代侧出风驱动板</v>
          </cell>
          <cell r="C214" t="str">
            <v>697-C2503D G0020 1220211 H7A09529A/PV22&amp;</v>
          </cell>
          <cell r="D214">
            <v>1900</v>
          </cell>
          <cell r="E214">
            <v>2001</v>
          </cell>
          <cell r="F214" t="str">
            <v/>
          </cell>
          <cell r="G214" t="str">
            <v>SET</v>
          </cell>
          <cell r="H214" t="str">
            <v/>
          </cell>
          <cell r="I214" t="str">
            <v/>
          </cell>
          <cell r="J214" t="str">
            <v/>
          </cell>
          <cell r="K214">
            <v>772</v>
          </cell>
        </row>
        <row r="215">
          <cell r="A215">
            <v>10880036207</v>
          </cell>
          <cell r="B215" t="str">
            <v>新一代侧出风驱动板</v>
          </cell>
          <cell r="C215" t="str">
            <v>697-C2504B G0020 1201684 H7A09158A/PV22&amp;</v>
          </cell>
          <cell r="D215">
            <v>1900</v>
          </cell>
          <cell r="E215">
            <v>2001</v>
          </cell>
          <cell r="F215" t="str">
            <v/>
          </cell>
          <cell r="G215" t="str">
            <v>SET</v>
          </cell>
          <cell r="H215" t="str">
            <v/>
          </cell>
          <cell r="I215" t="str">
            <v/>
          </cell>
          <cell r="J215" t="str">
            <v/>
          </cell>
          <cell r="K215">
            <v>541</v>
          </cell>
        </row>
        <row r="216">
          <cell r="A216">
            <v>10880036299</v>
          </cell>
          <cell r="B216" t="str">
            <v>洗衣机显示板</v>
          </cell>
          <cell r="C216" t="str">
            <v>693-C2556A-D G0044 0031800517</v>
          </cell>
          <cell r="D216">
            <v>1900</v>
          </cell>
          <cell r="E216">
            <v>2001</v>
          </cell>
          <cell r="F216" t="str">
            <v/>
          </cell>
          <cell r="G216" t="str">
            <v>PCS</v>
          </cell>
          <cell r="H216" t="str">
            <v/>
          </cell>
          <cell r="I216" t="str">
            <v/>
          </cell>
          <cell r="J216" t="str">
            <v/>
          </cell>
          <cell r="K216">
            <v>1112</v>
          </cell>
        </row>
        <row r="217">
          <cell r="A217">
            <v>10880036325</v>
          </cell>
          <cell r="B217" t="str">
            <v>空调电控板</v>
          </cell>
          <cell r="C217" t="str">
            <v>693-C2516F-PC G0044 0011801675AE</v>
          </cell>
          <cell r="D217">
            <v>1900</v>
          </cell>
          <cell r="E217">
            <v>2001</v>
          </cell>
          <cell r="F217" t="str">
            <v/>
          </cell>
          <cell r="G217" t="str">
            <v>PCS</v>
          </cell>
          <cell r="H217" t="str">
            <v/>
          </cell>
          <cell r="I217" t="str">
            <v/>
          </cell>
          <cell r="J217" t="str">
            <v/>
          </cell>
          <cell r="K217">
            <v>2</v>
          </cell>
        </row>
        <row r="218">
          <cell r="A218">
            <v>10880036326</v>
          </cell>
          <cell r="B218" t="str">
            <v>洗衣机显示板</v>
          </cell>
          <cell r="C218" t="str">
            <v>500493-B2402G-D G0020 2477384</v>
          </cell>
          <cell r="D218">
            <v>1900</v>
          </cell>
          <cell r="E218">
            <v>2001</v>
          </cell>
          <cell r="F218" t="str">
            <v/>
          </cell>
          <cell r="G218" t="str">
            <v>PCS</v>
          </cell>
          <cell r="H218" t="str">
            <v/>
          </cell>
          <cell r="I218" t="str">
            <v/>
          </cell>
          <cell r="J218" t="str">
            <v/>
          </cell>
          <cell r="K218">
            <v>60</v>
          </cell>
        </row>
        <row r="219">
          <cell r="A219">
            <v>10880036327</v>
          </cell>
          <cell r="B219" t="str">
            <v>洗衣机显示板</v>
          </cell>
          <cell r="C219" t="str">
            <v>500493-B2402H-D G0020 2499362</v>
          </cell>
          <cell r="D219">
            <v>1900</v>
          </cell>
          <cell r="E219">
            <v>2001</v>
          </cell>
          <cell r="F219" t="str">
            <v/>
          </cell>
          <cell r="G219" t="str">
            <v>PCS</v>
          </cell>
          <cell r="H219" t="str">
            <v/>
          </cell>
          <cell r="I219" t="str">
            <v/>
          </cell>
          <cell r="J219" t="str">
            <v/>
          </cell>
          <cell r="K219">
            <v>84</v>
          </cell>
        </row>
        <row r="220">
          <cell r="A220">
            <v>10880036348</v>
          </cell>
          <cell r="B220" t="str">
            <v>空调电控板</v>
          </cell>
          <cell r="C220" t="str">
            <v>693-C2516G-PC G0044 0011801675J</v>
          </cell>
          <cell r="D220">
            <v>1900</v>
          </cell>
          <cell r="E220">
            <v>2001</v>
          </cell>
          <cell r="F220" t="str">
            <v/>
          </cell>
          <cell r="G220" t="str">
            <v>PCS</v>
          </cell>
          <cell r="H220" t="str">
            <v/>
          </cell>
          <cell r="I220" t="str">
            <v/>
          </cell>
          <cell r="J220" t="str">
            <v/>
          </cell>
          <cell r="K220">
            <v>7</v>
          </cell>
        </row>
        <row r="221">
          <cell r="A221">
            <v>10880036364</v>
          </cell>
          <cell r="B221" t="str">
            <v>洗衣机控制器</v>
          </cell>
          <cell r="C221" t="str">
            <v>2189-B2505B G0020 2504028</v>
          </cell>
          <cell r="D221">
            <v>1900</v>
          </cell>
          <cell r="E221">
            <v>2001</v>
          </cell>
          <cell r="F221" t="str">
            <v/>
          </cell>
          <cell r="G221" t="str">
            <v>SET</v>
          </cell>
          <cell r="H221" t="str">
            <v/>
          </cell>
          <cell r="I221" t="str">
            <v/>
          </cell>
          <cell r="J221" t="str">
            <v/>
          </cell>
          <cell r="K221">
            <v>3</v>
          </cell>
        </row>
        <row r="222">
          <cell r="A222">
            <v>10880036424</v>
          </cell>
          <cell r="B222" t="str">
            <v>空调电控板</v>
          </cell>
          <cell r="C222" t="str">
            <v>693-C2532C-PC G0044 0011802020B</v>
          </cell>
          <cell r="D222">
            <v>1900</v>
          </cell>
          <cell r="E222">
            <v>2001</v>
          </cell>
          <cell r="F222" t="str">
            <v/>
          </cell>
          <cell r="G222" t="str">
            <v>PCS</v>
          </cell>
          <cell r="H222" t="str">
            <v/>
          </cell>
          <cell r="I222" t="str">
            <v/>
          </cell>
          <cell r="J222" t="str">
            <v/>
          </cell>
          <cell r="K222">
            <v>2</v>
          </cell>
        </row>
        <row r="223">
          <cell r="A223">
            <v>10880036432</v>
          </cell>
          <cell r="B223" t="str">
            <v>空调电控板</v>
          </cell>
          <cell r="C223" t="str">
            <v>693-B2548A-PC G0044 0011801922</v>
          </cell>
          <cell r="D223">
            <v>1900</v>
          </cell>
          <cell r="E223">
            <v>2001</v>
          </cell>
          <cell r="F223" t="str">
            <v/>
          </cell>
          <cell r="G223" t="str">
            <v>PCS</v>
          </cell>
          <cell r="H223" t="str">
            <v/>
          </cell>
          <cell r="I223" t="str">
            <v/>
          </cell>
          <cell r="J223" t="str">
            <v/>
          </cell>
          <cell r="K223">
            <v>2659</v>
          </cell>
        </row>
        <row r="224">
          <cell r="A224">
            <v>10880036467</v>
          </cell>
          <cell r="B224" t="str">
            <v>顶出风驱动板</v>
          </cell>
          <cell r="C224" t="str">
            <v>697-B2505A-DRV G0020 H7D39442C-D</v>
          </cell>
          <cell r="D224">
            <v>1900</v>
          </cell>
          <cell r="E224">
            <v>2001</v>
          </cell>
          <cell r="F224" t="str">
            <v/>
          </cell>
          <cell r="G224" t="str">
            <v>PCS</v>
          </cell>
          <cell r="H224" t="str">
            <v/>
          </cell>
          <cell r="I224" t="str">
            <v/>
          </cell>
          <cell r="J224" t="str">
            <v/>
          </cell>
          <cell r="K224">
            <v>30</v>
          </cell>
        </row>
        <row r="225">
          <cell r="A225">
            <v>10880036479</v>
          </cell>
          <cell r="B225" t="str">
            <v>新一代侧出风驱动板</v>
          </cell>
          <cell r="C225" t="str">
            <v>697-C2504C G0020 1201685 H7A09158B/PV22&amp;</v>
          </cell>
          <cell r="D225">
            <v>1900</v>
          </cell>
          <cell r="E225">
            <v>2001</v>
          </cell>
          <cell r="F225" t="str">
            <v/>
          </cell>
          <cell r="G225" t="str">
            <v>SET</v>
          </cell>
          <cell r="H225" t="str">
            <v/>
          </cell>
          <cell r="I225" t="str">
            <v/>
          </cell>
          <cell r="J225" t="str">
            <v/>
          </cell>
          <cell r="K225">
            <v>324</v>
          </cell>
        </row>
        <row r="226">
          <cell r="A226">
            <v>10880036481</v>
          </cell>
          <cell r="B226" t="str">
            <v>新一代侧出风驱动板</v>
          </cell>
          <cell r="C226" t="str">
            <v>697-C2504D G0020 1239203 H7A09158E/PV22&amp;</v>
          </cell>
          <cell r="D226">
            <v>1900</v>
          </cell>
          <cell r="E226">
            <v>2001</v>
          </cell>
          <cell r="F226" t="str">
            <v/>
          </cell>
          <cell r="G226" t="str">
            <v>SET</v>
          </cell>
          <cell r="H226" t="str">
            <v/>
          </cell>
          <cell r="I226" t="str">
            <v/>
          </cell>
          <cell r="J226" t="str">
            <v/>
          </cell>
          <cell r="K226">
            <v>137</v>
          </cell>
        </row>
        <row r="227">
          <cell r="A227">
            <v>10880036493</v>
          </cell>
          <cell r="B227" t="str">
            <v>新一代侧出风驱动板</v>
          </cell>
          <cell r="C227" t="str">
            <v>697-C2503E G0020 1220212 H7A09529B/PV22&amp;</v>
          </cell>
          <cell r="D227">
            <v>1900</v>
          </cell>
          <cell r="E227">
            <v>2001</v>
          </cell>
          <cell r="F227" t="str">
            <v/>
          </cell>
          <cell r="G227" t="str">
            <v>SET</v>
          </cell>
          <cell r="H227" t="str">
            <v/>
          </cell>
          <cell r="I227" t="str">
            <v/>
          </cell>
          <cell r="J227" t="str">
            <v/>
          </cell>
          <cell r="K227">
            <v>406</v>
          </cell>
        </row>
        <row r="228">
          <cell r="A228">
            <v>10880036494</v>
          </cell>
          <cell r="B228" t="str">
            <v>新一代侧出风驱动板</v>
          </cell>
          <cell r="C228" t="str">
            <v>697-C2503F G0020 1221341 H7A09529C/PV22&amp;</v>
          </cell>
          <cell r="D228">
            <v>1900</v>
          </cell>
          <cell r="E228">
            <v>2001</v>
          </cell>
          <cell r="F228" t="str">
            <v/>
          </cell>
          <cell r="G228" t="str">
            <v>SET</v>
          </cell>
          <cell r="H228" t="str">
            <v/>
          </cell>
          <cell r="I228" t="str">
            <v/>
          </cell>
          <cell r="J228" t="str">
            <v/>
          </cell>
          <cell r="K228">
            <v>164</v>
          </cell>
        </row>
        <row r="229">
          <cell r="A229">
            <v>10880036495</v>
          </cell>
          <cell r="B229" t="str">
            <v>新一代侧出风驱动板</v>
          </cell>
          <cell r="C229" t="str">
            <v>697-C2504E G0020 1221254 H7A09158C/PV22&amp;</v>
          </cell>
          <cell r="D229">
            <v>1900</v>
          </cell>
          <cell r="E229">
            <v>2001</v>
          </cell>
          <cell r="F229" t="str">
            <v/>
          </cell>
          <cell r="G229" t="str">
            <v>SET</v>
          </cell>
          <cell r="H229" t="str">
            <v/>
          </cell>
          <cell r="I229" t="str">
            <v/>
          </cell>
          <cell r="J229" t="str">
            <v/>
          </cell>
          <cell r="K229">
            <v>384</v>
          </cell>
        </row>
        <row r="230">
          <cell r="A230">
            <v>10880036498</v>
          </cell>
          <cell r="B230" t="str">
            <v>空调电控板</v>
          </cell>
          <cell r="C230" t="str">
            <v>693-C2534K-PC G0044 0011801843AH</v>
          </cell>
          <cell r="D230">
            <v>1900</v>
          </cell>
          <cell r="E230">
            <v>2001</v>
          </cell>
          <cell r="F230" t="str">
            <v/>
          </cell>
          <cell r="G230" t="str">
            <v>PCS</v>
          </cell>
          <cell r="H230" t="str">
            <v/>
          </cell>
          <cell r="I230" t="str">
            <v/>
          </cell>
          <cell r="J230" t="str">
            <v/>
          </cell>
          <cell r="K230">
            <v>1000</v>
          </cell>
        </row>
        <row r="231">
          <cell r="A231">
            <v>10880036499</v>
          </cell>
          <cell r="B231" t="str">
            <v>新一代侧出风驱动板</v>
          </cell>
          <cell r="C231" t="str">
            <v>500268-C2501B G0020 1250711 H7A10566H-D&amp;</v>
          </cell>
          <cell r="D231">
            <v>1900</v>
          </cell>
          <cell r="E231">
            <v>2001</v>
          </cell>
          <cell r="F231" t="str">
            <v/>
          </cell>
          <cell r="G231" t="str">
            <v>SET</v>
          </cell>
          <cell r="H231" t="str">
            <v/>
          </cell>
          <cell r="I231" t="str">
            <v/>
          </cell>
          <cell r="J231" t="str">
            <v/>
          </cell>
          <cell r="K231">
            <v>174</v>
          </cell>
        </row>
        <row r="232">
          <cell r="A232">
            <v>10880036503</v>
          </cell>
          <cell r="B232" t="str">
            <v>新一代侧出风驱动板</v>
          </cell>
          <cell r="C232" t="str">
            <v>500268-C2501E G0020 1242656 H7A10566E-D&amp;</v>
          </cell>
          <cell r="D232">
            <v>1900</v>
          </cell>
          <cell r="E232">
            <v>2001</v>
          </cell>
          <cell r="F232" t="str">
            <v/>
          </cell>
          <cell r="G232" t="str">
            <v>SET</v>
          </cell>
          <cell r="H232" t="str">
            <v/>
          </cell>
          <cell r="I232" t="str">
            <v/>
          </cell>
          <cell r="J232" t="str">
            <v/>
          </cell>
          <cell r="K232">
            <v>195</v>
          </cell>
        </row>
        <row r="233">
          <cell r="A233">
            <v>10880036504</v>
          </cell>
          <cell r="B233" t="str">
            <v>新一代侧出风驱动板</v>
          </cell>
          <cell r="C233" t="str">
            <v>500268-C2501F G0020 1242657 H7A10566F-D&amp;</v>
          </cell>
          <cell r="D233">
            <v>1900</v>
          </cell>
          <cell r="E233">
            <v>2001</v>
          </cell>
          <cell r="F233" t="str">
            <v/>
          </cell>
          <cell r="G233" t="str">
            <v>SET</v>
          </cell>
          <cell r="H233" t="str">
            <v/>
          </cell>
          <cell r="I233" t="str">
            <v/>
          </cell>
          <cell r="J233" t="str">
            <v/>
          </cell>
          <cell r="K233">
            <v>99</v>
          </cell>
        </row>
        <row r="234">
          <cell r="A234">
            <v>10880036513</v>
          </cell>
          <cell r="B234" t="str">
            <v>空调电控板</v>
          </cell>
          <cell r="C234" t="str">
            <v>693-C2568A-PC G0044 0011800722GCH</v>
          </cell>
          <cell r="D234">
            <v>1900</v>
          </cell>
          <cell r="E234">
            <v>2001</v>
          </cell>
          <cell r="F234" t="str">
            <v/>
          </cell>
          <cell r="G234" t="str">
            <v>PCS</v>
          </cell>
          <cell r="H234" t="str">
            <v/>
          </cell>
          <cell r="I234" t="str">
            <v/>
          </cell>
          <cell r="J234" t="str">
            <v/>
          </cell>
          <cell r="K234">
            <v>900</v>
          </cell>
        </row>
        <row r="235">
          <cell r="A235">
            <v>10880036514</v>
          </cell>
          <cell r="B235" t="str">
            <v>空调电控板</v>
          </cell>
          <cell r="C235" t="str">
            <v>693-C2568B-PC G0044 0011800722GCHA</v>
          </cell>
          <cell r="D235">
            <v>1900</v>
          </cell>
          <cell r="E235">
            <v>2001</v>
          </cell>
          <cell r="F235" t="str">
            <v/>
          </cell>
          <cell r="G235" t="str">
            <v>PCS</v>
          </cell>
          <cell r="H235" t="str">
            <v/>
          </cell>
          <cell r="I235" t="str">
            <v/>
          </cell>
          <cell r="J235" t="str">
            <v/>
          </cell>
          <cell r="K235">
            <v>1298</v>
          </cell>
        </row>
        <row r="236">
          <cell r="A236">
            <v>10880036760</v>
          </cell>
          <cell r="B236" t="str">
            <v>空调电控板</v>
          </cell>
          <cell r="C236" t="str">
            <v>500323-C24A2B-PC G0044 0011801675B 新</v>
          </cell>
          <cell r="D236">
            <v>1900</v>
          </cell>
          <cell r="E236">
            <v>2001</v>
          </cell>
          <cell r="F236" t="str">
            <v/>
          </cell>
          <cell r="G236" t="str">
            <v>PCS</v>
          </cell>
          <cell r="H236" t="str">
            <v/>
          </cell>
          <cell r="I236" t="str">
            <v/>
          </cell>
          <cell r="J236" t="str">
            <v/>
          </cell>
          <cell r="K236">
            <v>13</v>
          </cell>
        </row>
        <row r="237">
          <cell r="A237">
            <v>10880036786</v>
          </cell>
          <cell r="B237" t="str">
            <v>冰箱通用板</v>
          </cell>
          <cell r="C237" t="str">
            <v>1886-C2515A-X G0020 3677802 BCD-600W 屏显&amp;</v>
          </cell>
          <cell r="D237">
            <v>1900</v>
          </cell>
          <cell r="E237">
            <v>2001</v>
          </cell>
          <cell r="F237" t="str">
            <v/>
          </cell>
          <cell r="G237" t="str">
            <v>PCS</v>
          </cell>
          <cell r="H237" t="str">
            <v/>
          </cell>
          <cell r="I237" t="str">
            <v/>
          </cell>
          <cell r="J237" t="str">
            <v/>
          </cell>
          <cell r="K237">
            <v>17</v>
          </cell>
        </row>
        <row r="238">
          <cell r="A238">
            <v>10880036799</v>
          </cell>
          <cell r="B238" t="str">
            <v>冰箱远场拾音板</v>
          </cell>
          <cell r="C238" t="str">
            <v>1886-C2516A-X G0020 3678741 BCD-600W MI&amp;</v>
          </cell>
          <cell r="D238">
            <v>1900</v>
          </cell>
          <cell r="E238">
            <v>2001</v>
          </cell>
          <cell r="F238" t="str">
            <v/>
          </cell>
          <cell r="G238" t="str">
            <v>PCS</v>
          </cell>
          <cell r="H238" t="str">
            <v/>
          </cell>
          <cell r="I238" t="str">
            <v/>
          </cell>
          <cell r="J238" t="str">
            <v/>
          </cell>
          <cell r="K238">
            <v>1000</v>
          </cell>
        </row>
        <row r="239">
          <cell r="A239">
            <v>10880036868</v>
          </cell>
          <cell r="B239" t="str">
            <v>空调电控板</v>
          </cell>
          <cell r="C239" t="str">
            <v>1911-C2302E-PC G0044 0011801640 泰国</v>
          </cell>
          <cell r="D239">
            <v>1900</v>
          </cell>
          <cell r="E239">
            <v>2001</v>
          </cell>
          <cell r="F239" t="str">
            <v/>
          </cell>
          <cell r="G239" t="str">
            <v>PCS</v>
          </cell>
          <cell r="H239" t="str">
            <v/>
          </cell>
          <cell r="I239" t="str">
            <v/>
          </cell>
          <cell r="J239" t="str">
            <v/>
          </cell>
          <cell r="K239">
            <v>51</v>
          </cell>
        </row>
        <row r="240">
          <cell r="A240">
            <v>10880036929</v>
          </cell>
          <cell r="B240" t="str">
            <v>洗碗机控制器</v>
          </cell>
          <cell r="C240" t="str">
            <v>693-C2591A G0044 0121800104WG</v>
          </cell>
          <cell r="D240">
            <v>1900</v>
          </cell>
          <cell r="E240">
            <v>2001</v>
          </cell>
          <cell r="F240" t="str">
            <v/>
          </cell>
          <cell r="G240" t="str">
            <v>SET</v>
          </cell>
          <cell r="H240" t="str">
            <v/>
          </cell>
          <cell r="I240" t="str">
            <v/>
          </cell>
          <cell r="J240" t="str">
            <v/>
          </cell>
          <cell r="K240">
            <v>230</v>
          </cell>
        </row>
        <row r="241">
          <cell r="A241">
            <v>10880036964</v>
          </cell>
          <cell r="B241" t="str">
            <v>热水器电控板</v>
          </cell>
          <cell r="C241" t="str">
            <v>693-C2540A-PC G0044 0041801952</v>
          </cell>
          <cell r="D241">
            <v>1900</v>
          </cell>
          <cell r="E241">
            <v>2001</v>
          </cell>
          <cell r="F241" t="str">
            <v/>
          </cell>
          <cell r="G241" t="str">
            <v>PCS</v>
          </cell>
          <cell r="H241" t="str">
            <v/>
          </cell>
          <cell r="I241" t="str">
            <v/>
          </cell>
          <cell r="J241" t="str">
            <v/>
          </cell>
          <cell r="K241">
            <v>195</v>
          </cell>
        </row>
        <row r="242">
          <cell r="A242">
            <v>10880037002</v>
          </cell>
          <cell r="B242" t="str">
            <v>电热水器显示板</v>
          </cell>
          <cell r="C242" t="str">
            <v>693-C2596A-D G0044 0041801949</v>
          </cell>
          <cell r="D242">
            <v>1900</v>
          </cell>
          <cell r="E242">
            <v>2001</v>
          </cell>
          <cell r="F242" t="str">
            <v/>
          </cell>
          <cell r="G242" t="str">
            <v>PCS</v>
          </cell>
          <cell r="H242" t="str">
            <v/>
          </cell>
          <cell r="I242" t="str">
            <v/>
          </cell>
          <cell r="J242" t="str">
            <v/>
          </cell>
          <cell r="K242">
            <v>97</v>
          </cell>
        </row>
        <row r="243">
          <cell r="A243">
            <v>10880037047</v>
          </cell>
          <cell r="B243" t="str">
            <v>洗衣机显示板</v>
          </cell>
          <cell r="C243" t="str">
            <v>500493-B2407H-D G0020 20114667</v>
          </cell>
          <cell r="D243">
            <v>1900</v>
          </cell>
          <cell r="E243">
            <v>2001</v>
          </cell>
          <cell r="F243" t="str">
            <v/>
          </cell>
          <cell r="G243" t="str">
            <v>PCS</v>
          </cell>
          <cell r="H243" t="str">
            <v/>
          </cell>
          <cell r="I243" t="str">
            <v/>
          </cell>
          <cell r="J243" t="str">
            <v/>
          </cell>
          <cell r="K243">
            <v>2</v>
          </cell>
        </row>
        <row r="244">
          <cell r="A244">
            <v>10880037059</v>
          </cell>
          <cell r="B244" t="str">
            <v>洗衣机显示板</v>
          </cell>
          <cell r="C244" t="str">
            <v>693-C2595A-D G0044 0021800866</v>
          </cell>
          <cell r="D244">
            <v>1900</v>
          </cell>
          <cell r="E244">
            <v>2001</v>
          </cell>
          <cell r="F244" t="str">
            <v/>
          </cell>
          <cell r="G244" t="str">
            <v>PCS</v>
          </cell>
          <cell r="H244" t="str">
            <v/>
          </cell>
          <cell r="I244" t="str">
            <v/>
          </cell>
          <cell r="J244" t="str">
            <v/>
          </cell>
          <cell r="K244">
            <v>189</v>
          </cell>
        </row>
        <row r="245">
          <cell r="A245">
            <v>10880037179</v>
          </cell>
          <cell r="B245" t="str">
            <v>洗衣机显示板</v>
          </cell>
          <cell r="C245" t="str">
            <v>500493-B2407J-D G0020 20107934</v>
          </cell>
          <cell r="D245">
            <v>1900</v>
          </cell>
          <cell r="E245">
            <v>2001</v>
          </cell>
          <cell r="F245" t="str">
            <v/>
          </cell>
          <cell r="G245" t="str">
            <v>PCS</v>
          </cell>
          <cell r="H245" t="str">
            <v/>
          </cell>
          <cell r="I245" t="str">
            <v/>
          </cell>
          <cell r="J245" t="str">
            <v/>
          </cell>
          <cell r="K245">
            <v>1</v>
          </cell>
        </row>
        <row r="246">
          <cell r="A246">
            <v>10880037198</v>
          </cell>
          <cell r="B246" t="str">
            <v>洗衣机电控板</v>
          </cell>
          <cell r="C246" t="str">
            <v>2189-B2401M-PC G0020 2416131</v>
          </cell>
          <cell r="D246">
            <v>1900</v>
          </cell>
          <cell r="E246">
            <v>2001</v>
          </cell>
          <cell r="F246" t="str">
            <v/>
          </cell>
          <cell r="G246" t="str">
            <v>PCS</v>
          </cell>
          <cell r="H246" t="str">
            <v/>
          </cell>
          <cell r="I246" t="str">
            <v/>
          </cell>
          <cell r="J246" t="str">
            <v/>
          </cell>
          <cell r="K246">
            <v>452</v>
          </cell>
        </row>
        <row r="247">
          <cell r="A247">
            <v>10880037231</v>
          </cell>
          <cell r="B247" t="str">
            <v>净水器电控板</v>
          </cell>
          <cell r="C247" t="str">
            <v>693-B2287H-PC G0044 0190400359AF</v>
          </cell>
          <cell r="D247">
            <v>1900</v>
          </cell>
          <cell r="E247">
            <v>2001</v>
          </cell>
          <cell r="F247" t="str">
            <v/>
          </cell>
          <cell r="G247" t="str">
            <v>PCS</v>
          </cell>
          <cell r="H247" t="str">
            <v/>
          </cell>
          <cell r="I247" t="str">
            <v/>
          </cell>
          <cell r="J247" t="str">
            <v/>
          </cell>
          <cell r="K247">
            <v>33</v>
          </cell>
        </row>
        <row r="248">
          <cell r="A248">
            <v>10880037366</v>
          </cell>
          <cell r="B248" t="str">
            <v>空调电控板</v>
          </cell>
          <cell r="C248" t="str">
            <v>600766-A2502A-PC G0044 0011800977HR</v>
          </cell>
          <cell r="D248">
            <v>1900</v>
          </cell>
          <cell r="E248">
            <v>2001</v>
          </cell>
          <cell r="F248" t="str">
            <v/>
          </cell>
          <cell r="G248" t="str">
            <v>PCS</v>
          </cell>
          <cell r="H248" t="str">
            <v/>
          </cell>
          <cell r="I248" t="str">
            <v/>
          </cell>
          <cell r="J248" t="str">
            <v/>
          </cell>
          <cell r="K248">
            <v>196</v>
          </cell>
        </row>
        <row r="249">
          <cell r="A249">
            <v>10880037368</v>
          </cell>
          <cell r="B249" t="str">
            <v>空调电控板</v>
          </cell>
          <cell r="C249" t="str">
            <v>600766-A2506A-PC G0044 0011800977HHR</v>
          </cell>
          <cell r="D249">
            <v>1900</v>
          </cell>
          <cell r="E249">
            <v>2001</v>
          </cell>
          <cell r="F249" t="str">
            <v/>
          </cell>
          <cell r="G249" t="str">
            <v>PCS</v>
          </cell>
          <cell r="H249" t="str">
            <v/>
          </cell>
          <cell r="I249" t="str">
            <v/>
          </cell>
          <cell r="J249" t="str">
            <v/>
          </cell>
          <cell r="K249">
            <v>209</v>
          </cell>
        </row>
        <row r="250">
          <cell r="A250">
            <v>10880037369</v>
          </cell>
          <cell r="B250" t="str">
            <v>空调电控板</v>
          </cell>
          <cell r="C250" t="str">
            <v>600766-A2506B-PC G0044 0011800977JHR</v>
          </cell>
          <cell r="D250">
            <v>1900</v>
          </cell>
          <cell r="E250">
            <v>2001</v>
          </cell>
          <cell r="F250" t="str">
            <v/>
          </cell>
          <cell r="G250" t="str">
            <v>PCS</v>
          </cell>
          <cell r="H250" t="str">
            <v/>
          </cell>
          <cell r="I250" t="str">
            <v/>
          </cell>
          <cell r="J250" t="str">
            <v/>
          </cell>
          <cell r="K250">
            <v>10816</v>
          </cell>
        </row>
        <row r="251">
          <cell r="A251">
            <v>10880037370</v>
          </cell>
          <cell r="B251" t="str">
            <v>空调电控板</v>
          </cell>
          <cell r="C251" t="str">
            <v>600766-A2503A-PC G0044 0011801330MHR</v>
          </cell>
          <cell r="D251">
            <v>1900</v>
          </cell>
          <cell r="E251">
            <v>2001</v>
          </cell>
          <cell r="F251" t="str">
            <v/>
          </cell>
          <cell r="G251" t="str">
            <v>PCS</v>
          </cell>
          <cell r="H251" t="str">
            <v/>
          </cell>
          <cell r="I251" t="str">
            <v/>
          </cell>
          <cell r="J251" t="str">
            <v/>
          </cell>
          <cell r="K251">
            <v>180</v>
          </cell>
        </row>
        <row r="252">
          <cell r="A252">
            <v>10880037374</v>
          </cell>
          <cell r="B252" t="str">
            <v>空调显示板</v>
          </cell>
          <cell r="C252" t="str">
            <v>600766-A2501A-D G0044 0011800387DHR</v>
          </cell>
          <cell r="D252">
            <v>1900</v>
          </cell>
          <cell r="E252">
            <v>2001</v>
          </cell>
          <cell r="F252" t="str">
            <v/>
          </cell>
          <cell r="G252" t="str">
            <v>PCS</v>
          </cell>
          <cell r="H252" t="str">
            <v/>
          </cell>
          <cell r="I252" t="str">
            <v/>
          </cell>
          <cell r="J252" t="str">
            <v/>
          </cell>
          <cell r="K252">
            <v>16</v>
          </cell>
        </row>
        <row r="253">
          <cell r="A253">
            <v>10880037377</v>
          </cell>
          <cell r="B253" t="str">
            <v>空调电控板</v>
          </cell>
          <cell r="C253" t="str">
            <v>600766-A2504A-PC G0044 0011801490M</v>
          </cell>
          <cell r="D253">
            <v>1900</v>
          </cell>
          <cell r="E253">
            <v>2001</v>
          </cell>
          <cell r="F253" t="str">
            <v/>
          </cell>
          <cell r="G253" t="str">
            <v>PCS</v>
          </cell>
          <cell r="H253" t="str">
            <v/>
          </cell>
          <cell r="I253" t="str">
            <v/>
          </cell>
          <cell r="J253" t="str">
            <v/>
          </cell>
          <cell r="K253">
            <v>2281</v>
          </cell>
        </row>
        <row r="254">
          <cell r="A254">
            <v>10880037379</v>
          </cell>
          <cell r="B254" t="str">
            <v>空调电控板</v>
          </cell>
          <cell r="C254" t="str">
            <v>600766-A2505A-PC G0044 0011801843B</v>
          </cell>
          <cell r="D254">
            <v>1900</v>
          </cell>
          <cell r="E254">
            <v>2001</v>
          </cell>
          <cell r="F254" t="str">
            <v/>
          </cell>
          <cell r="G254" t="str">
            <v>PCS</v>
          </cell>
          <cell r="H254" t="str">
            <v/>
          </cell>
          <cell r="I254" t="str">
            <v/>
          </cell>
          <cell r="J254" t="str">
            <v/>
          </cell>
          <cell r="K254">
            <v>2192</v>
          </cell>
        </row>
        <row r="255">
          <cell r="A255">
            <v>10880037380</v>
          </cell>
          <cell r="B255" t="str">
            <v>空调电控板</v>
          </cell>
          <cell r="C255" t="str">
            <v>600766-A2505B-PC G0044 0011801843G</v>
          </cell>
          <cell r="D255">
            <v>1900</v>
          </cell>
          <cell r="E255">
            <v>2001</v>
          </cell>
          <cell r="F255" t="str">
            <v/>
          </cell>
          <cell r="G255" t="str">
            <v>PCS</v>
          </cell>
          <cell r="H255" t="str">
            <v/>
          </cell>
          <cell r="I255" t="str">
            <v/>
          </cell>
          <cell r="J255" t="str">
            <v/>
          </cell>
          <cell r="K255">
            <v>1087</v>
          </cell>
        </row>
        <row r="256">
          <cell r="A256">
            <v>10880037382</v>
          </cell>
          <cell r="B256" t="str">
            <v>空调电控板</v>
          </cell>
          <cell r="C256" t="str">
            <v>600766-A2505D-PC G0044 0011801843K</v>
          </cell>
          <cell r="D256">
            <v>1900</v>
          </cell>
          <cell r="E256">
            <v>2001</v>
          </cell>
          <cell r="F256" t="str">
            <v/>
          </cell>
          <cell r="G256" t="str">
            <v>PCS</v>
          </cell>
          <cell r="H256" t="str">
            <v/>
          </cell>
          <cell r="I256" t="str">
            <v/>
          </cell>
          <cell r="J256" t="str">
            <v/>
          </cell>
          <cell r="K256">
            <v>131</v>
          </cell>
        </row>
        <row r="257">
          <cell r="A257">
            <v>10880037426</v>
          </cell>
          <cell r="B257" t="str">
            <v>空调电控板</v>
          </cell>
          <cell r="C257" t="str">
            <v>600766-A2505E-PC G0044 0011801843JCHHR</v>
          </cell>
          <cell r="D257">
            <v>1900</v>
          </cell>
          <cell r="E257">
            <v>2001</v>
          </cell>
          <cell r="F257" t="str">
            <v/>
          </cell>
          <cell r="G257" t="str">
            <v>PCS</v>
          </cell>
          <cell r="H257" t="str">
            <v/>
          </cell>
          <cell r="I257" t="str">
            <v/>
          </cell>
          <cell r="J257" t="str">
            <v/>
          </cell>
          <cell r="K257">
            <v>2337</v>
          </cell>
        </row>
        <row r="258">
          <cell r="A258">
            <v>10880037503</v>
          </cell>
          <cell r="B258" t="str">
            <v>洗衣机显示板</v>
          </cell>
          <cell r="C258" t="str">
            <v>500323-C24D2J-D G0044 0021800616J</v>
          </cell>
          <cell r="D258">
            <v>1900</v>
          </cell>
          <cell r="E258">
            <v>2001</v>
          </cell>
          <cell r="F258" t="str">
            <v/>
          </cell>
          <cell r="G258" t="str">
            <v>PCS</v>
          </cell>
          <cell r="H258" t="str">
            <v/>
          </cell>
          <cell r="I258" t="str">
            <v/>
          </cell>
          <cell r="J258" t="str">
            <v/>
          </cell>
          <cell r="K258">
            <v>453</v>
          </cell>
        </row>
        <row r="259">
          <cell r="A259">
            <v>10880037617</v>
          </cell>
          <cell r="B259" t="str">
            <v>商用空调电控板</v>
          </cell>
          <cell r="C259" t="str">
            <v>693-C25A9A-PC G0044 0151801003AB</v>
          </cell>
          <cell r="D259">
            <v>1900</v>
          </cell>
          <cell r="E259">
            <v>2001</v>
          </cell>
          <cell r="F259" t="str">
            <v/>
          </cell>
          <cell r="G259" t="str">
            <v>PCS</v>
          </cell>
          <cell r="H259" t="str">
            <v/>
          </cell>
          <cell r="I259" t="str">
            <v/>
          </cell>
          <cell r="J259" t="str">
            <v/>
          </cell>
          <cell r="K259">
            <v>370</v>
          </cell>
        </row>
        <row r="260">
          <cell r="A260">
            <v>10880037670</v>
          </cell>
          <cell r="B260" t="str">
            <v>空调电控板</v>
          </cell>
          <cell r="C260" t="str">
            <v>693-B25D2A-PC G0044 0011801330AJ</v>
          </cell>
          <cell r="D260">
            <v>1900</v>
          </cell>
          <cell r="E260">
            <v>2001</v>
          </cell>
          <cell r="F260" t="str">
            <v/>
          </cell>
          <cell r="G260" t="str">
            <v>PCS</v>
          </cell>
          <cell r="H260" t="str">
            <v/>
          </cell>
          <cell r="I260" t="str">
            <v/>
          </cell>
          <cell r="J260" t="str">
            <v/>
          </cell>
          <cell r="K260">
            <v>2</v>
          </cell>
        </row>
        <row r="261">
          <cell r="A261">
            <v>10880038125</v>
          </cell>
          <cell r="B261" t="str">
            <v>空调电控板</v>
          </cell>
          <cell r="C261" t="str">
            <v>693-B2548H-PC G0044 0011801922J</v>
          </cell>
          <cell r="D261">
            <v>1900</v>
          </cell>
          <cell r="E261">
            <v>2001</v>
          </cell>
          <cell r="F261" t="str">
            <v/>
          </cell>
          <cell r="G261" t="str">
            <v>PCS</v>
          </cell>
          <cell r="H261" t="str">
            <v/>
          </cell>
          <cell r="I261" t="str">
            <v/>
          </cell>
          <cell r="J261" t="str">
            <v/>
          </cell>
          <cell r="K261">
            <v>2</v>
          </cell>
        </row>
        <row r="262">
          <cell r="A262">
            <v>40880000587</v>
          </cell>
          <cell r="B262" t="str">
            <v>海尔洗衣机售后检测仪</v>
          </cell>
          <cell r="C262" t="str">
            <v>500323-C24R1A G0044</v>
          </cell>
          <cell r="D262">
            <v>1900</v>
          </cell>
          <cell r="E262">
            <v>2001</v>
          </cell>
          <cell r="F262" t="str">
            <v/>
          </cell>
          <cell r="G262" t="str">
            <v>SET</v>
          </cell>
          <cell r="H262" t="str">
            <v/>
          </cell>
          <cell r="I262" t="str">
            <v/>
          </cell>
          <cell r="J262" t="str">
            <v/>
          </cell>
          <cell r="K262">
            <v>143</v>
          </cell>
        </row>
      </sheetData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1月份"/>
      <sheetName val="2月份"/>
    </sheetNames>
    <sheetDataSet>
      <sheetData sheetId="0"/>
      <sheetData sheetId="1"/>
      <sheetData sheetId="2">
        <row r="1">
          <cell r="A1" t="str">
            <v>和而泰2026年2月份库存表</v>
          </cell>
        </row>
        <row r="2">
          <cell r="A2" t="str">
            <v>成品料号</v>
          </cell>
          <cell r="B2" t="str">
            <v>上月结存</v>
          </cell>
          <cell r="C2" t="str">
            <v>2月入库合计</v>
          </cell>
          <cell r="D2" t="str">
            <v>2月出库合计</v>
          </cell>
          <cell r="E2" t="str">
            <v>不良品</v>
          </cell>
          <cell r="F2" t="str">
            <v>2月结存</v>
          </cell>
        </row>
        <row r="4">
          <cell r="A4" t="str">
            <v>0011800377X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</row>
        <row r="5">
          <cell r="A5" t="str">
            <v>0011800377Y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</row>
        <row r="6">
          <cell r="A6" t="str">
            <v>0011800607R</v>
          </cell>
          <cell r="B6">
            <v>95</v>
          </cell>
          <cell r="C6">
            <v>0</v>
          </cell>
          <cell r="D6">
            <v>0</v>
          </cell>
          <cell r="E6">
            <v>0</v>
          </cell>
          <cell r="F6">
            <v>95</v>
          </cell>
        </row>
        <row r="7">
          <cell r="A7" t="str">
            <v>0011800324</v>
          </cell>
          <cell r="B7">
            <v>171</v>
          </cell>
          <cell r="C7">
            <v>0</v>
          </cell>
          <cell r="D7">
            <v>0</v>
          </cell>
          <cell r="E7">
            <v>0</v>
          </cell>
          <cell r="F7">
            <v>171</v>
          </cell>
        </row>
        <row r="8">
          <cell r="A8" t="str">
            <v>0011800324N</v>
          </cell>
          <cell r="B8">
            <v>905</v>
          </cell>
          <cell r="C8">
            <v>0</v>
          </cell>
          <cell r="D8">
            <v>0</v>
          </cell>
          <cell r="E8">
            <v>0</v>
          </cell>
          <cell r="F8">
            <v>905</v>
          </cell>
        </row>
        <row r="9">
          <cell r="A9" t="str">
            <v>0011800324S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</row>
        <row r="10">
          <cell r="A10" t="str">
            <v>0011800324T</v>
          </cell>
          <cell r="B10">
            <v>378</v>
          </cell>
          <cell r="C10">
            <v>0</v>
          </cell>
          <cell r="D10">
            <v>0</v>
          </cell>
          <cell r="E10">
            <v>0</v>
          </cell>
          <cell r="F10">
            <v>378</v>
          </cell>
        </row>
        <row r="11">
          <cell r="A11" t="str">
            <v>0011800387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</row>
        <row r="12">
          <cell r="A12" t="str">
            <v>0011800387A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</row>
        <row r="13">
          <cell r="A13" t="str">
            <v>0011800387B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</row>
        <row r="14">
          <cell r="A14" t="str">
            <v>0011800387D</v>
          </cell>
          <cell r="B14">
            <v>1658</v>
          </cell>
          <cell r="C14">
            <v>0</v>
          </cell>
          <cell r="D14">
            <v>0</v>
          </cell>
          <cell r="E14">
            <v>68</v>
          </cell>
          <cell r="F14">
            <v>1590</v>
          </cell>
        </row>
        <row r="15">
          <cell r="A15" t="str">
            <v>0011800387D</v>
          </cell>
          <cell r="B15">
            <v>7644</v>
          </cell>
          <cell r="C15">
            <v>10823</v>
          </cell>
          <cell r="D15">
            <v>9388</v>
          </cell>
          <cell r="E15">
            <v>0</v>
          </cell>
          <cell r="F15">
            <v>9079</v>
          </cell>
        </row>
        <row r="16">
          <cell r="A16" t="str">
            <v>0011800387H</v>
          </cell>
          <cell r="B16">
            <v>2392</v>
          </cell>
          <cell r="C16">
            <v>0</v>
          </cell>
          <cell r="D16">
            <v>0</v>
          </cell>
          <cell r="E16">
            <v>0</v>
          </cell>
          <cell r="F16">
            <v>2392</v>
          </cell>
        </row>
        <row r="17">
          <cell r="A17" t="str">
            <v>0011801125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</row>
        <row r="18">
          <cell r="A18" t="str">
            <v>0011800977B</v>
          </cell>
          <cell r="B18">
            <v>146</v>
          </cell>
          <cell r="C18">
            <v>0</v>
          </cell>
          <cell r="D18">
            <v>0</v>
          </cell>
          <cell r="E18">
            <v>1</v>
          </cell>
          <cell r="F18">
            <v>145</v>
          </cell>
        </row>
        <row r="19">
          <cell r="A19" t="str">
            <v>0011800977C</v>
          </cell>
          <cell r="B19">
            <v>20</v>
          </cell>
          <cell r="C19">
            <v>0</v>
          </cell>
          <cell r="D19">
            <v>0</v>
          </cell>
          <cell r="E19">
            <v>0</v>
          </cell>
          <cell r="F19">
            <v>20</v>
          </cell>
        </row>
        <row r="20">
          <cell r="A20" t="str">
            <v>0011800977J</v>
          </cell>
          <cell r="B20">
            <v>12</v>
          </cell>
          <cell r="C20">
            <v>0</v>
          </cell>
          <cell r="D20">
            <v>0</v>
          </cell>
          <cell r="E20">
            <v>0</v>
          </cell>
          <cell r="F20">
            <v>12</v>
          </cell>
        </row>
        <row r="21">
          <cell r="A21" t="str">
            <v>0011800977K</v>
          </cell>
          <cell r="B21">
            <v>2600</v>
          </cell>
          <cell r="C21">
            <v>2998</v>
          </cell>
          <cell r="D21">
            <v>4911</v>
          </cell>
          <cell r="E21">
            <v>0</v>
          </cell>
          <cell r="F21">
            <v>687</v>
          </cell>
        </row>
        <row r="22">
          <cell r="A22" t="str">
            <v>0011800977P</v>
          </cell>
          <cell r="B22">
            <v>30</v>
          </cell>
          <cell r="C22">
            <v>0</v>
          </cell>
          <cell r="D22">
            <v>0</v>
          </cell>
          <cell r="E22">
            <v>1</v>
          </cell>
          <cell r="F22">
            <v>29</v>
          </cell>
        </row>
        <row r="23">
          <cell r="A23" t="str">
            <v>0011800977R</v>
          </cell>
          <cell r="B23">
            <v>75</v>
          </cell>
          <cell r="C23">
            <v>0</v>
          </cell>
          <cell r="D23">
            <v>0</v>
          </cell>
          <cell r="E23">
            <v>0</v>
          </cell>
          <cell r="F23">
            <v>75</v>
          </cell>
        </row>
        <row r="24">
          <cell r="A24" t="str">
            <v>0011800977S</v>
          </cell>
          <cell r="B24">
            <v>9</v>
          </cell>
          <cell r="C24">
            <v>0</v>
          </cell>
          <cell r="D24">
            <v>1</v>
          </cell>
          <cell r="E24">
            <v>0</v>
          </cell>
          <cell r="F24">
            <v>8</v>
          </cell>
        </row>
        <row r="25">
          <cell r="A25" t="str">
            <v>0011800977T</v>
          </cell>
          <cell r="B25">
            <v>2235</v>
          </cell>
          <cell r="C25">
            <v>480</v>
          </cell>
          <cell r="D25">
            <v>2394</v>
          </cell>
          <cell r="E25">
            <v>1</v>
          </cell>
          <cell r="F25">
            <v>320</v>
          </cell>
        </row>
        <row r="26">
          <cell r="A26" t="str">
            <v>0011800977AA</v>
          </cell>
          <cell r="B26">
            <v>27</v>
          </cell>
          <cell r="C26">
            <v>0</v>
          </cell>
          <cell r="D26">
            <v>0</v>
          </cell>
          <cell r="E26">
            <v>0</v>
          </cell>
          <cell r="F26">
            <v>27</v>
          </cell>
        </row>
        <row r="27">
          <cell r="A27" t="str">
            <v>0011800933S</v>
          </cell>
          <cell r="B27">
            <v>12</v>
          </cell>
          <cell r="C27">
            <v>0</v>
          </cell>
          <cell r="D27">
            <v>0</v>
          </cell>
          <cell r="E27">
            <v>0</v>
          </cell>
          <cell r="F27">
            <v>12</v>
          </cell>
        </row>
        <row r="28">
          <cell r="A28" t="str">
            <v>0011800933Y</v>
          </cell>
          <cell r="B28">
            <v>200</v>
          </cell>
          <cell r="C28">
            <v>0</v>
          </cell>
          <cell r="D28">
            <v>7</v>
          </cell>
          <cell r="E28">
            <v>0</v>
          </cell>
          <cell r="F28">
            <v>193</v>
          </cell>
        </row>
        <row r="29">
          <cell r="A29" t="str">
            <v>0011800980C</v>
          </cell>
          <cell r="B29">
            <v>96</v>
          </cell>
          <cell r="C29">
            <v>0</v>
          </cell>
          <cell r="D29">
            <v>0</v>
          </cell>
          <cell r="E29">
            <v>0</v>
          </cell>
          <cell r="F29">
            <v>96</v>
          </cell>
        </row>
        <row r="30">
          <cell r="A30" t="str">
            <v>0011800980D</v>
          </cell>
          <cell r="B30">
            <v>4</v>
          </cell>
          <cell r="C30">
            <v>0</v>
          </cell>
          <cell r="D30">
            <v>0</v>
          </cell>
          <cell r="E30">
            <v>0</v>
          </cell>
          <cell r="F30">
            <v>4</v>
          </cell>
        </row>
        <row r="31">
          <cell r="A31" t="str">
            <v>0011800980E</v>
          </cell>
          <cell r="B31">
            <v>34</v>
          </cell>
          <cell r="C31">
            <v>0</v>
          </cell>
          <cell r="D31">
            <v>0</v>
          </cell>
          <cell r="E31">
            <v>0</v>
          </cell>
          <cell r="F31">
            <v>34</v>
          </cell>
        </row>
        <row r="32">
          <cell r="A32" t="str">
            <v>0011800980F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</row>
        <row r="33">
          <cell r="A33" t="str">
            <v>0011800980J</v>
          </cell>
          <cell r="B33">
            <v>0</v>
          </cell>
          <cell r="C33">
            <v>200</v>
          </cell>
          <cell r="D33">
            <v>91</v>
          </cell>
          <cell r="E33">
            <v>0</v>
          </cell>
          <cell r="F33">
            <v>109</v>
          </cell>
        </row>
        <row r="34">
          <cell r="A34" t="str">
            <v>0011800980K</v>
          </cell>
          <cell r="B34">
            <v>704</v>
          </cell>
          <cell r="C34">
            <v>0</v>
          </cell>
          <cell r="D34">
            <v>611</v>
          </cell>
          <cell r="E34">
            <v>0</v>
          </cell>
          <cell r="F34">
            <v>93</v>
          </cell>
        </row>
        <row r="35">
          <cell r="A35" t="str">
            <v>0011801150G</v>
          </cell>
          <cell r="B35">
            <v>16</v>
          </cell>
          <cell r="C35">
            <v>0</v>
          </cell>
          <cell r="D35">
            <v>0</v>
          </cell>
          <cell r="E35">
            <v>0</v>
          </cell>
          <cell r="F35">
            <v>16</v>
          </cell>
        </row>
        <row r="36">
          <cell r="A36" t="str">
            <v>0011801150J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</row>
        <row r="37">
          <cell r="A37" t="str">
            <v>0011800827Y</v>
          </cell>
          <cell r="B37">
            <v>64</v>
          </cell>
          <cell r="C37">
            <v>0</v>
          </cell>
          <cell r="D37">
            <v>0</v>
          </cell>
          <cell r="E37">
            <v>1</v>
          </cell>
          <cell r="F37">
            <v>63</v>
          </cell>
        </row>
        <row r="38">
          <cell r="A38" t="str">
            <v>0011801039AM</v>
          </cell>
          <cell r="B38">
            <v>549</v>
          </cell>
          <cell r="C38">
            <v>0</v>
          </cell>
          <cell r="D38">
            <v>22</v>
          </cell>
          <cell r="E38">
            <v>2</v>
          </cell>
          <cell r="F38">
            <v>525</v>
          </cell>
        </row>
        <row r="39">
          <cell r="A39" t="str">
            <v>0011801039AN</v>
          </cell>
          <cell r="B39">
            <v>930</v>
          </cell>
          <cell r="C39">
            <v>0</v>
          </cell>
          <cell r="D39">
            <v>129</v>
          </cell>
          <cell r="E39">
            <v>0</v>
          </cell>
          <cell r="F39">
            <v>801</v>
          </cell>
        </row>
        <row r="40">
          <cell r="A40" t="str">
            <v>0011801048AA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</row>
        <row r="41">
          <cell r="A41" t="str">
            <v>0011801048AB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</row>
        <row r="42">
          <cell r="A42" t="str">
            <v>0011801048AC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</row>
        <row r="43">
          <cell r="A43" t="str">
            <v>0011801048AE</v>
          </cell>
          <cell r="B43">
            <v>526</v>
          </cell>
          <cell r="C43">
            <v>1700</v>
          </cell>
          <cell r="D43">
            <v>1843</v>
          </cell>
          <cell r="E43">
            <v>3</v>
          </cell>
          <cell r="F43">
            <v>380</v>
          </cell>
        </row>
        <row r="44">
          <cell r="A44" t="str">
            <v>0011801048AF</v>
          </cell>
          <cell r="B44">
            <v>1797</v>
          </cell>
          <cell r="C44">
            <v>0</v>
          </cell>
          <cell r="D44">
            <v>664</v>
          </cell>
          <cell r="E44">
            <v>4</v>
          </cell>
          <cell r="F44">
            <v>1129</v>
          </cell>
        </row>
        <row r="45">
          <cell r="A45" t="str">
            <v>0011801048AG</v>
          </cell>
          <cell r="B45">
            <v>2</v>
          </cell>
          <cell r="C45">
            <v>693</v>
          </cell>
          <cell r="D45">
            <v>692</v>
          </cell>
          <cell r="E45">
            <v>2</v>
          </cell>
          <cell r="F45">
            <v>1</v>
          </cell>
        </row>
        <row r="46">
          <cell r="A46" t="str">
            <v>0011801048AH</v>
          </cell>
          <cell r="B46">
            <v>57</v>
          </cell>
          <cell r="C46">
            <v>388</v>
          </cell>
          <cell r="D46">
            <v>424</v>
          </cell>
          <cell r="E46">
            <v>1</v>
          </cell>
          <cell r="F46">
            <v>20</v>
          </cell>
        </row>
        <row r="47">
          <cell r="A47" t="str">
            <v>0011801071E</v>
          </cell>
          <cell r="B47">
            <v>65</v>
          </cell>
          <cell r="C47">
            <v>0</v>
          </cell>
          <cell r="D47">
            <v>0</v>
          </cell>
          <cell r="E47">
            <v>0</v>
          </cell>
          <cell r="F47">
            <v>65</v>
          </cell>
        </row>
        <row r="48">
          <cell r="A48" t="str">
            <v>0011801118AE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</row>
        <row r="49">
          <cell r="A49" t="str">
            <v>0011801119N</v>
          </cell>
          <cell r="B49">
            <v>71</v>
          </cell>
          <cell r="C49">
            <v>0</v>
          </cell>
          <cell r="D49">
            <v>0</v>
          </cell>
          <cell r="E49">
            <v>0</v>
          </cell>
          <cell r="F49">
            <v>71</v>
          </cell>
        </row>
        <row r="50">
          <cell r="A50" t="str">
            <v>0011801119P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</row>
        <row r="51">
          <cell r="A51" t="str">
            <v>0011801119Q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</row>
        <row r="52">
          <cell r="A52" t="str">
            <v>0011801172</v>
          </cell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</row>
        <row r="53">
          <cell r="A53" t="str">
            <v>0011801172AG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</row>
        <row r="54">
          <cell r="A54" t="str">
            <v>0011801172AH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</row>
        <row r="55">
          <cell r="A55" t="str">
            <v>0011801172AV</v>
          </cell>
          <cell r="B55">
            <v>15</v>
          </cell>
          <cell r="C55">
            <v>0</v>
          </cell>
          <cell r="D55">
            <v>0</v>
          </cell>
          <cell r="E55">
            <v>0</v>
          </cell>
          <cell r="F55">
            <v>15</v>
          </cell>
        </row>
        <row r="56">
          <cell r="A56" t="str">
            <v>0011801172BA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</row>
        <row r="57">
          <cell r="A57" t="str">
            <v>0011801172BD</v>
          </cell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</row>
        <row r="58">
          <cell r="A58" t="str">
            <v>0011801172BK</v>
          </cell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</row>
        <row r="59">
          <cell r="A59" t="str">
            <v>0011801172BR</v>
          </cell>
          <cell r="B59">
            <v>104</v>
          </cell>
          <cell r="C59">
            <v>0</v>
          </cell>
          <cell r="D59">
            <v>0</v>
          </cell>
          <cell r="E59">
            <v>0</v>
          </cell>
          <cell r="F59">
            <v>104</v>
          </cell>
        </row>
        <row r="60">
          <cell r="A60" t="str">
            <v>0011801172FD</v>
          </cell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</row>
        <row r="61">
          <cell r="A61" t="str">
            <v>0011801172CH</v>
          </cell>
          <cell r="B61">
            <v>9</v>
          </cell>
          <cell r="C61">
            <v>30</v>
          </cell>
          <cell r="D61">
            <v>25</v>
          </cell>
          <cell r="E61">
            <v>1</v>
          </cell>
          <cell r="F61">
            <v>13</v>
          </cell>
        </row>
        <row r="62">
          <cell r="A62" t="str">
            <v>0011801172CJ</v>
          </cell>
          <cell r="B62">
            <v>43</v>
          </cell>
          <cell r="C62">
            <v>0</v>
          </cell>
          <cell r="D62">
            <v>0</v>
          </cell>
          <cell r="E62">
            <v>0</v>
          </cell>
          <cell r="F62">
            <v>43</v>
          </cell>
        </row>
        <row r="63">
          <cell r="A63" t="str">
            <v>0011801172CR</v>
          </cell>
          <cell r="B63">
            <v>16</v>
          </cell>
          <cell r="C63">
            <v>10</v>
          </cell>
          <cell r="D63">
            <v>20</v>
          </cell>
          <cell r="E63">
            <v>0</v>
          </cell>
          <cell r="F63">
            <v>6</v>
          </cell>
        </row>
        <row r="64">
          <cell r="A64" t="str">
            <v>0011801172CT</v>
          </cell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</row>
        <row r="65">
          <cell r="A65" t="str">
            <v>0011801172CU</v>
          </cell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</row>
        <row r="66">
          <cell r="A66" t="str">
            <v>0011801172CW</v>
          </cell>
          <cell r="B66">
            <v>82</v>
          </cell>
          <cell r="C66">
            <v>196</v>
          </cell>
          <cell r="D66">
            <v>236</v>
          </cell>
          <cell r="E66">
            <v>0</v>
          </cell>
          <cell r="F66">
            <v>42</v>
          </cell>
        </row>
        <row r="67">
          <cell r="A67" t="str">
            <v>0011801172DG</v>
          </cell>
          <cell r="B67">
            <v>48</v>
          </cell>
          <cell r="C67">
            <v>299</v>
          </cell>
          <cell r="D67">
            <v>321</v>
          </cell>
          <cell r="E67">
            <v>26</v>
          </cell>
          <cell r="F67">
            <v>0</v>
          </cell>
        </row>
        <row r="68">
          <cell r="A68" t="str">
            <v>0011801172DK</v>
          </cell>
          <cell r="B68">
            <v>108</v>
          </cell>
          <cell r="C68">
            <v>254</v>
          </cell>
          <cell r="D68">
            <v>349</v>
          </cell>
          <cell r="E68">
            <v>0</v>
          </cell>
          <cell r="F68">
            <v>13</v>
          </cell>
        </row>
        <row r="69">
          <cell r="A69" t="str">
            <v>0011801172DL</v>
          </cell>
          <cell r="B69">
            <v>81</v>
          </cell>
          <cell r="C69">
            <v>7384</v>
          </cell>
          <cell r="D69">
            <v>7349</v>
          </cell>
          <cell r="E69">
            <v>1</v>
          </cell>
          <cell r="F69">
            <v>115</v>
          </cell>
        </row>
        <row r="70">
          <cell r="A70" t="str">
            <v>0011801172DM</v>
          </cell>
          <cell r="B70">
            <v>0</v>
          </cell>
          <cell r="C70">
            <v>2189</v>
          </cell>
          <cell r="D70">
            <v>1955</v>
          </cell>
          <cell r="E70">
            <v>1</v>
          </cell>
          <cell r="F70">
            <v>233</v>
          </cell>
        </row>
        <row r="71">
          <cell r="A71" t="str">
            <v>0011801172DN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</row>
        <row r="72">
          <cell r="A72" t="str">
            <v>0011801172G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</row>
        <row r="73">
          <cell r="A73" t="str">
            <v>0011801172Y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</row>
        <row r="74">
          <cell r="A74" t="str">
            <v>0011801123F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</row>
        <row r="75">
          <cell r="A75" t="str">
            <v>0011801123G</v>
          </cell>
          <cell r="B75">
            <v>1</v>
          </cell>
          <cell r="C75">
            <v>0</v>
          </cell>
          <cell r="D75">
            <v>0</v>
          </cell>
          <cell r="E75">
            <v>0</v>
          </cell>
          <cell r="F75">
            <v>1</v>
          </cell>
        </row>
        <row r="76">
          <cell r="A76" t="str">
            <v>0011801123J</v>
          </cell>
          <cell r="B76">
            <v>752</v>
          </cell>
          <cell r="C76">
            <v>0</v>
          </cell>
          <cell r="D76">
            <v>441</v>
          </cell>
          <cell r="E76">
            <v>0</v>
          </cell>
          <cell r="F76">
            <v>311</v>
          </cell>
        </row>
        <row r="77">
          <cell r="A77" t="str">
            <v>0011801123H</v>
          </cell>
          <cell r="B77">
            <v>3296</v>
          </cell>
          <cell r="C77">
            <v>0</v>
          </cell>
          <cell r="D77">
            <v>1717</v>
          </cell>
          <cell r="E77">
            <v>4</v>
          </cell>
          <cell r="F77">
            <v>1575</v>
          </cell>
        </row>
        <row r="78">
          <cell r="A78" t="str">
            <v>0011801123K</v>
          </cell>
          <cell r="B78">
            <v>3</v>
          </cell>
          <cell r="C78">
            <v>0</v>
          </cell>
          <cell r="D78">
            <v>2</v>
          </cell>
          <cell r="E78">
            <v>0</v>
          </cell>
          <cell r="F78">
            <v>1</v>
          </cell>
        </row>
        <row r="79">
          <cell r="A79" t="str">
            <v>0011801256B</v>
          </cell>
          <cell r="B79">
            <v>40</v>
          </cell>
          <cell r="C79">
            <v>0</v>
          </cell>
          <cell r="D79">
            <v>0</v>
          </cell>
          <cell r="E79">
            <v>0</v>
          </cell>
          <cell r="F79">
            <v>40</v>
          </cell>
        </row>
        <row r="80">
          <cell r="A80" t="str">
            <v>0011801256L</v>
          </cell>
          <cell r="B80">
            <v>29</v>
          </cell>
          <cell r="C80">
            <v>0</v>
          </cell>
          <cell r="D80">
            <v>0</v>
          </cell>
          <cell r="E80">
            <v>0</v>
          </cell>
          <cell r="F80">
            <v>29</v>
          </cell>
        </row>
        <row r="81">
          <cell r="A81" t="str">
            <v>0011801256M</v>
          </cell>
          <cell r="B81">
            <v>19</v>
          </cell>
          <cell r="C81">
            <v>0</v>
          </cell>
          <cell r="D81">
            <v>0</v>
          </cell>
          <cell r="E81">
            <v>0</v>
          </cell>
          <cell r="F81">
            <v>19</v>
          </cell>
        </row>
        <row r="82">
          <cell r="A82" t="str">
            <v>0011801256R</v>
          </cell>
          <cell r="B82">
            <v>27</v>
          </cell>
          <cell r="C82">
            <v>0</v>
          </cell>
          <cell r="D82">
            <v>0</v>
          </cell>
          <cell r="E82">
            <v>0</v>
          </cell>
          <cell r="F82">
            <v>27</v>
          </cell>
        </row>
        <row r="83">
          <cell r="A83" t="str">
            <v>0011801256S</v>
          </cell>
          <cell r="B83">
            <v>3</v>
          </cell>
          <cell r="C83">
            <v>0</v>
          </cell>
          <cell r="D83">
            <v>0</v>
          </cell>
          <cell r="E83">
            <v>0</v>
          </cell>
          <cell r="F83">
            <v>3</v>
          </cell>
        </row>
        <row r="84">
          <cell r="A84" t="str">
            <v>0011801270A</v>
          </cell>
          <cell r="B84">
            <v>106</v>
          </cell>
          <cell r="C84">
            <v>0</v>
          </cell>
          <cell r="D84">
            <v>0</v>
          </cell>
          <cell r="E84">
            <v>0</v>
          </cell>
          <cell r="F84">
            <v>106</v>
          </cell>
        </row>
        <row r="85">
          <cell r="A85" t="str">
            <v>0011801303</v>
          </cell>
          <cell r="B85">
            <v>17</v>
          </cell>
          <cell r="C85">
            <v>0</v>
          </cell>
          <cell r="D85">
            <v>0</v>
          </cell>
          <cell r="E85">
            <v>0</v>
          </cell>
          <cell r="F85">
            <v>17</v>
          </cell>
        </row>
        <row r="86">
          <cell r="A86" t="str">
            <v>0011801327</v>
          </cell>
          <cell r="B86">
            <v>475</v>
          </cell>
          <cell r="C86">
            <v>0</v>
          </cell>
          <cell r="D86">
            <v>4</v>
          </cell>
          <cell r="E86">
            <v>0</v>
          </cell>
          <cell r="F86">
            <v>471</v>
          </cell>
        </row>
        <row r="87">
          <cell r="A87" t="str">
            <v>0011801330C</v>
          </cell>
          <cell r="B87">
            <v>900</v>
          </cell>
          <cell r="C87">
            <v>39</v>
          </cell>
          <cell r="D87">
            <v>15</v>
          </cell>
          <cell r="E87">
            <v>0</v>
          </cell>
          <cell r="F87">
            <v>924</v>
          </cell>
        </row>
        <row r="88">
          <cell r="A88" t="str">
            <v>0011801330G</v>
          </cell>
          <cell r="B88">
            <v>715</v>
          </cell>
          <cell r="C88">
            <v>0</v>
          </cell>
          <cell r="D88">
            <v>707</v>
          </cell>
          <cell r="E88">
            <v>2</v>
          </cell>
          <cell r="F88">
            <v>6</v>
          </cell>
        </row>
        <row r="89">
          <cell r="A89" t="str">
            <v>0011801330H</v>
          </cell>
          <cell r="B89">
            <v>896</v>
          </cell>
          <cell r="C89">
            <v>0</v>
          </cell>
          <cell r="D89">
            <v>463</v>
          </cell>
          <cell r="E89">
            <v>0</v>
          </cell>
          <cell r="F89">
            <v>433</v>
          </cell>
        </row>
        <row r="90">
          <cell r="A90" t="str">
            <v>0011801330J</v>
          </cell>
          <cell r="B90">
            <v>66</v>
          </cell>
          <cell r="C90">
            <v>10</v>
          </cell>
          <cell r="D90">
            <v>25</v>
          </cell>
          <cell r="E90">
            <v>0</v>
          </cell>
          <cell r="F90">
            <v>51</v>
          </cell>
        </row>
        <row r="91">
          <cell r="A91" t="str">
            <v>0011801330AJ</v>
          </cell>
          <cell r="B91">
            <v>71</v>
          </cell>
          <cell r="C91">
            <v>1389</v>
          </cell>
          <cell r="D91">
            <v>1440</v>
          </cell>
          <cell r="E91">
            <v>0</v>
          </cell>
          <cell r="F91">
            <v>20</v>
          </cell>
        </row>
        <row r="92">
          <cell r="A92" t="str">
            <v>0011801330AK</v>
          </cell>
          <cell r="B92">
            <v>36</v>
          </cell>
          <cell r="C92">
            <v>0</v>
          </cell>
          <cell r="D92">
            <v>0</v>
          </cell>
          <cell r="E92">
            <v>0</v>
          </cell>
          <cell r="F92">
            <v>36</v>
          </cell>
        </row>
        <row r="93">
          <cell r="A93" t="str">
            <v>0011801330GCH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</row>
        <row r="94">
          <cell r="A94" t="str">
            <v>0011801372A</v>
          </cell>
          <cell r="B94">
            <v>31</v>
          </cell>
          <cell r="C94">
            <v>1369</v>
          </cell>
          <cell r="D94">
            <v>1390</v>
          </cell>
          <cell r="E94">
            <v>6</v>
          </cell>
          <cell r="F94">
            <v>4</v>
          </cell>
        </row>
        <row r="95">
          <cell r="A95" t="str">
            <v>0011801372B</v>
          </cell>
          <cell r="B95">
            <v>53</v>
          </cell>
          <cell r="C95">
            <v>0</v>
          </cell>
          <cell r="D95">
            <v>0</v>
          </cell>
          <cell r="E95">
            <v>0</v>
          </cell>
          <cell r="F95">
            <v>53</v>
          </cell>
        </row>
        <row r="96">
          <cell r="A96" t="str">
            <v>0011801372C</v>
          </cell>
          <cell r="B96">
            <v>46</v>
          </cell>
          <cell r="C96">
            <v>0</v>
          </cell>
          <cell r="D96">
            <v>0</v>
          </cell>
          <cell r="E96">
            <v>0</v>
          </cell>
          <cell r="F96">
            <v>46</v>
          </cell>
        </row>
        <row r="97">
          <cell r="A97" t="str">
            <v>0011801372D</v>
          </cell>
          <cell r="B97">
            <v>1655</v>
          </cell>
          <cell r="C97">
            <v>0</v>
          </cell>
          <cell r="D97">
            <v>0</v>
          </cell>
          <cell r="E97">
            <v>0</v>
          </cell>
          <cell r="F97">
            <v>1655</v>
          </cell>
        </row>
        <row r="98">
          <cell r="A98" t="str">
            <v>0011801372F</v>
          </cell>
          <cell r="B98">
            <v>3191</v>
          </cell>
          <cell r="C98">
            <v>0</v>
          </cell>
          <cell r="D98">
            <v>7</v>
          </cell>
          <cell r="E98">
            <v>0</v>
          </cell>
          <cell r="F98">
            <v>3184</v>
          </cell>
        </row>
        <row r="99">
          <cell r="A99" t="str">
            <v>0011801372G</v>
          </cell>
          <cell r="B99">
            <v>86</v>
          </cell>
          <cell r="C99">
            <v>0</v>
          </cell>
          <cell r="D99">
            <v>0</v>
          </cell>
          <cell r="E99">
            <v>0</v>
          </cell>
          <cell r="F99">
            <v>86</v>
          </cell>
        </row>
        <row r="100">
          <cell r="A100" t="str">
            <v>0011801424A</v>
          </cell>
          <cell r="B100">
            <v>49</v>
          </cell>
          <cell r="C100">
            <v>1579</v>
          </cell>
          <cell r="D100">
            <v>1550</v>
          </cell>
          <cell r="E100">
            <v>0</v>
          </cell>
          <cell r="F100">
            <v>78</v>
          </cell>
        </row>
        <row r="101">
          <cell r="A101" t="str">
            <v>0011801424B</v>
          </cell>
          <cell r="B101">
            <v>1230</v>
          </cell>
          <cell r="C101">
            <v>17422</v>
          </cell>
          <cell r="D101">
            <v>18460</v>
          </cell>
          <cell r="E101">
            <v>0</v>
          </cell>
          <cell r="F101">
            <v>192</v>
          </cell>
        </row>
        <row r="102">
          <cell r="A102" t="str">
            <v>0011801424C</v>
          </cell>
          <cell r="B102">
            <v>48</v>
          </cell>
          <cell r="C102">
            <v>0</v>
          </cell>
          <cell r="D102">
            <v>0</v>
          </cell>
          <cell r="E102">
            <v>0</v>
          </cell>
          <cell r="F102">
            <v>48</v>
          </cell>
        </row>
        <row r="103">
          <cell r="A103" t="str">
            <v>0011801424D</v>
          </cell>
          <cell r="B103">
            <v>4</v>
          </cell>
          <cell r="C103">
            <v>0</v>
          </cell>
          <cell r="D103">
            <v>0</v>
          </cell>
          <cell r="E103">
            <v>0</v>
          </cell>
          <cell r="F103">
            <v>4</v>
          </cell>
        </row>
        <row r="104">
          <cell r="A104" t="str">
            <v>0011801424E</v>
          </cell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</row>
        <row r="105">
          <cell r="A105" t="str">
            <v>0011801424G</v>
          </cell>
          <cell r="B105">
            <v>8</v>
          </cell>
          <cell r="C105">
            <v>0</v>
          </cell>
          <cell r="D105">
            <v>0</v>
          </cell>
          <cell r="E105">
            <v>0</v>
          </cell>
          <cell r="F105">
            <v>8</v>
          </cell>
        </row>
        <row r="106">
          <cell r="A106" t="str">
            <v>0011801424H</v>
          </cell>
          <cell r="B106">
            <v>49</v>
          </cell>
          <cell r="C106">
            <v>0</v>
          </cell>
          <cell r="D106">
            <v>6</v>
          </cell>
          <cell r="E106">
            <v>0</v>
          </cell>
          <cell r="F106">
            <v>43</v>
          </cell>
        </row>
        <row r="107">
          <cell r="A107" t="str">
            <v>0011801424J</v>
          </cell>
          <cell r="B107">
            <v>30</v>
          </cell>
          <cell r="C107">
            <v>0</v>
          </cell>
          <cell r="D107">
            <v>0</v>
          </cell>
          <cell r="E107">
            <v>0</v>
          </cell>
          <cell r="F107">
            <v>30</v>
          </cell>
        </row>
        <row r="108">
          <cell r="A108" t="str">
            <v>0011801424K</v>
          </cell>
          <cell r="B108">
            <v>60</v>
          </cell>
          <cell r="C108">
            <v>208</v>
          </cell>
          <cell r="D108">
            <v>266</v>
          </cell>
          <cell r="E108">
            <v>0</v>
          </cell>
          <cell r="F108">
            <v>2</v>
          </cell>
        </row>
        <row r="109">
          <cell r="A109" t="str">
            <v>0011801424L</v>
          </cell>
          <cell r="B109">
            <v>122</v>
          </cell>
          <cell r="C109">
            <v>0</v>
          </cell>
          <cell r="D109">
            <v>0</v>
          </cell>
          <cell r="E109">
            <v>0</v>
          </cell>
          <cell r="F109">
            <v>122</v>
          </cell>
        </row>
        <row r="110">
          <cell r="A110" t="str">
            <v>0011801424M</v>
          </cell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</row>
        <row r="111">
          <cell r="A111" t="str">
            <v>0011801424N</v>
          </cell>
          <cell r="B111">
            <v>66</v>
          </cell>
          <cell r="C111">
            <v>0</v>
          </cell>
          <cell r="D111">
            <v>0</v>
          </cell>
          <cell r="E111">
            <v>0</v>
          </cell>
          <cell r="F111">
            <v>66</v>
          </cell>
        </row>
        <row r="112">
          <cell r="A112" t="str">
            <v>0011801424V</v>
          </cell>
          <cell r="B112">
            <v>67</v>
          </cell>
          <cell r="C112">
            <v>0</v>
          </cell>
          <cell r="D112">
            <v>0</v>
          </cell>
          <cell r="E112">
            <v>0</v>
          </cell>
          <cell r="F112">
            <v>67</v>
          </cell>
        </row>
        <row r="113">
          <cell r="A113" t="str">
            <v>0011801424W</v>
          </cell>
          <cell r="B113">
            <v>4</v>
          </cell>
          <cell r="C113">
            <v>0</v>
          </cell>
          <cell r="D113">
            <v>0</v>
          </cell>
          <cell r="E113">
            <v>0</v>
          </cell>
          <cell r="F113">
            <v>4</v>
          </cell>
        </row>
        <row r="114">
          <cell r="A114" t="str">
            <v>0011801424X</v>
          </cell>
          <cell r="B114">
            <v>2</v>
          </cell>
          <cell r="C114">
            <v>0</v>
          </cell>
          <cell r="D114">
            <v>0</v>
          </cell>
          <cell r="E114">
            <v>0</v>
          </cell>
          <cell r="F114">
            <v>2</v>
          </cell>
        </row>
        <row r="115">
          <cell r="A115" t="str">
            <v>0011801424Z</v>
          </cell>
          <cell r="B115">
            <v>1287</v>
          </cell>
          <cell r="C115">
            <v>0</v>
          </cell>
          <cell r="D115">
            <v>0</v>
          </cell>
          <cell r="E115">
            <v>0</v>
          </cell>
          <cell r="F115">
            <v>1287</v>
          </cell>
        </row>
        <row r="116">
          <cell r="A116" t="str">
            <v>0011801424AA</v>
          </cell>
          <cell r="B116">
            <v>678</v>
          </cell>
          <cell r="C116">
            <v>0</v>
          </cell>
          <cell r="D116">
            <v>0</v>
          </cell>
          <cell r="E116">
            <v>0</v>
          </cell>
          <cell r="F116">
            <v>678</v>
          </cell>
        </row>
        <row r="117">
          <cell r="A117" t="str">
            <v>0011801424AB</v>
          </cell>
          <cell r="B117">
            <v>31</v>
          </cell>
          <cell r="C117">
            <v>0</v>
          </cell>
          <cell r="D117">
            <v>0</v>
          </cell>
          <cell r="E117">
            <v>0</v>
          </cell>
          <cell r="F117">
            <v>31</v>
          </cell>
        </row>
        <row r="118">
          <cell r="A118" t="str">
            <v>0011801424AE</v>
          </cell>
          <cell r="B118">
            <v>181</v>
          </cell>
          <cell r="C118">
            <v>700</v>
          </cell>
          <cell r="D118">
            <v>864</v>
          </cell>
          <cell r="E118">
            <v>1</v>
          </cell>
          <cell r="F118">
            <v>16</v>
          </cell>
        </row>
        <row r="119">
          <cell r="A119" t="str">
            <v>0011801424AF</v>
          </cell>
          <cell r="B119">
            <v>26</v>
          </cell>
          <cell r="C119">
            <v>0</v>
          </cell>
          <cell r="D119">
            <v>0</v>
          </cell>
          <cell r="E119">
            <v>0</v>
          </cell>
          <cell r="F119">
            <v>26</v>
          </cell>
        </row>
        <row r="120">
          <cell r="A120" t="str">
            <v>0011801424AP</v>
          </cell>
          <cell r="B120">
            <v>24</v>
          </cell>
          <cell r="C120">
            <v>0</v>
          </cell>
          <cell r="D120">
            <v>5</v>
          </cell>
          <cell r="E120">
            <v>0</v>
          </cell>
          <cell r="F120">
            <v>19</v>
          </cell>
        </row>
        <row r="121">
          <cell r="A121" t="str">
            <v>0011801424AT</v>
          </cell>
          <cell r="B121">
            <v>415</v>
          </cell>
          <cell r="C121">
            <v>0</v>
          </cell>
          <cell r="D121">
            <v>0</v>
          </cell>
          <cell r="E121">
            <v>314</v>
          </cell>
          <cell r="F121">
            <v>101</v>
          </cell>
        </row>
        <row r="122">
          <cell r="A122" t="str">
            <v>0011801424AV</v>
          </cell>
          <cell r="B122">
            <v>66</v>
          </cell>
          <cell r="C122">
            <v>0</v>
          </cell>
          <cell r="D122">
            <v>0</v>
          </cell>
          <cell r="E122">
            <v>0</v>
          </cell>
          <cell r="F122">
            <v>66</v>
          </cell>
        </row>
        <row r="123">
          <cell r="A123" t="str">
            <v>0011801424AW</v>
          </cell>
          <cell r="B123">
            <v>0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</row>
        <row r="124">
          <cell r="A124" t="str">
            <v>0011801424AX</v>
          </cell>
          <cell r="B124">
            <v>0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</row>
        <row r="125">
          <cell r="A125" t="str">
            <v>0011801424AY</v>
          </cell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</row>
        <row r="126">
          <cell r="A126" t="str">
            <v>0011801424AZ</v>
          </cell>
          <cell r="B126">
            <v>335</v>
          </cell>
          <cell r="C126">
            <v>0</v>
          </cell>
          <cell r="D126">
            <v>331</v>
          </cell>
          <cell r="E126">
            <v>0</v>
          </cell>
          <cell r="F126">
            <v>4</v>
          </cell>
        </row>
        <row r="127">
          <cell r="A127" t="str">
            <v>0011801424BA</v>
          </cell>
          <cell r="B127">
            <v>0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</row>
        <row r="128">
          <cell r="A128" t="str">
            <v>0011801424BD</v>
          </cell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</row>
        <row r="129">
          <cell r="A129" t="str">
            <v>0011801424BG</v>
          </cell>
          <cell r="B129">
            <v>2403</v>
          </cell>
          <cell r="C129">
            <v>0</v>
          </cell>
          <cell r="D129">
            <v>0</v>
          </cell>
          <cell r="E129">
            <v>0</v>
          </cell>
          <cell r="F129">
            <v>2403</v>
          </cell>
        </row>
        <row r="130">
          <cell r="A130" t="str">
            <v>0011801424BP</v>
          </cell>
          <cell r="B130">
            <v>14</v>
          </cell>
          <cell r="C130">
            <v>0</v>
          </cell>
          <cell r="D130">
            <v>0</v>
          </cell>
          <cell r="E130">
            <v>0</v>
          </cell>
          <cell r="F130">
            <v>14</v>
          </cell>
        </row>
        <row r="131">
          <cell r="A131" t="str">
            <v>0011801425D</v>
          </cell>
          <cell r="B131">
            <v>13</v>
          </cell>
          <cell r="C131">
            <v>702</v>
          </cell>
          <cell r="D131">
            <v>667</v>
          </cell>
          <cell r="E131">
            <v>0</v>
          </cell>
          <cell r="F131">
            <v>48</v>
          </cell>
        </row>
        <row r="132">
          <cell r="A132" t="str">
            <v>0011801425E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</row>
        <row r="133">
          <cell r="A133" t="str">
            <v>0011801425F</v>
          </cell>
          <cell r="B133">
            <v>82</v>
          </cell>
          <cell r="C133">
            <v>0</v>
          </cell>
          <cell r="D133">
            <v>0</v>
          </cell>
          <cell r="E133">
            <v>0</v>
          </cell>
          <cell r="F133">
            <v>82</v>
          </cell>
        </row>
        <row r="134">
          <cell r="A134" t="str">
            <v>0011801425N</v>
          </cell>
          <cell r="B134">
            <v>2488</v>
          </cell>
          <cell r="C134">
            <v>0</v>
          </cell>
          <cell r="D134">
            <v>3</v>
          </cell>
          <cell r="E134">
            <v>0</v>
          </cell>
          <cell r="F134">
            <v>2485</v>
          </cell>
        </row>
        <row r="135">
          <cell r="A135" t="str">
            <v>0011801425P</v>
          </cell>
          <cell r="B135">
            <v>2</v>
          </cell>
          <cell r="C135">
            <v>0</v>
          </cell>
          <cell r="D135">
            <v>0</v>
          </cell>
          <cell r="E135">
            <v>0</v>
          </cell>
          <cell r="F135">
            <v>2</v>
          </cell>
        </row>
        <row r="136">
          <cell r="A136" t="str">
            <v>0011801425W</v>
          </cell>
          <cell r="B136">
            <v>3</v>
          </cell>
          <cell r="C136">
            <v>0</v>
          </cell>
          <cell r="D136">
            <v>0</v>
          </cell>
          <cell r="E136">
            <v>1</v>
          </cell>
          <cell r="F136">
            <v>2</v>
          </cell>
        </row>
        <row r="137">
          <cell r="A137" t="str">
            <v>0011801425X</v>
          </cell>
          <cell r="B137">
            <v>67</v>
          </cell>
          <cell r="C137">
            <v>300</v>
          </cell>
          <cell r="D137">
            <v>330</v>
          </cell>
          <cell r="E137">
            <v>0</v>
          </cell>
          <cell r="F137">
            <v>37</v>
          </cell>
        </row>
        <row r="138">
          <cell r="A138" t="str">
            <v>0011801425AA</v>
          </cell>
          <cell r="B138">
            <v>354</v>
          </cell>
          <cell r="C138">
            <v>0</v>
          </cell>
          <cell r="D138">
            <v>0</v>
          </cell>
          <cell r="E138">
            <v>0</v>
          </cell>
          <cell r="F138">
            <v>354</v>
          </cell>
        </row>
        <row r="139">
          <cell r="A139" t="str">
            <v>0011801482</v>
          </cell>
          <cell r="B139">
            <v>491</v>
          </cell>
          <cell r="C139">
            <v>0</v>
          </cell>
          <cell r="D139">
            <v>256</v>
          </cell>
          <cell r="E139">
            <v>1</v>
          </cell>
          <cell r="F139">
            <v>234</v>
          </cell>
        </row>
        <row r="140">
          <cell r="A140" t="str">
            <v>0011801482A</v>
          </cell>
          <cell r="B140">
            <v>4</v>
          </cell>
          <cell r="C140">
            <v>0</v>
          </cell>
          <cell r="D140">
            <v>0</v>
          </cell>
          <cell r="E140">
            <v>4</v>
          </cell>
          <cell r="F140">
            <v>0</v>
          </cell>
        </row>
        <row r="141">
          <cell r="A141" t="str">
            <v>0011801490E</v>
          </cell>
          <cell r="B141">
            <v>85</v>
          </cell>
          <cell r="C141">
            <v>0</v>
          </cell>
          <cell r="D141">
            <v>0</v>
          </cell>
          <cell r="E141">
            <v>6</v>
          </cell>
          <cell r="F141">
            <v>79</v>
          </cell>
        </row>
        <row r="142">
          <cell r="A142" t="str">
            <v>0011801490F</v>
          </cell>
          <cell r="B142">
            <v>35</v>
          </cell>
          <cell r="C142">
            <v>0</v>
          </cell>
          <cell r="D142">
            <v>10</v>
          </cell>
          <cell r="E142">
            <v>0</v>
          </cell>
          <cell r="F142">
            <v>25</v>
          </cell>
        </row>
        <row r="143">
          <cell r="A143" t="str">
            <v>0011801490BS</v>
          </cell>
          <cell r="B143">
            <v>10</v>
          </cell>
          <cell r="C143">
            <v>0</v>
          </cell>
          <cell r="D143">
            <v>9</v>
          </cell>
          <cell r="E143">
            <v>1</v>
          </cell>
          <cell r="F143">
            <v>0</v>
          </cell>
        </row>
        <row r="144">
          <cell r="A144" t="str">
            <v>0011801490BT</v>
          </cell>
          <cell r="B144">
            <v>0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</row>
        <row r="145">
          <cell r="A145" t="str">
            <v>0011801497</v>
          </cell>
          <cell r="B145">
            <v>0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</row>
        <row r="146">
          <cell r="A146" t="str">
            <v>0011801516</v>
          </cell>
          <cell r="B146">
            <v>1</v>
          </cell>
          <cell r="C146">
            <v>704</v>
          </cell>
          <cell r="D146">
            <v>701</v>
          </cell>
          <cell r="E146">
            <v>3</v>
          </cell>
          <cell r="F146">
            <v>1</v>
          </cell>
        </row>
        <row r="147">
          <cell r="A147" t="str">
            <v>0011801516C</v>
          </cell>
          <cell r="B147">
            <v>0</v>
          </cell>
          <cell r="C147">
            <v>302</v>
          </cell>
          <cell r="D147">
            <v>174</v>
          </cell>
          <cell r="E147">
            <v>16</v>
          </cell>
          <cell r="F147">
            <v>112</v>
          </cell>
        </row>
        <row r="148">
          <cell r="A148" t="str">
            <v>0011801516D</v>
          </cell>
          <cell r="B148">
            <v>0</v>
          </cell>
          <cell r="C148">
            <v>392</v>
          </cell>
          <cell r="D148">
            <v>380</v>
          </cell>
          <cell r="E148">
            <v>12</v>
          </cell>
          <cell r="F148">
            <v>0</v>
          </cell>
        </row>
        <row r="149">
          <cell r="A149" t="str">
            <v>0011801516E</v>
          </cell>
          <cell r="B149">
            <v>0</v>
          </cell>
          <cell r="C149">
            <v>462</v>
          </cell>
          <cell r="D149">
            <v>460</v>
          </cell>
          <cell r="E149">
            <v>2</v>
          </cell>
          <cell r="F149">
            <v>0</v>
          </cell>
        </row>
        <row r="150">
          <cell r="A150" t="str">
            <v>0011801522</v>
          </cell>
          <cell r="B150">
            <v>0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</row>
        <row r="151">
          <cell r="A151" t="str">
            <v>0011801522A</v>
          </cell>
          <cell r="B151">
            <v>1</v>
          </cell>
          <cell r="C151">
            <v>0</v>
          </cell>
          <cell r="D151">
            <v>0</v>
          </cell>
          <cell r="E151">
            <v>0</v>
          </cell>
          <cell r="F151">
            <v>1</v>
          </cell>
        </row>
        <row r="152">
          <cell r="A152" t="str">
            <v>0011801522B</v>
          </cell>
          <cell r="B152">
            <v>0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</row>
        <row r="153">
          <cell r="A153" t="str">
            <v>0011801593</v>
          </cell>
          <cell r="B153">
            <v>710</v>
          </cell>
          <cell r="C153">
            <v>730</v>
          </cell>
          <cell r="D153">
            <v>1335</v>
          </cell>
          <cell r="E153">
            <v>0</v>
          </cell>
          <cell r="F153">
            <v>105</v>
          </cell>
        </row>
        <row r="154">
          <cell r="A154" t="str">
            <v>0011801593A</v>
          </cell>
          <cell r="B154">
            <v>81</v>
          </cell>
          <cell r="C154">
            <v>1199</v>
          </cell>
          <cell r="D154">
            <v>1215</v>
          </cell>
          <cell r="E154">
            <v>0</v>
          </cell>
          <cell r="F154">
            <v>65</v>
          </cell>
        </row>
        <row r="155">
          <cell r="A155" t="str">
            <v>0011801593C</v>
          </cell>
          <cell r="B155">
            <v>0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</row>
        <row r="156">
          <cell r="A156" t="str">
            <v>0011801593D</v>
          </cell>
          <cell r="B156">
            <v>160</v>
          </cell>
          <cell r="C156">
            <v>193</v>
          </cell>
          <cell r="D156">
            <v>178</v>
          </cell>
          <cell r="E156">
            <v>0</v>
          </cell>
          <cell r="F156">
            <v>175</v>
          </cell>
        </row>
        <row r="157">
          <cell r="A157" t="str">
            <v>0011801652</v>
          </cell>
          <cell r="B157">
            <v>1</v>
          </cell>
          <cell r="C157">
            <v>4269</v>
          </cell>
          <cell r="D157">
            <v>4032</v>
          </cell>
          <cell r="E157">
            <v>0</v>
          </cell>
          <cell r="F157">
            <v>238</v>
          </cell>
        </row>
        <row r="158">
          <cell r="A158" t="str">
            <v>0011801652A</v>
          </cell>
          <cell r="B158">
            <v>10</v>
          </cell>
          <cell r="C158">
            <v>0</v>
          </cell>
          <cell r="D158">
            <v>2</v>
          </cell>
          <cell r="E158">
            <v>0</v>
          </cell>
          <cell r="F158">
            <v>8</v>
          </cell>
        </row>
        <row r="159">
          <cell r="A159" t="str">
            <v>0011801656</v>
          </cell>
          <cell r="B159">
            <v>148</v>
          </cell>
          <cell r="C159">
            <v>2537</v>
          </cell>
          <cell r="D159">
            <v>2663</v>
          </cell>
          <cell r="E159">
            <v>1</v>
          </cell>
          <cell r="F159">
            <v>21</v>
          </cell>
        </row>
        <row r="160">
          <cell r="A160" t="str">
            <v>0011801656A</v>
          </cell>
          <cell r="B160">
            <v>33</v>
          </cell>
          <cell r="C160">
            <v>470</v>
          </cell>
          <cell r="D160">
            <v>454</v>
          </cell>
          <cell r="E160">
            <v>9</v>
          </cell>
          <cell r="F160">
            <v>40</v>
          </cell>
        </row>
        <row r="161">
          <cell r="A161" t="str">
            <v>0011801657</v>
          </cell>
          <cell r="B161">
            <v>295</v>
          </cell>
          <cell r="C161">
            <v>0</v>
          </cell>
          <cell r="D161">
            <v>152</v>
          </cell>
          <cell r="E161">
            <v>0</v>
          </cell>
          <cell r="F161">
            <v>143</v>
          </cell>
        </row>
        <row r="162">
          <cell r="A162" t="str">
            <v>0011801657A</v>
          </cell>
          <cell r="B162">
            <v>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</row>
        <row r="163">
          <cell r="A163" t="str">
            <v>0011801659</v>
          </cell>
          <cell r="B163">
            <v>1040</v>
          </cell>
          <cell r="C163">
            <v>2998</v>
          </cell>
          <cell r="D163">
            <v>3323</v>
          </cell>
          <cell r="E163">
            <v>0</v>
          </cell>
          <cell r="F163">
            <v>715</v>
          </cell>
        </row>
        <row r="164">
          <cell r="A164" t="str">
            <v>0011801675A</v>
          </cell>
          <cell r="B164">
            <v>0</v>
          </cell>
          <cell r="C164">
            <v>1999</v>
          </cell>
          <cell r="D164">
            <v>409</v>
          </cell>
          <cell r="E164">
            <v>0</v>
          </cell>
          <cell r="F164">
            <v>1590</v>
          </cell>
        </row>
        <row r="165">
          <cell r="A165" t="str">
            <v>0011801675B</v>
          </cell>
          <cell r="B165">
            <v>561</v>
          </cell>
          <cell r="C165">
            <v>5989</v>
          </cell>
          <cell r="D165">
            <v>2823</v>
          </cell>
          <cell r="E165">
            <v>0</v>
          </cell>
          <cell r="F165">
            <v>3727</v>
          </cell>
        </row>
        <row r="166">
          <cell r="A166" t="str">
            <v>0011801675C</v>
          </cell>
          <cell r="B166">
            <v>308</v>
          </cell>
          <cell r="C166">
            <v>0</v>
          </cell>
          <cell r="D166">
            <v>156</v>
          </cell>
          <cell r="E166">
            <v>0</v>
          </cell>
          <cell r="F166">
            <v>152</v>
          </cell>
        </row>
        <row r="167">
          <cell r="A167" t="str">
            <v>0011801675G</v>
          </cell>
          <cell r="B167">
            <v>104</v>
          </cell>
          <cell r="C167">
            <v>0</v>
          </cell>
          <cell r="D167">
            <v>0</v>
          </cell>
          <cell r="E167">
            <v>0</v>
          </cell>
          <cell r="F167">
            <v>104</v>
          </cell>
        </row>
        <row r="168">
          <cell r="A168" t="str">
            <v>0011801675H</v>
          </cell>
          <cell r="B168">
            <v>54</v>
          </cell>
          <cell r="C168">
            <v>0</v>
          </cell>
          <cell r="D168">
            <v>30</v>
          </cell>
          <cell r="E168">
            <v>0</v>
          </cell>
          <cell r="F168">
            <v>24</v>
          </cell>
        </row>
        <row r="169">
          <cell r="A169" t="str">
            <v>0011801675J</v>
          </cell>
          <cell r="B169">
            <v>563</v>
          </cell>
          <cell r="C169">
            <v>0</v>
          </cell>
          <cell r="D169">
            <v>563</v>
          </cell>
          <cell r="E169">
            <v>0</v>
          </cell>
          <cell r="F169">
            <v>0</v>
          </cell>
        </row>
        <row r="170">
          <cell r="A170" t="str">
            <v>0011801675K</v>
          </cell>
          <cell r="B170">
            <v>0</v>
          </cell>
          <cell r="C170">
            <v>1197</v>
          </cell>
          <cell r="D170">
            <v>1197</v>
          </cell>
          <cell r="E170">
            <v>0</v>
          </cell>
          <cell r="F170">
            <v>0</v>
          </cell>
        </row>
        <row r="171">
          <cell r="A171" t="str">
            <v>0011801675AB</v>
          </cell>
          <cell r="B171">
            <v>0</v>
          </cell>
          <cell r="C171">
            <v>1997</v>
          </cell>
          <cell r="D171">
            <v>1574</v>
          </cell>
          <cell r="E171">
            <v>0</v>
          </cell>
          <cell r="F171">
            <v>423</v>
          </cell>
        </row>
        <row r="172">
          <cell r="A172" t="str">
            <v>0011801675AE</v>
          </cell>
          <cell r="B172">
            <v>90</v>
          </cell>
          <cell r="C172">
            <v>3989</v>
          </cell>
          <cell r="D172">
            <v>2612</v>
          </cell>
          <cell r="E172">
            <v>1</v>
          </cell>
          <cell r="F172">
            <v>1466</v>
          </cell>
        </row>
        <row r="173">
          <cell r="A173" t="str">
            <v>0011801675AF</v>
          </cell>
          <cell r="B173">
            <v>104</v>
          </cell>
          <cell r="C173">
            <v>0</v>
          </cell>
          <cell r="D173">
            <v>16</v>
          </cell>
          <cell r="E173">
            <v>1</v>
          </cell>
          <cell r="F173">
            <v>87</v>
          </cell>
        </row>
        <row r="174">
          <cell r="A174" t="str">
            <v>0011801685</v>
          </cell>
          <cell r="B174">
            <v>71</v>
          </cell>
          <cell r="C174">
            <v>0</v>
          </cell>
          <cell r="D174">
            <v>66</v>
          </cell>
          <cell r="E174">
            <v>0</v>
          </cell>
          <cell r="F174">
            <v>5</v>
          </cell>
        </row>
        <row r="175">
          <cell r="A175" t="str">
            <v>0011801825</v>
          </cell>
          <cell r="B175">
            <v>50</v>
          </cell>
          <cell r="C175">
            <v>0</v>
          </cell>
          <cell r="D175">
            <v>0</v>
          </cell>
          <cell r="E175">
            <v>0</v>
          </cell>
          <cell r="F175">
            <v>50</v>
          </cell>
        </row>
        <row r="176">
          <cell r="A176" t="str">
            <v>0011801826</v>
          </cell>
          <cell r="B176">
            <v>341</v>
          </cell>
          <cell r="C176">
            <v>0</v>
          </cell>
          <cell r="D176">
            <v>61</v>
          </cell>
          <cell r="E176">
            <v>0</v>
          </cell>
          <cell r="F176">
            <v>280</v>
          </cell>
        </row>
        <row r="177">
          <cell r="A177" t="str">
            <v>0011801843D</v>
          </cell>
          <cell r="B177">
            <v>2111</v>
          </cell>
          <cell r="C177">
            <v>2529</v>
          </cell>
          <cell r="D177">
            <v>4470</v>
          </cell>
          <cell r="E177">
            <v>2</v>
          </cell>
          <cell r="F177">
            <v>168</v>
          </cell>
        </row>
        <row r="178">
          <cell r="A178" t="str">
            <v>0011801843X</v>
          </cell>
          <cell r="B178">
            <v>1110</v>
          </cell>
          <cell r="C178">
            <v>0</v>
          </cell>
          <cell r="D178">
            <v>1084</v>
          </cell>
          <cell r="E178">
            <v>0</v>
          </cell>
          <cell r="F178">
            <v>26</v>
          </cell>
        </row>
        <row r="179">
          <cell r="A179" t="str">
            <v>0011801843Y</v>
          </cell>
          <cell r="B179">
            <v>1</v>
          </cell>
          <cell r="C179">
            <v>0</v>
          </cell>
          <cell r="D179">
            <v>0</v>
          </cell>
          <cell r="E179">
            <v>1</v>
          </cell>
          <cell r="F179">
            <v>0</v>
          </cell>
        </row>
        <row r="180">
          <cell r="A180" t="str">
            <v>0011801843AN</v>
          </cell>
          <cell r="B180">
            <v>30</v>
          </cell>
          <cell r="C180">
            <v>0</v>
          </cell>
          <cell r="D180">
            <v>1</v>
          </cell>
          <cell r="E180">
            <v>0</v>
          </cell>
          <cell r="F180">
            <v>29</v>
          </cell>
        </row>
        <row r="181">
          <cell r="A181" t="str">
            <v>0011801850</v>
          </cell>
          <cell r="B181">
            <v>0</v>
          </cell>
          <cell r="C181">
            <v>43</v>
          </cell>
          <cell r="D181">
            <v>14</v>
          </cell>
          <cell r="E181">
            <v>0</v>
          </cell>
          <cell r="F181">
            <v>29</v>
          </cell>
        </row>
        <row r="182">
          <cell r="A182" t="str">
            <v>0011801850A</v>
          </cell>
          <cell r="B182">
            <v>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</row>
        <row r="183">
          <cell r="A183" t="str">
            <v>0011801850B</v>
          </cell>
          <cell r="B183">
            <v>21</v>
          </cell>
          <cell r="C183">
            <v>0</v>
          </cell>
          <cell r="D183">
            <v>12</v>
          </cell>
          <cell r="E183">
            <v>0</v>
          </cell>
          <cell r="F183">
            <v>9</v>
          </cell>
        </row>
        <row r="184">
          <cell r="A184" t="str">
            <v>0011801850AA</v>
          </cell>
          <cell r="B184">
            <v>74</v>
          </cell>
          <cell r="C184">
            <v>0</v>
          </cell>
          <cell r="D184">
            <v>22</v>
          </cell>
          <cell r="E184">
            <v>0</v>
          </cell>
          <cell r="F184">
            <v>52</v>
          </cell>
        </row>
        <row r="185">
          <cell r="A185" t="str">
            <v>0011801890</v>
          </cell>
          <cell r="B185">
            <v>5</v>
          </cell>
          <cell r="C185">
            <v>0</v>
          </cell>
          <cell r="D185">
            <v>0</v>
          </cell>
          <cell r="E185">
            <v>0</v>
          </cell>
          <cell r="F185">
            <v>5</v>
          </cell>
        </row>
        <row r="186">
          <cell r="A186" t="str">
            <v>0011801890C</v>
          </cell>
          <cell r="B186">
            <v>2998</v>
          </cell>
          <cell r="C186">
            <v>723</v>
          </cell>
          <cell r="D186">
            <v>3691</v>
          </cell>
          <cell r="E186">
            <v>4</v>
          </cell>
          <cell r="F186">
            <v>26</v>
          </cell>
        </row>
        <row r="187">
          <cell r="A187" t="str">
            <v>0011801922</v>
          </cell>
          <cell r="B187">
            <v>5121</v>
          </cell>
          <cell r="C187">
            <v>3224</v>
          </cell>
          <cell r="D187">
            <v>5131</v>
          </cell>
          <cell r="E187">
            <v>12</v>
          </cell>
          <cell r="F187">
            <v>3202</v>
          </cell>
        </row>
        <row r="188">
          <cell r="A188" t="str">
            <v>0011801922H</v>
          </cell>
          <cell r="B188">
            <v>0</v>
          </cell>
          <cell r="C188">
            <v>3884</v>
          </cell>
          <cell r="D188">
            <v>3884</v>
          </cell>
          <cell r="E188">
            <v>0</v>
          </cell>
          <cell r="F188">
            <v>0</v>
          </cell>
        </row>
        <row r="189">
          <cell r="A189" t="str">
            <v>0011801922J</v>
          </cell>
          <cell r="B189">
            <v>0</v>
          </cell>
          <cell r="C189">
            <v>689</v>
          </cell>
          <cell r="D189">
            <v>680</v>
          </cell>
          <cell r="E189">
            <v>0</v>
          </cell>
          <cell r="F189">
            <v>9</v>
          </cell>
        </row>
        <row r="190">
          <cell r="A190" t="str">
            <v>0011801977E</v>
          </cell>
          <cell r="B190">
            <v>37</v>
          </cell>
          <cell r="C190">
            <v>3190</v>
          </cell>
          <cell r="D190">
            <v>3151</v>
          </cell>
          <cell r="E190">
            <v>0</v>
          </cell>
          <cell r="F190">
            <v>76</v>
          </cell>
        </row>
        <row r="191">
          <cell r="A191" t="str">
            <v>0011801977F</v>
          </cell>
          <cell r="B191">
            <v>60</v>
          </cell>
          <cell r="C191">
            <v>898</v>
          </cell>
          <cell r="D191">
            <v>901</v>
          </cell>
          <cell r="E191">
            <v>0</v>
          </cell>
          <cell r="F191">
            <v>57</v>
          </cell>
        </row>
        <row r="192">
          <cell r="A192" t="str">
            <v>0011801977G</v>
          </cell>
          <cell r="B192">
            <v>0</v>
          </cell>
          <cell r="C192">
            <v>198</v>
          </cell>
          <cell r="D192">
            <v>159</v>
          </cell>
          <cell r="E192">
            <v>0</v>
          </cell>
          <cell r="F192">
            <v>39</v>
          </cell>
        </row>
        <row r="193">
          <cell r="A193" t="str">
            <v>0011801977H</v>
          </cell>
          <cell r="B193">
            <v>240</v>
          </cell>
          <cell r="C193">
            <v>0</v>
          </cell>
          <cell r="D193">
            <v>0</v>
          </cell>
          <cell r="E193">
            <v>0</v>
          </cell>
          <cell r="F193">
            <v>240</v>
          </cell>
        </row>
        <row r="194">
          <cell r="A194" t="str">
            <v>0011802020A</v>
          </cell>
          <cell r="B194">
            <v>341</v>
          </cell>
          <cell r="C194">
            <v>0</v>
          </cell>
          <cell r="D194">
            <v>3</v>
          </cell>
          <cell r="E194">
            <v>1</v>
          </cell>
          <cell r="F194">
            <v>337</v>
          </cell>
        </row>
        <row r="195">
          <cell r="A195" t="str">
            <v>0011802020B</v>
          </cell>
          <cell r="B195">
            <v>1452</v>
          </cell>
          <cell r="C195">
            <v>200</v>
          </cell>
          <cell r="D195">
            <v>1610</v>
          </cell>
          <cell r="E195">
            <v>0</v>
          </cell>
          <cell r="F195">
            <v>42</v>
          </cell>
        </row>
        <row r="196">
          <cell r="A196" t="str">
            <v>0011802119</v>
          </cell>
          <cell r="B196">
            <v>7953</v>
          </cell>
          <cell r="C196">
            <v>0</v>
          </cell>
          <cell r="D196">
            <v>2321</v>
          </cell>
          <cell r="E196">
            <v>0</v>
          </cell>
          <cell r="F196">
            <v>5632</v>
          </cell>
        </row>
        <row r="197">
          <cell r="A197" t="str">
            <v>0011800537</v>
          </cell>
          <cell r="B197">
            <v>31</v>
          </cell>
          <cell r="C197">
            <v>0</v>
          </cell>
          <cell r="D197">
            <v>33</v>
          </cell>
          <cell r="E197">
            <v>0</v>
          </cell>
          <cell r="F197">
            <v>-2</v>
          </cell>
        </row>
        <row r="198">
          <cell r="A198" t="str">
            <v>0011800537A</v>
          </cell>
          <cell r="B198">
            <v>0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</row>
        <row r="199">
          <cell r="A199" t="str">
            <v>0011800537C</v>
          </cell>
          <cell r="B199">
            <v>3727</v>
          </cell>
          <cell r="C199">
            <v>3989</v>
          </cell>
          <cell r="D199">
            <v>6302</v>
          </cell>
          <cell r="E199">
            <v>5</v>
          </cell>
          <cell r="F199">
            <v>1409</v>
          </cell>
        </row>
        <row r="200">
          <cell r="A200" t="str">
            <v>0011800537F</v>
          </cell>
          <cell r="B200">
            <v>89</v>
          </cell>
          <cell r="C200">
            <v>0</v>
          </cell>
          <cell r="D200">
            <v>0</v>
          </cell>
          <cell r="E200">
            <v>89</v>
          </cell>
          <cell r="F200">
            <v>0</v>
          </cell>
        </row>
        <row r="201">
          <cell r="A201" t="str">
            <v>0011800537K</v>
          </cell>
          <cell r="B201">
            <v>524</v>
          </cell>
          <cell r="C201">
            <v>0</v>
          </cell>
          <cell r="D201">
            <v>232</v>
          </cell>
          <cell r="E201">
            <v>0</v>
          </cell>
          <cell r="F201">
            <v>292</v>
          </cell>
        </row>
        <row r="202">
          <cell r="A202" t="str">
            <v>0011800612AB</v>
          </cell>
          <cell r="B202">
            <v>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</row>
        <row r="203">
          <cell r="A203" t="str">
            <v>0011800612AC</v>
          </cell>
          <cell r="B203">
            <v>0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</row>
        <row r="204">
          <cell r="A204" t="str">
            <v>0011800612D</v>
          </cell>
          <cell r="B204">
            <v>7</v>
          </cell>
          <cell r="C204">
            <v>0</v>
          </cell>
          <cell r="D204">
            <v>0</v>
          </cell>
          <cell r="E204">
            <v>0</v>
          </cell>
          <cell r="F204">
            <v>7</v>
          </cell>
        </row>
        <row r="205">
          <cell r="A205" t="str">
            <v>0011800612F</v>
          </cell>
          <cell r="B205">
            <v>27</v>
          </cell>
          <cell r="C205">
            <v>0</v>
          </cell>
          <cell r="D205">
            <v>0</v>
          </cell>
          <cell r="E205">
            <v>0</v>
          </cell>
          <cell r="F205">
            <v>27</v>
          </cell>
        </row>
        <row r="206">
          <cell r="A206" t="str">
            <v>0011800612H</v>
          </cell>
          <cell r="B206">
            <v>700</v>
          </cell>
          <cell r="C206">
            <v>0</v>
          </cell>
          <cell r="D206">
            <v>0</v>
          </cell>
          <cell r="E206">
            <v>0</v>
          </cell>
          <cell r="F206">
            <v>700</v>
          </cell>
        </row>
        <row r="207">
          <cell r="A207" t="str">
            <v>0011800612L</v>
          </cell>
          <cell r="B207">
            <v>21</v>
          </cell>
          <cell r="C207">
            <v>0</v>
          </cell>
          <cell r="D207">
            <v>0</v>
          </cell>
          <cell r="E207">
            <v>0</v>
          </cell>
          <cell r="F207">
            <v>21</v>
          </cell>
        </row>
        <row r="208">
          <cell r="A208" t="str">
            <v>0011800612M</v>
          </cell>
          <cell r="B208">
            <v>0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</row>
        <row r="209">
          <cell r="A209" t="str">
            <v>0011800612R</v>
          </cell>
          <cell r="B209">
            <v>0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</row>
        <row r="210">
          <cell r="A210" t="str">
            <v>0011800612V</v>
          </cell>
          <cell r="B210">
            <v>304</v>
          </cell>
          <cell r="C210">
            <v>0</v>
          </cell>
          <cell r="D210">
            <v>0</v>
          </cell>
          <cell r="E210">
            <v>1</v>
          </cell>
          <cell r="F210">
            <v>303</v>
          </cell>
        </row>
        <row r="211">
          <cell r="A211" t="str">
            <v>0011800612X</v>
          </cell>
          <cell r="B211">
            <v>8956</v>
          </cell>
          <cell r="C211">
            <v>0</v>
          </cell>
          <cell r="D211">
            <v>0</v>
          </cell>
          <cell r="E211">
            <v>0</v>
          </cell>
          <cell r="F211">
            <v>8956</v>
          </cell>
        </row>
        <row r="212">
          <cell r="A212" t="str">
            <v>0011800612Z</v>
          </cell>
          <cell r="B212">
            <v>141</v>
          </cell>
          <cell r="C212">
            <v>0</v>
          </cell>
          <cell r="D212">
            <v>0</v>
          </cell>
          <cell r="E212">
            <v>0</v>
          </cell>
          <cell r="F212">
            <v>141</v>
          </cell>
        </row>
        <row r="213">
          <cell r="A213" t="str">
            <v>0011800630J</v>
          </cell>
          <cell r="B213">
            <v>11</v>
          </cell>
          <cell r="C213">
            <v>2997</v>
          </cell>
          <cell r="D213">
            <v>2110</v>
          </cell>
          <cell r="E213">
            <v>0</v>
          </cell>
          <cell r="F213">
            <v>898</v>
          </cell>
        </row>
        <row r="214">
          <cell r="A214" t="str">
            <v>0011800630K</v>
          </cell>
          <cell r="B214">
            <v>1497</v>
          </cell>
          <cell r="C214">
            <v>0</v>
          </cell>
          <cell r="D214">
            <v>231</v>
          </cell>
          <cell r="E214">
            <v>2</v>
          </cell>
          <cell r="F214">
            <v>1264</v>
          </cell>
        </row>
        <row r="215">
          <cell r="A215" t="str">
            <v>0011800630L</v>
          </cell>
          <cell r="B215">
            <v>1216</v>
          </cell>
          <cell r="C215">
            <v>0</v>
          </cell>
          <cell r="D215">
            <v>322</v>
          </cell>
          <cell r="E215">
            <v>1</v>
          </cell>
          <cell r="F215">
            <v>893</v>
          </cell>
        </row>
        <row r="216">
          <cell r="A216" t="str">
            <v>0011800630M</v>
          </cell>
          <cell r="B216">
            <v>130</v>
          </cell>
          <cell r="C216">
            <v>1400</v>
          </cell>
          <cell r="D216">
            <v>645</v>
          </cell>
          <cell r="E216">
            <v>0</v>
          </cell>
          <cell r="F216">
            <v>885</v>
          </cell>
        </row>
        <row r="217">
          <cell r="A217" t="str">
            <v>0011800630P</v>
          </cell>
          <cell r="B217">
            <v>1012</v>
          </cell>
          <cell r="C217">
            <v>0</v>
          </cell>
          <cell r="D217">
            <v>4</v>
          </cell>
          <cell r="E217">
            <v>0</v>
          </cell>
          <cell r="F217">
            <v>1008</v>
          </cell>
        </row>
        <row r="218">
          <cell r="A218" t="str">
            <v>0011800630S</v>
          </cell>
          <cell r="B218">
            <v>5045</v>
          </cell>
          <cell r="C218">
            <v>266</v>
          </cell>
          <cell r="D218">
            <v>4194</v>
          </cell>
          <cell r="E218">
            <v>0</v>
          </cell>
          <cell r="F218">
            <v>1117</v>
          </cell>
        </row>
        <row r="219">
          <cell r="A219" t="str">
            <v>0011800630Y</v>
          </cell>
          <cell r="B219">
            <v>6</v>
          </cell>
          <cell r="C219">
            <v>0</v>
          </cell>
          <cell r="D219">
            <v>0</v>
          </cell>
          <cell r="E219">
            <v>0</v>
          </cell>
          <cell r="F219">
            <v>6</v>
          </cell>
        </row>
        <row r="220">
          <cell r="A220" t="str">
            <v>0011800630Z</v>
          </cell>
          <cell r="B220">
            <v>3</v>
          </cell>
          <cell r="C220">
            <v>0</v>
          </cell>
          <cell r="D220">
            <v>0</v>
          </cell>
          <cell r="E220">
            <v>0</v>
          </cell>
          <cell r="F220">
            <v>3</v>
          </cell>
        </row>
        <row r="221">
          <cell r="A221" t="str">
            <v>0011800646</v>
          </cell>
          <cell r="B221">
            <v>802</v>
          </cell>
          <cell r="C221">
            <v>0</v>
          </cell>
          <cell r="D221">
            <v>0</v>
          </cell>
          <cell r="E221">
            <v>0</v>
          </cell>
          <cell r="F221">
            <v>802</v>
          </cell>
        </row>
        <row r="222">
          <cell r="A222" t="str">
            <v>0011800646A</v>
          </cell>
          <cell r="B222">
            <v>18</v>
          </cell>
          <cell r="C222">
            <v>0</v>
          </cell>
          <cell r="D222">
            <v>0</v>
          </cell>
          <cell r="E222">
            <v>2</v>
          </cell>
          <cell r="F222">
            <v>16</v>
          </cell>
        </row>
        <row r="223">
          <cell r="A223" t="str">
            <v>0011800646B</v>
          </cell>
          <cell r="B223">
            <v>0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</row>
        <row r="224">
          <cell r="A224" t="str">
            <v>0011800646C</v>
          </cell>
          <cell r="B224">
            <v>0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</row>
        <row r="225">
          <cell r="A225" t="str">
            <v>0011800646D</v>
          </cell>
          <cell r="B225">
            <v>59</v>
          </cell>
          <cell r="C225">
            <v>0</v>
          </cell>
          <cell r="D225">
            <v>48</v>
          </cell>
          <cell r="E225">
            <v>2</v>
          </cell>
          <cell r="F225">
            <v>9</v>
          </cell>
        </row>
        <row r="226">
          <cell r="A226" t="str">
            <v>0011800646F</v>
          </cell>
          <cell r="B226">
            <v>103</v>
          </cell>
          <cell r="C226">
            <v>0</v>
          </cell>
          <cell r="D226">
            <v>0</v>
          </cell>
          <cell r="E226">
            <v>0</v>
          </cell>
          <cell r="F226">
            <v>103</v>
          </cell>
        </row>
        <row r="227">
          <cell r="A227" t="str">
            <v>0011800646L</v>
          </cell>
          <cell r="B227">
            <v>922</v>
          </cell>
          <cell r="C227">
            <v>1999</v>
          </cell>
          <cell r="D227">
            <v>2900</v>
          </cell>
          <cell r="E227">
            <v>5</v>
          </cell>
          <cell r="F227">
            <v>16</v>
          </cell>
        </row>
        <row r="228">
          <cell r="A228" t="str">
            <v>0011800646M</v>
          </cell>
          <cell r="B228">
            <v>0</v>
          </cell>
          <cell r="C228">
            <v>0</v>
          </cell>
          <cell r="D228">
            <v>0</v>
          </cell>
          <cell r="E228">
            <v>0</v>
          </cell>
          <cell r="F228">
            <v>0</v>
          </cell>
        </row>
        <row r="229">
          <cell r="A229" t="str">
            <v>0011800691AN</v>
          </cell>
          <cell r="B229">
            <v>0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</row>
        <row r="230">
          <cell r="A230" t="str">
            <v>0011800697AC</v>
          </cell>
          <cell r="B230">
            <v>50</v>
          </cell>
          <cell r="C230">
            <v>0</v>
          </cell>
          <cell r="D230">
            <v>0</v>
          </cell>
          <cell r="E230">
            <v>2</v>
          </cell>
          <cell r="F230">
            <v>48</v>
          </cell>
        </row>
        <row r="231">
          <cell r="A231" t="str">
            <v>0011800722GCH</v>
          </cell>
          <cell r="B231">
            <v>0</v>
          </cell>
          <cell r="C231">
            <v>1100</v>
          </cell>
          <cell r="D231">
            <v>1100</v>
          </cell>
          <cell r="E231">
            <v>0</v>
          </cell>
          <cell r="F231">
            <v>0</v>
          </cell>
        </row>
        <row r="232">
          <cell r="A232" t="str">
            <v>0011800722GCHA</v>
          </cell>
          <cell r="B232">
            <v>0</v>
          </cell>
          <cell r="C232">
            <v>200</v>
          </cell>
          <cell r="D232">
            <v>51</v>
          </cell>
          <cell r="E232">
            <v>0</v>
          </cell>
          <cell r="F232">
            <v>149</v>
          </cell>
        </row>
        <row r="233">
          <cell r="A233" t="str">
            <v>0011800807</v>
          </cell>
          <cell r="B233">
            <v>0</v>
          </cell>
          <cell r="C233">
            <v>2398</v>
          </cell>
          <cell r="D233">
            <v>0</v>
          </cell>
          <cell r="E233">
            <v>0</v>
          </cell>
          <cell r="F233">
            <v>2398</v>
          </cell>
        </row>
        <row r="234">
          <cell r="A234" t="str">
            <v>0011800879N</v>
          </cell>
          <cell r="B234">
            <v>0</v>
          </cell>
          <cell r="C234">
            <v>0</v>
          </cell>
          <cell r="D234">
            <v>0</v>
          </cell>
          <cell r="E234">
            <v>0</v>
          </cell>
          <cell r="F234">
            <v>0</v>
          </cell>
        </row>
        <row r="235">
          <cell r="A235" t="str">
            <v>0011800879P</v>
          </cell>
          <cell r="B235">
            <v>11</v>
          </cell>
          <cell r="C235">
            <v>0</v>
          </cell>
          <cell r="D235">
            <v>0</v>
          </cell>
          <cell r="E235">
            <v>0</v>
          </cell>
          <cell r="F235">
            <v>11</v>
          </cell>
        </row>
        <row r="236">
          <cell r="A236" t="str">
            <v>0011800923F</v>
          </cell>
          <cell r="B236">
            <v>48</v>
          </cell>
          <cell r="C236">
            <v>0</v>
          </cell>
          <cell r="D236">
            <v>1</v>
          </cell>
          <cell r="E236">
            <v>0</v>
          </cell>
          <cell r="F236">
            <v>47</v>
          </cell>
        </row>
        <row r="237">
          <cell r="A237" t="str">
            <v>0011800923G</v>
          </cell>
          <cell r="B237">
            <v>208</v>
          </cell>
          <cell r="C237">
            <v>0</v>
          </cell>
          <cell r="D237">
            <v>0</v>
          </cell>
          <cell r="E237">
            <v>0</v>
          </cell>
          <cell r="F237">
            <v>208</v>
          </cell>
        </row>
        <row r="238">
          <cell r="A238" t="str">
            <v>0011800981H</v>
          </cell>
          <cell r="B238">
            <v>799</v>
          </cell>
          <cell r="C238">
            <v>0</v>
          </cell>
          <cell r="D238">
            <v>0</v>
          </cell>
          <cell r="E238">
            <v>0</v>
          </cell>
          <cell r="F238">
            <v>799</v>
          </cell>
        </row>
        <row r="239">
          <cell r="A239" t="str">
            <v>0020817461</v>
          </cell>
          <cell r="B239">
            <v>0</v>
          </cell>
          <cell r="C239">
            <v>0</v>
          </cell>
          <cell r="D239">
            <v>0</v>
          </cell>
          <cell r="E239">
            <v>0</v>
          </cell>
          <cell r="F239">
            <v>0</v>
          </cell>
        </row>
        <row r="240">
          <cell r="A240" t="str">
            <v>0151800228CA</v>
          </cell>
          <cell r="B240">
            <v>28</v>
          </cell>
          <cell r="C240">
            <v>0</v>
          </cell>
          <cell r="D240">
            <v>0</v>
          </cell>
          <cell r="E240">
            <v>0</v>
          </cell>
          <cell r="F240">
            <v>28</v>
          </cell>
        </row>
        <row r="241">
          <cell r="A241" t="str">
            <v>0031800517</v>
          </cell>
          <cell r="B241">
            <v>3092</v>
          </cell>
          <cell r="C241">
            <v>300</v>
          </cell>
          <cell r="D241">
            <v>0</v>
          </cell>
          <cell r="E241">
            <v>0</v>
          </cell>
          <cell r="F241">
            <v>3392</v>
          </cell>
        </row>
        <row r="242">
          <cell r="B242">
            <v>0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</row>
        <row r="243">
          <cell r="A243" t="str">
            <v>合计</v>
          </cell>
          <cell r="B243">
            <v>103244</v>
          </cell>
          <cell r="C243">
            <v>111016</v>
          </cell>
          <cell r="D243">
            <v>130283</v>
          </cell>
          <cell r="E243">
            <v>627</v>
          </cell>
          <cell r="F243">
            <v>83350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保留到5"/>
    </sheetNames>
    <sheetDataSet>
      <sheetData sheetId="0"/>
      <sheetData sheetId="1">
        <row r="1">
          <cell r="A1" t="str">
            <v>行标签</v>
          </cell>
          <cell r="B1" t="str">
            <v>求和项:确认的产量</v>
          </cell>
        </row>
        <row r="2">
          <cell r="A2">
            <v>10880017516</v>
          </cell>
          <cell r="B2">
            <v>1000</v>
          </cell>
        </row>
        <row r="3">
          <cell r="A3">
            <v>10880017524</v>
          </cell>
          <cell r="B3">
            <v>900</v>
          </cell>
        </row>
        <row r="4">
          <cell r="A4">
            <v>10880017525</v>
          </cell>
          <cell r="B4">
            <v>1000</v>
          </cell>
        </row>
        <row r="5">
          <cell r="A5">
            <v>10880017527</v>
          </cell>
          <cell r="B5">
            <v>3200</v>
          </cell>
        </row>
        <row r="6">
          <cell r="A6">
            <v>10880017536</v>
          </cell>
          <cell r="B6">
            <v>1800</v>
          </cell>
        </row>
        <row r="7">
          <cell r="A7">
            <v>10880017949</v>
          </cell>
          <cell r="B7">
            <v>9011</v>
          </cell>
        </row>
        <row r="8">
          <cell r="A8">
            <v>10880018096</v>
          </cell>
          <cell r="B8">
            <v>21</v>
          </cell>
        </row>
        <row r="9">
          <cell r="A9">
            <v>10880018097</v>
          </cell>
          <cell r="B9">
            <v>1040</v>
          </cell>
        </row>
        <row r="10">
          <cell r="A10">
            <v>10880019240</v>
          </cell>
          <cell r="B10">
            <v>9</v>
          </cell>
        </row>
        <row r="11">
          <cell r="A11">
            <v>10880020208</v>
          </cell>
          <cell r="B11">
            <v>2000</v>
          </cell>
        </row>
        <row r="12">
          <cell r="A12">
            <v>10880020556</v>
          </cell>
          <cell r="B12">
            <v>700</v>
          </cell>
        </row>
        <row r="13">
          <cell r="A13">
            <v>10880020802</v>
          </cell>
          <cell r="B13">
            <v>150</v>
          </cell>
        </row>
        <row r="14">
          <cell r="A14">
            <v>10880021173</v>
          </cell>
          <cell r="B14">
            <v>300</v>
          </cell>
        </row>
        <row r="15">
          <cell r="A15">
            <v>10880021318</v>
          </cell>
          <cell r="B15">
            <v>550</v>
          </cell>
        </row>
        <row r="16">
          <cell r="A16">
            <v>10880021416</v>
          </cell>
          <cell r="B16">
            <v>700</v>
          </cell>
        </row>
        <row r="17">
          <cell r="A17">
            <v>10880022123</v>
          </cell>
          <cell r="B17">
            <v>20041</v>
          </cell>
        </row>
        <row r="18">
          <cell r="A18">
            <v>10880027958</v>
          </cell>
          <cell r="B18">
            <v>1390</v>
          </cell>
        </row>
        <row r="19">
          <cell r="A19">
            <v>10880028307</v>
          </cell>
          <cell r="B19">
            <v>796</v>
          </cell>
        </row>
        <row r="20">
          <cell r="A20">
            <v>10880028881</v>
          </cell>
          <cell r="B20">
            <v>1000</v>
          </cell>
        </row>
        <row r="21">
          <cell r="A21">
            <v>10880029033</v>
          </cell>
          <cell r="B21">
            <v>22162</v>
          </cell>
        </row>
        <row r="22">
          <cell r="A22">
            <v>10880029054</v>
          </cell>
          <cell r="B22">
            <v>600</v>
          </cell>
        </row>
        <row r="23">
          <cell r="A23">
            <v>10880030004</v>
          </cell>
          <cell r="B23">
            <v>500</v>
          </cell>
        </row>
        <row r="24">
          <cell r="A24">
            <v>10880030023</v>
          </cell>
          <cell r="B24">
            <v>15</v>
          </cell>
        </row>
        <row r="25">
          <cell r="A25">
            <v>10880030187</v>
          </cell>
          <cell r="B25">
            <v>1000</v>
          </cell>
        </row>
        <row r="26">
          <cell r="A26">
            <v>10880030203</v>
          </cell>
          <cell r="B26">
            <v>2000</v>
          </cell>
        </row>
        <row r="27">
          <cell r="A27">
            <v>10880030320</v>
          </cell>
          <cell r="B27">
            <v>6</v>
          </cell>
        </row>
        <row r="28">
          <cell r="A28">
            <v>10880030432</v>
          </cell>
          <cell r="B28">
            <v>1380</v>
          </cell>
        </row>
        <row r="29">
          <cell r="A29">
            <v>10880030545</v>
          </cell>
          <cell r="B29">
            <v>800</v>
          </cell>
        </row>
        <row r="30">
          <cell r="A30">
            <v>10880030551</v>
          </cell>
          <cell r="B30">
            <v>33</v>
          </cell>
        </row>
        <row r="31">
          <cell r="A31">
            <v>10880030596</v>
          </cell>
          <cell r="B31">
            <v>200</v>
          </cell>
        </row>
        <row r="32">
          <cell r="A32">
            <v>10880030607</v>
          </cell>
          <cell r="B32">
            <v>300</v>
          </cell>
        </row>
        <row r="33">
          <cell r="A33">
            <v>10880030931</v>
          </cell>
          <cell r="B33">
            <v>200</v>
          </cell>
        </row>
        <row r="34">
          <cell r="A34">
            <v>10880030934</v>
          </cell>
          <cell r="B34">
            <v>830</v>
          </cell>
        </row>
        <row r="35">
          <cell r="A35">
            <v>10880030976</v>
          </cell>
          <cell r="B35">
            <v>496</v>
          </cell>
        </row>
        <row r="36">
          <cell r="A36">
            <v>10880031011</v>
          </cell>
          <cell r="B36">
            <v>30</v>
          </cell>
        </row>
        <row r="37">
          <cell r="A37">
            <v>10880031020</v>
          </cell>
          <cell r="B37">
            <v>215</v>
          </cell>
        </row>
        <row r="38">
          <cell r="A38">
            <v>10880031072</v>
          </cell>
          <cell r="B38">
            <v>27</v>
          </cell>
        </row>
        <row r="39">
          <cell r="A39">
            <v>10880031096</v>
          </cell>
          <cell r="B39">
            <v>56</v>
          </cell>
        </row>
        <row r="40">
          <cell r="A40">
            <v>10880031138</v>
          </cell>
          <cell r="B40">
            <v>7</v>
          </cell>
        </row>
        <row r="41">
          <cell r="A41">
            <v>10880031139</v>
          </cell>
          <cell r="B41">
            <v>12</v>
          </cell>
        </row>
        <row r="42">
          <cell r="A42">
            <v>10880031161</v>
          </cell>
          <cell r="B42">
            <v>7</v>
          </cell>
        </row>
        <row r="43">
          <cell r="A43">
            <v>10880031760</v>
          </cell>
          <cell r="B43">
            <v>230</v>
          </cell>
        </row>
        <row r="44">
          <cell r="A44">
            <v>10880032383</v>
          </cell>
          <cell r="B44">
            <v>280</v>
          </cell>
        </row>
        <row r="45">
          <cell r="A45">
            <v>10880032386</v>
          </cell>
          <cell r="B45">
            <v>208</v>
          </cell>
        </row>
        <row r="46">
          <cell r="A46">
            <v>10880032683</v>
          </cell>
          <cell r="B46">
            <v>1200</v>
          </cell>
        </row>
        <row r="47">
          <cell r="A47">
            <v>10880032697</v>
          </cell>
          <cell r="B47">
            <v>13</v>
          </cell>
        </row>
        <row r="48">
          <cell r="A48">
            <v>10880032698</v>
          </cell>
          <cell r="B48">
            <v>7</v>
          </cell>
        </row>
        <row r="49">
          <cell r="A49">
            <v>10880032759</v>
          </cell>
          <cell r="B49">
            <v>7</v>
          </cell>
        </row>
        <row r="50">
          <cell r="A50">
            <v>10880032885</v>
          </cell>
          <cell r="B50">
            <v>4472</v>
          </cell>
        </row>
        <row r="51">
          <cell r="A51">
            <v>10880032937</v>
          </cell>
          <cell r="B51">
            <v>6</v>
          </cell>
        </row>
        <row r="52">
          <cell r="A52">
            <v>10880032942</v>
          </cell>
          <cell r="B52">
            <v>500</v>
          </cell>
        </row>
        <row r="53">
          <cell r="A53">
            <v>10880033216</v>
          </cell>
          <cell r="B53">
            <v>1503</v>
          </cell>
        </row>
        <row r="54">
          <cell r="A54">
            <v>10880033329</v>
          </cell>
          <cell r="B54">
            <v>12</v>
          </cell>
        </row>
        <row r="55">
          <cell r="A55">
            <v>10880033535</v>
          </cell>
          <cell r="B55">
            <v>29</v>
          </cell>
        </row>
        <row r="56">
          <cell r="A56">
            <v>10880033566</v>
          </cell>
          <cell r="B56">
            <v>7</v>
          </cell>
        </row>
        <row r="57">
          <cell r="A57">
            <v>10880033602</v>
          </cell>
          <cell r="B57">
            <v>300</v>
          </cell>
        </row>
        <row r="58">
          <cell r="A58">
            <v>10880033655</v>
          </cell>
          <cell r="B58">
            <v>38</v>
          </cell>
        </row>
        <row r="59">
          <cell r="A59">
            <v>10880033785</v>
          </cell>
          <cell r="B59">
            <v>2000</v>
          </cell>
        </row>
        <row r="60">
          <cell r="A60">
            <v>10880033855</v>
          </cell>
          <cell r="B60">
            <v>11</v>
          </cell>
        </row>
        <row r="61">
          <cell r="A61">
            <v>10880033996</v>
          </cell>
          <cell r="B61">
            <v>1006</v>
          </cell>
        </row>
        <row r="62">
          <cell r="A62">
            <v>10880034565</v>
          </cell>
          <cell r="B62">
            <v>200</v>
          </cell>
        </row>
        <row r="63">
          <cell r="A63">
            <v>10880034619</v>
          </cell>
          <cell r="B63">
            <v>641</v>
          </cell>
        </row>
        <row r="64">
          <cell r="A64">
            <v>10880034621</v>
          </cell>
          <cell r="B64">
            <v>10</v>
          </cell>
        </row>
        <row r="65">
          <cell r="A65">
            <v>10880034622</v>
          </cell>
          <cell r="B65">
            <v>585</v>
          </cell>
        </row>
        <row r="66">
          <cell r="A66">
            <v>10880034669</v>
          </cell>
          <cell r="B66">
            <v>8857</v>
          </cell>
        </row>
        <row r="67">
          <cell r="A67">
            <v>10880035045</v>
          </cell>
          <cell r="B67">
            <v>46</v>
          </cell>
        </row>
        <row r="68">
          <cell r="A68">
            <v>10880035167</v>
          </cell>
          <cell r="B68">
            <v>7</v>
          </cell>
        </row>
        <row r="69">
          <cell r="A69">
            <v>10880035265</v>
          </cell>
          <cell r="B69">
            <v>224</v>
          </cell>
        </row>
        <row r="70">
          <cell r="A70">
            <v>10880035379</v>
          </cell>
          <cell r="B70">
            <v>26</v>
          </cell>
        </row>
        <row r="71">
          <cell r="A71">
            <v>10880035441</v>
          </cell>
          <cell r="B71">
            <v>2349</v>
          </cell>
        </row>
        <row r="72">
          <cell r="A72">
            <v>10880035448</v>
          </cell>
          <cell r="B72">
            <v>5</v>
          </cell>
        </row>
        <row r="73">
          <cell r="A73">
            <v>10880035543</v>
          </cell>
          <cell r="B73">
            <v>1000</v>
          </cell>
        </row>
        <row r="74">
          <cell r="A74">
            <v>10880035653</v>
          </cell>
          <cell r="B74">
            <v>1000</v>
          </cell>
        </row>
        <row r="75">
          <cell r="A75">
            <v>10880035754</v>
          </cell>
          <cell r="B75">
            <v>16041</v>
          </cell>
        </row>
        <row r="76">
          <cell r="A76">
            <v>10880035795</v>
          </cell>
          <cell r="B76">
            <v>22</v>
          </cell>
        </row>
        <row r="77">
          <cell r="A77">
            <v>10880035979</v>
          </cell>
          <cell r="B77">
            <v>6</v>
          </cell>
        </row>
        <row r="78">
          <cell r="A78">
            <v>10880035981</v>
          </cell>
          <cell r="B78">
            <v>311</v>
          </cell>
        </row>
        <row r="79">
          <cell r="A79">
            <v>10880035982</v>
          </cell>
          <cell r="B79">
            <v>1010</v>
          </cell>
        </row>
        <row r="80">
          <cell r="A80">
            <v>10880035984</v>
          </cell>
          <cell r="B80">
            <v>1750</v>
          </cell>
        </row>
        <row r="81">
          <cell r="A81">
            <v>10880036020</v>
          </cell>
          <cell r="B81">
            <v>17</v>
          </cell>
        </row>
        <row r="82">
          <cell r="A82">
            <v>10880036058</v>
          </cell>
          <cell r="B82">
            <v>501</v>
          </cell>
        </row>
        <row r="83">
          <cell r="A83">
            <v>10880036135</v>
          </cell>
          <cell r="B83">
            <v>40</v>
          </cell>
        </row>
        <row r="84">
          <cell r="A84">
            <v>10880036205</v>
          </cell>
          <cell r="B84">
            <v>904</v>
          </cell>
        </row>
        <row r="85">
          <cell r="A85">
            <v>10880036206</v>
          </cell>
          <cell r="B85">
            <v>42</v>
          </cell>
        </row>
        <row r="86">
          <cell r="A86">
            <v>10880036207</v>
          </cell>
          <cell r="B86">
            <v>620</v>
          </cell>
        </row>
        <row r="87">
          <cell r="A87">
            <v>10880036325</v>
          </cell>
          <cell r="B87">
            <v>11</v>
          </cell>
        </row>
        <row r="88">
          <cell r="A88">
            <v>10880036348</v>
          </cell>
          <cell r="B88">
            <v>1000</v>
          </cell>
        </row>
        <row r="89">
          <cell r="A89">
            <v>10880036361</v>
          </cell>
          <cell r="B89">
            <v>600</v>
          </cell>
        </row>
        <row r="90">
          <cell r="A90">
            <v>10880036362</v>
          </cell>
          <cell r="B90">
            <v>100</v>
          </cell>
        </row>
        <row r="91">
          <cell r="A91">
            <v>10880036363</v>
          </cell>
          <cell r="B91">
            <v>100</v>
          </cell>
        </row>
        <row r="92">
          <cell r="A92">
            <v>10880036366</v>
          </cell>
          <cell r="B92">
            <v>842</v>
          </cell>
        </row>
        <row r="93">
          <cell r="A93">
            <v>10880036424</v>
          </cell>
          <cell r="B93">
            <v>2800</v>
          </cell>
        </row>
        <row r="94">
          <cell r="A94">
            <v>10880036434</v>
          </cell>
          <cell r="B94">
            <v>900</v>
          </cell>
        </row>
        <row r="95">
          <cell r="A95">
            <v>10880036458</v>
          </cell>
          <cell r="B95">
            <v>1500</v>
          </cell>
        </row>
        <row r="96">
          <cell r="A96">
            <v>10880036479</v>
          </cell>
          <cell r="B96">
            <v>18</v>
          </cell>
        </row>
        <row r="97">
          <cell r="A97">
            <v>10880036481</v>
          </cell>
          <cell r="B97">
            <v>815</v>
          </cell>
        </row>
        <row r="98">
          <cell r="A98">
            <v>10880036493</v>
          </cell>
          <cell r="B98">
            <v>10</v>
          </cell>
        </row>
        <row r="99">
          <cell r="A99">
            <v>10880036494</v>
          </cell>
          <cell r="B99">
            <v>10</v>
          </cell>
        </row>
        <row r="100">
          <cell r="A100">
            <v>10880036495</v>
          </cell>
          <cell r="B100">
            <v>16</v>
          </cell>
        </row>
        <row r="101">
          <cell r="A101">
            <v>10880036499</v>
          </cell>
          <cell r="B101">
            <v>14</v>
          </cell>
        </row>
        <row r="102">
          <cell r="A102">
            <v>10880036503</v>
          </cell>
          <cell r="B102">
            <v>54</v>
          </cell>
        </row>
        <row r="103">
          <cell r="A103">
            <v>10880036504</v>
          </cell>
          <cell r="B103">
            <v>19</v>
          </cell>
        </row>
        <row r="104">
          <cell r="A104">
            <v>10880036704</v>
          </cell>
          <cell r="B104">
            <v>460</v>
          </cell>
        </row>
        <row r="105">
          <cell r="A105">
            <v>10880036706</v>
          </cell>
          <cell r="B105">
            <v>200</v>
          </cell>
        </row>
        <row r="106">
          <cell r="A106">
            <v>10880036760</v>
          </cell>
          <cell r="B106">
            <v>9</v>
          </cell>
        </row>
        <row r="107">
          <cell r="A107">
            <v>10880036786</v>
          </cell>
          <cell r="B107">
            <v>922</v>
          </cell>
        </row>
        <row r="108">
          <cell r="A108">
            <v>10880036799</v>
          </cell>
          <cell r="B108">
            <v>1640</v>
          </cell>
        </row>
        <row r="109">
          <cell r="A109">
            <v>10880036852</v>
          </cell>
          <cell r="B109">
            <v>8</v>
          </cell>
        </row>
        <row r="110">
          <cell r="A110">
            <v>10880037002</v>
          </cell>
          <cell r="B110">
            <v>30</v>
          </cell>
        </row>
        <row r="111">
          <cell r="A111">
            <v>10880037022</v>
          </cell>
          <cell r="B111">
            <v>2040</v>
          </cell>
        </row>
        <row r="112">
          <cell r="A112">
            <v>10880037023</v>
          </cell>
          <cell r="B112">
            <v>2121</v>
          </cell>
        </row>
        <row r="113">
          <cell r="A113">
            <v>10880037047</v>
          </cell>
          <cell r="B113">
            <v>5</v>
          </cell>
        </row>
        <row r="114">
          <cell r="A114">
            <v>10880037059</v>
          </cell>
          <cell r="B114">
            <v>11</v>
          </cell>
        </row>
        <row r="115">
          <cell r="A115">
            <v>10880037179</v>
          </cell>
          <cell r="B115">
            <v>500</v>
          </cell>
        </row>
        <row r="116">
          <cell r="A116">
            <v>10880037198</v>
          </cell>
          <cell r="B116">
            <v>1850</v>
          </cell>
        </row>
        <row r="117">
          <cell r="A117">
            <v>10880037295</v>
          </cell>
          <cell r="B117">
            <v>681</v>
          </cell>
        </row>
        <row r="118">
          <cell r="A118">
            <v>10880037368</v>
          </cell>
          <cell r="B118">
            <v>3200</v>
          </cell>
        </row>
        <row r="119">
          <cell r="A119">
            <v>10880037369</v>
          </cell>
          <cell r="B119">
            <v>10</v>
          </cell>
        </row>
        <row r="120">
          <cell r="A120">
            <v>10880037370</v>
          </cell>
          <cell r="B120">
            <v>25</v>
          </cell>
        </row>
        <row r="121">
          <cell r="A121">
            <v>10880037374</v>
          </cell>
          <cell r="B121">
            <v>63</v>
          </cell>
        </row>
        <row r="122">
          <cell r="A122">
            <v>10880037377</v>
          </cell>
          <cell r="B122">
            <v>5040</v>
          </cell>
        </row>
        <row r="123">
          <cell r="A123">
            <v>10880037379</v>
          </cell>
          <cell r="B123">
            <v>4412</v>
          </cell>
        </row>
        <row r="124">
          <cell r="A124">
            <v>10880037380</v>
          </cell>
          <cell r="B124">
            <v>8</v>
          </cell>
        </row>
        <row r="125">
          <cell r="A125">
            <v>10880037392</v>
          </cell>
          <cell r="B125">
            <v>10</v>
          </cell>
        </row>
        <row r="126">
          <cell r="A126">
            <v>10880037426</v>
          </cell>
          <cell r="B126">
            <v>18</v>
          </cell>
        </row>
        <row r="127">
          <cell r="A127">
            <v>10880037503</v>
          </cell>
          <cell r="B127">
            <v>1440</v>
          </cell>
        </row>
        <row r="128">
          <cell r="A128">
            <v>10880037615</v>
          </cell>
          <cell r="B128">
            <v>382</v>
          </cell>
        </row>
        <row r="129">
          <cell r="A129">
            <v>10880037616</v>
          </cell>
          <cell r="B129">
            <v>1018</v>
          </cell>
        </row>
        <row r="130">
          <cell r="A130">
            <v>10880037617</v>
          </cell>
          <cell r="B130">
            <v>500</v>
          </cell>
        </row>
        <row r="131">
          <cell r="A131">
            <v>10880037662</v>
          </cell>
          <cell r="B131">
            <v>308</v>
          </cell>
        </row>
        <row r="132">
          <cell r="A132">
            <v>10880037781</v>
          </cell>
          <cell r="B132">
            <v>200</v>
          </cell>
        </row>
        <row r="133">
          <cell r="A133">
            <v>10880038124</v>
          </cell>
          <cell r="B133">
            <v>13</v>
          </cell>
        </row>
        <row r="134">
          <cell r="A134">
            <v>10880038125</v>
          </cell>
          <cell r="B134">
            <v>8</v>
          </cell>
        </row>
        <row r="135">
          <cell r="A135">
            <v>40880000587</v>
          </cell>
          <cell r="B135">
            <v>100</v>
          </cell>
        </row>
        <row r="136">
          <cell r="A136" t="str">
            <v>(空白)</v>
          </cell>
        </row>
        <row r="137">
          <cell r="A137" t="str">
            <v>总计</v>
          </cell>
          <cell r="B137">
            <v>160568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8 2.17"/>
      <sheetName val="W9 2.22"/>
      <sheetName val="W9 2.23"/>
      <sheetName val="W9 2.24"/>
      <sheetName val="W10 3.1"/>
      <sheetName val="W10 3.2"/>
      <sheetName val="W10 3.3"/>
      <sheetName val="W11 3.8"/>
      <sheetName val="W11 3.9"/>
      <sheetName val="W11 3.10"/>
      <sheetName val="W12 3.15"/>
      <sheetName val="W12 3.16"/>
      <sheetName val="W12 3.17"/>
      <sheetName val="W13 3.22"/>
      <sheetName val="W13 3.23"/>
      <sheetName val="W13 2.24"/>
      <sheetName val="W14 3.29"/>
      <sheetName val="W14 3.30"/>
      <sheetName val="W14 3.31"/>
      <sheetName val="W15 4.6"/>
      <sheetName val="W15 4.4"/>
      <sheetName val="W15 4.7"/>
      <sheetName val="W16 4.13"/>
      <sheetName val="W16  4.12"/>
      <sheetName val="W16 4.14"/>
      <sheetName val="W17 4.19"/>
      <sheetName val="W17 4.20"/>
      <sheetName val="W17 4.21"/>
      <sheetName val="W18 4.26"/>
      <sheetName val="W18 4.27"/>
      <sheetName val="W18 4.28"/>
      <sheetName val="W20 5.10"/>
      <sheetName val="W20 5.11"/>
      <sheetName val="W20 5.12"/>
      <sheetName val="大连计划"/>
      <sheetName val="W21 5.17"/>
      <sheetName val="W21 5.17 (2)"/>
      <sheetName val="W21 5.18"/>
      <sheetName val="W21 5.19"/>
      <sheetName val="W21 5.24"/>
      <sheetName val="W21 5.25"/>
      <sheetName val="W21 5.26"/>
      <sheetName val="W22 5.31"/>
      <sheetName val="W22 6.1"/>
      <sheetName val="W23 6.2"/>
      <sheetName val="W24 6.7"/>
      <sheetName val="W24 6.8"/>
      <sheetName val="W24 6.9"/>
      <sheetName val="W25 6.14"/>
      <sheetName val="W25 6.15"/>
      <sheetName val="W25 6.16"/>
      <sheetName val="W26 6.20"/>
      <sheetName val="W26 6.21"/>
      <sheetName val="W26.6.22"/>
      <sheetName val="W27 6.28"/>
      <sheetName val="W27 6.29"/>
      <sheetName val="W27 6.30"/>
      <sheetName val="W28 7.05"/>
      <sheetName val="W28 7.06"/>
      <sheetName val="W28 7.07"/>
      <sheetName val="W29 7.12"/>
      <sheetName val="W29 7.13"/>
      <sheetName val="W29 7.14"/>
      <sheetName val="W30 7.19"/>
      <sheetName val="W30  7.20"/>
      <sheetName val="W30 7.21"/>
      <sheetName val="W31 7.26"/>
      <sheetName val="W31 7.27"/>
      <sheetName val="W31 7.28"/>
      <sheetName val="W32 8.2"/>
      <sheetName val="W32 8.3"/>
      <sheetName val="W32 8.4"/>
      <sheetName val="W33 8.9"/>
      <sheetName val="W33 8.10"/>
      <sheetName val="W33 8.11"/>
      <sheetName val="W34 8.16"/>
      <sheetName val="W34 8.17"/>
      <sheetName val="W34 8.18"/>
      <sheetName val="W35 8.23"/>
      <sheetName val="W35 8.24"/>
      <sheetName val="W35 8.25"/>
      <sheetName val="W36 8.30"/>
      <sheetName val="W36 8.31"/>
      <sheetName val="W36 9.1"/>
      <sheetName val="W37 9.6"/>
      <sheetName val="W37 79.7"/>
      <sheetName val="W37 9.8"/>
      <sheetName val="W38 9.14"/>
      <sheetName val="W38 9.15"/>
      <sheetName val="W39 9.20"/>
      <sheetName val="W39 9.21"/>
      <sheetName val="W39 9.22"/>
      <sheetName val="W40 9.27"/>
      <sheetName val="W40 9.28"/>
      <sheetName val="W41 10.11"/>
      <sheetName val="W41 10.12"/>
      <sheetName val="W41 10.13"/>
      <sheetName val="W43 10.18"/>
      <sheetName val="W43 10.19"/>
      <sheetName val="W43 10.20"/>
      <sheetName val="W44 10.25"/>
      <sheetName val="W44 10.26"/>
      <sheetName val="W44 10.27"/>
      <sheetName val="W45 11.1"/>
      <sheetName val="W45 11.2"/>
      <sheetName val="W45 11.3"/>
      <sheetName val="W46 11.8"/>
      <sheetName val="W46 11.9"/>
      <sheetName val="W46 11.10"/>
      <sheetName val="W47 11.15"/>
      <sheetName val="W47 11.16"/>
      <sheetName val="W47 11.17"/>
      <sheetName val="W48 11.22"/>
      <sheetName val="W48 11.23"/>
      <sheetName val="W48 11.24"/>
      <sheetName val="W48 11.25"/>
      <sheetName val="W49 11.29"/>
      <sheetName val="W49 11.30"/>
      <sheetName val="W49 12.01"/>
      <sheetName val="W49 12.02"/>
      <sheetName val="W50 12.06"/>
      <sheetName val="W50 12.07"/>
      <sheetName val="W50 12.08"/>
      <sheetName val="W50 12.09"/>
      <sheetName val="W51 12.13"/>
      <sheetName val="W51 12.14"/>
      <sheetName val="W51 12.15"/>
      <sheetName val="W51 12.18"/>
      <sheetName val="W51 12.20"/>
      <sheetName val="W51 12.21"/>
      <sheetName val="W51 12.22"/>
      <sheetName val="W52 12.25"/>
      <sheetName val="W53 12.26"/>
      <sheetName val="W53 12.27"/>
      <sheetName val="W53. 12.28"/>
      <sheetName val="W53. 12.29"/>
      <sheetName val="W53 12.30"/>
      <sheetName val="W2 0103"/>
      <sheetName val="W2 0104"/>
      <sheetName val="W2 0105"/>
      <sheetName val="W2 0106"/>
      <sheetName val="W3 0109"/>
      <sheetName val="W3 0110 "/>
      <sheetName val="W3 0111"/>
      <sheetName val="W4 0116"/>
      <sheetName val="W4 0117"/>
      <sheetName val="W4 0118"/>
      <sheetName val="W5 0126 (2)"/>
      <sheetName val="项目编码"/>
      <sheetName val="胶州库存"/>
      <sheetName val="项目编码  "/>
      <sheetName val="Sheet1"/>
      <sheetName val="海尔管控表"/>
      <sheetName val="双经销表--8.21（上次领料）"/>
      <sheetName val="8.21（最新领料）"/>
      <sheetName val="8.28"/>
      <sheetName val="9.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>
        <row r="1">
          <cell r="B1" t="str">
            <v>客户代码</v>
          </cell>
          <cell r="C1" t="str">
            <v>SAP编码</v>
          </cell>
        </row>
        <row r="2">
          <cell r="B2">
            <v>1430675</v>
          </cell>
          <cell r="C2">
            <v>10880002276</v>
          </cell>
        </row>
        <row r="3">
          <cell r="B3">
            <v>1547973</v>
          </cell>
          <cell r="C3">
            <v>10880003344</v>
          </cell>
        </row>
        <row r="4">
          <cell r="B4">
            <v>1635154</v>
          </cell>
          <cell r="C4">
            <v>10880006283</v>
          </cell>
        </row>
        <row r="5">
          <cell r="B5">
            <v>1887099</v>
          </cell>
          <cell r="C5">
            <v>10880005300</v>
          </cell>
        </row>
        <row r="6">
          <cell r="B6">
            <v>1956552</v>
          </cell>
          <cell r="C6">
            <v>10880006983</v>
          </cell>
        </row>
        <row r="7">
          <cell r="B7">
            <v>1956555</v>
          </cell>
          <cell r="C7">
            <v>10880007216</v>
          </cell>
        </row>
        <row r="8">
          <cell r="B8">
            <v>1956922</v>
          </cell>
          <cell r="C8">
            <v>10880007065</v>
          </cell>
        </row>
        <row r="9">
          <cell r="B9">
            <v>2033034</v>
          </cell>
          <cell r="C9">
            <v>10880007371</v>
          </cell>
        </row>
        <row r="10">
          <cell r="B10">
            <v>2033035</v>
          </cell>
          <cell r="C10">
            <v>10880008579</v>
          </cell>
        </row>
        <row r="11">
          <cell r="B11">
            <v>2033037</v>
          </cell>
          <cell r="C11">
            <v>10880007373</v>
          </cell>
        </row>
        <row r="12">
          <cell r="B12">
            <v>70024979</v>
          </cell>
          <cell r="C12">
            <v>10880027764</v>
          </cell>
        </row>
        <row r="13">
          <cell r="B13" t="str">
            <v>0011800324</v>
          </cell>
          <cell r="C13">
            <v>10880021105</v>
          </cell>
        </row>
        <row r="14">
          <cell r="B14" t="str">
            <v>0011800324N</v>
          </cell>
          <cell r="C14">
            <v>10880021107</v>
          </cell>
        </row>
        <row r="15">
          <cell r="B15" t="str">
            <v>0011800324S</v>
          </cell>
          <cell r="C15">
            <v>10880020637</v>
          </cell>
        </row>
        <row r="16">
          <cell r="B16" t="str">
            <v>0011800324T</v>
          </cell>
          <cell r="C16">
            <v>10880021106</v>
          </cell>
        </row>
        <row r="17">
          <cell r="B17" t="str">
            <v>0011800376AD</v>
          </cell>
          <cell r="C17">
            <v>10880012824</v>
          </cell>
        </row>
        <row r="18">
          <cell r="B18" t="str">
            <v>0011800376AG</v>
          </cell>
        </row>
        <row r="19">
          <cell r="B19" t="str">
            <v>0011800377X</v>
          </cell>
          <cell r="C19">
            <v>10880028087</v>
          </cell>
        </row>
        <row r="20">
          <cell r="B20" t="str">
            <v>0011800377Y</v>
          </cell>
          <cell r="C20">
            <v>10880028088</v>
          </cell>
        </row>
        <row r="21">
          <cell r="B21" t="str">
            <v>0011800387</v>
          </cell>
          <cell r="C21">
            <v>10880018527</v>
          </cell>
        </row>
        <row r="22">
          <cell r="B22" t="str">
            <v>0011800387A</v>
          </cell>
          <cell r="C22">
            <v>10880021289</v>
          </cell>
        </row>
        <row r="23">
          <cell r="B23" t="str">
            <v>0011800387B</v>
          </cell>
          <cell r="C23">
            <v>10880018531</v>
          </cell>
        </row>
        <row r="24">
          <cell r="B24" t="str">
            <v>0011800387D</v>
          </cell>
          <cell r="C24">
            <v>10880018524</v>
          </cell>
        </row>
        <row r="25">
          <cell r="B25" t="str">
            <v>0011800387D合肥专用</v>
          </cell>
          <cell r="C25">
            <v>10880029033</v>
          </cell>
        </row>
        <row r="26">
          <cell r="B26" t="str">
            <v>0011800387H</v>
          </cell>
          <cell r="C26">
            <v>10880018529</v>
          </cell>
        </row>
        <row r="27">
          <cell r="B27" t="str">
            <v>0011800387J</v>
          </cell>
          <cell r="C27">
            <v>10880021290</v>
          </cell>
        </row>
        <row r="28">
          <cell r="B28" t="str">
            <v>0011800495N</v>
          </cell>
          <cell r="C28">
            <v>10880029946</v>
          </cell>
        </row>
        <row r="29">
          <cell r="B29" t="str">
            <v>0011800495T</v>
          </cell>
          <cell r="C29">
            <v>10880029945</v>
          </cell>
        </row>
        <row r="30">
          <cell r="B30" t="str">
            <v>0011800495V</v>
          </cell>
          <cell r="C30" t="str">
            <v>暂无</v>
          </cell>
        </row>
        <row r="31">
          <cell r="B31" t="str">
            <v>0011800495W</v>
          </cell>
          <cell r="C31">
            <v>10880029944</v>
          </cell>
        </row>
        <row r="32">
          <cell r="B32" t="str">
            <v>0011800495X</v>
          </cell>
          <cell r="C32">
            <v>10880029947</v>
          </cell>
        </row>
        <row r="33">
          <cell r="B33" t="str">
            <v>0011800495Z</v>
          </cell>
          <cell r="C33">
            <v>10880029106</v>
          </cell>
        </row>
        <row r="34">
          <cell r="B34" t="str">
            <v>0011800537</v>
          </cell>
          <cell r="C34">
            <v>10880017948</v>
          </cell>
        </row>
        <row r="35">
          <cell r="B35" t="str">
            <v>0011800537A</v>
          </cell>
          <cell r="C35">
            <v>10880017950</v>
          </cell>
        </row>
        <row r="36">
          <cell r="B36" t="str">
            <v>0011800537B</v>
          </cell>
          <cell r="C36">
            <v>10880020216</v>
          </cell>
        </row>
        <row r="37">
          <cell r="B37" t="str">
            <v>0011800537C</v>
          </cell>
          <cell r="C37">
            <v>10880017949</v>
          </cell>
        </row>
        <row r="38">
          <cell r="B38" t="str">
            <v>0011800537F</v>
          </cell>
          <cell r="C38">
            <v>10880035513</v>
          </cell>
        </row>
        <row r="39">
          <cell r="B39" t="str">
            <v>0011800537K</v>
          </cell>
          <cell r="C39">
            <v>10880035531</v>
          </cell>
        </row>
        <row r="40">
          <cell r="B40" t="str">
            <v>0011800607H</v>
          </cell>
          <cell r="C40">
            <v>10880013031</v>
          </cell>
        </row>
        <row r="41">
          <cell r="B41" t="str">
            <v>0011800607R</v>
          </cell>
          <cell r="C41">
            <v>10880020275</v>
          </cell>
        </row>
        <row r="42">
          <cell r="B42" t="str">
            <v>0011800607S</v>
          </cell>
          <cell r="C42">
            <v>10880028394</v>
          </cell>
        </row>
        <row r="43">
          <cell r="B43" t="str">
            <v>0011800607S(泰国)</v>
          </cell>
          <cell r="C43">
            <v>10880030447</v>
          </cell>
        </row>
        <row r="44">
          <cell r="B44" t="str">
            <v>0011800607T</v>
          </cell>
          <cell r="C44">
            <v>10880028833</v>
          </cell>
        </row>
        <row r="45">
          <cell r="B45" t="str">
            <v>0011800607T(泰国)</v>
          </cell>
          <cell r="C45">
            <v>10880030296</v>
          </cell>
        </row>
        <row r="46">
          <cell r="B46" t="str">
            <v>0011800612AB</v>
          </cell>
          <cell r="C46">
            <v>10880018849</v>
          </cell>
        </row>
        <row r="47">
          <cell r="B47" t="str">
            <v>0011800612AC</v>
          </cell>
          <cell r="C47">
            <v>10880018853</v>
          </cell>
        </row>
        <row r="48">
          <cell r="B48" t="str">
            <v>0011800612C</v>
          </cell>
          <cell r="C48">
            <v>10880020274</v>
          </cell>
        </row>
        <row r="49">
          <cell r="B49" t="str">
            <v>0011800612D</v>
          </cell>
          <cell r="C49">
            <v>10880018843</v>
          </cell>
        </row>
        <row r="50">
          <cell r="B50" t="str">
            <v>0011800612E</v>
          </cell>
          <cell r="C50">
            <v>10880020276</v>
          </cell>
        </row>
        <row r="51">
          <cell r="B51" t="str">
            <v>0011800612F</v>
          </cell>
          <cell r="C51">
            <v>10880018091</v>
          </cell>
        </row>
        <row r="52">
          <cell r="B52" t="str">
            <v>0011800612H</v>
          </cell>
          <cell r="C52">
            <v>10880018847</v>
          </cell>
        </row>
        <row r="53">
          <cell r="B53" t="str">
            <v>0011800612L</v>
          </cell>
          <cell r="C53">
            <v>10880018848</v>
          </cell>
        </row>
        <row r="54">
          <cell r="B54" t="str">
            <v>0011800612M</v>
          </cell>
          <cell r="C54">
            <v>10880018851</v>
          </cell>
        </row>
        <row r="55">
          <cell r="B55" t="str">
            <v>0011800612P</v>
          </cell>
          <cell r="C55">
            <v>10880020277</v>
          </cell>
        </row>
        <row r="56">
          <cell r="B56" t="str">
            <v>0011800612Q</v>
          </cell>
          <cell r="C56">
            <v>10880020278</v>
          </cell>
        </row>
        <row r="57">
          <cell r="B57" t="str">
            <v>0011800612R</v>
          </cell>
          <cell r="C57">
            <v>10880018846</v>
          </cell>
        </row>
        <row r="58">
          <cell r="B58" t="str">
            <v>0011800612T</v>
          </cell>
          <cell r="C58">
            <v>10880020279</v>
          </cell>
        </row>
        <row r="59">
          <cell r="B59" t="str">
            <v>0011800612V</v>
          </cell>
          <cell r="C59">
            <v>10880018850</v>
          </cell>
        </row>
        <row r="60">
          <cell r="B60" t="str">
            <v>0011800612W</v>
          </cell>
          <cell r="C60">
            <v>10880020280</v>
          </cell>
        </row>
        <row r="61">
          <cell r="B61" t="str">
            <v>0011800612X</v>
          </cell>
          <cell r="C61">
            <v>10880018842</v>
          </cell>
        </row>
        <row r="62">
          <cell r="B62" t="str">
            <v>0011800612Y</v>
          </cell>
          <cell r="C62">
            <v>10880020281</v>
          </cell>
        </row>
        <row r="63">
          <cell r="B63" t="str">
            <v>0011800612Z</v>
          </cell>
          <cell r="C63">
            <v>10880018845</v>
          </cell>
        </row>
        <row r="64">
          <cell r="B64" t="str">
            <v>0011800630</v>
          </cell>
          <cell r="C64">
            <v>10880020217</v>
          </cell>
        </row>
        <row r="65">
          <cell r="B65" t="str">
            <v>0011800630E</v>
          </cell>
          <cell r="C65">
            <v>10880020223</v>
          </cell>
        </row>
        <row r="66">
          <cell r="B66" t="str">
            <v>0011800630J</v>
          </cell>
          <cell r="C66">
            <v>10880017527</v>
          </cell>
        </row>
        <row r="67">
          <cell r="B67" t="str">
            <v>0011800630K</v>
          </cell>
          <cell r="C67">
            <v>10880017516</v>
          </cell>
        </row>
        <row r="68">
          <cell r="B68" t="str">
            <v>0011800630L</v>
          </cell>
          <cell r="C68">
            <v>10880017525</v>
          </cell>
        </row>
        <row r="69">
          <cell r="B69" t="str">
            <v>0011800630M</v>
          </cell>
          <cell r="C69">
            <v>10880017524</v>
          </cell>
        </row>
        <row r="70">
          <cell r="B70" t="str">
            <v>0011800630P</v>
          </cell>
          <cell r="C70">
            <v>10880017526</v>
          </cell>
        </row>
        <row r="71">
          <cell r="B71" t="str">
            <v>0011800630R</v>
          </cell>
          <cell r="C71">
            <v>10880020221</v>
          </cell>
        </row>
        <row r="72">
          <cell r="B72" t="str">
            <v>0011800630S</v>
          </cell>
          <cell r="C72">
            <v>10880020222</v>
          </cell>
        </row>
        <row r="73">
          <cell r="B73" t="str">
            <v>0011800630Y</v>
          </cell>
          <cell r="C73">
            <v>10880020224</v>
          </cell>
        </row>
        <row r="74">
          <cell r="B74" t="str">
            <v>0011800630Z</v>
          </cell>
          <cell r="C74">
            <v>10880020225</v>
          </cell>
        </row>
        <row r="75">
          <cell r="B75" t="str">
            <v>0011800646</v>
          </cell>
          <cell r="C75">
            <v>10880017534</v>
          </cell>
        </row>
        <row r="76">
          <cell r="B76" t="str">
            <v>0011800646A</v>
          </cell>
          <cell r="C76">
            <v>10880017530</v>
          </cell>
        </row>
        <row r="77">
          <cell r="B77" t="str">
            <v>0011800646B</v>
          </cell>
          <cell r="C77">
            <v>10880017537</v>
          </cell>
        </row>
        <row r="78">
          <cell r="B78" t="str">
            <v>0011800646C</v>
          </cell>
          <cell r="C78">
            <v>10880017535</v>
          </cell>
        </row>
        <row r="79">
          <cell r="B79" t="str">
            <v>0011800646D</v>
          </cell>
          <cell r="C79">
            <v>10880017531</v>
          </cell>
        </row>
        <row r="80">
          <cell r="B80" t="str">
            <v>0011800646F</v>
          </cell>
          <cell r="C80">
            <v>10880017532</v>
          </cell>
        </row>
        <row r="81">
          <cell r="B81" t="str">
            <v>0011800646G</v>
          </cell>
          <cell r="C81">
            <v>10880020229</v>
          </cell>
        </row>
        <row r="82">
          <cell r="B82" t="str">
            <v>0011800646J</v>
          </cell>
          <cell r="C82">
            <v>10880020226</v>
          </cell>
        </row>
        <row r="83">
          <cell r="B83" t="str">
            <v>0011800646K</v>
          </cell>
          <cell r="C83">
            <v>10880020227</v>
          </cell>
        </row>
        <row r="84">
          <cell r="B84" t="str">
            <v>0011800646L</v>
          </cell>
          <cell r="C84">
            <v>10880017536</v>
          </cell>
        </row>
        <row r="85">
          <cell r="B85" t="str">
            <v>0011800646M</v>
          </cell>
          <cell r="C85">
            <v>10880017533</v>
          </cell>
        </row>
        <row r="86">
          <cell r="B86" t="str">
            <v>0011800653</v>
          </cell>
        </row>
        <row r="87">
          <cell r="B87" t="str">
            <v>0011800653A</v>
          </cell>
        </row>
        <row r="88">
          <cell r="B88" t="str">
            <v>0011800653B</v>
          </cell>
        </row>
        <row r="89">
          <cell r="B89" t="str">
            <v>0011800653G</v>
          </cell>
        </row>
        <row r="90">
          <cell r="B90" t="str">
            <v>0011800653L</v>
          </cell>
        </row>
        <row r="91">
          <cell r="B91" t="str">
            <v>0011800653P</v>
          </cell>
        </row>
        <row r="92">
          <cell r="B92" t="str">
            <v>0011800653Q</v>
          </cell>
        </row>
        <row r="93">
          <cell r="B93" t="str">
            <v>0011800691AB</v>
          </cell>
          <cell r="C93">
            <v>10880030254</v>
          </cell>
        </row>
        <row r="94">
          <cell r="B94" t="str">
            <v>0011800691AF</v>
          </cell>
          <cell r="C94">
            <v>10880013293</v>
          </cell>
        </row>
        <row r="95">
          <cell r="B95" t="str">
            <v>0011800691AH</v>
          </cell>
          <cell r="C95">
            <v>10880030265</v>
          </cell>
        </row>
        <row r="96">
          <cell r="B96" t="str">
            <v>0011800691AN</v>
          </cell>
          <cell r="C96">
            <v>10880029053</v>
          </cell>
        </row>
        <row r="97">
          <cell r="B97" t="str">
            <v>0011800691AS</v>
          </cell>
          <cell r="C97">
            <v>10880030266</v>
          </cell>
        </row>
        <row r="98">
          <cell r="B98" t="str">
            <v>0011800691AU</v>
          </cell>
          <cell r="C98">
            <v>10880030260</v>
          </cell>
        </row>
        <row r="99">
          <cell r="B99" t="str">
            <v>0011800691AX</v>
          </cell>
          <cell r="C99">
            <v>10880030259</v>
          </cell>
        </row>
        <row r="100">
          <cell r="B100" t="str">
            <v>0011800691BA</v>
          </cell>
          <cell r="C100">
            <v>10880030255</v>
          </cell>
        </row>
        <row r="101">
          <cell r="B101" t="str">
            <v>0011800691BF</v>
          </cell>
          <cell r="C101">
            <v>10880030256</v>
          </cell>
        </row>
        <row r="102">
          <cell r="B102" t="str">
            <v>0011800691R</v>
          </cell>
          <cell r="C102">
            <v>10880030257</v>
          </cell>
        </row>
        <row r="103">
          <cell r="B103" t="str">
            <v>0011800697AC</v>
          </cell>
          <cell r="C103">
            <v>10880034629</v>
          </cell>
        </row>
        <row r="104">
          <cell r="B104" t="str">
            <v>0011800722C</v>
          </cell>
          <cell r="C104">
            <v>10880020645</v>
          </cell>
        </row>
        <row r="105">
          <cell r="B105" t="str">
            <v>0011800722GCH</v>
          </cell>
          <cell r="C105">
            <v>10880036513</v>
          </cell>
        </row>
        <row r="106">
          <cell r="B106" t="str">
            <v>0011800722GCHA</v>
          </cell>
          <cell r="C106">
            <v>10880036514</v>
          </cell>
        </row>
        <row r="107">
          <cell r="B107" t="str">
            <v>0011800780AK</v>
          </cell>
          <cell r="C107">
            <v>10880018855</v>
          </cell>
        </row>
        <row r="108">
          <cell r="B108" t="str">
            <v>0011800780AL</v>
          </cell>
          <cell r="C108">
            <v>10880018844</v>
          </cell>
        </row>
        <row r="109">
          <cell r="B109" t="str">
            <v>0011800807</v>
          </cell>
          <cell r="C109">
            <v>10880018093</v>
          </cell>
        </row>
        <row r="110">
          <cell r="B110" t="str">
            <v>0011800827A</v>
          </cell>
          <cell r="C110">
            <v>10880018056</v>
          </cell>
        </row>
        <row r="111">
          <cell r="B111" t="str">
            <v>0011800827D</v>
          </cell>
          <cell r="C111">
            <v>10880018054</v>
          </cell>
        </row>
        <row r="112">
          <cell r="B112" t="str">
            <v>0011800827E</v>
          </cell>
          <cell r="C112">
            <v>10880018055</v>
          </cell>
        </row>
        <row r="113">
          <cell r="B113" t="str">
            <v>0011800827P</v>
          </cell>
          <cell r="C113">
            <v>10880018052</v>
          </cell>
        </row>
        <row r="114">
          <cell r="B114" t="str">
            <v>0011800827W</v>
          </cell>
          <cell r="C114">
            <v>10880018053</v>
          </cell>
        </row>
        <row r="115">
          <cell r="B115" t="str">
            <v>0011800827Y</v>
          </cell>
          <cell r="C115">
            <v>10880013146</v>
          </cell>
        </row>
        <row r="116">
          <cell r="B116" t="str">
            <v>0011800865A</v>
          </cell>
          <cell r="C116">
            <v>10880017542</v>
          </cell>
        </row>
        <row r="117">
          <cell r="B117" t="str">
            <v>0011800865C</v>
          </cell>
          <cell r="C117">
            <v>10880017540</v>
          </cell>
        </row>
        <row r="118">
          <cell r="B118" t="str">
            <v>0011800865L</v>
          </cell>
          <cell r="C118">
            <v>10880017541</v>
          </cell>
        </row>
        <row r="119">
          <cell r="B119" t="str">
            <v>0011800865M</v>
          </cell>
          <cell r="C119">
            <v>10880017538</v>
          </cell>
        </row>
        <row r="120">
          <cell r="B120" t="str">
            <v>0011800865N</v>
          </cell>
          <cell r="C120">
            <v>10880017539</v>
          </cell>
        </row>
        <row r="121">
          <cell r="B121" t="str">
            <v>0011800879N</v>
          </cell>
          <cell r="C121">
            <v>10880027989</v>
          </cell>
        </row>
        <row r="122">
          <cell r="B122" t="str">
            <v>0011800879P</v>
          </cell>
          <cell r="C122">
            <v>10880027988</v>
          </cell>
        </row>
        <row r="123">
          <cell r="B123" t="str">
            <v>0011800923F</v>
          </cell>
          <cell r="C123">
            <v>10880022442</v>
          </cell>
        </row>
        <row r="124">
          <cell r="B124" t="str">
            <v>0011800923G</v>
          </cell>
          <cell r="C124">
            <v>10880028831</v>
          </cell>
        </row>
        <row r="125">
          <cell r="B125" t="str">
            <v>0011800932E</v>
          </cell>
          <cell r="C125">
            <v>10880013270</v>
          </cell>
        </row>
        <row r="126">
          <cell r="B126" t="str">
            <v>0011800933F</v>
          </cell>
          <cell r="C126">
            <v>10880018051</v>
          </cell>
        </row>
        <row r="127">
          <cell r="B127" t="str">
            <v>0011800933S</v>
          </cell>
          <cell r="C127">
            <v>10880012796</v>
          </cell>
        </row>
        <row r="128">
          <cell r="B128" t="str">
            <v>0011800933Y</v>
          </cell>
          <cell r="C128">
            <v>10880012795</v>
          </cell>
        </row>
        <row r="129">
          <cell r="B129" t="str">
            <v>0011800950D</v>
          </cell>
          <cell r="C129">
            <v>10880019220</v>
          </cell>
        </row>
        <row r="130">
          <cell r="B130" t="str">
            <v>0011800950E</v>
          </cell>
          <cell r="C130">
            <v>10880019218</v>
          </cell>
        </row>
        <row r="131">
          <cell r="B131" t="str">
            <v>0011800950F</v>
          </cell>
          <cell r="C131">
            <v>10880020555</v>
          </cell>
        </row>
        <row r="132">
          <cell r="B132" t="str">
            <v>0011800950G</v>
          </cell>
          <cell r="C132">
            <v>10880020654</v>
          </cell>
        </row>
        <row r="133">
          <cell r="B133" t="str">
            <v>0011800951B</v>
          </cell>
          <cell r="C133">
            <v>10880020557</v>
          </cell>
        </row>
        <row r="134">
          <cell r="B134" t="str">
            <v>0011800970AA</v>
          </cell>
          <cell r="C134">
            <v>10880015329</v>
          </cell>
        </row>
        <row r="135">
          <cell r="B135" t="str">
            <v>0011800970AB</v>
          </cell>
          <cell r="C135">
            <v>10880016609</v>
          </cell>
        </row>
        <row r="136">
          <cell r="B136" t="str">
            <v>0011800970G</v>
          </cell>
          <cell r="C136">
            <v>10880012786</v>
          </cell>
        </row>
        <row r="137">
          <cell r="B137" t="str">
            <v>0011800970L</v>
          </cell>
          <cell r="C137">
            <v>10880012787</v>
          </cell>
        </row>
        <row r="138">
          <cell r="B138" t="str">
            <v>0011800970M</v>
          </cell>
          <cell r="C138">
            <v>10880012792</v>
          </cell>
        </row>
        <row r="139">
          <cell r="B139" t="str">
            <v>0011800970N</v>
          </cell>
          <cell r="C139">
            <v>10880012793</v>
          </cell>
        </row>
        <row r="140">
          <cell r="B140" t="str">
            <v>0011800977AA</v>
          </cell>
          <cell r="C140">
            <v>10880034093</v>
          </cell>
        </row>
        <row r="141">
          <cell r="B141" t="str">
            <v>0011800977B</v>
          </cell>
          <cell r="C141">
            <v>10880012825</v>
          </cell>
        </row>
        <row r="142">
          <cell r="B142" t="str">
            <v>0011800977C</v>
          </cell>
          <cell r="C142">
            <v>10880013354</v>
          </cell>
        </row>
        <row r="143">
          <cell r="B143" t="str">
            <v>0011800977J</v>
          </cell>
          <cell r="C143">
            <v>10880028929</v>
          </cell>
        </row>
        <row r="144">
          <cell r="B144" t="str">
            <v>0011800977K</v>
          </cell>
          <cell r="C144">
            <v>10880020031</v>
          </cell>
        </row>
        <row r="145">
          <cell r="B145" t="str">
            <v>0011800977P</v>
          </cell>
          <cell r="C145">
            <v>10880027924</v>
          </cell>
        </row>
        <row r="146">
          <cell r="B146" t="str">
            <v>0011800977R</v>
          </cell>
          <cell r="C146">
            <v>10880027925</v>
          </cell>
        </row>
        <row r="147">
          <cell r="B147" t="str">
            <v>0011800977S</v>
          </cell>
          <cell r="C147">
            <v>10880021545</v>
          </cell>
        </row>
        <row r="148">
          <cell r="B148" t="str">
            <v>0011800977T</v>
          </cell>
          <cell r="C148">
            <v>10880030203</v>
          </cell>
        </row>
        <row r="149">
          <cell r="B149" t="str">
            <v>0011800980C</v>
          </cell>
          <cell r="C149">
            <v>10880028012</v>
          </cell>
        </row>
        <row r="150">
          <cell r="B150" t="str">
            <v>0011800980D</v>
          </cell>
          <cell r="C150">
            <v>10880022472</v>
          </cell>
        </row>
        <row r="151">
          <cell r="B151" t="str">
            <v>0011800980E</v>
          </cell>
          <cell r="C151">
            <v>10880029054</v>
          </cell>
        </row>
        <row r="152">
          <cell r="B152" t="str">
            <v>0011800980F</v>
          </cell>
          <cell r="C152">
            <v>10880029055</v>
          </cell>
        </row>
        <row r="153">
          <cell r="B153" t="str">
            <v>0011800980J</v>
          </cell>
          <cell r="C153">
            <v>10880020556</v>
          </cell>
        </row>
        <row r="154">
          <cell r="B154" t="str">
            <v>0011800980K</v>
          </cell>
          <cell r="C154">
            <v>10880028881</v>
          </cell>
        </row>
        <row r="155">
          <cell r="B155" t="str">
            <v>0011800981H</v>
          </cell>
          <cell r="C155">
            <v>10880028011</v>
          </cell>
        </row>
        <row r="156">
          <cell r="B156" t="str">
            <v>0011800997AK</v>
          </cell>
          <cell r="C156" t="str">
            <v>暂无</v>
          </cell>
        </row>
        <row r="157">
          <cell r="B157" t="str">
            <v>0011801036</v>
          </cell>
          <cell r="C157">
            <v>10880019221</v>
          </cell>
        </row>
        <row r="158">
          <cell r="B158" t="str">
            <v>0011801036</v>
          </cell>
          <cell r="C158">
            <v>10880012899</v>
          </cell>
        </row>
        <row r="159">
          <cell r="B159" t="str">
            <v>0011801036A</v>
          </cell>
          <cell r="C159">
            <v>10880019222</v>
          </cell>
        </row>
        <row r="160">
          <cell r="B160" t="str">
            <v>0011801036B</v>
          </cell>
          <cell r="C160">
            <v>10880019773</v>
          </cell>
        </row>
        <row r="161">
          <cell r="B161" t="str">
            <v>0011801036C</v>
          </cell>
          <cell r="C161">
            <v>10880020647</v>
          </cell>
        </row>
        <row r="162">
          <cell r="B162" t="str">
            <v>0011801037A</v>
          </cell>
          <cell r="C162">
            <v>10880019777</v>
          </cell>
        </row>
        <row r="163">
          <cell r="B163" t="str">
            <v>0011801039</v>
          </cell>
          <cell r="C163">
            <v>10880020672</v>
          </cell>
        </row>
        <row r="164">
          <cell r="B164" t="str">
            <v>0011801039A</v>
          </cell>
          <cell r="C164">
            <v>10880020849</v>
          </cell>
        </row>
        <row r="165">
          <cell r="B165" t="str">
            <v>0011801039AM</v>
          </cell>
          <cell r="C165">
            <v>10880031242</v>
          </cell>
        </row>
        <row r="166">
          <cell r="B166" t="str">
            <v>0011801039AN</v>
          </cell>
          <cell r="C166">
            <v>10880031243</v>
          </cell>
        </row>
        <row r="167">
          <cell r="B167" t="str">
            <v>0011801039B</v>
          </cell>
          <cell r="C167">
            <v>10880020850</v>
          </cell>
        </row>
        <row r="168">
          <cell r="B168" t="str">
            <v>0011801039C</v>
          </cell>
          <cell r="C168">
            <v>10880020851</v>
          </cell>
        </row>
        <row r="169">
          <cell r="B169" t="str">
            <v>0011801039F</v>
          </cell>
          <cell r="C169">
            <v>10880020852</v>
          </cell>
        </row>
        <row r="170">
          <cell r="B170" t="str">
            <v>0011801039V</v>
          </cell>
          <cell r="C170">
            <v>10880020853</v>
          </cell>
        </row>
        <row r="171">
          <cell r="B171" t="str">
            <v>0011801039X</v>
          </cell>
          <cell r="C171">
            <v>10880020854</v>
          </cell>
        </row>
        <row r="172">
          <cell r="B172" t="str">
            <v>0011801040A</v>
          </cell>
        </row>
        <row r="173">
          <cell r="B173" t="str">
            <v>0011801040B</v>
          </cell>
        </row>
        <row r="174">
          <cell r="B174" t="str">
            <v>0011801048</v>
          </cell>
          <cell r="C174">
            <v>10880020878</v>
          </cell>
        </row>
        <row r="175">
          <cell r="B175" t="str">
            <v>0011801048A</v>
          </cell>
          <cell r="C175">
            <v>10880020694</v>
          </cell>
        </row>
        <row r="176">
          <cell r="B176" t="str">
            <v>0011801048AA</v>
          </cell>
          <cell r="C176">
            <v>10880029061</v>
          </cell>
        </row>
        <row r="177">
          <cell r="B177" t="str">
            <v>0011801048AB</v>
          </cell>
          <cell r="C177">
            <v>10880030668</v>
          </cell>
        </row>
        <row r="178">
          <cell r="B178" t="str">
            <v>0011801048AC</v>
          </cell>
          <cell r="C178">
            <v>10880029062</v>
          </cell>
        </row>
        <row r="179">
          <cell r="B179" t="str">
            <v>0011801048AE</v>
          </cell>
          <cell r="C179">
            <v>10880030607</v>
          </cell>
        </row>
        <row r="180">
          <cell r="B180" t="str">
            <v>0011801048AF</v>
          </cell>
          <cell r="C180">
            <v>10880030608</v>
          </cell>
        </row>
        <row r="181">
          <cell r="B181" t="str">
            <v>0011801048AG</v>
          </cell>
          <cell r="C181">
            <v>10880031138</v>
          </cell>
        </row>
        <row r="182">
          <cell r="B182" t="str">
            <v>0011801048AH</v>
          </cell>
          <cell r="C182">
            <v>10880031139</v>
          </cell>
        </row>
        <row r="183">
          <cell r="B183" t="str">
            <v>0011801048B</v>
          </cell>
          <cell r="C183">
            <v>10880020879</v>
          </cell>
        </row>
        <row r="184">
          <cell r="B184" t="str">
            <v>0011801048C</v>
          </cell>
          <cell r="C184">
            <v>10880020880</v>
          </cell>
        </row>
        <row r="185">
          <cell r="B185" t="str">
            <v>0011801048E</v>
          </cell>
          <cell r="C185">
            <v>10880020881</v>
          </cell>
        </row>
        <row r="186">
          <cell r="B186" t="str">
            <v>0011801048F</v>
          </cell>
          <cell r="C186">
            <v>10880020882</v>
          </cell>
        </row>
        <row r="187">
          <cell r="B187" t="str">
            <v>0011801048H</v>
          </cell>
          <cell r="C187">
            <v>10880020883</v>
          </cell>
        </row>
        <row r="188">
          <cell r="B188" t="str">
            <v>0011801048J</v>
          </cell>
          <cell r="C188">
            <v>10880020884</v>
          </cell>
        </row>
        <row r="189">
          <cell r="B189" t="str">
            <v>0011801048K</v>
          </cell>
          <cell r="C189">
            <v>10880020885</v>
          </cell>
        </row>
        <row r="190">
          <cell r="B190" t="str">
            <v>0011801048L</v>
          </cell>
          <cell r="C190">
            <v>10880020886</v>
          </cell>
        </row>
        <row r="191">
          <cell r="B191" t="str">
            <v>0011801071E</v>
          </cell>
          <cell r="C191">
            <v>10880031185</v>
          </cell>
        </row>
        <row r="192">
          <cell r="B192" t="str">
            <v>0011801100</v>
          </cell>
          <cell r="C192">
            <v>10880029079</v>
          </cell>
        </row>
        <row r="193">
          <cell r="B193" t="str">
            <v>0011801112A</v>
          </cell>
        </row>
        <row r="194">
          <cell r="B194" t="str">
            <v>0011801112B</v>
          </cell>
        </row>
        <row r="195">
          <cell r="B195" t="str">
            <v>0011801112C</v>
          </cell>
          <cell r="C195">
            <v>10880029955</v>
          </cell>
        </row>
        <row r="196">
          <cell r="B196" t="str">
            <v>0011801112F</v>
          </cell>
          <cell r="C196">
            <v>10880029956</v>
          </cell>
        </row>
        <row r="197">
          <cell r="B197" t="str">
            <v>0011801112H</v>
          </cell>
          <cell r="C197">
            <v>10880029108</v>
          </cell>
        </row>
        <row r="198">
          <cell r="B198" t="str">
            <v>0011801112J</v>
          </cell>
          <cell r="C198">
            <v>10880029951</v>
          </cell>
        </row>
        <row r="199">
          <cell r="B199" t="str">
            <v>0011801118AE</v>
          </cell>
          <cell r="C199" t="str">
            <v>暂无</v>
          </cell>
        </row>
        <row r="200">
          <cell r="B200" t="str">
            <v>0011801118AH</v>
          </cell>
          <cell r="C200" t="str">
            <v>暂无</v>
          </cell>
        </row>
        <row r="201">
          <cell r="B201" t="str">
            <v>0011801118BYD</v>
          </cell>
          <cell r="C201" t="str">
            <v>暂无</v>
          </cell>
        </row>
        <row r="202">
          <cell r="B202" t="str">
            <v>0011801119N</v>
          </cell>
          <cell r="C202">
            <v>10880030598</v>
          </cell>
        </row>
        <row r="203">
          <cell r="B203" t="str">
            <v>0011801119P</v>
          </cell>
          <cell r="C203">
            <v>10880030599</v>
          </cell>
        </row>
        <row r="204">
          <cell r="B204" t="str">
            <v>0011801119Q</v>
          </cell>
          <cell r="C204">
            <v>10880031362</v>
          </cell>
        </row>
        <row r="205">
          <cell r="B205" t="str">
            <v>0011801123F</v>
          </cell>
          <cell r="C205">
            <v>10880022440</v>
          </cell>
        </row>
        <row r="206">
          <cell r="B206" t="str">
            <v>0011801123G</v>
          </cell>
          <cell r="C206">
            <v>10880022441</v>
          </cell>
        </row>
        <row r="207">
          <cell r="B207" t="str">
            <v>0011801123H</v>
          </cell>
          <cell r="C207">
            <v>10880028306</v>
          </cell>
        </row>
        <row r="208">
          <cell r="B208" t="str">
            <v>0011801123J</v>
          </cell>
          <cell r="C208">
            <v>10880028307</v>
          </cell>
        </row>
        <row r="209">
          <cell r="B209" t="str">
            <v>0011801123K</v>
          </cell>
          <cell r="C209">
            <v>10880030338</v>
          </cell>
        </row>
        <row r="210">
          <cell r="B210" t="str">
            <v>0011801125</v>
          </cell>
          <cell r="C210">
            <v>10880029078</v>
          </cell>
        </row>
        <row r="211">
          <cell r="B211" t="str">
            <v>0011801125A</v>
          </cell>
          <cell r="C211">
            <v>10880030023</v>
          </cell>
        </row>
        <row r="212">
          <cell r="B212" t="str">
            <v>0011801150</v>
          </cell>
          <cell r="C212">
            <v>10880018856</v>
          </cell>
        </row>
        <row r="213">
          <cell r="B213" t="str">
            <v>0011801150A</v>
          </cell>
          <cell r="C213">
            <v>10880018857</v>
          </cell>
        </row>
        <row r="214">
          <cell r="B214" t="str">
            <v>0011801150D</v>
          </cell>
          <cell r="C214">
            <v>10880018859</v>
          </cell>
        </row>
        <row r="215">
          <cell r="B215" t="str">
            <v>0011801150E</v>
          </cell>
          <cell r="C215">
            <v>10880018858</v>
          </cell>
        </row>
        <row r="216">
          <cell r="B216" t="str">
            <v>0011801150G</v>
          </cell>
          <cell r="C216">
            <v>10880013152</v>
          </cell>
        </row>
        <row r="217">
          <cell r="B217" t="str">
            <v>0011801150J</v>
          </cell>
          <cell r="C217">
            <v>10880013759</v>
          </cell>
        </row>
        <row r="218">
          <cell r="B218" t="str">
            <v>0011801172</v>
          </cell>
          <cell r="C218">
            <v>10880020777</v>
          </cell>
        </row>
        <row r="219">
          <cell r="B219" t="str">
            <v>0011801172AB</v>
          </cell>
          <cell r="C219">
            <v>10880020778</v>
          </cell>
        </row>
        <row r="220">
          <cell r="B220" t="str">
            <v>0011801172AC</v>
          </cell>
          <cell r="C220">
            <v>10880020779</v>
          </cell>
        </row>
        <row r="221">
          <cell r="B221" t="str">
            <v>0011801172AD</v>
          </cell>
          <cell r="C221">
            <v>10880020780</v>
          </cell>
        </row>
        <row r="222">
          <cell r="B222" t="str">
            <v>0011801172AG</v>
          </cell>
          <cell r="C222">
            <v>10880020558</v>
          </cell>
        </row>
        <row r="223">
          <cell r="B223" t="str">
            <v>0011801172AH</v>
          </cell>
          <cell r="C223">
            <v>10880020781</v>
          </cell>
        </row>
        <row r="224">
          <cell r="B224" t="str">
            <v>0011801172AJ</v>
          </cell>
          <cell r="C224">
            <v>10880020782</v>
          </cell>
        </row>
        <row r="225">
          <cell r="B225" t="str">
            <v>0011801172AK</v>
          </cell>
          <cell r="C225">
            <v>10880020783</v>
          </cell>
        </row>
        <row r="226">
          <cell r="B226" t="str">
            <v>0011801172AS</v>
          </cell>
          <cell r="C226">
            <v>10880020784</v>
          </cell>
        </row>
        <row r="227">
          <cell r="B227" t="str">
            <v>0011801172AT</v>
          </cell>
          <cell r="C227">
            <v>10880020785</v>
          </cell>
        </row>
        <row r="228">
          <cell r="B228" t="str">
            <v>0011801172AU</v>
          </cell>
          <cell r="C228">
            <v>10880020786</v>
          </cell>
        </row>
        <row r="229">
          <cell r="B229" t="str">
            <v>0011801172AV</v>
          </cell>
          <cell r="C229">
            <v>10880021269</v>
          </cell>
        </row>
        <row r="230">
          <cell r="B230" t="str">
            <v>0011801172BA</v>
          </cell>
          <cell r="C230">
            <v>10880020800</v>
          </cell>
        </row>
        <row r="231">
          <cell r="B231" t="str">
            <v>0011801172BC</v>
          </cell>
          <cell r="C231">
            <v>10880020801</v>
          </cell>
        </row>
        <row r="232">
          <cell r="B232" t="str">
            <v>0011801172BD</v>
          </cell>
          <cell r="C232">
            <v>10880020802</v>
          </cell>
        </row>
        <row r="233">
          <cell r="B233" t="str">
            <v>0011801172BG</v>
          </cell>
          <cell r="C233">
            <v>10880021885</v>
          </cell>
        </row>
        <row r="234">
          <cell r="B234" t="str">
            <v>0011801172BK</v>
          </cell>
          <cell r="C234">
            <v>10880020799</v>
          </cell>
        </row>
        <row r="235">
          <cell r="B235" t="str">
            <v>0011801172BR</v>
          </cell>
          <cell r="C235">
            <v>10880022010</v>
          </cell>
        </row>
        <row r="236">
          <cell r="B236" t="str">
            <v>0011801172BT</v>
          </cell>
          <cell r="C236">
            <v>10880020798</v>
          </cell>
        </row>
        <row r="237">
          <cell r="B237" t="str">
            <v>0011801172C</v>
          </cell>
          <cell r="C237">
            <v>10880020787</v>
          </cell>
        </row>
        <row r="238">
          <cell r="B238" t="str">
            <v>0011801172CG</v>
          </cell>
          <cell r="C238">
            <v>10880021268</v>
          </cell>
        </row>
        <row r="239">
          <cell r="B239" t="str">
            <v>0011801172CH</v>
          </cell>
          <cell r="C239">
            <v>10880021476</v>
          </cell>
        </row>
        <row r="240">
          <cell r="B240" t="str">
            <v>0011801172CJ</v>
          </cell>
          <cell r="C240">
            <v>10880028469</v>
          </cell>
        </row>
        <row r="241">
          <cell r="B241" t="str">
            <v>0011801172CR</v>
          </cell>
          <cell r="C241">
            <v>10880030433</v>
          </cell>
        </row>
        <row r="242">
          <cell r="B242" t="str">
            <v>0011801172CT</v>
          </cell>
          <cell r="C242">
            <v>10880031187</v>
          </cell>
        </row>
        <row r="243">
          <cell r="B243" t="str">
            <v>0011801172CU</v>
          </cell>
          <cell r="C243">
            <v>10880031186</v>
          </cell>
        </row>
        <row r="244">
          <cell r="B244" t="str">
            <v>0011801172CW</v>
          </cell>
          <cell r="C244">
            <v>10880031097</v>
          </cell>
        </row>
        <row r="245">
          <cell r="B245" t="str">
            <v>0011801172DK</v>
          </cell>
          <cell r="C245">
            <v>10880035979</v>
          </cell>
        </row>
        <row r="246">
          <cell r="B246" t="str">
            <v>0011801172DL</v>
          </cell>
          <cell r="C246">
            <v>10880035982</v>
          </cell>
        </row>
        <row r="247">
          <cell r="B247" t="str">
            <v>0011801172DM</v>
          </cell>
          <cell r="C247">
            <v>10880035981</v>
          </cell>
        </row>
        <row r="248">
          <cell r="B248" t="str">
            <v>0011801172DN</v>
          </cell>
          <cell r="C248">
            <v>10880035980</v>
          </cell>
        </row>
        <row r="249">
          <cell r="B249" t="str">
            <v>0011801172E</v>
          </cell>
          <cell r="C249">
            <v>10880020788</v>
          </cell>
        </row>
        <row r="250">
          <cell r="B250" t="str">
            <v>0011801172FB</v>
          </cell>
          <cell r="C250">
            <v>10880034055</v>
          </cell>
        </row>
        <row r="251">
          <cell r="B251" t="str">
            <v>0011801172FD</v>
          </cell>
          <cell r="C251">
            <v>10880034056</v>
          </cell>
        </row>
        <row r="252">
          <cell r="B252" t="str">
            <v>0011801172G</v>
          </cell>
          <cell r="C252">
            <v>10880020789</v>
          </cell>
        </row>
        <row r="253">
          <cell r="B253" t="str">
            <v>0011801172H</v>
          </cell>
          <cell r="C253">
            <v>10880020791</v>
          </cell>
        </row>
        <row r="254">
          <cell r="B254" t="str">
            <v>0011801172N</v>
          </cell>
          <cell r="C254">
            <v>10880020774</v>
          </cell>
        </row>
        <row r="255">
          <cell r="B255" t="str">
            <v>0011801172Q</v>
          </cell>
          <cell r="C255">
            <v>10880020792</v>
          </cell>
        </row>
        <row r="256">
          <cell r="B256" t="str">
            <v>0011801172R</v>
          </cell>
          <cell r="C256">
            <v>10880020793</v>
          </cell>
        </row>
        <row r="257">
          <cell r="B257" t="str">
            <v>0011801172S</v>
          </cell>
          <cell r="C257">
            <v>10880020775</v>
          </cell>
        </row>
        <row r="258">
          <cell r="B258" t="str">
            <v>0011801172T</v>
          </cell>
          <cell r="C258">
            <v>10880020794</v>
          </cell>
        </row>
        <row r="259">
          <cell r="B259" t="str">
            <v>0011801172W</v>
          </cell>
          <cell r="C259">
            <v>10880020795</v>
          </cell>
        </row>
        <row r="260">
          <cell r="B260" t="str">
            <v>0011801172X</v>
          </cell>
          <cell r="C260">
            <v>10880020796</v>
          </cell>
        </row>
        <row r="261">
          <cell r="B261" t="str">
            <v>0011801172Y</v>
          </cell>
          <cell r="C261">
            <v>10880020776</v>
          </cell>
        </row>
        <row r="262">
          <cell r="B262" t="str">
            <v>0011801172Z</v>
          </cell>
          <cell r="C262">
            <v>10880020797</v>
          </cell>
        </row>
        <row r="263">
          <cell r="B263" t="str">
            <v>0011801256B</v>
          </cell>
          <cell r="C263">
            <v>10880021029</v>
          </cell>
        </row>
        <row r="264">
          <cell r="B264" t="str">
            <v>0011801256L</v>
          </cell>
          <cell r="C264">
            <v>10880021311</v>
          </cell>
        </row>
        <row r="265">
          <cell r="B265" t="str">
            <v>0011801256M</v>
          </cell>
          <cell r="C265">
            <v>10880021318</v>
          </cell>
        </row>
        <row r="266">
          <cell r="B266" t="str">
            <v>0011801256R</v>
          </cell>
          <cell r="C266">
            <v>10880021416</v>
          </cell>
        </row>
        <row r="267">
          <cell r="B267" t="str">
            <v>0011801256S</v>
          </cell>
          <cell r="C267">
            <v>10880028346</v>
          </cell>
        </row>
        <row r="268">
          <cell r="B268" t="str">
            <v>0011801265</v>
          </cell>
          <cell r="C268" t="str">
            <v>暂无</v>
          </cell>
        </row>
        <row r="269">
          <cell r="B269" t="str">
            <v>0011801270A</v>
          </cell>
          <cell r="C269">
            <v>10880028118</v>
          </cell>
        </row>
        <row r="270">
          <cell r="B270" t="str">
            <v>0011801302</v>
          </cell>
        </row>
        <row r="271">
          <cell r="B271" t="str">
            <v>0011801303</v>
          </cell>
          <cell r="C271">
            <v>10880031018</v>
          </cell>
        </row>
        <row r="272">
          <cell r="B272" t="str">
            <v>0011801327</v>
          </cell>
          <cell r="C272">
            <v>10880020048</v>
          </cell>
        </row>
        <row r="273">
          <cell r="B273" t="str">
            <v>0011801330</v>
          </cell>
          <cell r="C273">
            <v>10880021338</v>
          </cell>
        </row>
        <row r="274">
          <cell r="B274" t="str">
            <v>0011801330A</v>
          </cell>
          <cell r="C274">
            <v>10880021339</v>
          </cell>
        </row>
        <row r="275">
          <cell r="B275" t="str">
            <v>0011801330C</v>
          </cell>
          <cell r="C275">
            <v>10880031307</v>
          </cell>
        </row>
        <row r="276">
          <cell r="B276" t="str">
            <v>0011801330G</v>
          </cell>
          <cell r="C276">
            <v>10880031182</v>
          </cell>
        </row>
        <row r="277">
          <cell r="B277" t="str">
            <v>0011801330H</v>
          </cell>
          <cell r="C277">
            <v>10880031183</v>
          </cell>
        </row>
        <row r="278">
          <cell r="B278" t="str">
            <v>0011801330J</v>
          </cell>
          <cell r="C278">
            <v>10880031184</v>
          </cell>
        </row>
        <row r="279">
          <cell r="B279" t="str">
            <v>0011801372</v>
          </cell>
        </row>
        <row r="280">
          <cell r="B280" t="str">
            <v>0011801372A</v>
          </cell>
          <cell r="C280">
            <v>10880020208</v>
          </cell>
        </row>
        <row r="281">
          <cell r="B281" t="str">
            <v>0011801372B</v>
          </cell>
          <cell r="C281">
            <v>10880020677</v>
          </cell>
        </row>
        <row r="282">
          <cell r="B282" t="str">
            <v>0011801372C</v>
          </cell>
          <cell r="C282">
            <v>10880020678</v>
          </cell>
        </row>
        <row r="283">
          <cell r="B283" t="str">
            <v>0011801372D</v>
          </cell>
          <cell r="C283">
            <v>10880020681</v>
          </cell>
        </row>
        <row r="284">
          <cell r="B284" t="str">
            <v>0011801372F</v>
          </cell>
          <cell r="C284">
            <v>10880020209</v>
          </cell>
        </row>
        <row r="285">
          <cell r="B285" t="str">
            <v>0011801372G</v>
          </cell>
          <cell r="C285">
            <v>10880020940</v>
          </cell>
        </row>
        <row r="286">
          <cell r="B286" t="str">
            <v>0011801423AB</v>
          </cell>
          <cell r="C286">
            <v>10880030132</v>
          </cell>
        </row>
        <row r="287">
          <cell r="B287" t="str">
            <v>0011801424A</v>
          </cell>
          <cell r="C287">
            <v>10880018096</v>
          </cell>
        </row>
        <row r="288">
          <cell r="B288" t="str">
            <v>0011801424AA</v>
          </cell>
          <cell r="C288">
            <v>10880021344</v>
          </cell>
        </row>
        <row r="289">
          <cell r="B289" t="str">
            <v>0011801424AB</v>
          </cell>
          <cell r="C289">
            <v>10880021345</v>
          </cell>
        </row>
        <row r="290">
          <cell r="B290" t="str">
            <v>0011801424AE</v>
          </cell>
          <cell r="C290">
            <v>10880021015</v>
          </cell>
        </row>
        <row r="291">
          <cell r="B291" t="str">
            <v>0011801424AF</v>
          </cell>
          <cell r="C291">
            <v>10880021019</v>
          </cell>
        </row>
        <row r="292">
          <cell r="B292" t="str">
            <v>0011801424AP</v>
          </cell>
          <cell r="C292">
            <v>10880029156</v>
          </cell>
        </row>
        <row r="293">
          <cell r="B293" t="str">
            <v>0011801424AT</v>
          </cell>
          <cell r="C293">
            <v>10880030920</v>
          </cell>
        </row>
        <row r="294">
          <cell r="B294" t="str">
            <v>0011801424AV</v>
          </cell>
          <cell r="C294">
            <v>10880031135</v>
          </cell>
        </row>
        <row r="295">
          <cell r="B295" t="str">
            <v>0011801424AW</v>
          </cell>
          <cell r="C295">
            <v>10880030734</v>
          </cell>
        </row>
        <row r="296">
          <cell r="B296" t="str">
            <v>0011801424AX</v>
          </cell>
          <cell r="C296">
            <v>10880030742</v>
          </cell>
        </row>
        <row r="297">
          <cell r="B297" t="str">
            <v>0011801424AY</v>
          </cell>
          <cell r="C297">
            <v>10880031136</v>
          </cell>
        </row>
        <row r="298">
          <cell r="B298" t="str">
            <v>0011801424AZ</v>
          </cell>
          <cell r="C298">
            <v>10880030738</v>
          </cell>
        </row>
        <row r="299">
          <cell r="B299" t="str">
            <v>0011801424B</v>
          </cell>
          <cell r="C299">
            <v>10880018097</v>
          </cell>
        </row>
        <row r="300">
          <cell r="B300" t="str">
            <v>0011801424BA</v>
          </cell>
          <cell r="C300">
            <v>10880031317</v>
          </cell>
        </row>
        <row r="301">
          <cell r="B301" t="str">
            <v>0011801424BG</v>
          </cell>
          <cell r="C301">
            <v>10880033273</v>
          </cell>
        </row>
        <row r="302">
          <cell r="B302" t="str">
            <v>0011801424BP</v>
          </cell>
          <cell r="C302">
            <v>10880036721</v>
          </cell>
        </row>
        <row r="303">
          <cell r="B303" t="str">
            <v>0011801424C</v>
          </cell>
          <cell r="C303">
            <v>10880019240</v>
          </cell>
        </row>
        <row r="304">
          <cell r="B304" t="str">
            <v>0011801424D</v>
          </cell>
          <cell r="C304">
            <v>10880019241</v>
          </cell>
        </row>
        <row r="305">
          <cell r="B305" t="str">
            <v>0011801424E</v>
          </cell>
          <cell r="C305">
            <v>10880019036</v>
          </cell>
        </row>
        <row r="306">
          <cell r="B306" t="str">
            <v>0011801424F</v>
          </cell>
          <cell r="C306">
            <v>10880019037</v>
          </cell>
        </row>
        <row r="307">
          <cell r="B307" t="str">
            <v>0011801424G</v>
          </cell>
          <cell r="C307">
            <v>10880021172</v>
          </cell>
        </row>
        <row r="308">
          <cell r="B308" t="str">
            <v>0011801424H</v>
          </cell>
          <cell r="C308">
            <v>10880019039</v>
          </cell>
        </row>
        <row r="309">
          <cell r="B309" t="str">
            <v>0011801424J</v>
          </cell>
          <cell r="C309">
            <v>10880019040</v>
          </cell>
        </row>
        <row r="310">
          <cell r="B310" t="str">
            <v>0011801424K</v>
          </cell>
          <cell r="C310">
            <v>10880021173</v>
          </cell>
        </row>
        <row r="311">
          <cell r="B311" t="str">
            <v>0011801424L</v>
          </cell>
          <cell r="C311">
            <v>10880021174</v>
          </cell>
        </row>
        <row r="312">
          <cell r="B312" t="str">
            <v>0011801424M</v>
          </cell>
          <cell r="C312">
            <v>10880019038</v>
          </cell>
        </row>
        <row r="313">
          <cell r="B313" t="str">
            <v>0011801424N</v>
          </cell>
          <cell r="C313">
            <v>10880021175</v>
          </cell>
        </row>
        <row r="314">
          <cell r="B314" t="str">
            <v>0011801424V</v>
          </cell>
          <cell r="C314">
            <v>10880019041</v>
          </cell>
        </row>
        <row r="315">
          <cell r="B315" t="str">
            <v>0011801424W</v>
          </cell>
          <cell r="C315">
            <v>10880019042</v>
          </cell>
        </row>
        <row r="316">
          <cell r="B316" t="str">
            <v>0011801424X</v>
          </cell>
          <cell r="C316">
            <v>10880021895</v>
          </cell>
        </row>
        <row r="317">
          <cell r="B317" t="str">
            <v>0011801424Y</v>
          </cell>
          <cell r="C317">
            <v>10880020005</v>
          </cell>
        </row>
        <row r="318">
          <cell r="B318" t="str">
            <v>0011801424Z</v>
          </cell>
          <cell r="C318">
            <v>10880020640</v>
          </cell>
        </row>
        <row r="319">
          <cell r="B319" t="str">
            <v>0011801425AA</v>
          </cell>
          <cell r="C319">
            <v>10880033216</v>
          </cell>
        </row>
        <row r="320">
          <cell r="B320" t="str">
            <v>0011801425D</v>
          </cell>
          <cell r="C320">
            <v>10880020187</v>
          </cell>
        </row>
        <row r="321">
          <cell r="B321" t="str">
            <v>0011801425E</v>
          </cell>
          <cell r="C321">
            <v>10880020189</v>
          </cell>
        </row>
        <row r="322">
          <cell r="B322" t="str">
            <v>0011801425F</v>
          </cell>
          <cell r="C322">
            <v>10880020192</v>
          </cell>
        </row>
        <row r="323">
          <cell r="B323" t="str">
            <v>0011801425G</v>
          </cell>
          <cell r="C323" t="str">
            <v>暂无</v>
          </cell>
        </row>
        <row r="324">
          <cell r="B324" t="str">
            <v>0011801425H</v>
          </cell>
          <cell r="C324" t="str">
            <v>暂无</v>
          </cell>
        </row>
        <row r="325">
          <cell r="B325" t="str">
            <v>0011801425J</v>
          </cell>
          <cell r="C325" t="str">
            <v>暂无</v>
          </cell>
        </row>
        <row r="326">
          <cell r="B326" t="str">
            <v>0011801425K</v>
          </cell>
          <cell r="C326" t="str">
            <v>暂无</v>
          </cell>
        </row>
        <row r="327">
          <cell r="B327" t="str">
            <v>0011801425L</v>
          </cell>
          <cell r="C327" t="str">
            <v>暂无</v>
          </cell>
        </row>
        <row r="328">
          <cell r="B328" t="str">
            <v>0011801425M</v>
          </cell>
          <cell r="C328" t="str">
            <v>暂无</v>
          </cell>
        </row>
        <row r="329">
          <cell r="B329" t="str">
            <v>0011801425N</v>
          </cell>
          <cell r="C329">
            <v>10880019434</v>
          </cell>
        </row>
        <row r="330">
          <cell r="B330" t="str">
            <v>0011801425P</v>
          </cell>
          <cell r="C330">
            <v>10880019205</v>
          </cell>
        </row>
        <row r="331">
          <cell r="B331" t="str">
            <v>0011801425T</v>
          </cell>
          <cell r="C331">
            <v>10880020157</v>
          </cell>
        </row>
        <row r="332">
          <cell r="B332" t="str">
            <v>0011801425W</v>
          </cell>
          <cell r="C332">
            <v>10880027957</v>
          </cell>
        </row>
        <row r="333">
          <cell r="B333" t="str">
            <v>0011801425X</v>
          </cell>
          <cell r="C333">
            <v>10880027958</v>
          </cell>
        </row>
        <row r="334">
          <cell r="B334" t="str">
            <v>0011801429</v>
          </cell>
          <cell r="C334">
            <v>10880019801</v>
          </cell>
        </row>
        <row r="335">
          <cell r="B335" t="str">
            <v>0011801452</v>
          </cell>
          <cell r="C335">
            <v>10880019018</v>
          </cell>
        </row>
        <row r="336">
          <cell r="B336" t="str">
            <v>0011801482</v>
          </cell>
          <cell r="C336">
            <v>10880031304</v>
          </cell>
        </row>
        <row r="337">
          <cell r="B337" t="str">
            <v>0011801482A</v>
          </cell>
          <cell r="C337">
            <v>10880033217</v>
          </cell>
        </row>
        <row r="338">
          <cell r="B338" t="str">
            <v>0011801490BS</v>
          </cell>
          <cell r="C338">
            <v>10880036434</v>
          </cell>
        </row>
        <row r="339">
          <cell r="B339" t="str">
            <v>0011801490BT</v>
          </cell>
          <cell r="C339">
            <v>10880036361</v>
          </cell>
        </row>
        <row r="340">
          <cell r="B340" t="str">
            <v>0011801490E</v>
          </cell>
          <cell r="C340">
            <v>10880033136</v>
          </cell>
        </row>
        <row r="341">
          <cell r="B341" t="str">
            <v>0011801490F</v>
          </cell>
          <cell r="C341">
            <v>10880033137</v>
          </cell>
        </row>
        <row r="342">
          <cell r="B342" t="str">
            <v>0011801497</v>
          </cell>
          <cell r="C342">
            <v>10880022066</v>
          </cell>
        </row>
        <row r="343">
          <cell r="B343" t="str">
            <v>0011801497 </v>
          </cell>
        </row>
        <row r="344">
          <cell r="B344" t="str">
            <v>0011801516</v>
          </cell>
          <cell r="C344">
            <v>10880030596</v>
          </cell>
        </row>
        <row r="345">
          <cell r="B345" t="str">
            <v>0011801516C</v>
          </cell>
          <cell r="C345">
            <v>10880031846</v>
          </cell>
        </row>
        <row r="346">
          <cell r="B346" t="str">
            <v>0011801516D</v>
          </cell>
          <cell r="C346">
            <v>10880031847</v>
          </cell>
        </row>
        <row r="347">
          <cell r="B347" t="str">
            <v>0011801516E</v>
          </cell>
          <cell r="C347">
            <v>10880031856</v>
          </cell>
        </row>
        <row r="348">
          <cell r="B348" t="str">
            <v>0011801522</v>
          </cell>
          <cell r="C348">
            <v>10880022434</v>
          </cell>
        </row>
        <row r="349">
          <cell r="B349" t="str">
            <v>0011801522A</v>
          </cell>
          <cell r="C349">
            <v>10880022435</v>
          </cell>
        </row>
        <row r="350">
          <cell r="B350" t="str">
            <v>0011801522B</v>
          </cell>
          <cell r="C350">
            <v>10880022436</v>
          </cell>
        </row>
        <row r="351">
          <cell r="B351" t="str">
            <v>0011801522转接板</v>
          </cell>
          <cell r="C351">
            <v>10880030410</v>
          </cell>
        </row>
        <row r="352">
          <cell r="B352" t="str">
            <v>0011801583A</v>
          </cell>
          <cell r="C352">
            <v>10880021612</v>
          </cell>
        </row>
        <row r="353">
          <cell r="B353" t="str">
            <v>0011801583C</v>
          </cell>
          <cell r="C353">
            <v>10880027849</v>
          </cell>
        </row>
        <row r="354">
          <cell r="B354" t="str">
            <v>0011801583K</v>
          </cell>
          <cell r="C354">
            <v>10880030843</v>
          </cell>
        </row>
        <row r="355">
          <cell r="B355" t="str">
            <v>0011801593</v>
          </cell>
          <cell r="C355">
            <v>10880030320</v>
          </cell>
        </row>
        <row r="356">
          <cell r="B356" t="str">
            <v>0011801593A</v>
          </cell>
          <cell r="C356">
            <v>10880031157</v>
          </cell>
        </row>
        <row r="357">
          <cell r="B357" t="str">
            <v>0011801593B</v>
          </cell>
          <cell r="C357">
            <v>10880031159</v>
          </cell>
        </row>
        <row r="358">
          <cell r="B358" t="str">
            <v>0011801593C</v>
          </cell>
          <cell r="C358">
            <v>10880031160</v>
          </cell>
        </row>
        <row r="359">
          <cell r="B359" t="str">
            <v>0011801593D</v>
          </cell>
          <cell r="C359">
            <v>10880031161</v>
          </cell>
        </row>
        <row r="360">
          <cell r="B360" t="str">
            <v>0011801604</v>
          </cell>
        </row>
        <row r="361">
          <cell r="B361" t="str">
            <v>0011801606</v>
          </cell>
          <cell r="C361">
            <v>10880028169</v>
          </cell>
        </row>
        <row r="362">
          <cell r="B362" t="str">
            <v>0011801606D</v>
          </cell>
          <cell r="C362">
            <v>10880030838</v>
          </cell>
        </row>
        <row r="363">
          <cell r="B363" t="str">
            <v>0011801606E</v>
          </cell>
          <cell r="C363">
            <v>10880030840</v>
          </cell>
        </row>
        <row r="364">
          <cell r="B364" t="str">
            <v>0011801606F</v>
          </cell>
          <cell r="C364">
            <v>10880030841</v>
          </cell>
        </row>
        <row r="365">
          <cell r="B365" t="str">
            <v>0011801640</v>
          </cell>
          <cell r="C365">
            <v>10880031015</v>
          </cell>
        </row>
        <row r="366">
          <cell r="B366" t="str">
            <v>0011801644</v>
          </cell>
          <cell r="C366">
            <v>10880022471</v>
          </cell>
        </row>
        <row r="367">
          <cell r="B367" t="str">
            <v>0011801652</v>
          </cell>
          <cell r="C367">
            <v>10880029957</v>
          </cell>
        </row>
        <row r="368">
          <cell r="B368" t="str">
            <v>0011801652A</v>
          </cell>
          <cell r="C368">
            <v>10880030784</v>
          </cell>
        </row>
        <row r="369">
          <cell r="B369" t="str">
            <v>0011801656</v>
          </cell>
          <cell r="C369">
            <v>10880030976</v>
          </cell>
        </row>
        <row r="370">
          <cell r="B370" t="str">
            <v>0011801656A</v>
          </cell>
          <cell r="C370">
            <v>10880033279</v>
          </cell>
        </row>
        <row r="371">
          <cell r="B371" t="str">
            <v>0011801657</v>
          </cell>
          <cell r="C371">
            <v>10880030977</v>
          </cell>
        </row>
        <row r="372">
          <cell r="B372" t="str">
            <v>0011801657A</v>
          </cell>
          <cell r="C372">
            <v>10880033280</v>
          </cell>
        </row>
        <row r="373">
          <cell r="B373" t="str">
            <v>0011801659</v>
          </cell>
          <cell r="C373">
            <v>10880029958</v>
          </cell>
        </row>
        <row r="374">
          <cell r="B374" t="str">
            <v>0011801675A</v>
          </cell>
          <cell r="C374">
            <v>10880036764</v>
          </cell>
        </row>
        <row r="375">
          <cell r="B375" t="str">
            <v>0011801675AB</v>
          </cell>
          <cell r="C375">
            <v>10880035534</v>
          </cell>
        </row>
        <row r="376">
          <cell r="B376" t="str">
            <v>0011801675AD</v>
          </cell>
          <cell r="C376">
            <v>10880035533</v>
          </cell>
        </row>
        <row r="377">
          <cell r="B377" t="str">
            <v>0011801675AE</v>
          </cell>
          <cell r="C377">
            <v>10880036325</v>
          </cell>
        </row>
        <row r="378">
          <cell r="B378" t="str">
            <v>0011801675AF</v>
          </cell>
          <cell r="C378">
            <v>10880035788</v>
          </cell>
        </row>
        <row r="379">
          <cell r="B379" t="str">
            <v>0011801675AP</v>
          </cell>
          <cell r="C379">
            <v>10880035535</v>
          </cell>
        </row>
        <row r="380">
          <cell r="B380" t="str">
            <v>0011801675A旧</v>
          </cell>
          <cell r="C380">
            <v>10880033974</v>
          </cell>
        </row>
        <row r="381">
          <cell r="B381" t="str">
            <v>0011801675B</v>
          </cell>
          <cell r="C381">
            <v>10880036760</v>
          </cell>
        </row>
        <row r="382">
          <cell r="B382" t="str">
            <v>0011801675B旧</v>
          </cell>
          <cell r="C382">
            <v>10880033976</v>
          </cell>
        </row>
        <row r="383">
          <cell r="B383" t="str">
            <v>0011801675C</v>
          </cell>
          <cell r="C383">
            <v>10880036761</v>
          </cell>
        </row>
        <row r="384">
          <cell r="B384" t="str">
            <v>0011801675C旧</v>
          </cell>
          <cell r="C384">
            <v>10880034933</v>
          </cell>
        </row>
        <row r="385">
          <cell r="B385" t="str">
            <v>0011801675G</v>
          </cell>
          <cell r="C385">
            <v>10880035232</v>
          </cell>
        </row>
        <row r="386">
          <cell r="B386" t="str">
            <v>0011801675H</v>
          </cell>
          <cell r="C386">
            <v>10880035512</v>
          </cell>
        </row>
        <row r="387">
          <cell r="B387" t="str">
            <v>0011801675J</v>
          </cell>
          <cell r="C387">
            <v>10880036348</v>
          </cell>
        </row>
        <row r="388">
          <cell r="B388" t="str">
            <v>0011801675K</v>
          </cell>
          <cell r="C388">
            <v>10880036349</v>
          </cell>
        </row>
        <row r="389">
          <cell r="B389" t="str">
            <v>0011801682</v>
          </cell>
          <cell r="C389">
            <v>10880031000</v>
          </cell>
        </row>
        <row r="390">
          <cell r="B390" t="str">
            <v>0011801685</v>
          </cell>
          <cell r="C390">
            <v>10880033911</v>
          </cell>
        </row>
        <row r="391">
          <cell r="B391" t="str">
            <v>0011801713</v>
          </cell>
          <cell r="C391">
            <v>10880028834</v>
          </cell>
        </row>
        <row r="392">
          <cell r="B392" t="str">
            <v>0011801713A</v>
          </cell>
          <cell r="C392">
            <v>10880033721</v>
          </cell>
        </row>
        <row r="393">
          <cell r="B393" t="str">
            <v>0011801716</v>
          </cell>
          <cell r="C393">
            <v>10880030491</v>
          </cell>
        </row>
        <row r="394">
          <cell r="B394" t="str">
            <v>0011801716A</v>
          </cell>
          <cell r="C394">
            <v>10880030533</v>
          </cell>
        </row>
        <row r="395">
          <cell r="B395" t="str">
            <v>0011801720</v>
          </cell>
          <cell r="C395">
            <v>10880031113</v>
          </cell>
        </row>
        <row r="396">
          <cell r="B396" t="str">
            <v>0011801720A</v>
          </cell>
          <cell r="C396">
            <v>10880031114</v>
          </cell>
        </row>
        <row r="397">
          <cell r="B397" t="str">
            <v>0011801720B</v>
          </cell>
          <cell r="C397">
            <v>10880031115</v>
          </cell>
        </row>
        <row r="398">
          <cell r="B398" t="str">
            <v>0011801736</v>
          </cell>
          <cell r="C398">
            <v>10880030123</v>
          </cell>
        </row>
        <row r="399">
          <cell r="B399" t="str">
            <v>0011801737</v>
          </cell>
          <cell r="C399">
            <v>10880030124</v>
          </cell>
        </row>
        <row r="400">
          <cell r="B400" t="str">
            <v>0011801737A</v>
          </cell>
          <cell r="C400">
            <v>10880030188</v>
          </cell>
        </row>
        <row r="401">
          <cell r="B401" t="str">
            <v>0011801738</v>
          </cell>
          <cell r="C401">
            <v>10880028832</v>
          </cell>
        </row>
        <row r="402">
          <cell r="B402" t="str">
            <v>0011801825</v>
          </cell>
          <cell r="C402">
            <v>10880030620</v>
          </cell>
        </row>
        <row r="403">
          <cell r="B403" t="str">
            <v>0011801826</v>
          </cell>
          <cell r="C403">
            <v>10880030931</v>
          </cell>
        </row>
        <row r="404">
          <cell r="B404" t="str">
            <v>0011801838</v>
          </cell>
          <cell r="C404">
            <v>10880034429</v>
          </cell>
        </row>
        <row r="405">
          <cell r="B405" t="str">
            <v>0011801843AN</v>
          </cell>
          <cell r="C405">
            <v>10880036480</v>
          </cell>
        </row>
        <row r="406">
          <cell r="B406" t="str">
            <v>0011801843D</v>
          </cell>
          <cell r="C406">
            <v>10880034946</v>
          </cell>
        </row>
        <row r="407">
          <cell r="B407" t="str">
            <v>0011801843E</v>
          </cell>
          <cell r="C407">
            <v>10880034961</v>
          </cell>
        </row>
        <row r="408">
          <cell r="B408" t="str">
            <v>0011801843F</v>
          </cell>
          <cell r="C408">
            <v>10880034962</v>
          </cell>
        </row>
        <row r="409">
          <cell r="B409" t="str">
            <v>0011801843X</v>
          </cell>
          <cell r="C409">
            <v>10880035653</v>
          </cell>
        </row>
        <row r="410">
          <cell r="B410" t="str">
            <v>0011801843Y</v>
          </cell>
          <cell r="C410">
            <v>10880035661</v>
          </cell>
        </row>
        <row r="411">
          <cell r="B411" t="str">
            <v>0011801850</v>
          </cell>
          <cell r="C411">
            <v>10880033251</v>
          </cell>
        </row>
        <row r="412">
          <cell r="B412" t="str">
            <v>0011801850A</v>
          </cell>
          <cell r="C412">
            <v>10880033252</v>
          </cell>
        </row>
        <row r="413">
          <cell r="B413" t="str">
            <v>0011801850AA</v>
          </cell>
          <cell r="C413">
            <v>10880037971</v>
          </cell>
        </row>
        <row r="414">
          <cell r="B414" t="str">
            <v>0011801850B</v>
          </cell>
          <cell r="C414">
            <v>10880037969</v>
          </cell>
        </row>
        <row r="415">
          <cell r="B415" t="str">
            <v>0011801851</v>
          </cell>
          <cell r="C415">
            <v>10880033714</v>
          </cell>
        </row>
        <row r="416">
          <cell r="B416" t="str">
            <v>0011801890</v>
          </cell>
          <cell r="C416">
            <v>10880033805</v>
          </cell>
        </row>
        <row r="417">
          <cell r="B417" t="str">
            <v>0011801890C</v>
          </cell>
          <cell r="C417">
            <v>10880036350</v>
          </cell>
        </row>
        <row r="418">
          <cell r="B418" t="str">
            <v>0011801920</v>
          </cell>
          <cell r="C418">
            <v>10880033775</v>
          </cell>
        </row>
        <row r="419">
          <cell r="B419" t="str">
            <v>0011801922</v>
          </cell>
          <cell r="C419">
            <v>10880036432</v>
          </cell>
        </row>
        <row r="420">
          <cell r="B420" t="str">
            <v>0011801953</v>
          </cell>
          <cell r="C420">
            <v>10880033995</v>
          </cell>
        </row>
        <row r="421">
          <cell r="B421" t="str">
            <v>0011801922G</v>
          </cell>
          <cell r="C421">
            <v>10880038123</v>
          </cell>
        </row>
        <row r="422">
          <cell r="B422" t="str">
            <v>0011801922H</v>
          </cell>
          <cell r="C422">
            <v>10880038124</v>
          </cell>
        </row>
        <row r="423">
          <cell r="B423" t="str">
            <v>0011801922J</v>
          </cell>
          <cell r="C423">
            <v>10880038125</v>
          </cell>
        </row>
        <row r="424">
          <cell r="B424" t="str">
            <v>0011801977E</v>
          </cell>
          <cell r="C424">
            <v>10880036704</v>
          </cell>
        </row>
        <row r="425">
          <cell r="B425" t="str">
            <v>0011801977F</v>
          </cell>
          <cell r="C425">
            <v>10880036706</v>
          </cell>
        </row>
        <row r="426">
          <cell r="B426" t="str">
            <v>0011801977G</v>
          </cell>
          <cell r="C426">
            <v>10880036708</v>
          </cell>
        </row>
        <row r="427">
          <cell r="B427" t="str">
            <v>0021800035ZA</v>
          </cell>
          <cell r="C427" t="str">
            <v>暂无</v>
          </cell>
        </row>
        <row r="428">
          <cell r="B428" t="str">
            <v>0021800095FA</v>
          </cell>
          <cell r="C428">
            <v>10880021793</v>
          </cell>
        </row>
        <row r="429">
          <cell r="B429" t="str">
            <v>0021800095FB</v>
          </cell>
          <cell r="C429">
            <v>10880021794</v>
          </cell>
        </row>
        <row r="430">
          <cell r="B430" t="str">
            <v>0021800095FC</v>
          </cell>
          <cell r="C430">
            <v>10880021795</v>
          </cell>
        </row>
        <row r="431">
          <cell r="B431" t="str">
            <v>0021800151A</v>
          </cell>
          <cell r="C431" t="str">
            <v>暂无</v>
          </cell>
        </row>
        <row r="432">
          <cell r="B432" t="str">
            <v>0021800151C</v>
          </cell>
          <cell r="C432">
            <v>10880022462</v>
          </cell>
        </row>
        <row r="433">
          <cell r="B433" t="str">
            <v>0021800442</v>
          </cell>
          <cell r="C433">
            <v>10880018105</v>
          </cell>
        </row>
        <row r="434">
          <cell r="B434" t="str">
            <v>0021800442A</v>
          </cell>
          <cell r="C434">
            <v>10880022123</v>
          </cell>
        </row>
        <row r="435">
          <cell r="B435" t="str">
            <v>0021800442G</v>
          </cell>
          <cell r="C435">
            <v>10880022044</v>
          </cell>
        </row>
        <row r="436">
          <cell r="B436" t="str">
            <v>0021800442GA</v>
          </cell>
          <cell r="C436">
            <v>10880029837</v>
          </cell>
        </row>
        <row r="437">
          <cell r="B437" t="str">
            <v>0021800442GB</v>
          </cell>
          <cell r="C437">
            <v>10880030243</v>
          </cell>
        </row>
        <row r="438">
          <cell r="B438" t="str">
            <v>0021800615</v>
          </cell>
          <cell r="C438">
            <v>10880029999</v>
          </cell>
        </row>
        <row r="439">
          <cell r="B439" t="str">
            <v>0021800615A</v>
          </cell>
          <cell r="C439">
            <v>10880031570</v>
          </cell>
        </row>
        <row r="440">
          <cell r="B440" t="str">
            <v>0021800616</v>
          </cell>
          <cell r="C440">
            <v>10880030004</v>
          </cell>
        </row>
        <row r="441">
          <cell r="B441" t="str">
            <v>0031800004FH</v>
          </cell>
          <cell r="C441">
            <v>10880022405</v>
          </cell>
        </row>
        <row r="442">
          <cell r="B442" t="str">
            <v>0031800004FM</v>
          </cell>
          <cell r="C442">
            <v>10880022503</v>
          </cell>
        </row>
        <row r="443">
          <cell r="B443" t="str">
            <v>0031800004FP</v>
          </cell>
          <cell r="C443">
            <v>10880022501</v>
          </cell>
        </row>
        <row r="444">
          <cell r="B444" t="str">
            <v>0031800374</v>
          </cell>
          <cell r="C444">
            <v>10880021796</v>
          </cell>
        </row>
        <row r="445">
          <cell r="B445" t="str">
            <v>0031800386JL</v>
          </cell>
          <cell r="C445">
            <v>10880022406</v>
          </cell>
        </row>
        <row r="446">
          <cell r="B446" t="str">
            <v>0040400451D</v>
          </cell>
          <cell r="C446">
            <v>10880020027</v>
          </cell>
        </row>
        <row r="447">
          <cell r="B447" t="str">
            <v>0041800569B</v>
          </cell>
          <cell r="C447">
            <v>10880021312</v>
          </cell>
        </row>
        <row r="448">
          <cell r="B448" t="str">
            <v>0041800569C</v>
          </cell>
          <cell r="C448">
            <v>10880021313</v>
          </cell>
        </row>
        <row r="449">
          <cell r="B449" t="str">
            <v>0041800693</v>
          </cell>
          <cell r="C449">
            <v>10880013032</v>
          </cell>
        </row>
        <row r="450">
          <cell r="B450" t="str">
            <v>0041800751</v>
          </cell>
          <cell r="C450">
            <v>10880020167</v>
          </cell>
        </row>
        <row r="451">
          <cell r="B451" t="str">
            <v>0041800751A</v>
          </cell>
          <cell r="C451">
            <v>10880020168</v>
          </cell>
        </row>
        <row r="452">
          <cell r="B452" t="str">
            <v>0041800751AYS</v>
          </cell>
          <cell r="C452">
            <v>10880020168</v>
          </cell>
        </row>
        <row r="453">
          <cell r="B453" t="str">
            <v>0041800751DYS</v>
          </cell>
          <cell r="C453">
            <v>10880030128</v>
          </cell>
        </row>
        <row r="454">
          <cell r="B454" t="str">
            <v>0041800751GYS</v>
          </cell>
          <cell r="C454">
            <v>10880030125</v>
          </cell>
        </row>
        <row r="455">
          <cell r="B455" t="str">
            <v>0041800751HYS</v>
          </cell>
          <cell r="C455">
            <v>10880030130</v>
          </cell>
        </row>
        <row r="456">
          <cell r="B456" t="str">
            <v>0041800751JYS</v>
          </cell>
          <cell r="C456">
            <v>10880030129</v>
          </cell>
        </row>
        <row r="457">
          <cell r="B457" t="str">
            <v>0041800751M</v>
          </cell>
          <cell r="C457">
            <v>10880020169</v>
          </cell>
        </row>
        <row r="458">
          <cell r="B458" t="str">
            <v>0041800751MYS</v>
          </cell>
          <cell r="C458">
            <v>10880020169</v>
          </cell>
        </row>
        <row r="459">
          <cell r="B459" t="str">
            <v>0041800751S</v>
          </cell>
          <cell r="C459">
            <v>10880030127</v>
          </cell>
        </row>
        <row r="460">
          <cell r="B460" t="str">
            <v>0041800751SA</v>
          </cell>
          <cell r="C460">
            <v>10880030126</v>
          </cell>
        </row>
        <row r="461">
          <cell r="B461" t="str">
            <v>0041800751YS</v>
          </cell>
          <cell r="C461">
            <v>10880020167</v>
          </cell>
        </row>
        <row r="462">
          <cell r="B462" t="str">
            <v>0041800751YSA</v>
          </cell>
          <cell r="C462">
            <v>10880028089</v>
          </cell>
        </row>
        <row r="463">
          <cell r="B463" t="str">
            <v>0041800757B</v>
          </cell>
          <cell r="C463">
            <v>10880016039</v>
          </cell>
        </row>
        <row r="464">
          <cell r="B464" t="str">
            <v>0041800757BA</v>
          </cell>
          <cell r="C464">
            <v>10880016043</v>
          </cell>
        </row>
        <row r="465">
          <cell r="B465" t="str">
            <v>0041800757E</v>
          </cell>
          <cell r="C465">
            <v>10880016041</v>
          </cell>
        </row>
        <row r="466">
          <cell r="B466" t="str">
            <v>0041800757F</v>
          </cell>
          <cell r="C466">
            <v>10880016042</v>
          </cell>
        </row>
        <row r="467">
          <cell r="B467" t="str">
            <v>0041800757H</v>
          </cell>
          <cell r="C467">
            <v>10880019043</v>
          </cell>
        </row>
        <row r="468">
          <cell r="B468" t="str">
            <v>0041800757J</v>
          </cell>
          <cell r="C468">
            <v>10880019044</v>
          </cell>
        </row>
        <row r="469">
          <cell r="B469" t="str">
            <v>0041800757JGCH</v>
          </cell>
          <cell r="C469">
            <v>10880020963</v>
          </cell>
        </row>
        <row r="470">
          <cell r="B470" t="str">
            <v>0041800757K</v>
          </cell>
          <cell r="C470">
            <v>10880020215</v>
          </cell>
        </row>
        <row r="471">
          <cell r="B471" t="str">
            <v>0041800757KGCH</v>
          </cell>
          <cell r="C471">
            <v>10880020964</v>
          </cell>
        </row>
        <row r="472">
          <cell r="B472" t="str">
            <v>0041800757M</v>
          </cell>
          <cell r="C472">
            <v>10880020030</v>
          </cell>
        </row>
        <row r="473">
          <cell r="B473" t="str">
            <v>0041800773</v>
          </cell>
          <cell r="C473">
            <v>10880020210</v>
          </cell>
        </row>
        <row r="474">
          <cell r="B474" t="str">
            <v>0041800773A</v>
          </cell>
          <cell r="C474">
            <v>10880020211</v>
          </cell>
        </row>
        <row r="475">
          <cell r="B475" t="str">
            <v>0041800773AB</v>
          </cell>
          <cell r="C475">
            <v>10880020214</v>
          </cell>
        </row>
        <row r="476">
          <cell r="B476" t="str">
            <v>0041800773ABYS</v>
          </cell>
          <cell r="C476">
            <v>10880020214</v>
          </cell>
        </row>
        <row r="477">
          <cell r="B477" t="str">
            <v>0041800773AC</v>
          </cell>
          <cell r="C477">
            <v>10880020029</v>
          </cell>
        </row>
        <row r="478">
          <cell r="B478" t="str">
            <v>0041800773ACYS</v>
          </cell>
          <cell r="C478">
            <v>10880020029</v>
          </cell>
        </row>
        <row r="479">
          <cell r="B479" t="str">
            <v>0041800773AYS</v>
          </cell>
          <cell r="C479">
            <v>10880020211</v>
          </cell>
        </row>
        <row r="480">
          <cell r="B480" t="str">
            <v>0041800773E</v>
          </cell>
          <cell r="C480">
            <v>10880030039</v>
          </cell>
        </row>
        <row r="481">
          <cell r="B481" t="str">
            <v>0041800773H</v>
          </cell>
          <cell r="C481">
            <v>10880030038</v>
          </cell>
        </row>
        <row r="482">
          <cell r="B482" t="str">
            <v>0041800773YS</v>
          </cell>
          <cell r="C482">
            <v>10880020210</v>
          </cell>
        </row>
        <row r="483">
          <cell r="B483" t="str">
            <v>0041800811</v>
          </cell>
          <cell r="C483">
            <v>10880020243</v>
          </cell>
        </row>
        <row r="484">
          <cell r="B484" t="str">
            <v>0041800811K</v>
          </cell>
          <cell r="C484">
            <v>10880020244</v>
          </cell>
        </row>
        <row r="485">
          <cell r="B485" t="str">
            <v>0041800870B</v>
          </cell>
          <cell r="C485">
            <v>10880030051</v>
          </cell>
        </row>
        <row r="486">
          <cell r="B486" t="str">
            <v>0041800870C</v>
          </cell>
          <cell r="C486">
            <v>10880030052</v>
          </cell>
        </row>
        <row r="487">
          <cell r="B487" t="str">
            <v>0041800898A</v>
          </cell>
          <cell r="C487">
            <v>10880019694</v>
          </cell>
        </row>
        <row r="488">
          <cell r="B488" t="str">
            <v>0041801039</v>
          </cell>
          <cell r="C488">
            <v>10880020241</v>
          </cell>
        </row>
        <row r="489">
          <cell r="B489" t="str">
            <v>0041801039A</v>
          </cell>
          <cell r="C489">
            <v>10880020121</v>
          </cell>
        </row>
        <row r="490">
          <cell r="B490" t="str">
            <v>0041801039B</v>
          </cell>
          <cell r="C490">
            <v>10880028754</v>
          </cell>
        </row>
        <row r="491">
          <cell r="B491" t="str">
            <v>0041801057</v>
          </cell>
          <cell r="C491">
            <v>10880019705</v>
          </cell>
        </row>
        <row r="492">
          <cell r="B492" t="str">
            <v>0041801117</v>
          </cell>
          <cell r="C492">
            <v>10880030138</v>
          </cell>
        </row>
        <row r="493">
          <cell r="B493" t="str">
            <v>0041801117A</v>
          </cell>
          <cell r="C493">
            <v>10880030137</v>
          </cell>
        </row>
        <row r="494">
          <cell r="B494" t="str">
            <v>0041801117AC</v>
          </cell>
          <cell r="C494">
            <v>10880030136</v>
          </cell>
        </row>
        <row r="495">
          <cell r="B495" t="str">
            <v>0041801117AD</v>
          </cell>
          <cell r="C495">
            <v>10880030139</v>
          </cell>
        </row>
        <row r="496">
          <cell r="B496" t="str">
            <v>0041801117AE</v>
          </cell>
          <cell r="C496">
            <v>10880030133</v>
          </cell>
        </row>
        <row r="497">
          <cell r="B497" t="str">
            <v>0041801117AJ</v>
          </cell>
          <cell r="C497">
            <v>10880030140</v>
          </cell>
        </row>
        <row r="498">
          <cell r="B498" t="str">
            <v>0041801117D</v>
          </cell>
          <cell r="C498">
            <v>10880030141</v>
          </cell>
        </row>
        <row r="499">
          <cell r="B499" t="str">
            <v>0041801136</v>
          </cell>
          <cell r="C499">
            <v>10880030169</v>
          </cell>
        </row>
        <row r="500">
          <cell r="B500" t="str">
            <v>0041801136A</v>
          </cell>
          <cell r="C500">
            <v>10880030171</v>
          </cell>
        </row>
        <row r="501">
          <cell r="B501" t="str">
            <v>0041801136B</v>
          </cell>
          <cell r="C501">
            <v>10880030176</v>
          </cell>
        </row>
        <row r="502">
          <cell r="B502" t="str">
            <v>0041801136C</v>
          </cell>
          <cell r="C502">
            <v>10880030177</v>
          </cell>
        </row>
        <row r="503">
          <cell r="B503" t="str">
            <v>0041801136D</v>
          </cell>
          <cell r="C503">
            <v>10880030178</v>
          </cell>
        </row>
        <row r="504">
          <cell r="B504" t="str">
            <v>0041801136E</v>
          </cell>
          <cell r="C504">
            <v>10880030179</v>
          </cell>
        </row>
        <row r="505">
          <cell r="B505" t="str">
            <v>0041801155</v>
          </cell>
          <cell r="C505">
            <v>10880020242</v>
          </cell>
        </row>
        <row r="506">
          <cell r="B506" t="str">
            <v>0041801155B</v>
          </cell>
          <cell r="C506">
            <v>10880029234</v>
          </cell>
        </row>
        <row r="507">
          <cell r="B507" t="str">
            <v>0041801180A</v>
          </cell>
          <cell r="C507">
            <v>10880030067</v>
          </cell>
        </row>
        <row r="508">
          <cell r="B508" t="str">
            <v>0041801195</v>
          </cell>
          <cell r="C508" t="str">
            <v>暂无</v>
          </cell>
        </row>
        <row r="509">
          <cell r="B509" t="str">
            <v>0041801195B</v>
          </cell>
          <cell r="C509" t="str">
            <v>暂无</v>
          </cell>
        </row>
        <row r="510">
          <cell r="B510" t="str">
            <v>0041801508</v>
          </cell>
          <cell r="C510">
            <v>10880022099</v>
          </cell>
        </row>
        <row r="511">
          <cell r="B511" t="str">
            <v>0041801545</v>
          </cell>
          <cell r="C511">
            <v>10880022470</v>
          </cell>
        </row>
        <row r="512">
          <cell r="B512" t="str">
            <v>0150410226</v>
          </cell>
          <cell r="C512">
            <v>10880030450</v>
          </cell>
        </row>
        <row r="513">
          <cell r="B513" t="str">
            <v>0151800228CA</v>
          </cell>
          <cell r="C513">
            <v>10880030334</v>
          </cell>
        </row>
        <row r="514">
          <cell r="B514" t="str">
            <v>0151800561BBA</v>
          </cell>
          <cell r="C514">
            <v>10880022443</v>
          </cell>
        </row>
        <row r="515">
          <cell r="B515" t="str">
            <v>0151800561BBB</v>
          </cell>
          <cell r="C515">
            <v>10880022444</v>
          </cell>
        </row>
        <row r="516">
          <cell r="B516" t="str">
            <v>0151800561CA</v>
          </cell>
          <cell r="C516">
            <v>10880030335</v>
          </cell>
        </row>
        <row r="517">
          <cell r="B517" t="str">
            <v>0151800561E</v>
          </cell>
        </row>
        <row r="518">
          <cell r="B518" t="str">
            <v>0151800648D</v>
          </cell>
          <cell r="C518">
            <v>10880030493</v>
          </cell>
        </row>
        <row r="519">
          <cell r="B519" t="str">
            <v>0151800697</v>
          </cell>
          <cell r="C519">
            <v>10880030336</v>
          </cell>
        </row>
        <row r="520">
          <cell r="B520" t="str">
            <v>0151800709C</v>
          </cell>
          <cell r="C520">
            <v>10880030337</v>
          </cell>
        </row>
        <row r="521">
          <cell r="B521" t="str">
            <v>0151801003</v>
          </cell>
        </row>
        <row r="522">
          <cell r="B522" t="str">
            <v>0151801003A</v>
          </cell>
          <cell r="C522">
            <v>10880030187</v>
          </cell>
        </row>
        <row r="523">
          <cell r="B523" t="str">
            <v>0151801031</v>
          </cell>
          <cell r="C523">
            <v>10880030519</v>
          </cell>
        </row>
        <row r="524">
          <cell r="B524" t="str">
            <v>0151801031A</v>
          </cell>
          <cell r="C524">
            <v>10880030520</v>
          </cell>
        </row>
        <row r="525">
          <cell r="B525" t="str">
            <v>0190400001</v>
          </cell>
          <cell r="C525">
            <v>10880019330</v>
          </cell>
        </row>
        <row r="526">
          <cell r="B526" t="str">
            <v>0190400001</v>
          </cell>
          <cell r="C526">
            <v>10880012981</v>
          </cell>
        </row>
        <row r="527">
          <cell r="B527" t="str">
            <v>0190400001B</v>
          </cell>
          <cell r="C527">
            <v>10880019417</v>
          </cell>
        </row>
        <row r="528">
          <cell r="B528" t="str">
            <v>0190400001B</v>
          </cell>
          <cell r="C528">
            <v>10880012986</v>
          </cell>
        </row>
        <row r="529">
          <cell r="B529" t="str">
            <v>0190400001C</v>
          </cell>
          <cell r="C529">
            <v>10880019419</v>
          </cell>
        </row>
        <row r="530">
          <cell r="B530" t="str">
            <v>0190400001C</v>
          </cell>
          <cell r="C530">
            <v>10880012988</v>
          </cell>
        </row>
        <row r="531">
          <cell r="B531" t="str">
            <v>0190400001D</v>
          </cell>
          <cell r="C531">
            <v>10880019426</v>
          </cell>
        </row>
        <row r="532">
          <cell r="B532" t="str">
            <v>0190400001D</v>
          </cell>
          <cell r="C532">
            <v>10880014440</v>
          </cell>
        </row>
        <row r="533">
          <cell r="B533" t="str">
            <v>0190400001E</v>
          </cell>
          <cell r="C533">
            <v>10880019421</v>
          </cell>
        </row>
        <row r="534">
          <cell r="B534" t="str">
            <v>0190400001E</v>
          </cell>
          <cell r="C534">
            <v>10880015099</v>
          </cell>
        </row>
        <row r="535">
          <cell r="B535" t="str">
            <v>0190400001F</v>
          </cell>
          <cell r="C535">
            <v>10880019423</v>
          </cell>
        </row>
        <row r="536">
          <cell r="B536" t="str">
            <v>0190400001F</v>
          </cell>
          <cell r="C536">
            <v>10880014670</v>
          </cell>
        </row>
        <row r="537">
          <cell r="B537" t="str">
            <v>0190400001G</v>
          </cell>
          <cell r="C537">
            <v>10880019428</v>
          </cell>
        </row>
        <row r="538">
          <cell r="B538" t="str">
            <v>0190400001G</v>
          </cell>
          <cell r="C538">
            <v>10880015827</v>
          </cell>
        </row>
        <row r="539">
          <cell r="B539" t="str">
            <v>0190400001H</v>
          </cell>
          <cell r="C539">
            <v>10880019430</v>
          </cell>
        </row>
        <row r="540">
          <cell r="B540" t="str">
            <v>0190400001H</v>
          </cell>
          <cell r="C540">
            <v>10880015829</v>
          </cell>
        </row>
        <row r="541">
          <cell r="B541" t="str">
            <v>0190400001JK</v>
          </cell>
          <cell r="C541">
            <v>10880019432</v>
          </cell>
        </row>
        <row r="542">
          <cell r="B542" t="str">
            <v>0190400001JK</v>
          </cell>
          <cell r="C542">
            <v>10880012984</v>
          </cell>
        </row>
        <row r="543">
          <cell r="B543" t="str">
            <v>0190400002</v>
          </cell>
          <cell r="C543">
            <v>10880019338</v>
          </cell>
        </row>
        <row r="544">
          <cell r="B544" t="str">
            <v>0190400002</v>
          </cell>
          <cell r="C544">
            <v>10880012982</v>
          </cell>
        </row>
        <row r="545">
          <cell r="B545" t="str">
            <v>0190400002B</v>
          </cell>
          <cell r="C545">
            <v>10880019418</v>
          </cell>
        </row>
        <row r="546">
          <cell r="B546" t="str">
            <v>0190400002B</v>
          </cell>
          <cell r="C546">
            <v>10880012985</v>
          </cell>
        </row>
        <row r="547">
          <cell r="B547" t="str">
            <v>0190400002C</v>
          </cell>
          <cell r="C547">
            <v>10880019420</v>
          </cell>
        </row>
        <row r="548">
          <cell r="B548" t="str">
            <v>0190400002C</v>
          </cell>
          <cell r="C548">
            <v>10880012987</v>
          </cell>
        </row>
        <row r="549">
          <cell r="B549" t="str">
            <v>0190400002D</v>
          </cell>
          <cell r="C549">
            <v>10880019427</v>
          </cell>
        </row>
        <row r="550">
          <cell r="B550" t="str">
            <v>0190400002D</v>
          </cell>
          <cell r="C550">
            <v>10880014439</v>
          </cell>
        </row>
        <row r="551">
          <cell r="B551" t="str">
            <v>0190400002E</v>
          </cell>
          <cell r="C551">
            <v>10880019422</v>
          </cell>
        </row>
        <row r="552">
          <cell r="B552" t="str">
            <v>0190400002E</v>
          </cell>
          <cell r="C552">
            <v>10880015098</v>
          </cell>
        </row>
        <row r="553">
          <cell r="B553" t="str">
            <v>0190400002F</v>
          </cell>
          <cell r="C553">
            <v>10880019424</v>
          </cell>
        </row>
        <row r="554">
          <cell r="B554" t="str">
            <v>0190400002F</v>
          </cell>
          <cell r="C554">
            <v>10880014671</v>
          </cell>
        </row>
        <row r="555">
          <cell r="B555" t="str">
            <v>0190400002G</v>
          </cell>
          <cell r="C555">
            <v>10880019429</v>
          </cell>
        </row>
        <row r="556">
          <cell r="B556" t="str">
            <v>0190400002G</v>
          </cell>
          <cell r="C556">
            <v>10880015828</v>
          </cell>
        </row>
        <row r="557">
          <cell r="B557" t="str">
            <v>0190400002H</v>
          </cell>
          <cell r="C557">
            <v>10880015830</v>
          </cell>
        </row>
        <row r="558">
          <cell r="B558" t="str">
            <v>0190400002JK</v>
          </cell>
          <cell r="C558">
            <v>10880012983</v>
          </cell>
        </row>
        <row r="559">
          <cell r="B559" t="str">
            <v>0190400102</v>
          </cell>
          <cell r="C559">
            <v>10880014775</v>
          </cell>
        </row>
        <row r="560">
          <cell r="B560" t="str">
            <v>0190400102A</v>
          </cell>
          <cell r="C560">
            <v>10880014774</v>
          </cell>
        </row>
        <row r="561">
          <cell r="B561" t="str">
            <v>0190400102B</v>
          </cell>
          <cell r="C561">
            <v>10880020036</v>
          </cell>
        </row>
        <row r="562">
          <cell r="B562" t="str">
            <v>0190400102C</v>
          </cell>
          <cell r="C562">
            <v>10880019639</v>
          </cell>
        </row>
        <row r="563">
          <cell r="B563" t="str">
            <v>0190400102D</v>
          </cell>
          <cell r="C563">
            <v>10880019640</v>
          </cell>
        </row>
        <row r="564">
          <cell r="B564" t="str">
            <v>0190400103</v>
          </cell>
          <cell r="C564">
            <v>10880014776</v>
          </cell>
        </row>
        <row r="565">
          <cell r="B565" t="str">
            <v>0190400103A</v>
          </cell>
          <cell r="C565" t="str">
            <v>10880015975 </v>
          </cell>
        </row>
        <row r="566">
          <cell r="B566" t="str">
            <v>0190400104</v>
          </cell>
          <cell r="C566" t="str">
            <v>暂无</v>
          </cell>
        </row>
        <row r="567">
          <cell r="B567" t="str">
            <v>0190400105</v>
          </cell>
          <cell r="C567">
            <v>10880014778</v>
          </cell>
        </row>
        <row r="568">
          <cell r="B568" t="str">
            <v>0190400112</v>
          </cell>
          <cell r="C568">
            <v>10880014344</v>
          </cell>
        </row>
        <row r="569">
          <cell r="B569" t="str">
            <v>0190400112A</v>
          </cell>
          <cell r="C569">
            <v>10880019716</v>
          </cell>
        </row>
        <row r="570">
          <cell r="B570" t="str">
            <v>0190400112A</v>
          </cell>
          <cell r="C570">
            <v>10880014363</v>
          </cell>
        </row>
        <row r="571">
          <cell r="B571" t="str">
            <v>0190400112B</v>
          </cell>
          <cell r="C571">
            <v>10880014414</v>
          </cell>
        </row>
        <row r="572">
          <cell r="B572" t="str">
            <v>0190400112D</v>
          </cell>
          <cell r="C572">
            <v>10880015766</v>
          </cell>
        </row>
        <row r="573">
          <cell r="B573" t="str">
            <v>0190400112E</v>
          </cell>
          <cell r="C573">
            <v>10880015771</v>
          </cell>
        </row>
        <row r="574">
          <cell r="B574" t="str">
            <v>0190400112F</v>
          </cell>
          <cell r="C574">
            <v>10880021203</v>
          </cell>
        </row>
        <row r="575">
          <cell r="B575" t="str">
            <v>0190400112JK</v>
          </cell>
          <cell r="C575">
            <v>10880014643</v>
          </cell>
        </row>
        <row r="576">
          <cell r="B576" t="str">
            <v>0190400113</v>
          </cell>
          <cell r="C576">
            <v>10880014343</v>
          </cell>
        </row>
        <row r="577">
          <cell r="B577" t="str">
            <v>0190400113A</v>
          </cell>
          <cell r="C577">
            <v>10880014362</v>
          </cell>
        </row>
        <row r="578">
          <cell r="B578" t="str">
            <v>0190400113B</v>
          </cell>
          <cell r="C578">
            <v>10880014413</v>
          </cell>
        </row>
        <row r="579">
          <cell r="B579" t="str">
            <v>0190400113D</v>
          </cell>
          <cell r="C579">
            <v>10880015767</v>
          </cell>
        </row>
        <row r="580">
          <cell r="B580" t="str">
            <v>0190400113E</v>
          </cell>
          <cell r="C580">
            <v>10880015774</v>
          </cell>
        </row>
        <row r="581">
          <cell r="B581" t="str">
            <v>0190400113F</v>
          </cell>
          <cell r="C581">
            <v>10880016862</v>
          </cell>
        </row>
        <row r="582">
          <cell r="B582" t="str">
            <v>0190400113F</v>
          </cell>
          <cell r="C582">
            <v>10880016525</v>
          </cell>
        </row>
        <row r="583">
          <cell r="B583" t="str">
            <v>0190400113G</v>
          </cell>
          <cell r="C583">
            <v>10880016864</v>
          </cell>
        </row>
        <row r="584">
          <cell r="B584" t="str">
            <v>0190400113G</v>
          </cell>
          <cell r="C584">
            <v>10880016526</v>
          </cell>
        </row>
        <row r="585">
          <cell r="B585" t="str">
            <v>0190400113H</v>
          </cell>
          <cell r="C585">
            <v>10880016867</v>
          </cell>
        </row>
        <row r="586">
          <cell r="B586" t="str">
            <v>0190400113H</v>
          </cell>
          <cell r="C586">
            <v>10880016528</v>
          </cell>
        </row>
        <row r="587">
          <cell r="B587" t="str">
            <v>0190400113J</v>
          </cell>
          <cell r="C587">
            <v>10880016866</v>
          </cell>
        </row>
        <row r="588">
          <cell r="B588" t="str">
            <v>0190400113J</v>
          </cell>
          <cell r="C588">
            <v>10880016529</v>
          </cell>
        </row>
        <row r="589">
          <cell r="B589" t="str">
            <v>0190400113JK</v>
          </cell>
          <cell r="C589">
            <v>10880014642</v>
          </cell>
        </row>
        <row r="590">
          <cell r="B590" t="str">
            <v>0190400113K</v>
          </cell>
          <cell r="C590">
            <v>10880016868</v>
          </cell>
        </row>
        <row r="591">
          <cell r="B591" t="str">
            <v>0190400113K</v>
          </cell>
          <cell r="C591">
            <v>10880016530</v>
          </cell>
        </row>
        <row r="592">
          <cell r="B592" t="str">
            <v>0190400113L</v>
          </cell>
          <cell r="C592">
            <v>10880021341</v>
          </cell>
        </row>
        <row r="593">
          <cell r="B593" t="str">
            <v>0190400113M</v>
          </cell>
          <cell r="C593">
            <v>10880021342</v>
          </cell>
        </row>
        <row r="594">
          <cell r="B594" t="str">
            <v>0190400127</v>
          </cell>
          <cell r="C594">
            <v>10880014777</v>
          </cell>
        </row>
        <row r="595">
          <cell r="B595" t="str">
            <v>0190400164</v>
          </cell>
          <cell r="C595">
            <v>10880014415</v>
          </cell>
        </row>
        <row r="596">
          <cell r="B596" t="str">
            <v>0190400169</v>
          </cell>
          <cell r="C596">
            <v>10880014814</v>
          </cell>
        </row>
        <row r="597">
          <cell r="B597" t="str">
            <v>0190400169A</v>
          </cell>
          <cell r="C597">
            <v>10880015877</v>
          </cell>
        </row>
        <row r="598">
          <cell r="B598" t="str">
            <v>0190400172</v>
          </cell>
          <cell r="C598">
            <v>10880014812</v>
          </cell>
        </row>
        <row r="599">
          <cell r="B599" t="str">
            <v>0190400172JK</v>
          </cell>
          <cell r="C599">
            <v>10880015880</v>
          </cell>
        </row>
        <row r="600">
          <cell r="B600" t="str">
            <v>0190400173</v>
          </cell>
          <cell r="C600">
            <v>10880014813</v>
          </cell>
        </row>
        <row r="601">
          <cell r="B601" t="str">
            <v>0190400173A</v>
          </cell>
          <cell r="C601">
            <v>10880015878</v>
          </cell>
        </row>
        <row r="602">
          <cell r="B602" t="str">
            <v>0190400174</v>
          </cell>
          <cell r="C602">
            <v>10880014815</v>
          </cell>
        </row>
        <row r="603">
          <cell r="B603" t="str">
            <v>0190400174A</v>
          </cell>
          <cell r="C603">
            <v>10880015879</v>
          </cell>
        </row>
        <row r="604">
          <cell r="B604" t="str">
            <v>0190400207</v>
          </cell>
          <cell r="C604">
            <v>10880021767</v>
          </cell>
        </row>
        <row r="605">
          <cell r="B605" t="str">
            <v>0190400223</v>
          </cell>
          <cell r="C605">
            <v>10880016188</v>
          </cell>
        </row>
        <row r="606">
          <cell r="B606" t="str">
            <v>0190400286</v>
          </cell>
          <cell r="C606">
            <v>10880019706</v>
          </cell>
        </row>
        <row r="607">
          <cell r="B607" t="str">
            <v>0190400286A</v>
          </cell>
          <cell r="C607">
            <v>10880029836</v>
          </cell>
        </row>
        <row r="608">
          <cell r="B608" t="str">
            <v>0190400340</v>
          </cell>
          <cell r="C608">
            <v>10880027854</v>
          </cell>
        </row>
        <row r="609">
          <cell r="B609" t="str">
            <v>0190400348</v>
          </cell>
          <cell r="C609">
            <v>10880019682</v>
          </cell>
        </row>
        <row r="610">
          <cell r="B610" t="str">
            <v>0190400359</v>
          </cell>
          <cell r="C610">
            <v>10880021983</v>
          </cell>
        </row>
        <row r="611">
          <cell r="B611" t="str">
            <v>0190400359A</v>
          </cell>
          <cell r="C611">
            <v>10880021985</v>
          </cell>
        </row>
        <row r="612">
          <cell r="B612" t="str">
            <v>0190400359B</v>
          </cell>
          <cell r="C612">
            <v>10880028753</v>
          </cell>
        </row>
        <row r="613">
          <cell r="B613" t="str">
            <v>0190400415</v>
          </cell>
          <cell r="C613">
            <v>10880021315</v>
          </cell>
        </row>
        <row r="614">
          <cell r="B614" t="str">
            <v>0190400415A</v>
          </cell>
          <cell r="C614">
            <v>10880021316</v>
          </cell>
        </row>
        <row r="615">
          <cell r="B615" t="str">
            <v>0190400415B</v>
          </cell>
          <cell r="C615">
            <v>10880028393</v>
          </cell>
        </row>
        <row r="616">
          <cell r="B616" t="str">
            <v>0190400415C</v>
          </cell>
          <cell r="C616">
            <v>10880028688</v>
          </cell>
        </row>
        <row r="617">
          <cell r="B617" t="str">
            <v>0190400507</v>
          </cell>
          <cell r="C617">
            <v>10880028905</v>
          </cell>
        </row>
        <row r="618">
          <cell r="B618" t="str">
            <v>0190400507A</v>
          </cell>
          <cell r="C618">
            <v>10880030285</v>
          </cell>
        </row>
        <row r="619">
          <cell r="B619" t="str">
            <v>0190400527</v>
          </cell>
          <cell r="C619">
            <v>10880028344</v>
          </cell>
        </row>
        <row r="620">
          <cell r="B620" t="str">
            <v>0190400527A</v>
          </cell>
          <cell r="C620">
            <v>10880028345</v>
          </cell>
        </row>
        <row r="621">
          <cell r="B621" t="str">
            <v>0190400534</v>
          </cell>
          <cell r="C621">
            <v>10880028328</v>
          </cell>
        </row>
        <row r="622">
          <cell r="B622" t="str">
            <v>0190400534A</v>
          </cell>
          <cell r="C622">
            <v>10880030932</v>
          </cell>
        </row>
        <row r="623">
          <cell r="B623" t="str">
            <v>0190400556</v>
          </cell>
          <cell r="C623">
            <v>10880030244</v>
          </cell>
        </row>
        <row r="624">
          <cell r="B624" t="str">
            <v>0190800103A</v>
          </cell>
          <cell r="C624">
            <v>10880015975</v>
          </cell>
        </row>
        <row r="625">
          <cell r="B625" t="str">
            <v>0211800001</v>
          </cell>
          <cell r="C625">
            <v>10880030299</v>
          </cell>
        </row>
        <row r="626">
          <cell r="B626" t="str">
            <v>557020083700</v>
          </cell>
          <cell r="C626">
            <v>10880016224</v>
          </cell>
        </row>
        <row r="627">
          <cell r="B627" t="str">
            <v>557020083703</v>
          </cell>
          <cell r="C627">
            <v>10880016225</v>
          </cell>
        </row>
        <row r="628">
          <cell r="B628" t="str">
            <v>海尔1037窗机</v>
          </cell>
          <cell r="C628">
            <v>10880013724</v>
          </cell>
        </row>
        <row r="629">
          <cell r="B629" t="str">
            <v>海尔洗衣机电源板390C</v>
          </cell>
          <cell r="C629" t="str">
            <v>暂无</v>
          </cell>
        </row>
        <row r="632">
          <cell r="C632" t="str">
            <v>10880014779 </v>
          </cell>
        </row>
        <row r="640">
          <cell r="C640">
            <v>10880011216</v>
          </cell>
        </row>
        <row r="641">
          <cell r="C641">
            <v>10880014779</v>
          </cell>
        </row>
        <row r="642">
          <cell r="B642" t="str">
            <v>0011801977H</v>
          </cell>
          <cell r="C642">
            <v>10880036707</v>
          </cell>
        </row>
        <row r="643">
          <cell r="B643" t="str">
            <v>0011802020A</v>
          </cell>
          <cell r="C643">
            <v>10880036423</v>
          </cell>
        </row>
        <row r="644">
          <cell r="B644" t="str">
            <v>0011802020B</v>
          </cell>
          <cell r="C644">
            <v>10880036424</v>
          </cell>
        </row>
        <row r="645">
          <cell r="B645" t="str">
            <v>0011801922F</v>
          </cell>
          <cell r="C645">
            <v>10880038122</v>
          </cell>
        </row>
        <row r="646">
          <cell r="B646" t="str">
            <v>0011801045D</v>
          </cell>
          <cell r="C646">
            <v>10880038154</v>
          </cell>
        </row>
        <row r="647">
          <cell r="B647" t="str">
            <v>0011801583Y</v>
          </cell>
          <cell r="C647">
            <v>10880038132</v>
          </cell>
        </row>
        <row r="648">
          <cell r="B648" t="str">
            <v>0011801657AA</v>
          </cell>
          <cell r="C648">
            <v>10880037992</v>
          </cell>
        </row>
        <row r="649">
          <cell r="B649" t="str">
            <v>0011801172DU</v>
          </cell>
          <cell r="C649">
            <v>10880038291</v>
          </cell>
        </row>
        <row r="650">
          <cell r="B650" t="str">
            <v>0011801907</v>
          </cell>
          <cell r="C650" t="str">
            <v>10880036282</v>
          </cell>
        </row>
      </sheetData>
      <sheetData sheetId="151"/>
      <sheetData sheetId="152"/>
      <sheetData sheetId="153"/>
      <sheetData sheetId="154"/>
      <sheetData sheetId="155"/>
      <sheetData sheetId="15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1">
          <cell r="C1" t="str">
            <v>物料编码</v>
          </cell>
          <cell r="D1" t="str">
            <v>配额协议编号</v>
          </cell>
          <cell r="E1" t="str">
            <v>模块商编码</v>
          </cell>
          <cell r="F1" t="str">
            <v>有效期从</v>
          </cell>
          <cell r="G1" t="str">
            <v>有效期至</v>
          </cell>
          <cell r="H1" t="str">
            <v>配额</v>
          </cell>
        </row>
        <row r="2">
          <cell r="C2" t="str">
            <v>0190400377</v>
          </cell>
          <cell r="D2" t="str">
            <v>0001782717</v>
          </cell>
          <cell r="E2" t="str">
            <v>V14956</v>
          </cell>
          <cell r="F2" t="str">
            <v>2025-03-05</v>
          </cell>
          <cell r="G2" t="str">
            <v>9999-12-31</v>
          </cell>
          <cell r="H2" t="str">
            <v>70</v>
          </cell>
        </row>
        <row r="3">
          <cell r="C3" t="str">
            <v>0041801136E</v>
          </cell>
          <cell r="D3" t="str">
            <v>0001727244</v>
          </cell>
          <cell r="E3" t="str">
            <v>V14956</v>
          </cell>
          <cell r="F3" t="str">
            <v>2024-09-13</v>
          </cell>
          <cell r="G3" t="str">
            <v>9999-12-31</v>
          </cell>
          <cell r="H3" t="str">
            <v>30</v>
          </cell>
        </row>
        <row r="4">
          <cell r="C4" t="str">
            <v>0041801136D</v>
          </cell>
          <cell r="D4" t="str">
            <v>0001727242</v>
          </cell>
          <cell r="E4" t="str">
            <v>V14956</v>
          </cell>
          <cell r="F4" t="str">
            <v>2024-09-13</v>
          </cell>
          <cell r="G4" t="str">
            <v>9999-12-31</v>
          </cell>
          <cell r="H4" t="str">
            <v>30</v>
          </cell>
        </row>
        <row r="5">
          <cell r="C5" t="str">
            <v>0151800228CA</v>
          </cell>
          <cell r="D5" t="str">
            <v>0001771695</v>
          </cell>
          <cell r="E5" t="str">
            <v>V14956</v>
          </cell>
          <cell r="F5" t="str">
            <v>2025-01-17</v>
          </cell>
          <cell r="G5" t="str">
            <v>9999-12-31</v>
          </cell>
          <cell r="H5" t="str">
            <v>30</v>
          </cell>
        </row>
        <row r="6">
          <cell r="C6" t="str">
            <v>0011802046Q</v>
          </cell>
          <cell r="D6" t="str">
            <v>0001891170</v>
          </cell>
          <cell r="E6" t="str">
            <v>V14956</v>
          </cell>
          <cell r="F6" t="str">
            <v>2026-01-16</v>
          </cell>
          <cell r="G6" t="str">
            <v>9999-12-31</v>
          </cell>
          <cell r="H6" t="str">
            <v>30</v>
          </cell>
        </row>
        <row r="7">
          <cell r="C7" t="str">
            <v>0011802040</v>
          </cell>
          <cell r="D7" t="str">
            <v>0001814285</v>
          </cell>
          <cell r="E7" t="str">
            <v>V14956</v>
          </cell>
          <cell r="F7" t="str">
            <v>2025-06-10</v>
          </cell>
          <cell r="G7" t="str">
            <v>9999-12-31</v>
          </cell>
          <cell r="H7" t="str">
            <v>30</v>
          </cell>
        </row>
        <row r="8">
          <cell r="C8" t="str">
            <v>0011801973A</v>
          </cell>
          <cell r="D8" t="str">
            <v>0001758667</v>
          </cell>
          <cell r="E8" t="str">
            <v>V14956</v>
          </cell>
          <cell r="F8" t="str">
            <v>2024-12-12</v>
          </cell>
          <cell r="G8" t="str">
            <v>9999-12-31</v>
          </cell>
          <cell r="H8" t="str">
            <v>70</v>
          </cell>
        </row>
        <row r="9">
          <cell r="C9" t="str">
            <v>0011801973</v>
          </cell>
          <cell r="D9" t="str">
            <v>0001758666</v>
          </cell>
          <cell r="E9" t="str">
            <v>V14956</v>
          </cell>
          <cell r="F9" t="str">
            <v>2024-12-12</v>
          </cell>
          <cell r="G9" t="str">
            <v>9999-12-31</v>
          </cell>
          <cell r="H9" t="str">
            <v>70</v>
          </cell>
        </row>
        <row r="10">
          <cell r="C10" t="str">
            <v>0011801917C</v>
          </cell>
          <cell r="D10" t="str">
            <v>0001861289</v>
          </cell>
          <cell r="E10" t="str">
            <v>V14956</v>
          </cell>
          <cell r="F10" t="str">
            <v>2025-10-31</v>
          </cell>
          <cell r="G10" t="str">
            <v>9999-12-31</v>
          </cell>
          <cell r="H10" t="str">
            <v>70</v>
          </cell>
        </row>
        <row r="11">
          <cell r="C11" t="str">
            <v>0011801911A</v>
          </cell>
          <cell r="D11" t="str">
            <v>0001811309</v>
          </cell>
          <cell r="E11" t="str">
            <v>V14956</v>
          </cell>
          <cell r="F11" t="str">
            <v>2025-05-29</v>
          </cell>
          <cell r="G11" t="str">
            <v>9999-12-31</v>
          </cell>
          <cell r="H11" t="str">
            <v>30</v>
          </cell>
        </row>
        <row r="12">
          <cell r="C12" t="str">
            <v>0011801911</v>
          </cell>
          <cell r="D12" t="str">
            <v>0001751380</v>
          </cell>
          <cell r="E12" t="str">
            <v>V14956</v>
          </cell>
          <cell r="F12" t="str">
            <v>2024-11-20</v>
          </cell>
          <cell r="G12" t="str">
            <v>9999-12-31</v>
          </cell>
          <cell r="H12" t="str">
            <v>30</v>
          </cell>
        </row>
        <row r="13">
          <cell r="C13" t="str">
            <v>0011801903D</v>
          </cell>
          <cell r="D13" t="str">
            <v>0001861287</v>
          </cell>
          <cell r="E13" t="str">
            <v>V14956</v>
          </cell>
          <cell r="F13" t="str">
            <v>2025-10-31</v>
          </cell>
          <cell r="G13" t="str">
            <v>9999-12-31</v>
          </cell>
          <cell r="H13" t="str">
            <v>50</v>
          </cell>
        </row>
        <row r="14">
          <cell r="C14" t="str">
            <v>0011801583YA</v>
          </cell>
          <cell r="D14" t="str">
            <v>0001827206</v>
          </cell>
          <cell r="E14" t="str">
            <v>V14956</v>
          </cell>
          <cell r="F14" t="str">
            <v>2025-07-16</v>
          </cell>
          <cell r="G14" t="str">
            <v>9999-12-31</v>
          </cell>
          <cell r="H14" t="str">
            <v>30</v>
          </cell>
        </row>
        <row r="15">
          <cell r="C15" t="str">
            <v>0011801583AD</v>
          </cell>
          <cell r="D15" t="str">
            <v>0001768074</v>
          </cell>
          <cell r="E15" t="str">
            <v>V14956</v>
          </cell>
          <cell r="F15" t="str">
            <v>2025-01-08</v>
          </cell>
          <cell r="G15" t="str">
            <v>9999-12-31</v>
          </cell>
          <cell r="H15" t="str">
            <v>70</v>
          </cell>
        </row>
        <row r="16">
          <cell r="C16" t="str">
            <v>0011801490S</v>
          </cell>
          <cell r="D16" t="str">
            <v>0001808086</v>
          </cell>
          <cell r="E16" t="str">
            <v>V14956</v>
          </cell>
          <cell r="F16" t="str">
            <v>2025-05-22</v>
          </cell>
          <cell r="G16" t="str">
            <v>9999-12-31</v>
          </cell>
          <cell r="H16" t="str">
            <v>30</v>
          </cell>
        </row>
        <row r="17">
          <cell r="C17" t="str">
            <v>0011801490BY</v>
          </cell>
          <cell r="D17" t="str">
            <v>0001838132</v>
          </cell>
          <cell r="E17" t="str">
            <v>V14956</v>
          </cell>
          <cell r="F17" t="str">
            <v>2025-08-18</v>
          </cell>
          <cell r="G17" t="str">
            <v>9999-12-31</v>
          </cell>
          <cell r="H17" t="str">
            <v>30</v>
          </cell>
        </row>
        <row r="18">
          <cell r="C18" t="str">
            <v>0011801490AZ</v>
          </cell>
          <cell r="D18" t="str">
            <v>0001777759</v>
          </cell>
          <cell r="E18" t="str">
            <v>V14956</v>
          </cell>
          <cell r="F18" t="str">
            <v>2025-02-17</v>
          </cell>
          <cell r="G18" t="str">
            <v>9999-12-31</v>
          </cell>
          <cell r="H18" t="str">
            <v>30</v>
          </cell>
        </row>
        <row r="19">
          <cell r="C19" t="str">
            <v>0011801490AV</v>
          </cell>
          <cell r="D19" t="str">
            <v>0001772110</v>
          </cell>
          <cell r="E19" t="str">
            <v>V14956</v>
          </cell>
          <cell r="F19" t="str">
            <v>2025-01-20</v>
          </cell>
          <cell r="G19" t="str">
            <v>9999-12-31</v>
          </cell>
          <cell r="H19" t="str">
            <v>30</v>
          </cell>
        </row>
        <row r="20">
          <cell r="C20" t="str">
            <v>0011801843AH</v>
          </cell>
          <cell r="D20" t="str">
            <v>0001848250</v>
          </cell>
          <cell r="E20" t="str">
            <v>V14956</v>
          </cell>
          <cell r="F20" t="str">
            <v>2025-09-18</v>
          </cell>
          <cell r="G20" t="str">
            <v>9999-12-31</v>
          </cell>
          <cell r="H20" t="str">
            <v>70</v>
          </cell>
        </row>
        <row r="21">
          <cell r="C21" t="str">
            <v>0011801824D</v>
          </cell>
          <cell r="D21" t="str">
            <v>0001891837</v>
          </cell>
          <cell r="E21" t="str">
            <v>V14956</v>
          </cell>
          <cell r="F21" t="str">
            <v>2026-01-18</v>
          </cell>
          <cell r="G21" t="str">
            <v>9999-12-31</v>
          </cell>
          <cell r="H21" t="str">
            <v>30</v>
          </cell>
        </row>
        <row r="22">
          <cell r="C22" t="str">
            <v>0011801716A</v>
          </cell>
          <cell r="D22" t="str">
            <v>0001641423</v>
          </cell>
          <cell r="E22" t="str">
            <v>V14956</v>
          </cell>
          <cell r="F22" t="str">
            <v>2023-10-25</v>
          </cell>
          <cell r="G22" t="str">
            <v>9999-12-31</v>
          </cell>
          <cell r="H22" t="str">
            <v>30</v>
          </cell>
        </row>
        <row r="23">
          <cell r="C23" t="str">
            <v>0011801583P</v>
          </cell>
          <cell r="D23" t="str">
            <v>0001820032</v>
          </cell>
          <cell r="E23" t="str">
            <v>V14956</v>
          </cell>
          <cell r="F23" t="str">
            <v>2025-06-26</v>
          </cell>
          <cell r="G23" t="str">
            <v>9999-12-31</v>
          </cell>
          <cell r="H23" t="str">
            <v>30</v>
          </cell>
        </row>
        <row r="24">
          <cell r="C24" t="str">
            <v>0011801583K</v>
          </cell>
          <cell r="D24" t="str">
            <v>0001645641</v>
          </cell>
          <cell r="E24" t="str">
            <v>V14956</v>
          </cell>
          <cell r="F24" t="str">
            <v>2023-11-10</v>
          </cell>
          <cell r="G24" t="str">
            <v>9999-12-31</v>
          </cell>
          <cell r="H24" t="str">
            <v>70</v>
          </cell>
        </row>
        <row r="25">
          <cell r="C25" t="str">
            <v>0011801490B</v>
          </cell>
          <cell r="D25" t="str">
            <v>0001758626</v>
          </cell>
          <cell r="E25" t="str">
            <v>V14956</v>
          </cell>
          <cell r="F25" t="str">
            <v>2024-12-12</v>
          </cell>
          <cell r="G25" t="str">
            <v>9999-12-31</v>
          </cell>
          <cell r="H25" t="str">
            <v>10</v>
          </cell>
        </row>
        <row r="26">
          <cell r="C26" t="str">
            <v>0011801490AW</v>
          </cell>
          <cell r="D26" t="str">
            <v>0001805623</v>
          </cell>
          <cell r="E26" t="str">
            <v>V14956</v>
          </cell>
          <cell r="F26" t="str">
            <v>2025-05-13</v>
          </cell>
          <cell r="G26" t="str">
            <v>9999-12-31</v>
          </cell>
          <cell r="H26" t="str">
            <v>70</v>
          </cell>
        </row>
        <row r="27">
          <cell r="C27" t="str">
            <v>0011801973M</v>
          </cell>
          <cell r="D27" t="str">
            <v>0001890147</v>
          </cell>
          <cell r="E27" t="str">
            <v>V14956</v>
          </cell>
          <cell r="F27" t="str">
            <v>2026-01-14</v>
          </cell>
          <cell r="G27" t="str">
            <v>9999-12-31</v>
          </cell>
          <cell r="H27" t="str">
            <v>70</v>
          </cell>
        </row>
        <row r="28">
          <cell r="C28" t="str">
            <v>0011801917D</v>
          </cell>
          <cell r="D28" t="str">
            <v>0001753440</v>
          </cell>
          <cell r="E28" t="str">
            <v>V14956</v>
          </cell>
          <cell r="F28" t="str">
            <v>2024-11-26</v>
          </cell>
          <cell r="G28" t="str">
            <v>9999-12-31</v>
          </cell>
          <cell r="H28" t="str">
            <v>70</v>
          </cell>
        </row>
        <row r="29">
          <cell r="C29" t="str">
            <v>0011801917A</v>
          </cell>
          <cell r="D29" t="str">
            <v>0001861288</v>
          </cell>
          <cell r="E29" t="str">
            <v>V14956</v>
          </cell>
          <cell r="F29" t="str">
            <v>2025-10-31</v>
          </cell>
          <cell r="G29" t="str">
            <v>9999-12-31</v>
          </cell>
          <cell r="H29" t="str">
            <v>70</v>
          </cell>
        </row>
        <row r="30">
          <cell r="C30" t="str">
            <v>0011801824B</v>
          </cell>
          <cell r="D30" t="str">
            <v>0001803002</v>
          </cell>
          <cell r="E30" t="str">
            <v>V14956</v>
          </cell>
          <cell r="F30" t="str">
            <v>2025-04-30</v>
          </cell>
          <cell r="G30" t="str">
            <v>9999-12-31</v>
          </cell>
          <cell r="H30" t="str">
            <v>30</v>
          </cell>
        </row>
        <row r="31">
          <cell r="C31" t="str">
            <v>0011801824</v>
          </cell>
          <cell r="D31" t="str">
            <v>0001808087</v>
          </cell>
          <cell r="E31" t="str">
            <v>V14956</v>
          </cell>
          <cell r="F31" t="str">
            <v>2025-05-22</v>
          </cell>
          <cell r="G31" t="str">
            <v>9999-12-31</v>
          </cell>
          <cell r="H31" t="str">
            <v>50</v>
          </cell>
        </row>
        <row r="32">
          <cell r="C32" t="str">
            <v>0011801583AF</v>
          </cell>
          <cell r="D32" t="str">
            <v>0001796072</v>
          </cell>
          <cell r="E32" t="str">
            <v>V14956</v>
          </cell>
          <cell r="F32" t="str">
            <v>2025-04-10</v>
          </cell>
          <cell r="G32" t="str">
            <v>9999-12-31</v>
          </cell>
          <cell r="H32" t="str">
            <v>70</v>
          </cell>
        </row>
        <row r="33">
          <cell r="C33" t="str">
            <v>0011801583AE</v>
          </cell>
          <cell r="D33" t="str">
            <v>0001778050</v>
          </cell>
          <cell r="E33" t="str">
            <v>V14956</v>
          </cell>
          <cell r="F33" t="str">
            <v>2025-02-18</v>
          </cell>
          <cell r="G33" t="str">
            <v>9999-12-31</v>
          </cell>
          <cell r="H33" t="str">
            <v>70</v>
          </cell>
        </row>
        <row r="34">
          <cell r="C34" t="str">
            <v>0011801423AQ</v>
          </cell>
          <cell r="D34" t="str">
            <v>0001861285</v>
          </cell>
          <cell r="E34" t="str">
            <v>V14956</v>
          </cell>
          <cell r="F34" t="str">
            <v>2025-10-31</v>
          </cell>
          <cell r="G34" t="str">
            <v>9999-12-31</v>
          </cell>
          <cell r="H34" t="str">
            <v>30</v>
          </cell>
        </row>
        <row r="35">
          <cell r="C35" t="str">
            <v>0011801423BA</v>
          </cell>
          <cell r="D35" t="str">
            <v>0001814821</v>
          </cell>
          <cell r="E35" t="str">
            <v>V14956</v>
          </cell>
          <cell r="F35" t="str">
            <v>2025-06-12</v>
          </cell>
          <cell r="G35" t="str">
            <v>9999-12-31</v>
          </cell>
          <cell r="H35" t="str">
            <v>30</v>
          </cell>
        </row>
        <row r="36">
          <cell r="C36" t="str">
            <v>0011800997BZ</v>
          </cell>
          <cell r="D36" t="str">
            <v>0001720974</v>
          </cell>
          <cell r="E36" t="str">
            <v>V14956</v>
          </cell>
          <cell r="F36" t="str">
            <v>2024-08-23</v>
          </cell>
          <cell r="G36" t="str">
            <v>9999-12-31</v>
          </cell>
          <cell r="H36" t="str">
            <v>30</v>
          </cell>
        </row>
        <row r="37">
          <cell r="C37" t="str">
            <v>0011802020B</v>
          </cell>
          <cell r="D37" t="str">
            <v>0001832607</v>
          </cell>
          <cell r="E37" t="str">
            <v>V14956</v>
          </cell>
          <cell r="F37" t="str">
            <v>2025-08-01</v>
          </cell>
          <cell r="G37" t="str">
            <v>9999-12-31</v>
          </cell>
          <cell r="H37" t="str">
            <v>70</v>
          </cell>
        </row>
        <row r="38">
          <cell r="C38" t="str">
            <v>0011802020A</v>
          </cell>
          <cell r="D38" t="str">
            <v>0001829138</v>
          </cell>
          <cell r="E38" t="str">
            <v>V14956</v>
          </cell>
          <cell r="F38" t="str">
            <v>2025-07-23</v>
          </cell>
          <cell r="G38" t="str">
            <v>9999-12-31</v>
          </cell>
          <cell r="H38" t="str">
            <v>30</v>
          </cell>
        </row>
        <row r="39">
          <cell r="C39" t="str">
            <v>0011801977H</v>
          </cell>
          <cell r="D39" t="str">
            <v>0001823177</v>
          </cell>
          <cell r="E39" t="str">
            <v>V14956</v>
          </cell>
          <cell r="F39" t="str">
            <v>2025-07-04</v>
          </cell>
          <cell r="G39" t="str">
            <v>9999-12-31</v>
          </cell>
          <cell r="H39" t="str">
            <v>30</v>
          </cell>
        </row>
        <row r="40">
          <cell r="C40" t="str">
            <v>0011801977G</v>
          </cell>
          <cell r="D40" t="str">
            <v>0001823176</v>
          </cell>
          <cell r="E40" t="str">
            <v>V14956</v>
          </cell>
          <cell r="F40" t="str">
            <v>2025-07-04</v>
          </cell>
          <cell r="G40" t="str">
            <v>9999-12-31</v>
          </cell>
          <cell r="H40" t="str">
            <v>30</v>
          </cell>
        </row>
        <row r="41">
          <cell r="C41" t="str">
            <v>0011801977F</v>
          </cell>
          <cell r="D41" t="str">
            <v>0001823175</v>
          </cell>
          <cell r="E41" t="str">
            <v>V14956</v>
          </cell>
          <cell r="F41" t="str">
            <v>2025-07-04</v>
          </cell>
          <cell r="G41" t="str">
            <v>9999-12-31</v>
          </cell>
          <cell r="H41" t="str">
            <v>30</v>
          </cell>
        </row>
        <row r="42">
          <cell r="C42" t="str">
            <v>0011801977E</v>
          </cell>
          <cell r="D42" t="str">
            <v>0001823174</v>
          </cell>
          <cell r="E42" t="str">
            <v>V14956</v>
          </cell>
          <cell r="F42" t="str">
            <v>2025-07-04</v>
          </cell>
          <cell r="G42" t="str">
            <v>9999-12-31</v>
          </cell>
          <cell r="H42" t="str">
            <v>30</v>
          </cell>
        </row>
        <row r="43">
          <cell r="C43" t="str">
            <v>0011801922J</v>
          </cell>
          <cell r="D43" t="str">
            <v>0001892672</v>
          </cell>
          <cell r="E43" t="str">
            <v>V14956</v>
          </cell>
          <cell r="F43" t="str">
            <v>2026-01-20</v>
          </cell>
          <cell r="G43" t="str">
            <v>9999-12-31</v>
          </cell>
          <cell r="H43" t="str">
            <v>70</v>
          </cell>
        </row>
        <row r="44">
          <cell r="C44" t="str">
            <v>0011801922H</v>
          </cell>
          <cell r="D44" t="str">
            <v>0001892671</v>
          </cell>
          <cell r="E44" t="str">
            <v>V14956</v>
          </cell>
          <cell r="F44" t="str">
            <v>2026-01-20</v>
          </cell>
          <cell r="G44" t="str">
            <v>9999-12-31</v>
          </cell>
          <cell r="H44" t="str">
            <v>70</v>
          </cell>
        </row>
        <row r="45">
          <cell r="C45" t="str">
            <v>0011801922G</v>
          </cell>
          <cell r="D45" t="str">
            <v>0001892670</v>
          </cell>
          <cell r="E45" t="str">
            <v>V14956</v>
          </cell>
          <cell r="F45" t="str">
            <v>2026-01-20</v>
          </cell>
          <cell r="G45" t="str">
            <v>9999-12-31</v>
          </cell>
          <cell r="H45" t="str">
            <v>70</v>
          </cell>
        </row>
        <row r="46">
          <cell r="C46" t="str">
            <v>0011801922F</v>
          </cell>
          <cell r="D46" t="str">
            <v>0001892669</v>
          </cell>
          <cell r="E46" t="str">
            <v>V14956</v>
          </cell>
          <cell r="F46" t="str">
            <v>2026-01-20</v>
          </cell>
          <cell r="G46" t="str">
            <v>9999-12-31</v>
          </cell>
          <cell r="H46" t="str">
            <v>70</v>
          </cell>
        </row>
        <row r="47">
          <cell r="C47" t="str">
            <v>0011801922</v>
          </cell>
          <cell r="D47" t="str">
            <v>0001830011</v>
          </cell>
          <cell r="E47" t="str">
            <v>V14956</v>
          </cell>
          <cell r="F47" t="str">
            <v>2025-07-25</v>
          </cell>
          <cell r="G47" t="str">
            <v>9999-12-31</v>
          </cell>
          <cell r="H47" t="str">
            <v>70</v>
          </cell>
        </row>
        <row r="48">
          <cell r="C48" t="str">
            <v>0011801907</v>
          </cell>
          <cell r="D48" t="str">
            <v>0001868469</v>
          </cell>
          <cell r="E48" t="str">
            <v>V14956</v>
          </cell>
          <cell r="F48" t="str">
            <v>2025-11-21</v>
          </cell>
          <cell r="G48" t="str">
            <v>9999-12-31</v>
          </cell>
          <cell r="H48" t="str">
            <v>30</v>
          </cell>
        </row>
        <row r="49">
          <cell r="C49" t="str">
            <v>0011801890C</v>
          </cell>
          <cell r="D49" t="str">
            <v>0001832985</v>
          </cell>
          <cell r="E49" t="str">
            <v>V14956</v>
          </cell>
          <cell r="F49" t="str">
            <v>2025-08-04</v>
          </cell>
          <cell r="G49" t="str">
            <v>9999-12-31</v>
          </cell>
          <cell r="H49" t="str">
            <v>30</v>
          </cell>
        </row>
        <row r="50">
          <cell r="C50" t="str">
            <v>0011801890</v>
          </cell>
          <cell r="D50" t="str">
            <v>0001734833</v>
          </cell>
          <cell r="E50" t="str">
            <v>V14956</v>
          </cell>
          <cell r="F50" t="str">
            <v>2024-10-16</v>
          </cell>
          <cell r="G50" t="str">
            <v>9999-12-31</v>
          </cell>
          <cell r="H50" t="str">
            <v>70</v>
          </cell>
        </row>
        <row r="51">
          <cell r="C51" t="str">
            <v>0011801850B</v>
          </cell>
          <cell r="D51" t="str">
            <v>0001888582</v>
          </cell>
          <cell r="E51" t="str">
            <v>V14956</v>
          </cell>
          <cell r="F51" t="str">
            <v>2026-01-10</v>
          </cell>
          <cell r="G51" t="str">
            <v>9999-12-31</v>
          </cell>
          <cell r="H51" t="str">
            <v>70</v>
          </cell>
        </row>
        <row r="52">
          <cell r="C52" t="str">
            <v>0011801850AA</v>
          </cell>
          <cell r="D52" t="str">
            <v>0001888581</v>
          </cell>
          <cell r="E52" t="str">
            <v>V14956</v>
          </cell>
          <cell r="F52" t="str">
            <v>2026-01-10</v>
          </cell>
          <cell r="G52" t="str">
            <v>9999-12-31</v>
          </cell>
          <cell r="H52" t="str">
            <v>70</v>
          </cell>
        </row>
        <row r="53">
          <cell r="C53" t="str">
            <v>0011801850A</v>
          </cell>
          <cell r="D53" t="str">
            <v>0001827034</v>
          </cell>
          <cell r="E53" t="str">
            <v>V14956</v>
          </cell>
          <cell r="F53" t="str">
            <v>2025-07-16</v>
          </cell>
          <cell r="G53" t="str">
            <v>9999-12-31</v>
          </cell>
          <cell r="H53" t="str">
            <v>30</v>
          </cell>
        </row>
        <row r="54">
          <cell r="C54" t="str">
            <v>0011801850</v>
          </cell>
          <cell r="D54" t="str">
            <v>0001827033</v>
          </cell>
          <cell r="E54" t="str">
            <v>V14956</v>
          </cell>
          <cell r="F54" t="str">
            <v>2025-07-16</v>
          </cell>
          <cell r="G54" t="str">
            <v>9999-12-31</v>
          </cell>
          <cell r="H54" t="str">
            <v>30</v>
          </cell>
        </row>
        <row r="55">
          <cell r="C55" t="str">
            <v>0011801843Y</v>
          </cell>
          <cell r="D55" t="str">
            <v>0001804756</v>
          </cell>
          <cell r="E55" t="str">
            <v>V14956</v>
          </cell>
          <cell r="F55" t="str">
            <v>2025-05-10</v>
          </cell>
          <cell r="G55" t="str">
            <v>9999-12-31</v>
          </cell>
          <cell r="H55" t="str">
            <v>30</v>
          </cell>
        </row>
        <row r="56">
          <cell r="C56" t="str">
            <v>0011801843X</v>
          </cell>
          <cell r="D56" t="str">
            <v>0001804755</v>
          </cell>
          <cell r="E56" t="str">
            <v>V14956</v>
          </cell>
          <cell r="F56" t="str">
            <v>2025-05-10</v>
          </cell>
          <cell r="G56" t="str">
            <v>9999-12-31</v>
          </cell>
          <cell r="H56" t="str">
            <v>30</v>
          </cell>
        </row>
        <row r="57">
          <cell r="C57" t="str">
            <v>0011801843W</v>
          </cell>
          <cell r="D57" t="str">
            <v>0001891162</v>
          </cell>
          <cell r="E57" t="str">
            <v>V14956</v>
          </cell>
          <cell r="F57" t="str">
            <v>2026-01-16</v>
          </cell>
          <cell r="G57" t="str">
            <v>9999-12-31</v>
          </cell>
          <cell r="H57" t="str">
            <v>30</v>
          </cell>
        </row>
        <row r="58">
          <cell r="C58" t="str">
            <v>0011801843F</v>
          </cell>
          <cell r="D58" t="str">
            <v>0001775660</v>
          </cell>
          <cell r="E58" t="str">
            <v>V14956</v>
          </cell>
          <cell r="F58" t="str">
            <v>2025-02-08</v>
          </cell>
          <cell r="G58" t="str">
            <v>9999-12-31</v>
          </cell>
          <cell r="H58" t="str">
            <v>30</v>
          </cell>
        </row>
        <row r="59">
          <cell r="C59" t="str">
            <v>0011801843E</v>
          </cell>
          <cell r="D59" t="str">
            <v>0001775659</v>
          </cell>
          <cell r="E59" t="str">
            <v>V14956</v>
          </cell>
          <cell r="F59" t="str">
            <v>2025-02-08</v>
          </cell>
          <cell r="G59" t="str">
            <v>9999-12-31</v>
          </cell>
          <cell r="H59" t="str">
            <v>30</v>
          </cell>
        </row>
        <row r="60">
          <cell r="C60" t="str">
            <v>0011801843D</v>
          </cell>
          <cell r="D60" t="str">
            <v>0001775658</v>
          </cell>
          <cell r="E60" t="str">
            <v>V14956</v>
          </cell>
          <cell r="F60" t="str">
            <v>2025-02-08</v>
          </cell>
          <cell r="G60" t="str">
            <v>9999-12-31</v>
          </cell>
          <cell r="H60" t="str">
            <v>30</v>
          </cell>
        </row>
        <row r="61">
          <cell r="C61" t="str">
            <v>0011801843AN</v>
          </cell>
          <cell r="D61" t="str">
            <v>0001837435</v>
          </cell>
          <cell r="E61" t="str">
            <v>V14956</v>
          </cell>
          <cell r="F61" t="str">
            <v>2025-08-14</v>
          </cell>
          <cell r="G61" t="str">
            <v>9999-12-31</v>
          </cell>
          <cell r="H61" t="str">
            <v>70</v>
          </cell>
        </row>
        <row r="62">
          <cell r="C62" t="str">
            <v>0011801826</v>
          </cell>
          <cell r="D62" t="str">
            <v>0001646472</v>
          </cell>
          <cell r="E62" t="str">
            <v>V14956</v>
          </cell>
          <cell r="F62" t="str">
            <v>2023-11-16</v>
          </cell>
          <cell r="G62" t="str">
            <v>9999-12-31</v>
          </cell>
          <cell r="H62" t="str">
            <v>70</v>
          </cell>
        </row>
        <row r="63">
          <cell r="C63" t="str">
            <v>0011801825</v>
          </cell>
          <cell r="D63" t="str">
            <v>0001642259</v>
          </cell>
          <cell r="E63" t="str">
            <v>V14956</v>
          </cell>
          <cell r="F63" t="str">
            <v>2023-10-30</v>
          </cell>
          <cell r="G63" t="str">
            <v>9999-12-31</v>
          </cell>
          <cell r="H63" t="str">
            <v>30</v>
          </cell>
        </row>
        <row r="64">
          <cell r="C64" t="str">
            <v>0011801713A</v>
          </cell>
          <cell r="D64" t="str">
            <v>0001827031</v>
          </cell>
          <cell r="E64" t="str">
            <v>V14956</v>
          </cell>
          <cell r="F64" t="str">
            <v>2025-07-16</v>
          </cell>
          <cell r="G64" t="str">
            <v>9999-12-31</v>
          </cell>
          <cell r="H64" t="str">
            <v>70</v>
          </cell>
        </row>
        <row r="65">
          <cell r="C65" t="str">
            <v>0011801685</v>
          </cell>
          <cell r="D65" t="str">
            <v>0001827029</v>
          </cell>
          <cell r="E65" t="str">
            <v>V14956</v>
          </cell>
          <cell r="F65" t="str">
            <v>2025-07-16</v>
          </cell>
          <cell r="G65" t="str">
            <v>9999-12-31</v>
          </cell>
          <cell r="H65" t="str">
            <v>30</v>
          </cell>
        </row>
        <row r="66">
          <cell r="C66" t="str">
            <v>0011801675K</v>
          </cell>
          <cell r="D66" t="str">
            <v>0001872060</v>
          </cell>
          <cell r="E66" t="str">
            <v>V14956</v>
          </cell>
          <cell r="F66" t="str">
            <v>2025-12-04</v>
          </cell>
          <cell r="G66" t="str">
            <v>9999-12-31</v>
          </cell>
          <cell r="H66" t="str">
            <v>70</v>
          </cell>
        </row>
        <row r="67">
          <cell r="C67" t="str">
            <v>0011801675J</v>
          </cell>
          <cell r="D67" t="str">
            <v>0001872438</v>
          </cell>
          <cell r="E67" t="str">
            <v>V14956</v>
          </cell>
          <cell r="F67" t="str">
            <v>2025-12-04</v>
          </cell>
          <cell r="G67" t="str">
            <v>9999-12-31</v>
          </cell>
          <cell r="H67" t="str">
            <v>70</v>
          </cell>
        </row>
        <row r="68">
          <cell r="C68" t="str">
            <v>0011801675H</v>
          </cell>
          <cell r="D68" t="str">
            <v>0001788880</v>
          </cell>
          <cell r="E68" t="str">
            <v>V14956</v>
          </cell>
          <cell r="F68" t="str">
            <v>2025-03-21</v>
          </cell>
          <cell r="G68" t="str">
            <v>9999-12-31</v>
          </cell>
          <cell r="H68" t="str">
            <v>70</v>
          </cell>
        </row>
        <row r="69">
          <cell r="C69" t="str">
            <v>0011801675G</v>
          </cell>
          <cell r="D69" t="str">
            <v>0001799216</v>
          </cell>
          <cell r="E69" t="str">
            <v>V14956</v>
          </cell>
          <cell r="F69" t="str">
            <v>2025-04-21</v>
          </cell>
          <cell r="G69" t="str">
            <v>9999-12-31</v>
          </cell>
          <cell r="H69" t="str">
            <v>30</v>
          </cell>
        </row>
        <row r="70">
          <cell r="C70" t="str">
            <v>0011801675C</v>
          </cell>
          <cell r="D70" t="str">
            <v>0001787652</v>
          </cell>
          <cell r="E70" t="str">
            <v>V14956</v>
          </cell>
          <cell r="F70" t="str">
            <v>2025-03-18</v>
          </cell>
          <cell r="G70" t="str">
            <v>9999-12-31</v>
          </cell>
          <cell r="H70" t="str">
            <v>30</v>
          </cell>
        </row>
        <row r="71">
          <cell r="C71" t="str">
            <v>0011801675B</v>
          </cell>
          <cell r="D71" t="str">
            <v>0001836080</v>
          </cell>
          <cell r="E71" t="str">
            <v>V14956</v>
          </cell>
          <cell r="F71" t="str">
            <v>2025-08-11</v>
          </cell>
          <cell r="G71" t="str">
            <v>9999-12-31</v>
          </cell>
          <cell r="H71" t="str">
            <v>30</v>
          </cell>
        </row>
        <row r="72">
          <cell r="C72" t="str">
            <v>0011801675AP</v>
          </cell>
          <cell r="D72" t="str">
            <v>0001790681</v>
          </cell>
          <cell r="E72" t="str">
            <v>V14956</v>
          </cell>
          <cell r="F72" t="str">
            <v>2025-03-27</v>
          </cell>
          <cell r="G72" t="str">
            <v>9999-12-31</v>
          </cell>
          <cell r="H72" t="str">
            <v>30</v>
          </cell>
        </row>
        <row r="73">
          <cell r="C73" t="str">
            <v>0011801675AF</v>
          </cell>
          <cell r="D73" t="str">
            <v>0001858357</v>
          </cell>
          <cell r="E73" t="str">
            <v>V14956</v>
          </cell>
          <cell r="F73" t="str">
            <v>2025-10-24</v>
          </cell>
          <cell r="G73" t="str">
            <v>9999-12-31</v>
          </cell>
          <cell r="H73" t="str">
            <v>30</v>
          </cell>
        </row>
        <row r="74">
          <cell r="C74" t="str">
            <v>0011801675AE</v>
          </cell>
          <cell r="D74" t="str">
            <v>0001872434</v>
          </cell>
          <cell r="E74" t="str">
            <v>V14956</v>
          </cell>
          <cell r="F74" t="str">
            <v>2025-12-04</v>
          </cell>
          <cell r="G74" t="str">
            <v>9999-12-31</v>
          </cell>
          <cell r="H74" t="str">
            <v>30</v>
          </cell>
        </row>
        <row r="75">
          <cell r="C75" t="str">
            <v>0011801675AD</v>
          </cell>
          <cell r="D75" t="str">
            <v>0001790680</v>
          </cell>
          <cell r="E75" t="str">
            <v>V14956</v>
          </cell>
          <cell r="F75" t="str">
            <v>2025-03-27</v>
          </cell>
          <cell r="G75" t="str">
            <v>9999-12-31</v>
          </cell>
          <cell r="H75" t="str">
            <v>30</v>
          </cell>
        </row>
        <row r="76">
          <cell r="C76" t="str">
            <v>0031800386JL</v>
          </cell>
          <cell r="D76" t="str">
            <v>0001732942</v>
          </cell>
          <cell r="E76" t="str">
            <v>V14956</v>
          </cell>
          <cell r="F76" t="str">
            <v>2024-10-09</v>
          </cell>
          <cell r="G76" t="str">
            <v>9999-12-31</v>
          </cell>
          <cell r="H76" t="str">
            <v>30</v>
          </cell>
        </row>
        <row r="77">
          <cell r="C77" t="str">
            <v>0031800374</v>
          </cell>
          <cell r="D77" t="str">
            <v>0001647218</v>
          </cell>
          <cell r="E77" t="str">
            <v>V14956</v>
          </cell>
          <cell r="F77" t="str">
            <v>2023-11-20</v>
          </cell>
          <cell r="G77" t="str">
            <v>9999-12-31</v>
          </cell>
          <cell r="H77" t="str">
            <v>50</v>
          </cell>
        </row>
        <row r="78">
          <cell r="C78" t="str">
            <v>0031800004FH</v>
          </cell>
          <cell r="D78" t="str">
            <v>0001703390</v>
          </cell>
          <cell r="E78" t="str">
            <v>V14956</v>
          </cell>
          <cell r="F78" t="str">
            <v>2024-06-18</v>
          </cell>
          <cell r="G78" t="str">
            <v>9999-12-31</v>
          </cell>
          <cell r="H78" t="str">
            <v>30</v>
          </cell>
        </row>
        <row r="79">
          <cell r="C79" t="str">
            <v>0011801675AB</v>
          </cell>
          <cell r="D79" t="str">
            <v>0001872432</v>
          </cell>
          <cell r="E79" t="str">
            <v>V14956</v>
          </cell>
          <cell r="F79" t="str">
            <v>2025-12-04</v>
          </cell>
          <cell r="G79" t="str">
            <v>9999-12-31</v>
          </cell>
          <cell r="H79" t="str">
            <v>30</v>
          </cell>
        </row>
        <row r="80">
          <cell r="C80" t="str">
            <v>0011801675A</v>
          </cell>
          <cell r="D80" t="str">
            <v>0001836078</v>
          </cell>
          <cell r="E80" t="str">
            <v>V14956</v>
          </cell>
          <cell r="F80" t="str">
            <v>2025-08-11</v>
          </cell>
          <cell r="G80" t="str">
            <v>9999-12-31</v>
          </cell>
          <cell r="H80" t="str">
            <v>30</v>
          </cell>
        </row>
        <row r="81">
          <cell r="C81" t="str">
            <v>0011801659</v>
          </cell>
          <cell r="D81" t="str">
            <v>0001827027</v>
          </cell>
          <cell r="E81" t="str">
            <v>V14956</v>
          </cell>
          <cell r="F81" t="str">
            <v>2025-07-16</v>
          </cell>
          <cell r="G81" t="str">
            <v>9999-12-31</v>
          </cell>
          <cell r="H81" t="str">
            <v>30</v>
          </cell>
        </row>
        <row r="82">
          <cell r="C82" t="str">
            <v>0011801657AA</v>
          </cell>
          <cell r="D82" t="str">
            <v>0001888579</v>
          </cell>
          <cell r="E82" t="str">
            <v>V14956</v>
          </cell>
          <cell r="F82" t="str">
            <v>2026-01-10</v>
          </cell>
          <cell r="G82" t="str">
            <v>9999-12-31</v>
          </cell>
          <cell r="H82" t="str">
            <v>70</v>
          </cell>
        </row>
        <row r="83">
          <cell r="C83" t="str">
            <v>0011801657A</v>
          </cell>
          <cell r="D83" t="str">
            <v>0001827026</v>
          </cell>
          <cell r="E83" t="str">
            <v>V14956</v>
          </cell>
          <cell r="F83" t="str">
            <v>2025-07-16</v>
          </cell>
          <cell r="G83" t="str">
            <v>9999-12-31</v>
          </cell>
          <cell r="H83" t="str">
            <v>70</v>
          </cell>
        </row>
        <row r="84">
          <cell r="C84" t="str">
            <v>0011801657</v>
          </cell>
          <cell r="D84" t="str">
            <v>0001827025</v>
          </cell>
          <cell r="E84" t="str">
            <v>V14956</v>
          </cell>
          <cell r="F84" t="str">
            <v>2025-07-16</v>
          </cell>
          <cell r="G84" t="str">
            <v>9999-12-31</v>
          </cell>
          <cell r="H84" t="str">
            <v>30</v>
          </cell>
        </row>
        <row r="85">
          <cell r="C85" t="str">
            <v>0011801656A</v>
          </cell>
          <cell r="D85" t="str">
            <v>0001827024</v>
          </cell>
          <cell r="E85" t="str">
            <v>V14956</v>
          </cell>
          <cell r="F85" t="str">
            <v>2025-07-16</v>
          </cell>
          <cell r="G85" t="str">
            <v>9999-12-31</v>
          </cell>
          <cell r="H85" t="str">
            <v>70</v>
          </cell>
        </row>
        <row r="86">
          <cell r="C86" t="str">
            <v>0011801656</v>
          </cell>
          <cell r="D86" t="str">
            <v>0001827023</v>
          </cell>
          <cell r="E86" t="str">
            <v>V14956</v>
          </cell>
          <cell r="F86" t="str">
            <v>2025-07-16</v>
          </cell>
          <cell r="G86" t="str">
            <v>9999-12-31</v>
          </cell>
          <cell r="H86" t="str">
            <v>30</v>
          </cell>
        </row>
        <row r="87">
          <cell r="C87" t="str">
            <v>0011801652A</v>
          </cell>
          <cell r="D87" t="str">
            <v>0001827022</v>
          </cell>
          <cell r="E87" t="str">
            <v>V14956</v>
          </cell>
          <cell r="F87" t="str">
            <v>2025-07-16</v>
          </cell>
          <cell r="G87" t="str">
            <v>9999-12-31</v>
          </cell>
          <cell r="H87" t="str">
            <v>30</v>
          </cell>
        </row>
        <row r="88">
          <cell r="C88" t="str">
            <v>0011801652</v>
          </cell>
          <cell r="D88" t="str">
            <v>0001827021</v>
          </cell>
          <cell r="E88" t="str">
            <v>V14956</v>
          </cell>
          <cell r="F88" t="str">
            <v>2025-07-16</v>
          </cell>
          <cell r="G88" t="str">
            <v>9999-12-31</v>
          </cell>
          <cell r="H88" t="str">
            <v>50</v>
          </cell>
        </row>
        <row r="89">
          <cell r="C89" t="str">
            <v>0011801490F</v>
          </cell>
          <cell r="D89" t="str">
            <v>0001887400</v>
          </cell>
          <cell r="E89" t="str">
            <v>V14956</v>
          </cell>
          <cell r="F89" t="str">
            <v>2026-01-08</v>
          </cell>
          <cell r="G89" t="str">
            <v>9999-12-31</v>
          </cell>
          <cell r="H89" t="str">
            <v>40</v>
          </cell>
        </row>
        <row r="90">
          <cell r="C90" t="str">
            <v>0011801490E</v>
          </cell>
          <cell r="D90" t="str">
            <v>0001887398</v>
          </cell>
          <cell r="E90" t="str">
            <v>V14956</v>
          </cell>
          <cell r="F90" t="str">
            <v>2026-01-08</v>
          </cell>
          <cell r="G90" t="str">
            <v>9999-12-31</v>
          </cell>
          <cell r="H90" t="str">
            <v>40</v>
          </cell>
        </row>
        <row r="91">
          <cell r="C91" t="str">
            <v>0011801490D</v>
          </cell>
          <cell r="D91" t="str">
            <v>0001711835</v>
          </cell>
          <cell r="E91" t="str">
            <v>V14956</v>
          </cell>
          <cell r="F91" t="str">
            <v>2024-07-18</v>
          </cell>
          <cell r="G91" t="str">
            <v>9999-12-31</v>
          </cell>
          <cell r="H91" t="str">
            <v>10</v>
          </cell>
        </row>
        <row r="92">
          <cell r="C92" t="str">
            <v>0011801490BT</v>
          </cell>
          <cell r="D92" t="str">
            <v>0001832978</v>
          </cell>
          <cell r="E92" t="str">
            <v>V14956</v>
          </cell>
          <cell r="F92" t="str">
            <v>2025-08-04</v>
          </cell>
          <cell r="G92" t="str">
            <v>9999-12-31</v>
          </cell>
          <cell r="H92" t="str">
            <v>30</v>
          </cell>
        </row>
        <row r="93">
          <cell r="C93" t="str">
            <v>0011801490BS</v>
          </cell>
          <cell r="D93" t="str">
            <v>0001832977</v>
          </cell>
          <cell r="E93" t="str">
            <v>V14956</v>
          </cell>
          <cell r="F93" t="str">
            <v>2025-08-04</v>
          </cell>
          <cell r="G93" t="str">
            <v>9999-12-31</v>
          </cell>
          <cell r="H93" t="str">
            <v>70</v>
          </cell>
        </row>
        <row r="94">
          <cell r="C94" t="str">
            <v>0011801490AU</v>
          </cell>
          <cell r="D94" t="str">
            <v>0001768059</v>
          </cell>
          <cell r="E94" t="str">
            <v>V14956</v>
          </cell>
          <cell r="F94" t="str">
            <v>2025-01-08</v>
          </cell>
          <cell r="G94" t="str">
            <v>9999-12-31</v>
          </cell>
          <cell r="H94" t="str">
            <v>30</v>
          </cell>
        </row>
        <row r="95">
          <cell r="C95" t="str">
            <v>0011801490AP</v>
          </cell>
          <cell r="D95" t="str">
            <v>0001768058</v>
          </cell>
          <cell r="E95" t="str">
            <v>V14956</v>
          </cell>
          <cell r="F95" t="str">
            <v>2025-01-08</v>
          </cell>
          <cell r="G95" t="str">
            <v>9999-12-31</v>
          </cell>
          <cell r="H95" t="str">
            <v>30</v>
          </cell>
        </row>
        <row r="96">
          <cell r="C96" t="str">
            <v>0011801482A</v>
          </cell>
          <cell r="D96" t="str">
            <v>0001888294</v>
          </cell>
          <cell r="E96" t="str">
            <v>V14956</v>
          </cell>
          <cell r="F96" t="str">
            <v>2026-01-09</v>
          </cell>
          <cell r="G96" t="str">
            <v>9999-12-31</v>
          </cell>
          <cell r="H96" t="str">
            <v>30</v>
          </cell>
        </row>
        <row r="97">
          <cell r="C97" t="str">
            <v>0011801482</v>
          </cell>
          <cell r="D97" t="str">
            <v>0001888292</v>
          </cell>
          <cell r="E97" t="str">
            <v>V14956</v>
          </cell>
          <cell r="F97" t="str">
            <v>2026-01-09</v>
          </cell>
          <cell r="G97" t="str">
            <v>9999-12-31</v>
          </cell>
          <cell r="H97" t="str">
            <v>30</v>
          </cell>
        </row>
        <row r="98">
          <cell r="C98" t="str">
            <v>0011801425AA</v>
          </cell>
          <cell r="D98" t="str">
            <v>0001715062</v>
          </cell>
          <cell r="E98" t="str">
            <v>V14956</v>
          </cell>
          <cell r="F98" t="str">
            <v>2024-07-31</v>
          </cell>
          <cell r="G98" t="str">
            <v>9999-12-31</v>
          </cell>
          <cell r="H98" t="str">
            <v>50</v>
          </cell>
        </row>
        <row r="99">
          <cell r="C99" t="str">
            <v>0011801424BP</v>
          </cell>
          <cell r="D99" t="str">
            <v>0001879433</v>
          </cell>
          <cell r="E99" t="str">
            <v>V14956</v>
          </cell>
          <cell r="F99" t="str">
            <v>2025-12-22</v>
          </cell>
          <cell r="G99" t="str">
            <v>9999-12-31</v>
          </cell>
          <cell r="H99" t="str">
            <v>70</v>
          </cell>
        </row>
        <row r="100">
          <cell r="C100" t="str">
            <v>0011801424BM</v>
          </cell>
          <cell r="D100" t="str">
            <v>0001781801</v>
          </cell>
          <cell r="E100" t="str">
            <v>V14956</v>
          </cell>
          <cell r="F100" t="str">
            <v>2025-03-03</v>
          </cell>
          <cell r="G100" t="str">
            <v>9999-12-31</v>
          </cell>
          <cell r="H100" t="str">
            <v>70</v>
          </cell>
        </row>
        <row r="101">
          <cell r="C101" t="str">
            <v>0011801424BG</v>
          </cell>
          <cell r="D101" t="str">
            <v>0001836074</v>
          </cell>
          <cell r="E101" t="str">
            <v>V14956</v>
          </cell>
          <cell r="F101" t="str">
            <v>2025-08-11</v>
          </cell>
          <cell r="G101" t="str">
            <v>9999-12-31</v>
          </cell>
          <cell r="H101" t="str">
            <v>30</v>
          </cell>
        </row>
        <row r="102">
          <cell r="C102" t="str">
            <v>0011801424BD</v>
          </cell>
          <cell r="D102" t="str">
            <v>0001737160</v>
          </cell>
          <cell r="E102" t="str">
            <v>V14956</v>
          </cell>
          <cell r="F102" t="str">
            <v>2024-10-21</v>
          </cell>
          <cell r="G102" t="str">
            <v>9999-12-31</v>
          </cell>
          <cell r="H102" t="str">
            <v>30</v>
          </cell>
        </row>
        <row r="103">
          <cell r="C103" t="str">
            <v>0011801424BA</v>
          </cell>
          <cell r="D103" t="str">
            <v>0001658881</v>
          </cell>
          <cell r="E103" t="str">
            <v>V14956</v>
          </cell>
          <cell r="F103" t="str">
            <v>2023-12-26</v>
          </cell>
          <cell r="G103" t="str">
            <v>9999-12-31</v>
          </cell>
          <cell r="H103" t="str">
            <v>30</v>
          </cell>
        </row>
        <row r="104">
          <cell r="C104" t="str">
            <v>0011801424AZ</v>
          </cell>
          <cell r="D104" t="str">
            <v>0001651548</v>
          </cell>
          <cell r="E104" t="str">
            <v>V14956</v>
          </cell>
          <cell r="F104" t="str">
            <v>2023-12-02</v>
          </cell>
          <cell r="G104" t="str">
            <v>9999-12-31</v>
          </cell>
          <cell r="H104" t="str">
            <v>30</v>
          </cell>
        </row>
        <row r="105">
          <cell r="C105" t="str">
            <v>0011801424AY</v>
          </cell>
          <cell r="D105" t="str">
            <v>0001664174</v>
          </cell>
          <cell r="E105" t="str">
            <v>V14956</v>
          </cell>
          <cell r="F105" t="str">
            <v>2024-01-15</v>
          </cell>
          <cell r="G105" t="str">
            <v>9999-12-31</v>
          </cell>
          <cell r="H105" t="str">
            <v>30</v>
          </cell>
        </row>
        <row r="106">
          <cell r="C106" t="str">
            <v>0011801424AX</v>
          </cell>
          <cell r="D106" t="str">
            <v>0001651547</v>
          </cell>
          <cell r="E106" t="str">
            <v>V14956</v>
          </cell>
          <cell r="F106" t="str">
            <v>2023-12-02</v>
          </cell>
          <cell r="G106" t="str">
            <v>9999-12-31</v>
          </cell>
          <cell r="H106" t="str">
            <v>30</v>
          </cell>
        </row>
        <row r="107">
          <cell r="C107" t="str">
            <v>0011801424AW</v>
          </cell>
          <cell r="D107" t="str">
            <v>0001651546</v>
          </cell>
          <cell r="E107" t="str">
            <v>V14956</v>
          </cell>
          <cell r="F107" t="str">
            <v>2023-12-02</v>
          </cell>
          <cell r="G107" t="str">
            <v>9999-12-31</v>
          </cell>
          <cell r="H107" t="str">
            <v>30</v>
          </cell>
        </row>
        <row r="108">
          <cell r="C108" t="str">
            <v>0011801424AV</v>
          </cell>
          <cell r="D108" t="str">
            <v>0001655751</v>
          </cell>
          <cell r="E108" t="str">
            <v>V14956</v>
          </cell>
          <cell r="F108" t="str">
            <v>2023-12-15</v>
          </cell>
          <cell r="G108" t="str">
            <v>9999-12-31</v>
          </cell>
          <cell r="H108" t="str">
            <v>30</v>
          </cell>
        </row>
        <row r="109">
          <cell r="C109" t="str">
            <v>0011801424AP</v>
          </cell>
          <cell r="D109" t="str">
            <v>0001627383</v>
          </cell>
          <cell r="E109" t="str">
            <v>V14956</v>
          </cell>
          <cell r="F109" t="str">
            <v>2023-08-24</v>
          </cell>
          <cell r="G109" t="str">
            <v>9999-12-31</v>
          </cell>
          <cell r="H109" t="str">
            <v>30</v>
          </cell>
        </row>
        <row r="110">
          <cell r="C110" t="str">
            <v>0011801330S</v>
          </cell>
          <cell r="D110" t="str">
            <v>0001766463</v>
          </cell>
          <cell r="E110" t="str">
            <v>V14956</v>
          </cell>
          <cell r="F110" t="str">
            <v>2025-01-03</v>
          </cell>
          <cell r="G110" t="str">
            <v>9999-12-31</v>
          </cell>
          <cell r="H110" t="str">
            <v>30</v>
          </cell>
        </row>
        <row r="111">
          <cell r="C111" t="str">
            <v>0011801330J</v>
          </cell>
          <cell r="D111" t="str">
            <v>0001892954</v>
          </cell>
          <cell r="E111" t="str">
            <v>V14956</v>
          </cell>
          <cell r="F111" t="str">
            <v>2026-01-21</v>
          </cell>
          <cell r="G111" t="str">
            <v>9999-12-31</v>
          </cell>
          <cell r="H111" t="str">
            <v>30</v>
          </cell>
        </row>
        <row r="112">
          <cell r="C112" t="str">
            <v>0011801330H</v>
          </cell>
          <cell r="D112" t="str">
            <v>0001888284</v>
          </cell>
          <cell r="E112" t="str">
            <v>V14956</v>
          </cell>
          <cell r="F112" t="str">
            <v>2026-01-09</v>
          </cell>
          <cell r="G112" t="str">
            <v>9999-12-31</v>
          </cell>
          <cell r="H112" t="str">
            <v>30</v>
          </cell>
        </row>
        <row r="113">
          <cell r="C113" t="str">
            <v>0011801330GCH</v>
          </cell>
          <cell r="D113" t="str">
            <v>0001753429</v>
          </cell>
          <cell r="E113" t="str">
            <v>V14956</v>
          </cell>
          <cell r="F113" t="str">
            <v>2024-11-26</v>
          </cell>
          <cell r="G113" t="str">
            <v>9999-12-31</v>
          </cell>
          <cell r="H113" t="str">
            <v>30</v>
          </cell>
        </row>
        <row r="114">
          <cell r="C114" t="str">
            <v>0011801330G</v>
          </cell>
          <cell r="D114" t="str">
            <v>0001888282</v>
          </cell>
          <cell r="E114" t="str">
            <v>V14956</v>
          </cell>
          <cell r="F114" t="str">
            <v>2026-01-09</v>
          </cell>
          <cell r="G114" t="str">
            <v>9999-12-31</v>
          </cell>
          <cell r="H114" t="str">
            <v>30</v>
          </cell>
        </row>
        <row r="115">
          <cell r="C115" t="str">
            <v>0011801330C</v>
          </cell>
          <cell r="D115" t="str">
            <v>0001888280</v>
          </cell>
          <cell r="E115" t="str">
            <v>V14956</v>
          </cell>
          <cell r="F115" t="str">
            <v>2026-01-09</v>
          </cell>
          <cell r="G115" t="str">
            <v>9999-12-31</v>
          </cell>
          <cell r="H115" t="str">
            <v>30</v>
          </cell>
        </row>
        <row r="116">
          <cell r="C116" t="str">
            <v>0011801330AK</v>
          </cell>
          <cell r="D116" t="str">
            <v>0001872107</v>
          </cell>
          <cell r="E116" t="str">
            <v>V14956</v>
          </cell>
          <cell r="F116" t="str">
            <v>2025-12-04</v>
          </cell>
          <cell r="G116" t="str">
            <v>9999-12-31</v>
          </cell>
          <cell r="H116" t="str">
            <v>70</v>
          </cell>
        </row>
        <row r="117">
          <cell r="C117" t="str">
            <v>0011801330AJ</v>
          </cell>
          <cell r="D117" t="str">
            <v>0001872106</v>
          </cell>
          <cell r="E117" t="str">
            <v>V14956</v>
          </cell>
          <cell r="F117" t="str">
            <v>2025-12-04</v>
          </cell>
          <cell r="G117" t="str">
            <v>9999-12-31</v>
          </cell>
          <cell r="H117" t="str">
            <v>70</v>
          </cell>
        </row>
        <row r="118">
          <cell r="C118" t="str">
            <v>0011801172FD</v>
          </cell>
          <cell r="D118" t="str">
            <v>0001737159</v>
          </cell>
          <cell r="E118" t="str">
            <v>V14956</v>
          </cell>
          <cell r="F118" t="str">
            <v>2024-10-21</v>
          </cell>
          <cell r="G118" t="str">
            <v>9999-12-31</v>
          </cell>
          <cell r="H118" t="str">
            <v>30</v>
          </cell>
        </row>
        <row r="119">
          <cell r="C119" t="str">
            <v>0011801172FB</v>
          </cell>
          <cell r="D119" t="str">
            <v>0001737158</v>
          </cell>
          <cell r="E119" t="str">
            <v>V14956</v>
          </cell>
          <cell r="F119" t="str">
            <v>2024-10-21</v>
          </cell>
          <cell r="G119" t="str">
            <v>9999-12-31</v>
          </cell>
          <cell r="H119" t="str">
            <v>30</v>
          </cell>
        </row>
        <row r="120">
          <cell r="C120" t="str">
            <v>0011801172DV</v>
          </cell>
          <cell r="D120" t="str">
            <v>0001892666</v>
          </cell>
          <cell r="E120" t="str">
            <v>V14956</v>
          </cell>
          <cell r="F120" t="str">
            <v>2026-01-20</v>
          </cell>
          <cell r="G120" t="str">
            <v>9999-12-31</v>
          </cell>
          <cell r="H120" t="str">
            <v>30</v>
          </cell>
        </row>
        <row r="121">
          <cell r="C121" t="str">
            <v>0011801172DU</v>
          </cell>
          <cell r="D121" t="str">
            <v>0001892665</v>
          </cell>
          <cell r="E121" t="str">
            <v>V14956</v>
          </cell>
          <cell r="F121" t="str">
            <v>2026-01-20</v>
          </cell>
          <cell r="G121" t="str">
            <v>9999-12-31</v>
          </cell>
          <cell r="H121" t="str">
            <v>30</v>
          </cell>
        </row>
        <row r="122">
          <cell r="C122" t="str">
            <v>0011801172DN</v>
          </cell>
          <cell r="D122" t="str">
            <v>0001823173</v>
          </cell>
          <cell r="E122" t="str">
            <v>V14956</v>
          </cell>
          <cell r="F122" t="str">
            <v>2025-07-04</v>
          </cell>
          <cell r="G122" t="str">
            <v>9999-12-31</v>
          </cell>
          <cell r="H122" t="str">
            <v>70</v>
          </cell>
        </row>
        <row r="123">
          <cell r="C123" t="str">
            <v>0011801172DM</v>
          </cell>
          <cell r="D123" t="str">
            <v>0001813344</v>
          </cell>
          <cell r="E123" t="str">
            <v>V14956</v>
          </cell>
          <cell r="F123" t="str">
            <v>2025-06-06</v>
          </cell>
          <cell r="G123" t="str">
            <v>9999-12-31</v>
          </cell>
          <cell r="H123" t="str">
            <v>70</v>
          </cell>
        </row>
        <row r="124">
          <cell r="C124" t="str">
            <v>0011801172DL</v>
          </cell>
          <cell r="D124" t="str">
            <v>0001813343</v>
          </cell>
          <cell r="E124" t="str">
            <v>V14956</v>
          </cell>
          <cell r="F124" t="str">
            <v>2025-06-06</v>
          </cell>
          <cell r="G124" t="str">
            <v>9999-12-31</v>
          </cell>
          <cell r="H124" t="str">
            <v>70</v>
          </cell>
        </row>
        <row r="125">
          <cell r="C125" t="str">
            <v>0011801172DK</v>
          </cell>
          <cell r="D125" t="str">
            <v>0001823172</v>
          </cell>
          <cell r="E125" t="str">
            <v>V14956</v>
          </cell>
          <cell r="F125" t="str">
            <v>2025-07-04</v>
          </cell>
          <cell r="G125" t="str">
            <v>9999-12-31</v>
          </cell>
          <cell r="H125" t="str">
            <v>70</v>
          </cell>
        </row>
        <row r="126">
          <cell r="C126" t="str">
            <v>0011801172DG</v>
          </cell>
          <cell r="D126" t="str">
            <v>0001757006</v>
          </cell>
          <cell r="E126" t="str">
            <v>V14956</v>
          </cell>
          <cell r="F126" t="str">
            <v>2024-12-06</v>
          </cell>
          <cell r="G126" t="str">
            <v>9999-12-31</v>
          </cell>
          <cell r="H126" t="str">
            <v>70</v>
          </cell>
        </row>
        <row r="127">
          <cell r="C127" t="str">
            <v>0011801172CU</v>
          </cell>
          <cell r="D127" t="str">
            <v>0001655790</v>
          </cell>
          <cell r="E127" t="str">
            <v>V14956</v>
          </cell>
          <cell r="F127" t="str">
            <v>2023-12-15</v>
          </cell>
          <cell r="G127" t="str">
            <v>9999-12-31</v>
          </cell>
          <cell r="H127" t="str">
            <v>70</v>
          </cell>
        </row>
        <row r="128">
          <cell r="C128" t="str">
            <v>0011801172CT</v>
          </cell>
          <cell r="D128" t="str">
            <v>0001655789</v>
          </cell>
          <cell r="E128" t="str">
            <v>V14956</v>
          </cell>
          <cell r="F128" t="str">
            <v>2023-12-15</v>
          </cell>
          <cell r="G128" t="str">
            <v>9999-12-31</v>
          </cell>
          <cell r="H128" t="str">
            <v>70</v>
          </cell>
        </row>
        <row r="129">
          <cell r="C129" t="str">
            <v>0011801172BD</v>
          </cell>
          <cell r="D129" t="str">
            <v>0001733694</v>
          </cell>
          <cell r="E129" t="str">
            <v>V14956</v>
          </cell>
          <cell r="F129" t="str">
            <v>2024-10-12</v>
          </cell>
          <cell r="G129" t="str">
            <v>9999-12-31</v>
          </cell>
          <cell r="H129" t="str">
            <v>70</v>
          </cell>
        </row>
        <row r="130">
          <cell r="C130" t="str">
            <v>0011801123K</v>
          </cell>
          <cell r="D130" t="str">
            <v>0001630138</v>
          </cell>
          <cell r="E130" t="str">
            <v>V14956</v>
          </cell>
          <cell r="F130" t="str">
            <v>2023-09-05</v>
          </cell>
          <cell r="G130" t="str">
            <v>9999-12-31</v>
          </cell>
          <cell r="H130" t="str">
            <v>30</v>
          </cell>
        </row>
        <row r="131">
          <cell r="C131" t="str">
            <v>0011801119Q</v>
          </cell>
          <cell r="D131" t="str">
            <v>0001658880</v>
          </cell>
          <cell r="E131" t="str">
            <v>V14956</v>
          </cell>
          <cell r="F131" t="str">
            <v>2023-12-26</v>
          </cell>
          <cell r="G131" t="str">
            <v>9999-12-31</v>
          </cell>
          <cell r="H131" t="str">
            <v>70</v>
          </cell>
        </row>
        <row r="132">
          <cell r="C132" t="str">
            <v>0011801119P</v>
          </cell>
          <cell r="D132" t="str">
            <v>0001628765</v>
          </cell>
          <cell r="E132" t="str">
            <v>V14956</v>
          </cell>
          <cell r="F132" t="str">
            <v>2023-09-04</v>
          </cell>
          <cell r="G132" t="str">
            <v>9999-12-31</v>
          </cell>
          <cell r="H132" t="str">
            <v>50</v>
          </cell>
        </row>
        <row r="133">
          <cell r="C133" t="str">
            <v>0011801119N</v>
          </cell>
          <cell r="D133" t="str">
            <v>0001628764</v>
          </cell>
          <cell r="E133" t="str">
            <v>V14956</v>
          </cell>
          <cell r="F133" t="str">
            <v>2023-09-04</v>
          </cell>
          <cell r="G133" t="str">
            <v>9999-12-31</v>
          </cell>
          <cell r="H133" t="str">
            <v>50</v>
          </cell>
        </row>
        <row r="134">
          <cell r="C134" t="str">
            <v>0011801071E</v>
          </cell>
          <cell r="D134" t="str">
            <v>0001647926</v>
          </cell>
          <cell r="E134" t="str">
            <v>V14956</v>
          </cell>
          <cell r="F134" t="str">
            <v>2023-11-23</v>
          </cell>
          <cell r="G134" t="str">
            <v>9999-12-31</v>
          </cell>
          <cell r="H134" t="str">
            <v>30</v>
          </cell>
        </row>
        <row r="135">
          <cell r="C135" t="str">
            <v>0011801048AN</v>
          </cell>
          <cell r="D135" t="str">
            <v>0001791324</v>
          </cell>
          <cell r="E135" t="str">
            <v>V14956</v>
          </cell>
          <cell r="F135" t="str">
            <v>2025-03-29</v>
          </cell>
          <cell r="G135" t="str">
            <v>9999-12-31</v>
          </cell>
          <cell r="H135" t="str">
            <v>50</v>
          </cell>
        </row>
        <row r="136">
          <cell r="C136" t="str">
            <v>0011801048AM</v>
          </cell>
          <cell r="D136" t="str">
            <v>0001791323</v>
          </cell>
          <cell r="E136" t="str">
            <v>V14956</v>
          </cell>
          <cell r="F136" t="str">
            <v>2025-03-29</v>
          </cell>
          <cell r="G136" t="str">
            <v>9999-12-31</v>
          </cell>
          <cell r="H136" t="str">
            <v>50</v>
          </cell>
        </row>
        <row r="137">
          <cell r="C137" t="str">
            <v>0011801048AH</v>
          </cell>
          <cell r="D137" t="str">
            <v>0001654671</v>
          </cell>
          <cell r="E137" t="str">
            <v>V14956</v>
          </cell>
          <cell r="F137" t="str">
            <v>2023-12-12</v>
          </cell>
          <cell r="G137" t="str">
            <v>9999-12-31</v>
          </cell>
          <cell r="H137" t="str">
            <v>50</v>
          </cell>
        </row>
        <row r="138">
          <cell r="C138" t="str">
            <v>0011801048AG</v>
          </cell>
          <cell r="D138" t="str">
            <v>0001654660</v>
          </cell>
          <cell r="E138" t="str">
            <v>V14956</v>
          </cell>
          <cell r="F138" t="str">
            <v>2023-12-12</v>
          </cell>
          <cell r="G138" t="str">
            <v>9999-12-31</v>
          </cell>
          <cell r="H138" t="str">
            <v>50</v>
          </cell>
        </row>
        <row r="139">
          <cell r="C139" t="str">
            <v>0011801048AF</v>
          </cell>
          <cell r="D139" t="str">
            <v>0001642294</v>
          </cell>
          <cell r="E139" t="str">
            <v>V14956</v>
          </cell>
          <cell r="F139" t="str">
            <v>2023-10-30</v>
          </cell>
          <cell r="G139" t="str">
            <v>9999-12-31</v>
          </cell>
          <cell r="H139" t="str">
            <v>70</v>
          </cell>
        </row>
        <row r="140">
          <cell r="C140" t="str">
            <v>0011801048AE</v>
          </cell>
          <cell r="D140" t="str">
            <v>0001642293</v>
          </cell>
          <cell r="E140" t="str">
            <v>V14956</v>
          </cell>
          <cell r="F140" t="str">
            <v>2023-10-30</v>
          </cell>
          <cell r="G140" t="str">
            <v>9999-12-31</v>
          </cell>
          <cell r="H140" t="str">
            <v>70</v>
          </cell>
        </row>
        <row r="141">
          <cell r="C141" t="str">
            <v>0011801039AV</v>
          </cell>
          <cell r="D141" t="str">
            <v>0001791322</v>
          </cell>
          <cell r="E141" t="str">
            <v>V14956</v>
          </cell>
          <cell r="F141" t="str">
            <v>2025-03-29</v>
          </cell>
          <cell r="G141" t="str">
            <v>9999-12-31</v>
          </cell>
          <cell r="H141" t="str">
            <v>50</v>
          </cell>
        </row>
        <row r="142">
          <cell r="C142" t="str">
            <v>0011801039AU</v>
          </cell>
          <cell r="D142" t="str">
            <v>0001791321</v>
          </cell>
          <cell r="E142" t="str">
            <v>V14956</v>
          </cell>
          <cell r="F142" t="str">
            <v>2025-03-29</v>
          </cell>
          <cell r="G142" t="str">
            <v>9999-12-31</v>
          </cell>
          <cell r="H142" t="str">
            <v>50</v>
          </cell>
        </row>
        <row r="143">
          <cell r="C143" t="str">
            <v>0011801039AN</v>
          </cell>
          <cell r="D143" t="str">
            <v>0001650716</v>
          </cell>
          <cell r="E143" t="str">
            <v>V14956</v>
          </cell>
          <cell r="F143" t="str">
            <v>2023-11-30</v>
          </cell>
          <cell r="G143" t="str">
            <v>9999-12-31</v>
          </cell>
          <cell r="H143" t="str">
            <v>50</v>
          </cell>
        </row>
        <row r="144">
          <cell r="C144" t="str">
            <v>0011801039AM</v>
          </cell>
          <cell r="D144" t="str">
            <v>0001650715</v>
          </cell>
          <cell r="E144" t="str">
            <v>V14956</v>
          </cell>
          <cell r="F144" t="str">
            <v>2023-11-30</v>
          </cell>
          <cell r="G144" t="str">
            <v>9999-12-31</v>
          </cell>
          <cell r="H144" t="str">
            <v>50</v>
          </cell>
        </row>
        <row r="145">
          <cell r="C145" t="str">
            <v>0011800980F</v>
          </cell>
          <cell r="D145" t="str">
            <v>0001819952</v>
          </cell>
          <cell r="E145" t="str">
            <v>V14956</v>
          </cell>
          <cell r="F145" t="str">
            <v>2025-06-26</v>
          </cell>
          <cell r="G145" t="str">
            <v>9999-12-31</v>
          </cell>
          <cell r="H145" t="str">
            <v>30</v>
          </cell>
        </row>
        <row r="146">
          <cell r="C146" t="str">
            <v>0011800980E</v>
          </cell>
          <cell r="D146" t="str">
            <v>0001819950</v>
          </cell>
          <cell r="E146" t="str">
            <v>V14956</v>
          </cell>
          <cell r="F146" t="str">
            <v>2025-06-26</v>
          </cell>
          <cell r="G146" t="str">
            <v>9999-12-31</v>
          </cell>
          <cell r="H146" t="str">
            <v>30</v>
          </cell>
        </row>
        <row r="147">
          <cell r="C147" t="str">
            <v>0011800977AA</v>
          </cell>
          <cell r="D147" t="str">
            <v>0001737157</v>
          </cell>
          <cell r="E147" t="str">
            <v>V14956</v>
          </cell>
          <cell r="F147" t="str">
            <v>2024-10-21</v>
          </cell>
          <cell r="G147" t="str">
            <v>9999-12-31</v>
          </cell>
          <cell r="H147" t="str">
            <v>30</v>
          </cell>
        </row>
        <row r="148">
          <cell r="C148" t="str">
            <v>0011800722GCHA</v>
          </cell>
          <cell r="D148" t="str">
            <v>0001827186</v>
          </cell>
          <cell r="E148" t="str">
            <v>V14956</v>
          </cell>
          <cell r="F148" t="str">
            <v>2025-07-16</v>
          </cell>
          <cell r="G148" t="str">
            <v>9999-12-31</v>
          </cell>
          <cell r="H148" t="str">
            <v>70</v>
          </cell>
        </row>
        <row r="149">
          <cell r="C149" t="str">
            <v>0011800722GCH</v>
          </cell>
          <cell r="D149" t="str">
            <v>0001827185</v>
          </cell>
          <cell r="E149" t="str">
            <v>V14956</v>
          </cell>
          <cell r="F149" t="str">
            <v>2025-07-16</v>
          </cell>
          <cell r="G149" t="str">
            <v>9999-12-31</v>
          </cell>
          <cell r="H149" t="str">
            <v>70</v>
          </cell>
        </row>
        <row r="150">
          <cell r="C150" t="str">
            <v>0011800697AC</v>
          </cell>
          <cell r="D150" t="str">
            <v>0001762230</v>
          </cell>
          <cell r="E150" t="str">
            <v>V14956</v>
          </cell>
          <cell r="F150" t="str">
            <v>2024-12-23</v>
          </cell>
          <cell r="G150" t="str">
            <v>9999-12-31</v>
          </cell>
          <cell r="H150" t="str">
            <v>30</v>
          </cell>
        </row>
        <row r="151">
          <cell r="C151" t="str">
            <v>0011800630P</v>
          </cell>
          <cell r="D151" t="str">
            <v>0001737652</v>
          </cell>
          <cell r="E151" t="str">
            <v>V14956</v>
          </cell>
          <cell r="F151" t="str">
            <v>2024-10-22</v>
          </cell>
          <cell r="G151" t="str">
            <v>9999-12-31</v>
          </cell>
          <cell r="H151" t="str">
            <v>70</v>
          </cell>
        </row>
        <row r="152">
          <cell r="C152" t="str">
            <v>0011800630L</v>
          </cell>
          <cell r="D152" t="str">
            <v>0001737648</v>
          </cell>
          <cell r="E152" t="str">
            <v>V14956</v>
          </cell>
          <cell r="F152" t="str">
            <v>2024-10-22</v>
          </cell>
          <cell r="G152" t="str">
            <v>9999-12-31</v>
          </cell>
          <cell r="H152" t="str">
            <v>70</v>
          </cell>
        </row>
        <row r="153">
          <cell r="C153" t="str">
            <v>0011800630K</v>
          </cell>
          <cell r="D153" t="str">
            <v>0001737646</v>
          </cell>
          <cell r="E153" t="str">
            <v>V14956</v>
          </cell>
          <cell r="F153" t="str">
            <v>2024-10-22</v>
          </cell>
          <cell r="G153" t="str">
            <v>9999-12-31</v>
          </cell>
          <cell r="H153" t="str">
            <v>70</v>
          </cell>
        </row>
        <row r="154">
          <cell r="C154" t="str">
            <v>0011801922</v>
          </cell>
          <cell r="D154" t="str">
            <v>0001838418</v>
          </cell>
          <cell r="E154" t="str">
            <v>V14956</v>
          </cell>
          <cell r="F154" t="str">
            <v>2025-08-19</v>
          </cell>
          <cell r="G154" t="str">
            <v>9999-12-31</v>
          </cell>
          <cell r="H154" t="str">
            <v>70</v>
          </cell>
        </row>
        <row r="155">
          <cell r="C155" t="str">
            <v>0011801911A</v>
          </cell>
          <cell r="D155" t="str">
            <v>0001868464</v>
          </cell>
          <cell r="E155" t="str">
            <v>V14956</v>
          </cell>
          <cell r="F155" t="str">
            <v>2025-11-21</v>
          </cell>
          <cell r="G155" t="str">
            <v>9999-12-31</v>
          </cell>
          <cell r="H155" t="str">
            <v>30</v>
          </cell>
        </row>
        <row r="156">
          <cell r="C156" t="str">
            <v>0011801911</v>
          </cell>
          <cell r="D156" t="str">
            <v>0001769090</v>
          </cell>
          <cell r="E156" t="str">
            <v>V14956</v>
          </cell>
          <cell r="F156" t="str">
            <v>2025-01-12</v>
          </cell>
          <cell r="G156" t="str">
            <v>9999-12-31</v>
          </cell>
          <cell r="H156" t="str">
            <v>30</v>
          </cell>
        </row>
        <row r="157">
          <cell r="C157" t="str">
            <v>0011801583X</v>
          </cell>
          <cell r="D157" t="str">
            <v>0001819942</v>
          </cell>
          <cell r="E157" t="str">
            <v>V14956</v>
          </cell>
          <cell r="F157" t="str">
            <v>2025-06-26</v>
          </cell>
          <cell r="G157" t="str">
            <v>9999-12-31</v>
          </cell>
          <cell r="H157" t="str">
            <v>30</v>
          </cell>
        </row>
        <row r="158">
          <cell r="C158" t="str">
            <v>0011801583R</v>
          </cell>
          <cell r="D158" t="str">
            <v>0001735286</v>
          </cell>
          <cell r="E158" t="str">
            <v>V14956</v>
          </cell>
          <cell r="F158" t="str">
            <v>2024-10-17</v>
          </cell>
          <cell r="G158" t="str">
            <v>9999-12-31</v>
          </cell>
          <cell r="H158" t="str">
            <v>30</v>
          </cell>
        </row>
        <row r="159">
          <cell r="C159" t="str">
            <v>0011801583P</v>
          </cell>
          <cell r="D159" t="str">
            <v>0001819940</v>
          </cell>
          <cell r="E159" t="str">
            <v>V14956</v>
          </cell>
          <cell r="F159" t="str">
            <v>2025-06-26</v>
          </cell>
          <cell r="G159" t="str">
            <v>9999-12-31</v>
          </cell>
          <cell r="H159" t="str">
            <v>30</v>
          </cell>
        </row>
        <row r="160">
          <cell r="C160" t="str">
            <v>0011801583C</v>
          </cell>
          <cell r="D160" t="str">
            <v>0001578351</v>
          </cell>
          <cell r="E160" t="str">
            <v>V14956</v>
          </cell>
          <cell r="F160" t="str">
            <v>2023-03-20</v>
          </cell>
          <cell r="G160" t="str">
            <v>9999-12-31</v>
          </cell>
          <cell r="H160" t="str">
            <v>30</v>
          </cell>
        </row>
        <row r="161">
          <cell r="C161" t="str">
            <v>0011801490S</v>
          </cell>
          <cell r="D161" t="str">
            <v>0001842870</v>
          </cell>
          <cell r="E161" t="str">
            <v>V14956</v>
          </cell>
          <cell r="F161" t="str">
            <v>2025-09-04</v>
          </cell>
          <cell r="G161" t="str">
            <v>9999-12-31</v>
          </cell>
          <cell r="H161" t="str">
            <v>30</v>
          </cell>
        </row>
        <row r="162">
          <cell r="C162" t="str">
            <v>0011801490JZ</v>
          </cell>
          <cell r="D162" t="str">
            <v>0001834313</v>
          </cell>
          <cell r="E162" t="str">
            <v>V14956</v>
          </cell>
          <cell r="F162" t="str">
            <v>2025-08-07</v>
          </cell>
          <cell r="G162" t="str">
            <v>9999-12-31</v>
          </cell>
          <cell r="H162" t="str">
            <v>70</v>
          </cell>
        </row>
        <row r="163">
          <cell r="C163" t="str">
            <v>0011801490BP</v>
          </cell>
          <cell r="D163" t="str">
            <v>0001780137</v>
          </cell>
          <cell r="E163" t="str">
            <v>V14956</v>
          </cell>
          <cell r="F163" t="str">
            <v>2025-02-26</v>
          </cell>
          <cell r="G163" t="str">
            <v>9999-12-31</v>
          </cell>
          <cell r="H163" t="str">
            <v>50</v>
          </cell>
        </row>
        <row r="164">
          <cell r="C164" t="str">
            <v>0011801490AZ</v>
          </cell>
          <cell r="D164" t="str">
            <v>0001813354</v>
          </cell>
          <cell r="E164" t="str">
            <v>V14956</v>
          </cell>
          <cell r="F164" t="str">
            <v>2025-06-06</v>
          </cell>
          <cell r="G164" t="str">
            <v>9999-12-31</v>
          </cell>
          <cell r="H164" t="str">
            <v>20</v>
          </cell>
        </row>
        <row r="165">
          <cell r="C165" t="str">
            <v>0011801125A</v>
          </cell>
          <cell r="D165" t="str">
            <v>0001819934</v>
          </cell>
          <cell r="E165" t="str">
            <v>V14956</v>
          </cell>
          <cell r="F165" t="str">
            <v>2025-06-26</v>
          </cell>
          <cell r="G165" t="str">
            <v>9999-12-31</v>
          </cell>
          <cell r="H165" t="str">
            <v>10</v>
          </cell>
        </row>
        <row r="166">
          <cell r="C166" t="str">
            <v>0011800612H</v>
          </cell>
          <cell r="D166" t="str">
            <v>0001701449</v>
          </cell>
          <cell r="E166" t="str">
            <v>V14956</v>
          </cell>
          <cell r="F166" t="str">
            <v>2024-06-07</v>
          </cell>
          <cell r="G166" t="str">
            <v>9999-12-31</v>
          </cell>
          <cell r="H166" t="str">
            <v>70</v>
          </cell>
        </row>
        <row r="167">
          <cell r="C167" t="str">
            <v>0011800537K</v>
          </cell>
          <cell r="D167" t="str">
            <v>0001796033</v>
          </cell>
          <cell r="E167" t="str">
            <v>V14956</v>
          </cell>
          <cell r="F167" t="str">
            <v>2025-04-10</v>
          </cell>
          <cell r="G167" t="str">
            <v>9999-12-31</v>
          </cell>
          <cell r="H167" t="str">
            <v>30</v>
          </cell>
        </row>
        <row r="168">
          <cell r="C168" t="str">
            <v>0011800537F</v>
          </cell>
          <cell r="D168" t="str">
            <v>0001796032</v>
          </cell>
          <cell r="E168" t="str">
            <v>V14956</v>
          </cell>
          <cell r="F168" t="str">
            <v>2025-04-10</v>
          </cell>
          <cell r="G168" t="str">
            <v>9999-12-31</v>
          </cell>
          <cell r="H168" t="str">
            <v>30</v>
          </cell>
        </row>
        <row r="169">
          <cell r="C169" t="str">
            <v>0011800537C</v>
          </cell>
          <cell r="D169" t="str">
            <v>0001819946</v>
          </cell>
          <cell r="E169" t="str">
            <v>V14956</v>
          </cell>
          <cell r="F169" t="str">
            <v>2025-06-26</v>
          </cell>
          <cell r="G169" t="str">
            <v>9999-12-31</v>
          </cell>
          <cell r="H169" t="str">
            <v>70</v>
          </cell>
        </row>
        <row r="170">
          <cell r="C170" t="str">
            <v>0011800537B</v>
          </cell>
          <cell r="D170" t="str">
            <v>0001602422</v>
          </cell>
          <cell r="E170" t="str">
            <v>V14956</v>
          </cell>
          <cell r="F170" t="str">
            <v>2023-05-31</v>
          </cell>
          <cell r="G170" t="str">
            <v>9999-12-31</v>
          </cell>
          <cell r="H170" t="str">
            <v>70</v>
          </cell>
        </row>
        <row r="171">
          <cell r="C171" t="str">
            <v>0011801071K</v>
          </cell>
          <cell r="D171" t="str">
            <v>0001857263</v>
          </cell>
          <cell r="E171" t="str">
            <v>V14956</v>
          </cell>
          <cell r="F171" t="str">
            <v>2025-10-22</v>
          </cell>
          <cell r="G171" t="str">
            <v>9999-12-31</v>
          </cell>
          <cell r="H171" t="str">
            <v>70</v>
          </cell>
        </row>
        <row r="172">
          <cell r="C172" t="str">
            <v>0011801071E</v>
          </cell>
          <cell r="D172" t="str">
            <v>0001668270</v>
          </cell>
          <cell r="E172" t="str">
            <v>V14956</v>
          </cell>
          <cell r="F172" t="str">
            <v>2024-01-29</v>
          </cell>
          <cell r="G172" t="str">
            <v>9999-12-31</v>
          </cell>
          <cell r="H172" t="str">
            <v>30</v>
          </cell>
        </row>
        <row r="173">
          <cell r="C173" t="str">
            <v>0011800997GCH</v>
          </cell>
          <cell r="D173" t="str">
            <v>0001751006</v>
          </cell>
          <cell r="E173" t="str">
            <v>V14956</v>
          </cell>
          <cell r="F173" t="str">
            <v>2024-11-19</v>
          </cell>
          <cell r="G173" t="str">
            <v>9999-12-31</v>
          </cell>
          <cell r="H173" t="str">
            <v>30</v>
          </cell>
        </row>
        <row r="174">
          <cell r="C174" t="str">
            <v>0011800997BZ</v>
          </cell>
          <cell r="D174" t="str">
            <v>0001755798</v>
          </cell>
          <cell r="E174" t="str">
            <v>V14956</v>
          </cell>
          <cell r="F174" t="str">
            <v>2024-12-03</v>
          </cell>
          <cell r="G174" t="str">
            <v>9999-12-31</v>
          </cell>
          <cell r="H174" t="str">
            <v>30</v>
          </cell>
        </row>
        <row r="175">
          <cell r="C175" t="str">
            <v>0031800386JL</v>
          </cell>
          <cell r="D175" t="str">
            <v>0001700170</v>
          </cell>
          <cell r="E175" t="str">
            <v>V14956</v>
          </cell>
          <cell r="F175" t="str">
            <v>2024-06-03</v>
          </cell>
          <cell r="G175" t="str">
            <v>9999-12-31</v>
          </cell>
          <cell r="H175" t="str">
            <v>30</v>
          </cell>
        </row>
        <row r="176">
          <cell r="C176" t="str">
            <v>0011802046R</v>
          </cell>
          <cell r="D176" t="str">
            <v>0001881853</v>
          </cell>
          <cell r="E176" t="str">
            <v>V14956</v>
          </cell>
          <cell r="F176" t="str">
            <v>2025-12-27</v>
          </cell>
          <cell r="G176" t="str">
            <v>9999-12-31</v>
          </cell>
          <cell r="H176" t="str">
            <v>70</v>
          </cell>
        </row>
        <row r="177">
          <cell r="C177" t="str">
            <v>0011801911A</v>
          </cell>
          <cell r="D177" t="str">
            <v>0001724893</v>
          </cell>
          <cell r="E177" t="str">
            <v>V14956</v>
          </cell>
          <cell r="F177" t="str">
            <v>2024-09-06</v>
          </cell>
          <cell r="G177" t="str">
            <v>9999-12-31</v>
          </cell>
          <cell r="H177" t="str">
            <v>30</v>
          </cell>
        </row>
        <row r="178">
          <cell r="C178" t="str">
            <v>0011801911</v>
          </cell>
          <cell r="D178" t="str">
            <v>0001724892</v>
          </cell>
          <cell r="E178" t="str">
            <v>V14956</v>
          </cell>
          <cell r="F178" t="str">
            <v>2024-09-06</v>
          </cell>
          <cell r="G178" t="str">
            <v>9999-12-31</v>
          </cell>
          <cell r="H178" t="str">
            <v>30</v>
          </cell>
        </row>
        <row r="179">
          <cell r="C179" t="str">
            <v>0011801824</v>
          </cell>
          <cell r="D179" t="str">
            <v>0001798829</v>
          </cell>
          <cell r="E179" t="str">
            <v>V14956</v>
          </cell>
          <cell r="F179" t="str">
            <v>2025-04-18</v>
          </cell>
          <cell r="G179" t="str">
            <v>9999-12-31</v>
          </cell>
          <cell r="H179" t="str">
            <v>50</v>
          </cell>
        </row>
        <row r="180">
          <cell r="C180" t="str">
            <v>0011801583U</v>
          </cell>
          <cell r="D180" t="str">
            <v>0001724891</v>
          </cell>
          <cell r="E180" t="str">
            <v>V14956</v>
          </cell>
          <cell r="F180" t="str">
            <v>2024-09-06</v>
          </cell>
          <cell r="G180" t="str">
            <v>9999-12-31</v>
          </cell>
          <cell r="H180" t="str">
            <v>70</v>
          </cell>
        </row>
        <row r="181">
          <cell r="C181" t="str">
            <v>0011801490Z</v>
          </cell>
          <cell r="D181" t="str">
            <v>0001762237</v>
          </cell>
          <cell r="E181" t="str">
            <v>V14956</v>
          </cell>
          <cell r="F181" t="str">
            <v>2024-12-23</v>
          </cell>
          <cell r="G181" t="str">
            <v>9999-12-31</v>
          </cell>
          <cell r="H181" t="str">
            <v>30</v>
          </cell>
        </row>
        <row r="182">
          <cell r="C182" t="str">
            <v>0011801490S</v>
          </cell>
          <cell r="D182" t="str">
            <v>0001815632</v>
          </cell>
          <cell r="E182" t="str">
            <v>V14956</v>
          </cell>
          <cell r="F182" t="str">
            <v>2025-06-14</v>
          </cell>
          <cell r="G182" t="str">
            <v>9999-12-31</v>
          </cell>
          <cell r="H182" t="str">
            <v>30</v>
          </cell>
        </row>
        <row r="183">
          <cell r="C183" t="str">
            <v>0011801490JZ</v>
          </cell>
          <cell r="D183" t="str">
            <v>0001805624</v>
          </cell>
          <cell r="E183" t="str">
            <v>V14956</v>
          </cell>
          <cell r="F183" t="str">
            <v>2025-05-13</v>
          </cell>
          <cell r="G183" t="str">
            <v>9999-12-31</v>
          </cell>
          <cell r="H183" t="str">
            <v>70</v>
          </cell>
        </row>
        <row r="184">
          <cell r="C184" t="str">
            <v>0011801859P</v>
          </cell>
          <cell r="D184" t="str">
            <v>0001815786</v>
          </cell>
          <cell r="E184" t="str">
            <v>V14956</v>
          </cell>
          <cell r="F184" t="str">
            <v>2025-06-14</v>
          </cell>
          <cell r="G184" t="str">
            <v>9999-12-31</v>
          </cell>
          <cell r="H184" t="str">
            <v>70</v>
          </cell>
        </row>
        <row r="185">
          <cell r="C185" t="str">
            <v>0011801859J</v>
          </cell>
          <cell r="D185" t="str">
            <v>0001815785</v>
          </cell>
          <cell r="E185" t="str">
            <v>V14956</v>
          </cell>
          <cell r="F185" t="str">
            <v>2025-06-14</v>
          </cell>
          <cell r="G185" t="str">
            <v>9999-12-31</v>
          </cell>
          <cell r="H185" t="str">
            <v>70</v>
          </cell>
        </row>
        <row r="186">
          <cell r="C186" t="str">
            <v>0011801859H</v>
          </cell>
          <cell r="D186" t="str">
            <v>0001815784</v>
          </cell>
          <cell r="E186" t="str">
            <v>V14956</v>
          </cell>
          <cell r="F186" t="str">
            <v>2025-06-14</v>
          </cell>
          <cell r="G186" t="str">
            <v>9999-12-31</v>
          </cell>
          <cell r="H186" t="str">
            <v>70</v>
          </cell>
        </row>
        <row r="187">
          <cell r="C187" t="str">
            <v>0011801859G</v>
          </cell>
          <cell r="D187" t="str">
            <v>0001815783</v>
          </cell>
          <cell r="E187" t="str">
            <v>V14956</v>
          </cell>
          <cell r="F187" t="str">
            <v>2025-06-14</v>
          </cell>
          <cell r="G187" t="str">
            <v>9999-12-31</v>
          </cell>
          <cell r="H187" t="str">
            <v>70</v>
          </cell>
        </row>
        <row r="188">
          <cell r="C188" t="str">
            <v>0011801859F</v>
          </cell>
          <cell r="D188" t="str">
            <v>0001756997</v>
          </cell>
          <cell r="E188" t="str">
            <v>V14956</v>
          </cell>
          <cell r="F188" t="str">
            <v>2024-12-06</v>
          </cell>
          <cell r="G188" t="str">
            <v>9999-12-31</v>
          </cell>
          <cell r="H188" t="str">
            <v>70</v>
          </cell>
        </row>
        <row r="189">
          <cell r="C189" t="str">
            <v>0011801859E</v>
          </cell>
          <cell r="D189" t="str">
            <v>0001756996</v>
          </cell>
          <cell r="E189" t="str">
            <v>V14956</v>
          </cell>
          <cell r="F189" t="str">
            <v>2024-12-06</v>
          </cell>
          <cell r="G189" t="str">
            <v>9999-12-31</v>
          </cell>
          <cell r="H189" t="str">
            <v>70</v>
          </cell>
        </row>
        <row r="190">
          <cell r="C190" t="str">
            <v>0011801606M</v>
          </cell>
          <cell r="D190" t="str">
            <v>0001727458</v>
          </cell>
          <cell r="E190" t="str">
            <v>V14956</v>
          </cell>
          <cell r="F190" t="str">
            <v>2024-09-14</v>
          </cell>
          <cell r="G190" t="str">
            <v>9999-12-31</v>
          </cell>
          <cell r="H190" t="str">
            <v>30</v>
          </cell>
        </row>
        <row r="191">
          <cell r="C191" t="str">
            <v>0011801606F</v>
          </cell>
          <cell r="D191" t="str">
            <v>0001642326</v>
          </cell>
          <cell r="E191" t="str">
            <v>V14956</v>
          </cell>
          <cell r="F191" t="str">
            <v>2023-10-30</v>
          </cell>
          <cell r="G191" t="str">
            <v>9999-12-31</v>
          </cell>
          <cell r="H191" t="str">
            <v>70</v>
          </cell>
        </row>
        <row r="192">
          <cell r="C192" t="str">
            <v>0011801606E</v>
          </cell>
          <cell r="D192" t="str">
            <v>0001642325</v>
          </cell>
          <cell r="E192" t="str">
            <v>V14956</v>
          </cell>
          <cell r="F192" t="str">
            <v>2023-10-30</v>
          </cell>
          <cell r="G192" t="str">
            <v>9999-12-31</v>
          </cell>
          <cell r="H192" t="str">
            <v>70</v>
          </cell>
        </row>
        <row r="193">
          <cell r="C193" t="str">
            <v>0011801606D</v>
          </cell>
          <cell r="D193" t="str">
            <v>0001642335</v>
          </cell>
          <cell r="E193" t="str">
            <v>V14956</v>
          </cell>
          <cell r="F193" t="str">
            <v>2023-11-01</v>
          </cell>
          <cell r="G193" t="str">
            <v>9999-12-31</v>
          </cell>
          <cell r="H193" t="str">
            <v>70</v>
          </cell>
        </row>
        <row r="194">
          <cell r="C194" t="str">
            <v>0011801490Y</v>
          </cell>
          <cell r="D194" t="str">
            <v>0001786517</v>
          </cell>
          <cell r="E194" t="str">
            <v>V14956</v>
          </cell>
          <cell r="F194" t="str">
            <v>2025-03-14</v>
          </cell>
          <cell r="G194" t="str">
            <v>9999-12-31</v>
          </cell>
          <cell r="H194" t="str">
            <v>30</v>
          </cell>
        </row>
        <row r="195">
          <cell r="C195" t="str">
            <v>0011801423AV</v>
          </cell>
          <cell r="D195" t="str">
            <v>0001784573</v>
          </cell>
          <cell r="E195" t="str">
            <v>V14956</v>
          </cell>
          <cell r="F195" t="str">
            <v>2025-03-10</v>
          </cell>
          <cell r="G195" t="str">
            <v>9999-12-31</v>
          </cell>
          <cell r="H195" t="str">
            <v>30</v>
          </cell>
        </row>
        <row r="196">
          <cell r="C196" t="str">
            <v>0011800997TD</v>
          </cell>
          <cell r="D196" t="str">
            <v>0001836605</v>
          </cell>
          <cell r="E196" t="str">
            <v>V14956</v>
          </cell>
          <cell r="F196" t="str">
            <v>2025-08-13</v>
          </cell>
          <cell r="G196" t="str">
            <v>9999-12-31</v>
          </cell>
          <cell r="H196" t="str">
            <v>70</v>
          </cell>
        </row>
        <row r="197">
          <cell r="C197" t="str">
            <v>0031800386JL</v>
          </cell>
          <cell r="D197" t="str">
            <v>0001788632</v>
          </cell>
          <cell r="E197" t="str">
            <v>V14956</v>
          </cell>
          <cell r="F197" t="str">
            <v>2025-03-21</v>
          </cell>
          <cell r="G197" t="str">
            <v>9999-12-31</v>
          </cell>
          <cell r="H197" t="str">
            <v>30</v>
          </cell>
        </row>
        <row r="198">
          <cell r="C198" t="str">
            <v>0031800004FP</v>
          </cell>
          <cell r="D198" t="str">
            <v>0001789193</v>
          </cell>
          <cell r="E198" t="str">
            <v>V14956</v>
          </cell>
          <cell r="F198" t="str">
            <v>2025-03-24</v>
          </cell>
          <cell r="G198" t="str">
            <v>9999-12-31</v>
          </cell>
          <cell r="H198" t="str">
            <v>30</v>
          </cell>
        </row>
        <row r="199">
          <cell r="C199" t="str">
            <v>0190400377</v>
          </cell>
          <cell r="D199" t="str">
            <v>0001766362</v>
          </cell>
          <cell r="E199" t="str">
            <v>V14956</v>
          </cell>
          <cell r="F199" t="str">
            <v>2025-01-03</v>
          </cell>
          <cell r="G199" t="str">
            <v>9999-12-31</v>
          </cell>
          <cell r="H199" t="str">
            <v>70</v>
          </cell>
        </row>
        <row r="200">
          <cell r="C200" t="str">
            <v>0041801117D</v>
          </cell>
          <cell r="D200" t="str">
            <v>0001713472</v>
          </cell>
          <cell r="E200" t="str">
            <v>V14956</v>
          </cell>
          <cell r="F200" t="str">
            <v>2024-07-25</v>
          </cell>
          <cell r="G200" t="str">
            <v>9999-12-31</v>
          </cell>
          <cell r="H200" t="str">
            <v>50</v>
          </cell>
        </row>
        <row r="201">
          <cell r="C201" t="str">
            <v>0041801117AC</v>
          </cell>
          <cell r="D201" t="str">
            <v>0001719069</v>
          </cell>
          <cell r="E201" t="str">
            <v>V14956</v>
          </cell>
          <cell r="F201" t="str">
            <v>2024-08-26</v>
          </cell>
          <cell r="G201" t="str">
            <v>9999-12-31</v>
          </cell>
          <cell r="H201" t="str">
            <v>50</v>
          </cell>
        </row>
        <row r="202">
          <cell r="C202" t="str">
            <v>0041800751SA</v>
          </cell>
          <cell r="D202" t="str">
            <v>0001719067</v>
          </cell>
          <cell r="E202" t="str">
            <v>V14956</v>
          </cell>
          <cell r="F202" t="str">
            <v>2024-08-26</v>
          </cell>
          <cell r="G202" t="str">
            <v>9999-12-31</v>
          </cell>
          <cell r="H202" t="str">
            <v>50</v>
          </cell>
        </row>
        <row r="203">
          <cell r="C203" t="str">
            <v>0041800751S</v>
          </cell>
          <cell r="D203" t="str">
            <v>0001718912</v>
          </cell>
          <cell r="E203" t="str">
            <v>V14956</v>
          </cell>
          <cell r="F203" t="str">
            <v>2024-08-16</v>
          </cell>
          <cell r="G203" t="str">
            <v>9999-12-31</v>
          </cell>
          <cell r="H203" t="str">
            <v>50</v>
          </cell>
        </row>
        <row r="204">
          <cell r="C204" t="str">
            <v>0041800751GYS</v>
          </cell>
          <cell r="D204" t="str">
            <v>0001871500</v>
          </cell>
          <cell r="E204" t="str">
            <v>V14956</v>
          </cell>
          <cell r="F204" t="str">
            <v>2025-12-02</v>
          </cell>
          <cell r="G204" t="str">
            <v>9999-12-31</v>
          </cell>
          <cell r="H204" t="str">
            <v>30</v>
          </cell>
        </row>
        <row r="205">
          <cell r="C205" t="str">
            <v>0041800751DYS</v>
          </cell>
          <cell r="D205" t="str">
            <v>0001721434</v>
          </cell>
          <cell r="E205" t="str">
            <v>V14956</v>
          </cell>
          <cell r="F205" t="str">
            <v>2024-08-27</v>
          </cell>
          <cell r="G205" t="str">
            <v>9999-12-31</v>
          </cell>
          <cell r="H205" t="str">
            <v>25</v>
          </cell>
        </row>
        <row r="206">
          <cell r="C206" t="str">
            <v>0011801907</v>
          </cell>
          <cell r="D206" t="str">
            <v>0001817434</v>
          </cell>
          <cell r="E206" t="str">
            <v>V14956</v>
          </cell>
          <cell r="F206" t="str">
            <v>2025-06-19</v>
          </cell>
          <cell r="G206" t="str">
            <v>9999-12-31</v>
          </cell>
          <cell r="H206" t="str">
            <v>30</v>
          </cell>
        </row>
        <row r="207">
          <cell r="C207" t="str">
            <v>0011801850A</v>
          </cell>
          <cell r="D207" t="str">
            <v>0001713891</v>
          </cell>
          <cell r="E207" t="str">
            <v>V14956</v>
          </cell>
          <cell r="F207" t="str">
            <v>2024-07-26</v>
          </cell>
          <cell r="G207" t="str">
            <v>9999-12-31</v>
          </cell>
          <cell r="H207" t="str">
            <v>30</v>
          </cell>
        </row>
        <row r="208">
          <cell r="C208" t="str">
            <v>0011801850</v>
          </cell>
          <cell r="D208" t="str">
            <v>0001713890</v>
          </cell>
          <cell r="E208" t="str">
            <v>V14956</v>
          </cell>
          <cell r="F208" t="str">
            <v>2024-07-26</v>
          </cell>
          <cell r="G208" t="str">
            <v>9999-12-31</v>
          </cell>
          <cell r="H208" t="str">
            <v>30</v>
          </cell>
        </row>
        <row r="209">
          <cell r="C209" t="str">
            <v>0011801838</v>
          </cell>
          <cell r="D209" t="str">
            <v>0001755505</v>
          </cell>
          <cell r="E209" t="str">
            <v>V14956</v>
          </cell>
          <cell r="F209" t="str">
            <v>2024-12-02</v>
          </cell>
          <cell r="G209" t="str">
            <v>9999-12-31</v>
          </cell>
          <cell r="H209" t="str">
            <v>70</v>
          </cell>
        </row>
        <row r="210">
          <cell r="C210" t="str">
            <v>0011801713A</v>
          </cell>
          <cell r="D210" t="str">
            <v>0001741321</v>
          </cell>
          <cell r="E210" t="str">
            <v>V14956</v>
          </cell>
          <cell r="F210" t="str">
            <v>2024-11-04</v>
          </cell>
          <cell r="G210" t="str">
            <v>9999-12-31</v>
          </cell>
          <cell r="H210" t="str">
            <v>70</v>
          </cell>
        </row>
        <row r="211">
          <cell r="C211" t="str">
            <v>0011801685</v>
          </cell>
          <cell r="D211" t="str">
            <v>0001734361</v>
          </cell>
          <cell r="E211" t="str">
            <v>V14956</v>
          </cell>
          <cell r="F211" t="str">
            <v>2024-10-15</v>
          </cell>
          <cell r="G211" t="str">
            <v>9999-12-31</v>
          </cell>
          <cell r="H211" t="str">
            <v>30</v>
          </cell>
        </row>
        <row r="212">
          <cell r="C212" t="str">
            <v>0011801682</v>
          </cell>
          <cell r="D212" t="str">
            <v>0001652720</v>
          </cell>
          <cell r="E212" t="str">
            <v>V14956</v>
          </cell>
          <cell r="F212" t="str">
            <v>2023-12-06</v>
          </cell>
          <cell r="G212" t="str">
            <v>9999-12-31</v>
          </cell>
          <cell r="H212" t="str">
            <v>70</v>
          </cell>
        </row>
        <row r="213">
          <cell r="C213" t="str">
            <v>0011801659</v>
          </cell>
          <cell r="D213" t="str">
            <v>0001631545</v>
          </cell>
          <cell r="E213" t="str">
            <v>V14956</v>
          </cell>
          <cell r="F213" t="str">
            <v>2023-09-08</v>
          </cell>
          <cell r="G213" t="str">
            <v>9999-12-31</v>
          </cell>
          <cell r="H213" t="str">
            <v>30</v>
          </cell>
        </row>
        <row r="214">
          <cell r="C214" t="str">
            <v>0011801657A</v>
          </cell>
          <cell r="D214" t="str">
            <v>0001713889</v>
          </cell>
          <cell r="E214" t="str">
            <v>V14956</v>
          </cell>
          <cell r="F214" t="str">
            <v>2024-07-26</v>
          </cell>
          <cell r="G214" t="str">
            <v>9999-12-31</v>
          </cell>
          <cell r="H214" t="str">
            <v>70</v>
          </cell>
        </row>
        <row r="215">
          <cell r="C215" t="str">
            <v>0011801657</v>
          </cell>
          <cell r="D215" t="str">
            <v>0001716822</v>
          </cell>
          <cell r="E215" t="str">
            <v>V14956</v>
          </cell>
          <cell r="F215" t="str">
            <v>2024-08-07</v>
          </cell>
          <cell r="G215" t="str">
            <v>9999-12-31</v>
          </cell>
          <cell r="H215" t="str">
            <v>30</v>
          </cell>
        </row>
        <row r="216">
          <cell r="C216" t="str">
            <v>0011801656A</v>
          </cell>
          <cell r="D216" t="str">
            <v>0001713888</v>
          </cell>
          <cell r="E216" t="str">
            <v>V14956</v>
          </cell>
          <cell r="F216" t="str">
            <v>2024-07-26</v>
          </cell>
          <cell r="G216" t="str">
            <v>9999-12-31</v>
          </cell>
          <cell r="H216" t="str">
            <v>70</v>
          </cell>
        </row>
        <row r="217">
          <cell r="C217" t="str">
            <v>0011801656</v>
          </cell>
          <cell r="D217" t="str">
            <v>0001716820</v>
          </cell>
          <cell r="E217" t="str">
            <v>V14956</v>
          </cell>
          <cell r="F217" t="str">
            <v>2024-08-07</v>
          </cell>
          <cell r="G217" t="str">
            <v>9999-12-31</v>
          </cell>
          <cell r="H217" t="str">
            <v>30</v>
          </cell>
        </row>
        <row r="218">
          <cell r="C218" t="str">
            <v>0011801652A</v>
          </cell>
          <cell r="D218" t="str">
            <v>0001645603</v>
          </cell>
          <cell r="E218" t="str">
            <v>V14956</v>
          </cell>
          <cell r="F218" t="str">
            <v>2023-11-10</v>
          </cell>
          <cell r="G218" t="str">
            <v>9999-12-31</v>
          </cell>
          <cell r="H218" t="str">
            <v>30</v>
          </cell>
        </row>
        <row r="219">
          <cell r="C219" t="str">
            <v>0011801652</v>
          </cell>
          <cell r="D219" t="str">
            <v>0001631544</v>
          </cell>
          <cell r="E219" t="str">
            <v>V14956</v>
          </cell>
          <cell r="F219" t="str">
            <v>2023-09-08</v>
          </cell>
          <cell r="G219" t="str">
            <v>9999-12-31</v>
          </cell>
          <cell r="H219" t="str">
            <v>50</v>
          </cell>
        </row>
        <row r="220">
          <cell r="C220" t="str">
            <v>0011800607V</v>
          </cell>
          <cell r="D220" t="str">
            <v>0001751505</v>
          </cell>
          <cell r="E220" t="str">
            <v>V14956</v>
          </cell>
          <cell r="F220" t="str">
            <v>2024-11-20</v>
          </cell>
          <cell r="G220" t="str">
            <v>9999-12-31</v>
          </cell>
          <cell r="H220" t="str">
            <v>30</v>
          </cell>
        </row>
        <row r="221">
          <cell r="C221" t="str">
            <v>0151800228CA</v>
          </cell>
          <cell r="D221" t="str">
            <v>0001740846</v>
          </cell>
          <cell r="E221" t="str">
            <v>V14956</v>
          </cell>
          <cell r="F221" t="str">
            <v>2024-11-01</v>
          </cell>
          <cell r="G221" t="str">
            <v>9999-12-31</v>
          </cell>
          <cell r="H221" t="str">
            <v>30</v>
          </cell>
        </row>
        <row r="222">
          <cell r="C222" t="str">
            <v>0151800648D</v>
          </cell>
          <cell r="D222" t="str">
            <v>0001763918</v>
          </cell>
          <cell r="E222" t="str">
            <v>V14956</v>
          </cell>
          <cell r="F222" t="str">
            <v>2024-12-26</v>
          </cell>
          <cell r="G222" t="str">
            <v>9999-12-31</v>
          </cell>
          <cell r="H222" t="str">
            <v>70</v>
          </cell>
        </row>
        <row r="223">
          <cell r="C223" t="str">
            <v>0151800561BBB</v>
          </cell>
          <cell r="D223" t="str">
            <v>0001577476</v>
          </cell>
          <cell r="E223" t="str">
            <v>V14956</v>
          </cell>
          <cell r="F223" t="str">
            <v>2023-03-17</v>
          </cell>
          <cell r="G223" t="str">
            <v>9999-12-31</v>
          </cell>
          <cell r="H223" t="str">
            <v>70</v>
          </cell>
        </row>
        <row r="224">
          <cell r="C224" t="str">
            <v>0151800561BBA</v>
          </cell>
          <cell r="D224" t="str">
            <v>0001703205</v>
          </cell>
          <cell r="E224" t="str">
            <v>V14956</v>
          </cell>
          <cell r="F224" t="str">
            <v>2024-06-17</v>
          </cell>
          <cell r="G224" t="str">
            <v>9999-12-31</v>
          </cell>
          <cell r="H224" t="str">
            <v>70</v>
          </cell>
        </row>
        <row r="225">
          <cell r="C225" t="str">
            <v>0011801889A</v>
          </cell>
          <cell r="D225" t="str">
            <v>0001741208</v>
          </cell>
          <cell r="E225" t="str">
            <v>V14956</v>
          </cell>
          <cell r="F225" t="str">
            <v>2024-11-04</v>
          </cell>
          <cell r="G225" t="str">
            <v>9999-12-31</v>
          </cell>
          <cell r="H225" t="str">
            <v>30</v>
          </cell>
        </row>
        <row r="226">
          <cell r="C226" t="str">
            <v>0011801889</v>
          </cell>
          <cell r="D226" t="str">
            <v>0001741207</v>
          </cell>
          <cell r="E226" t="str">
            <v>V14956</v>
          </cell>
          <cell r="F226" t="str">
            <v>2024-11-04</v>
          </cell>
          <cell r="G226" t="str">
            <v>9999-12-31</v>
          </cell>
          <cell r="H226" t="str">
            <v>30</v>
          </cell>
        </row>
        <row r="227">
          <cell r="C227" t="str">
            <v>0011801859A</v>
          </cell>
          <cell r="D227" t="str">
            <v>0001748381</v>
          </cell>
          <cell r="E227" t="str">
            <v>V14956</v>
          </cell>
          <cell r="F227" t="str">
            <v>2024-11-13</v>
          </cell>
          <cell r="G227" t="str">
            <v>9999-12-31</v>
          </cell>
          <cell r="H227" t="str">
            <v>30</v>
          </cell>
        </row>
        <row r="228">
          <cell r="C228" t="str">
            <v>0011801859</v>
          </cell>
          <cell r="D228" t="str">
            <v>0001749191</v>
          </cell>
          <cell r="E228" t="str">
            <v>V14956</v>
          </cell>
          <cell r="F228" t="str">
            <v>2024-11-14</v>
          </cell>
          <cell r="G228" t="str">
            <v>9999-12-31</v>
          </cell>
          <cell r="H228" t="str">
            <v>30</v>
          </cell>
        </row>
        <row r="229">
          <cell r="C229" t="str">
            <v>0011801852D</v>
          </cell>
          <cell r="D229" t="str">
            <v>0001829016</v>
          </cell>
          <cell r="E229" t="str">
            <v>V14956</v>
          </cell>
          <cell r="F229" t="str">
            <v>2025-07-23</v>
          </cell>
          <cell r="G229" t="str">
            <v>9999-12-31</v>
          </cell>
          <cell r="H229" t="str">
            <v>50</v>
          </cell>
        </row>
        <row r="230">
          <cell r="C230" t="str">
            <v>0011801852A</v>
          </cell>
          <cell r="D230" t="str">
            <v>0001811939</v>
          </cell>
          <cell r="E230" t="str">
            <v>V14956</v>
          </cell>
          <cell r="F230" t="str">
            <v>2025-05-30</v>
          </cell>
          <cell r="G230" t="str">
            <v>9999-12-31</v>
          </cell>
          <cell r="H230" t="str">
            <v>70</v>
          </cell>
        </row>
        <row r="231">
          <cell r="C231" t="str">
            <v>0011801852</v>
          </cell>
          <cell r="D231" t="str">
            <v>0001767724</v>
          </cell>
          <cell r="E231" t="str">
            <v>V14956</v>
          </cell>
          <cell r="F231" t="str">
            <v>2025-01-08</v>
          </cell>
          <cell r="G231" t="str">
            <v>9999-12-31</v>
          </cell>
          <cell r="H231" t="str">
            <v>70</v>
          </cell>
        </row>
        <row r="232">
          <cell r="C232" t="str">
            <v>0041801117D</v>
          </cell>
          <cell r="D232" t="str">
            <v>0001778122</v>
          </cell>
          <cell r="E232" t="str">
            <v>V14956</v>
          </cell>
          <cell r="F232" t="str">
            <v>2025-02-18</v>
          </cell>
          <cell r="G232" t="str">
            <v>9999-12-31</v>
          </cell>
          <cell r="H232" t="str">
            <v>50</v>
          </cell>
        </row>
        <row r="233">
          <cell r="C233" t="str">
            <v>0041801117AJ</v>
          </cell>
          <cell r="D233" t="str">
            <v>0001726544</v>
          </cell>
          <cell r="E233" t="str">
            <v>V14956</v>
          </cell>
          <cell r="F233" t="str">
            <v>2024-09-12</v>
          </cell>
          <cell r="G233" t="str">
            <v>9999-12-31</v>
          </cell>
          <cell r="H233" t="str">
            <v>50</v>
          </cell>
        </row>
        <row r="234">
          <cell r="C234" t="str">
            <v>0041801117AE</v>
          </cell>
          <cell r="D234" t="str">
            <v>0001717072</v>
          </cell>
          <cell r="E234" t="str">
            <v>V14956</v>
          </cell>
          <cell r="F234" t="str">
            <v>2024-08-08</v>
          </cell>
          <cell r="G234" t="str">
            <v>9999-12-31</v>
          </cell>
          <cell r="H234" t="str">
            <v>50</v>
          </cell>
        </row>
        <row r="235">
          <cell r="C235" t="str">
            <v>0041801117AC</v>
          </cell>
          <cell r="D235" t="str">
            <v>0001709288</v>
          </cell>
          <cell r="E235" t="str">
            <v>V14956</v>
          </cell>
          <cell r="F235" t="str">
            <v>2024-07-09</v>
          </cell>
          <cell r="G235" t="str">
            <v>9999-12-31</v>
          </cell>
          <cell r="H235" t="str">
            <v>50</v>
          </cell>
        </row>
        <row r="236">
          <cell r="C236" t="str">
            <v>0041801117A</v>
          </cell>
          <cell r="D236" t="str">
            <v>0001720454</v>
          </cell>
          <cell r="E236" t="str">
            <v>V14956</v>
          </cell>
          <cell r="F236" t="str">
            <v>2024-08-22</v>
          </cell>
          <cell r="G236" t="str">
            <v>9999-12-31</v>
          </cell>
          <cell r="H236" t="str">
            <v>50</v>
          </cell>
        </row>
        <row r="237">
          <cell r="C237" t="str">
            <v>0041801117</v>
          </cell>
          <cell r="D237" t="str">
            <v>0001707432</v>
          </cell>
          <cell r="E237" t="str">
            <v>V14956</v>
          </cell>
          <cell r="F237" t="str">
            <v>2024-07-02</v>
          </cell>
          <cell r="G237" t="str">
            <v>9999-12-31</v>
          </cell>
          <cell r="H237" t="str">
            <v>50</v>
          </cell>
        </row>
        <row r="238">
          <cell r="C238" t="str">
            <v>0041800751S</v>
          </cell>
          <cell r="D238" t="str">
            <v>0001709286</v>
          </cell>
          <cell r="E238" t="str">
            <v>V14956</v>
          </cell>
          <cell r="F238" t="str">
            <v>2024-07-09</v>
          </cell>
          <cell r="G238" t="str">
            <v>9999-12-31</v>
          </cell>
          <cell r="H238" t="str">
            <v>50</v>
          </cell>
        </row>
        <row r="239">
          <cell r="C239" t="str">
            <v>0041800751JYS</v>
          </cell>
          <cell r="D239" t="str">
            <v>0001720412</v>
          </cell>
          <cell r="E239" t="str">
            <v>V14956</v>
          </cell>
          <cell r="F239" t="str">
            <v>2024-08-22</v>
          </cell>
          <cell r="G239" t="str">
            <v>9999-12-31</v>
          </cell>
          <cell r="H239" t="str">
            <v>50</v>
          </cell>
        </row>
        <row r="240">
          <cell r="C240" t="str">
            <v>0041800751GYS</v>
          </cell>
          <cell r="D240" t="str">
            <v>0001871455</v>
          </cell>
          <cell r="E240" t="str">
            <v>V14956</v>
          </cell>
          <cell r="F240" t="str">
            <v>2025-12-02</v>
          </cell>
          <cell r="G240" t="str">
            <v>9999-12-31</v>
          </cell>
          <cell r="H240" t="str">
            <v>30</v>
          </cell>
        </row>
        <row r="241">
          <cell r="C241" t="str">
            <v>0041800751DYS</v>
          </cell>
          <cell r="D241" t="str">
            <v>0001875856</v>
          </cell>
          <cell r="E241" t="str">
            <v>V14956</v>
          </cell>
          <cell r="F241" t="str">
            <v>2025-12-12</v>
          </cell>
          <cell r="G241" t="str">
            <v>9999-12-31</v>
          </cell>
          <cell r="H241" t="str">
            <v>40</v>
          </cell>
        </row>
        <row r="242">
          <cell r="C242" t="str">
            <v>0011801583R</v>
          </cell>
          <cell r="D242" t="str">
            <v>0001737759</v>
          </cell>
          <cell r="E242" t="str">
            <v>V14956</v>
          </cell>
          <cell r="F242" t="str">
            <v>2024-10-23</v>
          </cell>
          <cell r="G242" t="str">
            <v>9999-12-31</v>
          </cell>
          <cell r="H242" t="str">
            <v>30</v>
          </cell>
        </row>
        <row r="243">
          <cell r="C243" t="str">
            <v>0011801583C</v>
          </cell>
          <cell r="D243" t="str">
            <v>0001808128</v>
          </cell>
          <cell r="E243" t="str">
            <v>V14956</v>
          </cell>
          <cell r="F243" t="str">
            <v>2025-05-21</v>
          </cell>
          <cell r="G243" t="str">
            <v>9999-12-31</v>
          </cell>
          <cell r="H243" t="str">
            <v>10</v>
          </cell>
        </row>
        <row r="244">
          <cell r="C244" t="str">
            <v>0011801423AT</v>
          </cell>
          <cell r="D244" t="str">
            <v>0001832668</v>
          </cell>
          <cell r="E244" t="str">
            <v>V14956</v>
          </cell>
          <cell r="F244" t="str">
            <v>2025-08-02</v>
          </cell>
          <cell r="G244" t="str">
            <v>9999-12-31</v>
          </cell>
          <cell r="H244" t="str">
            <v>10</v>
          </cell>
        </row>
        <row r="245">
          <cell r="C245" t="str">
            <v>0011801423AB</v>
          </cell>
          <cell r="D245" t="str">
            <v>0001808126</v>
          </cell>
          <cell r="E245" t="str">
            <v>V14956</v>
          </cell>
          <cell r="F245" t="str">
            <v>2025-05-21</v>
          </cell>
          <cell r="G245" t="str">
            <v>9999-12-31</v>
          </cell>
          <cell r="H245" t="str">
            <v>10</v>
          </cell>
        </row>
        <row r="246">
          <cell r="C246" t="str">
            <v>0041800751SA</v>
          </cell>
          <cell r="D246" t="str">
            <v>0001709642</v>
          </cell>
          <cell r="E246" t="str">
            <v>V14956</v>
          </cell>
          <cell r="F246" t="str">
            <v>2024-07-11</v>
          </cell>
          <cell r="G246" t="str">
            <v>9999-12-31</v>
          </cell>
          <cell r="H246" t="str">
            <v>50</v>
          </cell>
        </row>
        <row r="247">
          <cell r="C247" t="str">
            <v>0041800728E</v>
          </cell>
          <cell r="D247" t="str">
            <v>0001756120</v>
          </cell>
          <cell r="E247" t="str">
            <v>V14956</v>
          </cell>
          <cell r="F247" t="str">
            <v>2024-12-04</v>
          </cell>
          <cell r="G247" t="str">
            <v>9999-12-31</v>
          </cell>
          <cell r="H247" t="str">
            <v>70</v>
          </cell>
        </row>
        <row r="248">
          <cell r="C248" t="str">
            <v>0041801117D</v>
          </cell>
          <cell r="D248" t="str">
            <v>0001786750</v>
          </cell>
          <cell r="E248" t="str">
            <v>V14956</v>
          </cell>
          <cell r="F248" t="str">
            <v>2025-03-14</v>
          </cell>
          <cell r="G248" t="str">
            <v>9999-12-31</v>
          </cell>
          <cell r="H248" t="str">
            <v>50</v>
          </cell>
        </row>
        <row r="249">
          <cell r="C249" t="str">
            <v>0041801117A</v>
          </cell>
          <cell r="D249" t="str">
            <v>0001732832</v>
          </cell>
          <cell r="E249" t="str">
            <v>V14956</v>
          </cell>
          <cell r="F249" t="str">
            <v>2024-10-09</v>
          </cell>
          <cell r="G249" t="str">
            <v>9999-12-31</v>
          </cell>
          <cell r="H249" t="str">
            <v>50</v>
          </cell>
        </row>
        <row r="250">
          <cell r="C250" t="str">
            <v>0041800751SA</v>
          </cell>
          <cell r="D250" t="str">
            <v>0001718776</v>
          </cell>
          <cell r="E250" t="str">
            <v>V14956</v>
          </cell>
          <cell r="F250" t="str">
            <v>2024-08-15</v>
          </cell>
          <cell r="G250" t="str">
            <v>9999-12-31</v>
          </cell>
          <cell r="H250" t="str">
            <v>50</v>
          </cell>
        </row>
        <row r="251">
          <cell r="C251" t="str">
            <v>0061801410</v>
          </cell>
          <cell r="D251" t="str">
            <v>0001712991</v>
          </cell>
          <cell r="E251" t="str">
            <v>V14956</v>
          </cell>
          <cell r="F251" t="str">
            <v>2024-07-23</v>
          </cell>
          <cell r="G251" t="str">
            <v>9999-12-31</v>
          </cell>
          <cell r="H251" t="str">
            <v>100</v>
          </cell>
        </row>
        <row r="252">
          <cell r="C252" t="str">
            <v>0011801644</v>
          </cell>
          <cell r="D252" t="str">
            <v>0001623993</v>
          </cell>
          <cell r="E252" t="str">
            <v>V14956</v>
          </cell>
          <cell r="F252" t="str">
            <v>2023-08-15</v>
          </cell>
          <cell r="G252" t="str">
            <v>9999-12-31</v>
          </cell>
          <cell r="H252" t="str">
            <v>100</v>
          </cell>
        </row>
        <row r="253">
          <cell r="C253" t="str">
            <v>0151800648J</v>
          </cell>
          <cell r="D253" t="str">
            <v>0001777461</v>
          </cell>
          <cell r="E253" t="str">
            <v>V14956</v>
          </cell>
          <cell r="F253" t="str">
            <v>2025-02-14</v>
          </cell>
          <cell r="G253" t="str">
            <v>9999-12-31</v>
          </cell>
          <cell r="H253" t="str">
            <v>30</v>
          </cell>
        </row>
        <row r="254">
          <cell r="C254" t="str">
            <v>0151800648D</v>
          </cell>
          <cell r="D254" t="str">
            <v>0001751694</v>
          </cell>
          <cell r="E254" t="str">
            <v>V14956</v>
          </cell>
          <cell r="F254" t="str">
            <v>2024-11-21</v>
          </cell>
          <cell r="G254" t="str">
            <v>9999-12-31</v>
          </cell>
          <cell r="H254" t="str">
            <v>70</v>
          </cell>
        </row>
        <row r="255">
          <cell r="C255" t="str">
            <v>0151800561BBA</v>
          </cell>
          <cell r="D255" t="str">
            <v>0001762322</v>
          </cell>
          <cell r="E255" t="str">
            <v>V14956</v>
          </cell>
          <cell r="F255" t="str">
            <v>2024-12-23</v>
          </cell>
          <cell r="G255" t="str">
            <v>9999-12-31</v>
          </cell>
          <cell r="H255" t="str">
            <v>70</v>
          </cell>
        </row>
        <row r="256">
          <cell r="C256" t="str">
            <v>0011802040A</v>
          </cell>
          <cell r="D256" t="str">
            <v>0001860027</v>
          </cell>
          <cell r="E256" t="str">
            <v>V14956</v>
          </cell>
          <cell r="F256" t="str">
            <v>2025-10-29</v>
          </cell>
          <cell r="G256" t="str">
            <v>9999-12-31</v>
          </cell>
          <cell r="H256" t="str">
            <v>30</v>
          </cell>
        </row>
        <row r="257">
          <cell r="C257" t="str">
            <v>0011802040</v>
          </cell>
          <cell r="D257" t="str">
            <v>0001860025</v>
          </cell>
          <cell r="E257" t="str">
            <v>V14956</v>
          </cell>
          <cell r="F257" t="str">
            <v>2025-10-29</v>
          </cell>
          <cell r="G257" t="str">
            <v>9999-12-31</v>
          </cell>
          <cell r="H257" t="str">
            <v>30</v>
          </cell>
        </row>
        <row r="258">
          <cell r="C258" t="str">
            <v>0011801973M</v>
          </cell>
          <cell r="D258" t="str">
            <v>0001824294</v>
          </cell>
          <cell r="E258" t="str">
            <v>V14956</v>
          </cell>
          <cell r="F258" t="str">
            <v>2025-07-08</v>
          </cell>
          <cell r="G258" t="str">
            <v>9999-12-31</v>
          </cell>
          <cell r="H258" t="str">
            <v>70</v>
          </cell>
        </row>
        <row r="259">
          <cell r="C259" t="str">
            <v>0011801973L</v>
          </cell>
          <cell r="D259" t="str">
            <v>0001824293</v>
          </cell>
          <cell r="E259" t="str">
            <v>V14956</v>
          </cell>
          <cell r="F259" t="str">
            <v>2025-07-08</v>
          </cell>
          <cell r="G259" t="str">
            <v>9999-12-31</v>
          </cell>
          <cell r="H259" t="str">
            <v>70</v>
          </cell>
        </row>
        <row r="260">
          <cell r="C260" t="str">
            <v>0011801973G</v>
          </cell>
          <cell r="D260" t="str">
            <v>0001824292</v>
          </cell>
          <cell r="E260" t="str">
            <v>V14956</v>
          </cell>
          <cell r="F260" t="str">
            <v>2025-07-08</v>
          </cell>
          <cell r="G260" t="str">
            <v>9999-12-31</v>
          </cell>
          <cell r="H260" t="str">
            <v>30</v>
          </cell>
        </row>
        <row r="261">
          <cell r="C261" t="str">
            <v>0011801973E</v>
          </cell>
          <cell r="D261" t="str">
            <v>0001824291</v>
          </cell>
          <cell r="E261" t="str">
            <v>V14956</v>
          </cell>
          <cell r="F261" t="str">
            <v>2025-07-08</v>
          </cell>
          <cell r="G261" t="str">
            <v>9999-12-31</v>
          </cell>
          <cell r="H261" t="str">
            <v>30</v>
          </cell>
        </row>
        <row r="262">
          <cell r="C262" t="str">
            <v>0011801973</v>
          </cell>
          <cell r="D262" t="str">
            <v>0001789941</v>
          </cell>
          <cell r="E262" t="str">
            <v>V14956</v>
          </cell>
          <cell r="F262" t="str">
            <v>2025-03-26</v>
          </cell>
          <cell r="G262" t="str">
            <v>9999-12-31</v>
          </cell>
          <cell r="H262" t="str">
            <v>70</v>
          </cell>
        </row>
        <row r="263">
          <cell r="C263" t="str">
            <v>0011801917E</v>
          </cell>
          <cell r="D263" t="str">
            <v>0001757303</v>
          </cell>
          <cell r="E263" t="str">
            <v>V14956</v>
          </cell>
          <cell r="F263" t="str">
            <v>2024-12-07</v>
          </cell>
          <cell r="G263" t="str">
            <v>9999-12-31</v>
          </cell>
          <cell r="H263" t="str">
            <v>30</v>
          </cell>
        </row>
        <row r="264">
          <cell r="C264" t="str">
            <v>0011801917C</v>
          </cell>
          <cell r="D264" t="str">
            <v>0001726604</v>
          </cell>
          <cell r="E264" t="str">
            <v>V14956</v>
          </cell>
          <cell r="F264" t="str">
            <v>2024-09-12</v>
          </cell>
          <cell r="G264" t="str">
            <v>9999-12-31</v>
          </cell>
          <cell r="H264" t="str">
            <v>70</v>
          </cell>
        </row>
        <row r="265">
          <cell r="C265" t="str">
            <v>0011801917A</v>
          </cell>
          <cell r="D265" t="str">
            <v>0001726603</v>
          </cell>
          <cell r="E265" t="str">
            <v>V14956</v>
          </cell>
          <cell r="F265" t="str">
            <v>2024-09-12</v>
          </cell>
          <cell r="G265" t="str">
            <v>9999-12-31</v>
          </cell>
          <cell r="H265" t="str">
            <v>70</v>
          </cell>
        </row>
        <row r="266">
          <cell r="C266" t="str">
            <v>0011801917</v>
          </cell>
          <cell r="D266" t="str">
            <v>0001726602</v>
          </cell>
          <cell r="E266" t="str">
            <v>V14956</v>
          </cell>
          <cell r="F266" t="str">
            <v>2024-09-12</v>
          </cell>
          <cell r="G266" t="str">
            <v>9999-12-31</v>
          </cell>
          <cell r="H266" t="str">
            <v>30</v>
          </cell>
        </row>
        <row r="267">
          <cell r="C267" t="str">
            <v>0011801911A</v>
          </cell>
          <cell r="D267" t="str">
            <v>0001898197</v>
          </cell>
          <cell r="E267" t="str">
            <v>V14956</v>
          </cell>
          <cell r="F267" t="str">
            <v>2026-01-28</v>
          </cell>
          <cell r="G267" t="str">
            <v>9999-12-31</v>
          </cell>
          <cell r="H267" t="str">
            <v>30</v>
          </cell>
        </row>
        <row r="268">
          <cell r="C268" t="str">
            <v>0011801911</v>
          </cell>
          <cell r="D268" t="str">
            <v>0001758690</v>
          </cell>
          <cell r="E268" t="str">
            <v>V14956</v>
          </cell>
          <cell r="F268" t="str">
            <v>2024-12-12</v>
          </cell>
          <cell r="G268" t="str">
            <v>9999-12-31</v>
          </cell>
          <cell r="H268" t="str">
            <v>30</v>
          </cell>
        </row>
        <row r="269">
          <cell r="C269" t="str">
            <v>0011801903D</v>
          </cell>
          <cell r="D269" t="str">
            <v>0001776035</v>
          </cell>
          <cell r="E269" t="str">
            <v>V14956</v>
          </cell>
          <cell r="F269" t="str">
            <v>2025-02-14</v>
          </cell>
          <cell r="G269" t="str">
            <v>9999-12-31</v>
          </cell>
          <cell r="H269" t="str">
            <v>50</v>
          </cell>
        </row>
        <row r="270">
          <cell r="C270" t="str">
            <v>0011801852D</v>
          </cell>
          <cell r="D270" t="str">
            <v>0001775652</v>
          </cell>
          <cell r="E270" t="str">
            <v>V14956</v>
          </cell>
          <cell r="F270" t="str">
            <v>2025-02-08</v>
          </cell>
          <cell r="G270" t="str">
            <v>9999-12-31</v>
          </cell>
          <cell r="H270" t="str">
            <v>50</v>
          </cell>
        </row>
        <row r="271">
          <cell r="C271" t="str">
            <v>0011801852A</v>
          </cell>
          <cell r="D271" t="str">
            <v>0001751506</v>
          </cell>
          <cell r="E271" t="str">
            <v>V14956</v>
          </cell>
          <cell r="F271" t="str">
            <v>2024-11-20</v>
          </cell>
          <cell r="G271" t="str">
            <v>9999-12-31</v>
          </cell>
          <cell r="H271" t="str">
            <v>70</v>
          </cell>
        </row>
        <row r="272">
          <cell r="C272" t="str">
            <v>0011801852</v>
          </cell>
          <cell r="D272" t="str">
            <v>0001724881</v>
          </cell>
          <cell r="E272" t="str">
            <v>V14956</v>
          </cell>
          <cell r="F272" t="str">
            <v>2024-09-06</v>
          </cell>
          <cell r="G272" t="str">
            <v>9999-12-31</v>
          </cell>
          <cell r="H272" t="str">
            <v>70</v>
          </cell>
        </row>
        <row r="273">
          <cell r="C273" t="str">
            <v>0011801843AH</v>
          </cell>
          <cell r="D273" t="str">
            <v>0001827176</v>
          </cell>
          <cell r="E273" t="str">
            <v>V14956</v>
          </cell>
          <cell r="F273" t="str">
            <v>2025-07-16</v>
          </cell>
          <cell r="G273" t="str">
            <v>9999-12-31</v>
          </cell>
          <cell r="H273" t="str">
            <v>70</v>
          </cell>
        </row>
        <row r="274">
          <cell r="C274" t="str">
            <v>0011801824D</v>
          </cell>
          <cell r="D274" t="str">
            <v>0001898195</v>
          </cell>
          <cell r="E274" t="str">
            <v>V14956</v>
          </cell>
          <cell r="F274" t="str">
            <v>2026-01-28</v>
          </cell>
          <cell r="G274" t="str">
            <v>9999-12-31</v>
          </cell>
          <cell r="H274" t="str">
            <v>30</v>
          </cell>
        </row>
        <row r="275">
          <cell r="C275" t="str">
            <v>0011801738</v>
          </cell>
          <cell r="D275" t="str">
            <v>0001616867</v>
          </cell>
          <cell r="E275" t="str">
            <v>V14956</v>
          </cell>
          <cell r="F275" t="str">
            <v>2023-07-14</v>
          </cell>
          <cell r="G275" t="str">
            <v>9999-12-31</v>
          </cell>
          <cell r="H275" t="str">
            <v>30</v>
          </cell>
        </row>
        <row r="276">
          <cell r="C276" t="str">
            <v>0011801737B</v>
          </cell>
          <cell r="D276" t="str">
            <v>0001819904</v>
          </cell>
          <cell r="E276" t="str">
            <v>V14956</v>
          </cell>
          <cell r="F276" t="str">
            <v>2025-06-26</v>
          </cell>
          <cell r="G276" t="str">
            <v>9999-12-31</v>
          </cell>
          <cell r="H276" t="str">
            <v>30</v>
          </cell>
        </row>
        <row r="277">
          <cell r="C277" t="str">
            <v>0011801737A</v>
          </cell>
          <cell r="D277" t="str">
            <v>0001819902</v>
          </cell>
          <cell r="E277" t="str">
            <v>V14956</v>
          </cell>
          <cell r="F277" t="str">
            <v>2025-06-26</v>
          </cell>
          <cell r="G277" t="str">
            <v>9999-12-31</v>
          </cell>
          <cell r="H277" t="str">
            <v>50</v>
          </cell>
        </row>
        <row r="278">
          <cell r="C278" t="str">
            <v>0011801737</v>
          </cell>
          <cell r="D278" t="str">
            <v>0001754715</v>
          </cell>
          <cell r="E278" t="str">
            <v>V14956</v>
          </cell>
          <cell r="F278" t="str">
            <v>2024-11-28</v>
          </cell>
          <cell r="G278" t="str">
            <v>9999-12-31</v>
          </cell>
          <cell r="H278" t="str">
            <v>30</v>
          </cell>
        </row>
        <row r="279">
          <cell r="C279" t="str">
            <v>0011801736</v>
          </cell>
          <cell r="D279" t="str">
            <v>0001619813</v>
          </cell>
          <cell r="E279" t="str">
            <v>V14956</v>
          </cell>
          <cell r="F279" t="str">
            <v>2023-07-27</v>
          </cell>
          <cell r="G279" t="str">
            <v>9999-12-31</v>
          </cell>
          <cell r="H279" t="str">
            <v>70</v>
          </cell>
        </row>
        <row r="280">
          <cell r="C280" t="str">
            <v>0011801583X</v>
          </cell>
          <cell r="D280" t="str">
            <v>0001819900</v>
          </cell>
          <cell r="E280" t="str">
            <v>V14956</v>
          </cell>
          <cell r="F280" t="str">
            <v>2025-06-26</v>
          </cell>
          <cell r="G280" t="str">
            <v>9999-12-31</v>
          </cell>
          <cell r="H280" t="str">
            <v>30</v>
          </cell>
        </row>
        <row r="281">
          <cell r="C281" t="str">
            <v>0011801583R</v>
          </cell>
          <cell r="D281" t="str">
            <v>0001737140</v>
          </cell>
          <cell r="E281" t="str">
            <v>V14956</v>
          </cell>
          <cell r="F281" t="str">
            <v>2024-10-21</v>
          </cell>
          <cell r="G281" t="str">
            <v>9999-12-31</v>
          </cell>
          <cell r="H281" t="str">
            <v>30</v>
          </cell>
        </row>
        <row r="282">
          <cell r="C282" t="str">
            <v>0011801583P</v>
          </cell>
          <cell r="D282" t="str">
            <v>0001819898</v>
          </cell>
          <cell r="E282" t="str">
            <v>V14956</v>
          </cell>
          <cell r="F282" t="str">
            <v>2025-06-26</v>
          </cell>
          <cell r="G282" t="str">
            <v>9999-12-31</v>
          </cell>
          <cell r="H282" t="str">
            <v>30</v>
          </cell>
        </row>
        <row r="283">
          <cell r="C283" t="str">
            <v>0011801583C</v>
          </cell>
          <cell r="D283" t="str">
            <v>0001707769</v>
          </cell>
          <cell r="E283" t="str">
            <v>V14956</v>
          </cell>
          <cell r="F283" t="str">
            <v>2024-07-03</v>
          </cell>
          <cell r="G283" t="str">
            <v>9999-12-31</v>
          </cell>
          <cell r="H283" t="str">
            <v>30</v>
          </cell>
        </row>
        <row r="284">
          <cell r="C284" t="str">
            <v>0011801583AE</v>
          </cell>
          <cell r="D284" t="str">
            <v>0001787097</v>
          </cell>
          <cell r="E284" t="str">
            <v>V14956</v>
          </cell>
          <cell r="F284" t="str">
            <v>2025-03-17</v>
          </cell>
          <cell r="G284" t="str">
            <v>9999-12-31</v>
          </cell>
          <cell r="H284" t="str">
            <v>70</v>
          </cell>
        </row>
        <row r="285">
          <cell r="C285" t="str">
            <v>0011801490Y</v>
          </cell>
          <cell r="D285" t="str">
            <v>0001724880</v>
          </cell>
          <cell r="E285" t="str">
            <v>V14956</v>
          </cell>
          <cell r="F285" t="str">
            <v>2024-09-06</v>
          </cell>
          <cell r="G285" t="str">
            <v>9999-12-31</v>
          </cell>
          <cell r="H285" t="str">
            <v>30</v>
          </cell>
        </row>
        <row r="286">
          <cell r="C286" t="str">
            <v>0011801490S</v>
          </cell>
          <cell r="D286" t="str">
            <v>0001842868</v>
          </cell>
          <cell r="E286" t="str">
            <v>V14956</v>
          </cell>
          <cell r="F286" t="str">
            <v>2025-09-04</v>
          </cell>
          <cell r="G286" t="str">
            <v>9999-12-31</v>
          </cell>
          <cell r="H286" t="str">
            <v>30</v>
          </cell>
        </row>
        <row r="287">
          <cell r="C287" t="str">
            <v>0011801490JZ</v>
          </cell>
          <cell r="D287" t="str">
            <v>0001858336</v>
          </cell>
          <cell r="E287" t="str">
            <v>V14956</v>
          </cell>
          <cell r="F287" t="str">
            <v>2025-10-24</v>
          </cell>
          <cell r="G287" t="str">
            <v>9999-12-31</v>
          </cell>
          <cell r="H287" t="str">
            <v>70</v>
          </cell>
        </row>
        <row r="288">
          <cell r="C288" t="str">
            <v>0011801490B</v>
          </cell>
          <cell r="D288" t="str">
            <v>0001742744</v>
          </cell>
          <cell r="E288" t="str">
            <v>V14956</v>
          </cell>
          <cell r="F288" t="str">
            <v>2024-11-07</v>
          </cell>
          <cell r="G288" t="str">
            <v>9999-12-31</v>
          </cell>
          <cell r="H288" t="str">
            <v>10</v>
          </cell>
        </row>
        <row r="289">
          <cell r="C289" t="str">
            <v>0011801490AZ</v>
          </cell>
          <cell r="D289" t="str">
            <v>0001817538</v>
          </cell>
          <cell r="E289" t="str">
            <v>V14956</v>
          </cell>
          <cell r="F289" t="str">
            <v>2025-06-23</v>
          </cell>
          <cell r="G289" t="str">
            <v>9999-12-31</v>
          </cell>
          <cell r="H289" t="str">
            <v>20</v>
          </cell>
        </row>
        <row r="290">
          <cell r="C290" t="str">
            <v>0011801423T</v>
          </cell>
          <cell r="D290" t="str">
            <v>0001721450</v>
          </cell>
          <cell r="E290" t="str">
            <v>V14956</v>
          </cell>
          <cell r="F290" t="str">
            <v>2024-08-26</v>
          </cell>
          <cell r="G290" t="str">
            <v>9999-12-31</v>
          </cell>
          <cell r="H290" t="str">
            <v>30</v>
          </cell>
        </row>
        <row r="291">
          <cell r="C291" t="str">
            <v>0011801423AW</v>
          </cell>
          <cell r="D291" t="str">
            <v>0001755031</v>
          </cell>
          <cell r="E291" t="str">
            <v>V14956</v>
          </cell>
          <cell r="F291" t="str">
            <v>2024-11-29</v>
          </cell>
          <cell r="G291" t="str">
            <v>9999-12-31</v>
          </cell>
          <cell r="H291" t="str">
            <v>70</v>
          </cell>
        </row>
        <row r="292">
          <cell r="C292" t="str">
            <v>0011801423AV</v>
          </cell>
          <cell r="D292" t="str">
            <v>0001724879</v>
          </cell>
          <cell r="E292" t="str">
            <v>V14956</v>
          </cell>
          <cell r="F292" t="str">
            <v>2024-09-06</v>
          </cell>
          <cell r="G292" t="str">
            <v>9999-12-31</v>
          </cell>
          <cell r="H292" t="str">
            <v>30</v>
          </cell>
        </row>
        <row r="293">
          <cell r="C293" t="str">
            <v>0011801423AS</v>
          </cell>
          <cell r="D293" t="str">
            <v>0001819888</v>
          </cell>
          <cell r="E293" t="str">
            <v>V14956</v>
          </cell>
          <cell r="F293" t="str">
            <v>2025-06-26</v>
          </cell>
          <cell r="G293" t="str">
            <v>9999-12-31</v>
          </cell>
          <cell r="H293" t="str">
            <v>30</v>
          </cell>
        </row>
        <row r="294">
          <cell r="C294" t="str">
            <v>0011801423AQ</v>
          </cell>
          <cell r="D294" t="str">
            <v>0001721449</v>
          </cell>
          <cell r="E294" t="str">
            <v>V14956</v>
          </cell>
          <cell r="F294" t="str">
            <v>2024-08-26</v>
          </cell>
          <cell r="G294" t="str">
            <v>9999-12-31</v>
          </cell>
          <cell r="H294" t="str">
            <v>30</v>
          </cell>
        </row>
        <row r="295">
          <cell r="C295" t="str">
            <v>0011801423AP</v>
          </cell>
          <cell r="D295" t="str">
            <v>0001721448</v>
          </cell>
          <cell r="E295" t="str">
            <v>V14956</v>
          </cell>
          <cell r="F295" t="str">
            <v>2024-08-26</v>
          </cell>
          <cell r="G295" t="str">
            <v>9999-12-31</v>
          </cell>
          <cell r="H295" t="str">
            <v>30</v>
          </cell>
        </row>
        <row r="296">
          <cell r="C296" t="str">
            <v>0011801423AC</v>
          </cell>
          <cell r="D296" t="str">
            <v>0001819886</v>
          </cell>
          <cell r="E296" t="str">
            <v>V14956</v>
          </cell>
          <cell r="F296" t="str">
            <v>2025-06-26</v>
          </cell>
          <cell r="G296" t="str">
            <v>9999-12-31</v>
          </cell>
          <cell r="H296" t="str">
            <v>30</v>
          </cell>
        </row>
        <row r="297">
          <cell r="C297" t="str">
            <v>0011801112H</v>
          </cell>
          <cell r="D297" t="str">
            <v>0001716466</v>
          </cell>
          <cell r="E297" t="str">
            <v>V14956</v>
          </cell>
          <cell r="F297" t="str">
            <v>2024-08-06</v>
          </cell>
          <cell r="G297" t="str">
            <v>9999-12-31</v>
          </cell>
          <cell r="H297" t="str">
            <v>30</v>
          </cell>
        </row>
        <row r="298">
          <cell r="C298" t="str">
            <v>0011800997TD</v>
          </cell>
          <cell r="D298" t="str">
            <v>0001677046</v>
          </cell>
          <cell r="E298" t="str">
            <v>V14956</v>
          </cell>
          <cell r="F298" t="str">
            <v>2024-03-12</v>
          </cell>
          <cell r="G298" t="str">
            <v>9999-12-31</v>
          </cell>
          <cell r="H298" t="str">
            <v>70</v>
          </cell>
        </row>
        <row r="299">
          <cell r="C299" t="str">
            <v>0011800997GCH</v>
          </cell>
          <cell r="D299" t="str">
            <v>0001647304</v>
          </cell>
          <cell r="E299" t="str">
            <v>V14956</v>
          </cell>
          <cell r="F299" t="str">
            <v>2023-11-20</v>
          </cell>
          <cell r="G299" t="str">
            <v>9999-12-31</v>
          </cell>
          <cell r="H299" t="str">
            <v>30</v>
          </cell>
        </row>
        <row r="300">
          <cell r="C300" t="str">
            <v>0011800997BZ</v>
          </cell>
          <cell r="D300" t="str">
            <v>0001732632</v>
          </cell>
          <cell r="E300" t="str">
            <v>V14956</v>
          </cell>
          <cell r="F300" t="str">
            <v>2024-10-08</v>
          </cell>
          <cell r="G300" t="str">
            <v>9999-12-31</v>
          </cell>
          <cell r="H300" t="str">
            <v>30</v>
          </cell>
        </row>
        <row r="301">
          <cell r="C301" t="str">
            <v>0011800495W</v>
          </cell>
          <cell r="D301" t="str">
            <v>0001878894</v>
          </cell>
          <cell r="E301" t="str">
            <v>V14956</v>
          </cell>
          <cell r="F301" t="str">
            <v>2025-12-19</v>
          </cell>
          <cell r="G301" t="str">
            <v>9999-12-31</v>
          </cell>
          <cell r="H301" t="str">
            <v>10</v>
          </cell>
        </row>
        <row r="302">
          <cell r="C302" t="str">
            <v>0011801713</v>
          </cell>
          <cell r="D302" t="str">
            <v>0001620713</v>
          </cell>
          <cell r="E302" t="str">
            <v>V14956</v>
          </cell>
          <cell r="F302" t="str">
            <v>2023-08-01</v>
          </cell>
          <cell r="G302" t="str">
            <v>9999-12-31</v>
          </cell>
          <cell r="H302" t="str">
            <v>100</v>
          </cell>
        </row>
        <row r="303">
          <cell r="C303" t="str">
            <v>0041801979H</v>
          </cell>
          <cell r="D303" t="str">
            <v>0001886715</v>
          </cell>
          <cell r="E303" t="str">
            <v>V14956</v>
          </cell>
          <cell r="F303" t="str">
            <v>2026-01-06</v>
          </cell>
          <cell r="G303" t="str">
            <v>9999-12-31</v>
          </cell>
          <cell r="H303" t="str">
            <v>100</v>
          </cell>
        </row>
        <row r="304">
          <cell r="C304" t="str">
            <v>0041801979E</v>
          </cell>
          <cell r="D304" t="str">
            <v>0001886714</v>
          </cell>
          <cell r="E304" t="str">
            <v>V14956</v>
          </cell>
          <cell r="F304" t="str">
            <v>2026-01-06</v>
          </cell>
          <cell r="G304" t="str">
            <v>9999-12-31</v>
          </cell>
          <cell r="H304" t="str">
            <v>100</v>
          </cell>
        </row>
        <row r="305">
          <cell r="C305" t="str">
            <v>0041800773E</v>
          </cell>
          <cell r="D305" t="str">
            <v>0001691579</v>
          </cell>
          <cell r="E305" t="str">
            <v>V14956</v>
          </cell>
          <cell r="F305" t="str">
            <v>2024-04-28</v>
          </cell>
          <cell r="G305" t="str">
            <v>9999-12-31</v>
          </cell>
          <cell r="H305" t="str">
            <v>100</v>
          </cell>
        </row>
        <row r="306">
          <cell r="C306" t="str">
            <v>0041800569</v>
          </cell>
          <cell r="D306" t="str">
            <v>0001878537</v>
          </cell>
          <cell r="E306" t="str">
            <v>V14956</v>
          </cell>
          <cell r="F306" t="str">
            <v>2025-12-18</v>
          </cell>
          <cell r="G306" t="str">
            <v>9999-12-31</v>
          </cell>
          <cell r="H306" t="str">
            <v>100</v>
          </cell>
        </row>
        <row r="307">
          <cell r="C307" t="str">
            <v>0190400556</v>
          </cell>
          <cell r="D307" t="str">
            <v>0001632479</v>
          </cell>
          <cell r="E307" t="str">
            <v>V14956</v>
          </cell>
          <cell r="F307" t="str">
            <v>2023-09-12</v>
          </cell>
          <cell r="G307" t="str">
            <v>9999-12-31</v>
          </cell>
          <cell r="H307" t="str">
            <v>100</v>
          </cell>
        </row>
        <row r="308">
          <cell r="C308" t="str">
            <v>0190400534A</v>
          </cell>
          <cell r="D308" t="str">
            <v>0001648153</v>
          </cell>
          <cell r="E308" t="str">
            <v>V14956</v>
          </cell>
          <cell r="F308" t="str">
            <v>2023-11-23</v>
          </cell>
          <cell r="G308" t="str">
            <v>9999-12-31</v>
          </cell>
          <cell r="H308" t="str">
            <v>100</v>
          </cell>
        </row>
        <row r="309">
          <cell r="C309" t="str">
            <v>0190400527B</v>
          </cell>
          <cell r="D309" t="str">
            <v>0001648301</v>
          </cell>
          <cell r="E309" t="str">
            <v>V14956</v>
          </cell>
          <cell r="F309" t="str">
            <v>2023-11-24</v>
          </cell>
          <cell r="G309" t="str">
            <v>9999-12-31</v>
          </cell>
          <cell r="H309" t="str">
            <v>100</v>
          </cell>
        </row>
        <row r="310">
          <cell r="C310" t="str">
            <v>0190400527</v>
          </cell>
          <cell r="D310" t="str">
            <v>0001628745</v>
          </cell>
          <cell r="E310" t="str">
            <v>V14956</v>
          </cell>
          <cell r="F310" t="str">
            <v>2023-08-30</v>
          </cell>
          <cell r="G310" t="str">
            <v>9999-12-31</v>
          </cell>
          <cell r="H310" t="str">
            <v>100</v>
          </cell>
        </row>
        <row r="311">
          <cell r="C311" t="str">
            <v>0190400507</v>
          </cell>
          <cell r="D311" t="str">
            <v>0001621862</v>
          </cell>
          <cell r="E311" t="str">
            <v>V14956</v>
          </cell>
          <cell r="F311" t="str">
            <v>2023-08-04</v>
          </cell>
          <cell r="G311" t="str">
            <v>9999-12-31</v>
          </cell>
          <cell r="H311" t="str">
            <v>100</v>
          </cell>
        </row>
        <row r="312">
          <cell r="C312" t="str">
            <v>0190400340A</v>
          </cell>
          <cell r="D312" t="str">
            <v>0001660433</v>
          </cell>
          <cell r="E312" t="str">
            <v>V14956</v>
          </cell>
          <cell r="F312" t="str">
            <v>2024-01-02</v>
          </cell>
          <cell r="G312" t="str">
            <v>9999-12-31</v>
          </cell>
          <cell r="H312" t="str">
            <v>100</v>
          </cell>
        </row>
        <row r="313">
          <cell r="C313" t="str">
            <v>0011801606</v>
          </cell>
          <cell r="D313" t="str">
            <v>0001582969</v>
          </cell>
          <cell r="E313" t="str">
            <v>V14956</v>
          </cell>
          <cell r="F313" t="str">
            <v>2023-04-03</v>
          </cell>
          <cell r="G313" t="str">
            <v>9999-12-31</v>
          </cell>
          <cell r="H313" t="str">
            <v>100</v>
          </cell>
        </row>
        <row r="314">
          <cell r="C314" t="str">
            <v>0190400793</v>
          </cell>
          <cell r="D314" t="str">
            <v>0001760484</v>
          </cell>
          <cell r="E314" t="str">
            <v>V14956</v>
          </cell>
          <cell r="F314" t="str">
            <v>2024-12-18</v>
          </cell>
          <cell r="G314" t="str">
            <v>9999-12-31</v>
          </cell>
          <cell r="H314" t="str">
            <v>100</v>
          </cell>
        </row>
        <row r="315">
          <cell r="C315" t="str">
            <v>0041801979E</v>
          </cell>
          <cell r="D315" t="str">
            <v>0001874897</v>
          </cell>
          <cell r="E315" t="str">
            <v>V14956</v>
          </cell>
          <cell r="F315" t="str">
            <v>2025-12-10</v>
          </cell>
          <cell r="G315" t="str">
            <v>9999-12-31</v>
          </cell>
          <cell r="H315" t="str">
            <v>100</v>
          </cell>
        </row>
        <row r="316">
          <cell r="C316" t="str">
            <v>0041801979</v>
          </cell>
          <cell r="D316" t="str">
            <v>0001870585</v>
          </cell>
          <cell r="E316" t="str">
            <v>V14956</v>
          </cell>
          <cell r="F316" t="str">
            <v>2025-11-28</v>
          </cell>
          <cell r="G316" t="str">
            <v>9999-12-31</v>
          </cell>
          <cell r="H316" t="str">
            <v>100</v>
          </cell>
        </row>
        <row r="317">
          <cell r="C317" t="str">
            <v>0041800569</v>
          </cell>
          <cell r="D317" t="str">
            <v>0001872517</v>
          </cell>
          <cell r="E317" t="str">
            <v>V14956</v>
          </cell>
          <cell r="F317" t="str">
            <v>2025-12-04</v>
          </cell>
          <cell r="G317" t="str">
            <v>9999-12-31</v>
          </cell>
          <cell r="H317" t="str">
            <v>100</v>
          </cell>
        </row>
        <row r="318">
          <cell r="C318" t="str">
            <v>0190400556B</v>
          </cell>
          <cell r="D318" t="str">
            <v>0001755844</v>
          </cell>
          <cell r="E318" t="str">
            <v>V14956</v>
          </cell>
          <cell r="F318" t="str">
            <v>2024-12-03</v>
          </cell>
          <cell r="G318" t="str">
            <v>9999-12-31</v>
          </cell>
          <cell r="H318" t="str">
            <v>100</v>
          </cell>
        </row>
        <row r="319">
          <cell r="C319" t="str">
            <v>0190400534AB</v>
          </cell>
          <cell r="D319" t="str">
            <v>0001740399</v>
          </cell>
          <cell r="E319" t="str">
            <v>V14956</v>
          </cell>
          <cell r="F319" t="str">
            <v>2024-10-31</v>
          </cell>
          <cell r="G319" t="str">
            <v>9999-12-31</v>
          </cell>
          <cell r="H319" t="str">
            <v>100</v>
          </cell>
        </row>
        <row r="320">
          <cell r="C320" t="str">
            <v>0190400534AA</v>
          </cell>
          <cell r="D320" t="str">
            <v>0001740398</v>
          </cell>
          <cell r="E320" t="str">
            <v>V14956</v>
          </cell>
          <cell r="F320" t="str">
            <v>2024-10-31</v>
          </cell>
          <cell r="G320" t="str">
            <v>9999-12-31</v>
          </cell>
          <cell r="H320" t="str">
            <v>100</v>
          </cell>
        </row>
        <row r="321">
          <cell r="C321" t="str">
            <v>0190400534</v>
          </cell>
          <cell r="D321" t="str">
            <v>0001620298</v>
          </cell>
          <cell r="E321" t="str">
            <v>V14956</v>
          </cell>
          <cell r="F321" t="str">
            <v>2023-07-28</v>
          </cell>
          <cell r="G321" t="str">
            <v>9999-12-31</v>
          </cell>
          <cell r="H321" t="str">
            <v>100</v>
          </cell>
        </row>
        <row r="322">
          <cell r="C322" t="str">
            <v>0190400527A</v>
          </cell>
          <cell r="D322" t="str">
            <v>0001620297</v>
          </cell>
          <cell r="E322" t="str">
            <v>V14956</v>
          </cell>
          <cell r="F322" t="str">
            <v>2023-07-28</v>
          </cell>
          <cell r="G322" t="str">
            <v>9999-12-31</v>
          </cell>
          <cell r="H322" t="str">
            <v>100</v>
          </cell>
        </row>
        <row r="323">
          <cell r="C323" t="str">
            <v>0190400534D</v>
          </cell>
          <cell r="D323" t="str">
            <v>0001689877</v>
          </cell>
          <cell r="E323" t="str">
            <v>V14956</v>
          </cell>
          <cell r="F323" t="str">
            <v>2024-04-22</v>
          </cell>
          <cell r="G323" t="str">
            <v>9999-12-31</v>
          </cell>
          <cell r="H323" t="str">
            <v>100</v>
          </cell>
        </row>
        <row r="324">
          <cell r="C324" t="str">
            <v>0190400534C</v>
          </cell>
          <cell r="D324" t="str">
            <v>0001696021</v>
          </cell>
          <cell r="E324" t="str">
            <v>V14956</v>
          </cell>
          <cell r="F324" t="str">
            <v>2024-05-16</v>
          </cell>
          <cell r="G324" t="str">
            <v>9999-12-31</v>
          </cell>
          <cell r="H324" t="str">
            <v>100</v>
          </cell>
        </row>
        <row r="325">
          <cell r="C325" t="str">
            <v>0190400534B</v>
          </cell>
          <cell r="D325" t="str">
            <v>0001680722</v>
          </cell>
          <cell r="E325" t="str">
            <v>V14956</v>
          </cell>
          <cell r="F325" t="str">
            <v>2024-03-22</v>
          </cell>
          <cell r="G325" t="str">
            <v>9999-12-31</v>
          </cell>
          <cell r="H325" t="str">
            <v>100</v>
          </cell>
        </row>
        <row r="326">
          <cell r="C326" t="str">
            <v>0190400527D</v>
          </cell>
          <cell r="D326" t="str">
            <v>0001689876</v>
          </cell>
          <cell r="E326" t="str">
            <v>V14956</v>
          </cell>
          <cell r="F326" t="str">
            <v>2024-04-22</v>
          </cell>
          <cell r="G326" t="str">
            <v>9999-12-31</v>
          </cell>
          <cell r="H326" t="str">
            <v>100</v>
          </cell>
        </row>
        <row r="327">
          <cell r="C327" t="str">
            <v>0190400527C</v>
          </cell>
          <cell r="D327" t="str">
            <v>0001696020</v>
          </cell>
          <cell r="E327" t="str">
            <v>V14956</v>
          </cell>
          <cell r="F327" t="str">
            <v>2024-05-16</v>
          </cell>
          <cell r="G327" t="str">
            <v>9999-12-31</v>
          </cell>
          <cell r="H327" t="str">
            <v>100</v>
          </cell>
        </row>
        <row r="328">
          <cell r="C328" t="str">
            <v>0190400507A</v>
          </cell>
          <cell r="D328" t="str">
            <v>0001627475</v>
          </cell>
          <cell r="E328" t="str">
            <v>V14956</v>
          </cell>
          <cell r="F328" t="str">
            <v>2023-08-25</v>
          </cell>
          <cell r="G328" t="str">
            <v>9999-12-31</v>
          </cell>
          <cell r="H328" t="str">
            <v>100</v>
          </cell>
        </row>
        <row r="329">
          <cell r="C329" t="str">
            <v>0190400340BA</v>
          </cell>
          <cell r="D329" t="str">
            <v>0001710792</v>
          </cell>
          <cell r="E329" t="str">
            <v>V14956</v>
          </cell>
          <cell r="F329" t="str">
            <v>2024-07-15</v>
          </cell>
          <cell r="G329" t="str">
            <v>9999-12-31</v>
          </cell>
          <cell r="H329" t="str">
            <v>100</v>
          </cell>
        </row>
        <row r="330">
          <cell r="C330" t="str">
            <v>0190400340CA</v>
          </cell>
          <cell r="D330" t="str">
            <v>0001729693</v>
          </cell>
          <cell r="E330" t="str">
            <v>V14956</v>
          </cell>
          <cell r="F330" t="str">
            <v>2024-09-24</v>
          </cell>
          <cell r="G330" t="str">
            <v>9999-12-31</v>
          </cell>
          <cell r="H330" t="str">
            <v>100</v>
          </cell>
        </row>
        <row r="331">
          <cell r="C331" t="str">
            <v>0190400340</v>
          </cell>
          <cell r="D331" t="str">
            <v>0001578335</v>
          </cell>
          <cell r="E331" t="str">
            <v>V14956</v>
          </cell>
          <cell r="F331" t="str">
            <v>2023-03-22</v>
          </cell>
          <cell r="G331" t="str">
            <v>9999-12-31</v>
          </cell>
          <cell r="H331" t="str">
            <v>100</v>
          </cell>
        </row>
        <row r="332">
          <cell r="C332" t="str">
            <v>0011801903C</v>
          </cell>
          <cell r="D332" t="str">
            <v>0001887430</v>
          </cell>
          <cell r="E332" t="str">
            <v>V14956</v>
          </cell>
          <cell r="F332" t="str">
            <v>2026-01-08</v>
          </cell>
          <cell r="G332" t="str">
            <v>9999-12-31</v>
          </cell>
          <cell r="H332" t="str">
            <v>100</v>
          </cell>
        </row>
        <row r="333">
          <cell r="C333" t="str">
            <v>0041801545D</v>
          </cell>
          <cell r="D333" t="str">
            <v>0001676657</v>
          </cell>
          <cell r="E333" t="str">
            <v>V14956</v>
          </cell>
          <cell r="F333" t="str">
            <v>2024-03-11</v>
          </cell>
          <cell r="G333" t="str">
            <v>9999-12-31</v>
          </cell>
          <cell r="H333" t="str">
            <v>100</v>
          </cell>
        </row>
        <row r="334">
          <cell r="C334" t="str">
            <v>0041801545CA</v>
          </cell>
          <cell r="D334" t="str">
            <v>0001838813</v>
          </cell>
          <cell r="E334" t="str">
            <v>V14956</v>
          </cell>
          <cell r="F334" t="str">
            <v>2025-08-20</v>
          </cell>
          <cell r="G334" t="str">
            <v>9999-12-31</v>
          </cell>
          <cell r="H334" t="str">
            <v>100</v>
          </cell>
        </row>
        <row r="335">
          <cell r="C335" t="str">
            <v>0041801545C</v>
          </cell>
          <cell r="D335" t="str">
            <v>0001687994</v>
          </cell>
          <cell r="E335" t="str">
            <v>V14956</v>
          </cell>
          <cell r="F335" t="str">
            <v>2024-04-16</v>
          </cell>
          <cell r="G335" t="str">
            <v>9999-12-31</v>
          </cell>
          <cell r="H335" t="str">
            <v>100</v>
          </cell>
        </row>
        <row r="336">
          <cell r="C336" t="str">
            <v>0041801545A</v>
          </cell>
          <cell r="D336" t="str">
            <v>0001687993</v>
          </cell>
          <cell r="E336" t="str">
            <v>V14956</v>
          </cell>
          <cell r="F336" t="str">
            <v>2024-04-16</v>
          </cell>
          <cell r="G336" t="str">
            <v>9999-12-31</v>
          </cell>
          <cell r="H336" t="str">
            <v>100</v>
          </cell>
        </row>
        <row r="337">
          <cell r="C337" t="str">
            <v>0041801545</v>
          </cell>
          <cell r="D337" t="str">
            <v>0001575483</v>
          </cell>
          <cell r="E337" t="str">
            <v>V14956</v>
          </cell>
          <cell r="F337" t="str">
            <v>2023-03-08</v>
          </cell>
          <cell r="G337" t="str">
            <v>9999-12-31</v>
          </cell>
          <cell r="H337" t="str">
            <v>100</v>
          </cell>
        </row>
        <row r="338">
          <cell r="C338" t="str">
            <v>0041801979H</v>
          </cell>
          <cell r="D338" t="str">
            <v>0001876141</v>
          </cell>
          <cell r="E338" t="str">
            <v>V14956</v>
          </cell>
          <cell r="F338" t="str">
            <v>2025-12-13</v>
          </cell>
          <cell r="G338" t="str">
            <v>9999-12-31</v>
          </cell>
          <cell r="H338" t="str">
            <v>100</v>
          </cell>
        </row>
        <row r="339">
          <cell r="C339" t="str">
            <v>0041801979</v>
          </cell>
          <cell r="D339" t="str">
            <v>0001886711</v>
          </cell>
          <cell r="E339" t="str">
            <v>V14956</v>
          </cell>
          <cell r="F339" t="str">
            <v>2026-01-06</v>
          </cell>
          <cell r="G339" t="str">
            <v>9999-12-31</v>
          </cell>
          <cell r="H339" t="str">
            <v>100</v>
          </cell>
        </row>
        <row r="340">
          <cell r="C340" t="str">
            <v>0011800977B</v>
          </cell>
          <cell r="D340" t="str">
            <v>0001666460</v>
          </cell>
          <cell r="E340" t="str">
            <v>V14956</v>
          </cell>
          <cell r="F340" t="str">
            <v>2024-01-23</v>
          </cell>
          <cell r="G340" t="str">
            <v>9999-12-31</v>
          </cell>
          <cell r="H340" t="str">
            <v>100</v>
          </cell>
        </row>
        <row r="341">
          <cell r="C341" t="str">
            <v>0011801903C</v>
          </cell>
          <cell r="D341" t="str">
            <v>0001887358</v>
          </cell>
          <cell r="E341" t="str">
            <v>V14956</v>
          </cell>
          <cell r="F341" t="str">
            <v>2026-01-08</v>
          </cell>
          <cell r="G341" t="str">
            <v>9999-12-31</v>
          </cell>
          <cell r="H341" t="str">
            <v>100</v>
          </cell>
        </row>
        <row r="342">
          <cell r="C342" t="str">
            <v>0011801903B</v>
          </cell>
          <cell r="D342" t="str">
            <v>0001887356</v>
          </cell>
          <cell r="E342" t="str">
            <v>V14956</v>
          </cell>
          <cell r="F342" t="str">
            <v>2026-01-08</v>
          </cell>
          <cell r="G342" t="str">
            <v>9999-12-31</v>
          </cell>
          <cell r="H342" t="str">
            <v>100</v>
          </cell>
        </row>
        <row r="343">
          <cell r="C343" t="str">
            <v>0011801903A</v>
          </cell>
          <cell r="D343" t="str">
            <v>0001887354</v>
          </cell>
          <cell r="E343" t="str">
            <v>V14956</v>
          </cell>
          <cell r="F343" t="str">
            <v>2026-01-08</v>
          </cell>
          <cell r="G343" t="str">
            <v>9999-12-31</v>
          </cell>
          <cell r="H343" t="str">
            <v>100</v>
          </cell>
        </row>
        <row r="344">
          <cell r="C344" t="str">
            <v>0041801140A</v>
          </cell>
          <cell r="D344" t="str">
            <v>0001890056</v>
          </cell>
          <cell r="E344" t="str">
            <v>V14956</v>
          </cell>
          <cell r="F344" t="str">
            <v>2026-01-13</v>
          </cell>
          <cell r="G344" t="str">
            <v>9999-12-31</v>
          </cell>
          <cell r="H344" t="str">
            <v>100</v>
          </cell>
        </row>
        <row r="345">
          <cell r="C345" t="str">
            <v>0041801140</v>
          </cell>
          <cell r="D345" t="str">
            <v>0001890054</v>
          </cell>
          <cell r="E345" t="str">
            <v>V14956</v>
          </cell>
          <cell r="F345" t="str">
            <v>2026-01-13</v>
          </cell>
          <cell r="G345" t="str">
            <v>9999-12-31</v>
          </cell>
          <cell r="H345" t="str">
            <v>100</v>
          </cell>
        </row>
        <row r="346">
          <cell r="C346" t="str">
            <v>0041801979E</v>
          </cell>
          <cell r="D346" t="str">
            <v>0001890114</v>
          </cell>
          <cell r="E346" t="str">
            <v>V14956</v>
          </cell>
          <cell r="F346" t="str">
            <v>2026-01-14</v>
          </cell>
          <cell r="G346" t="str">
            <v>9999-12-31</v>
          </cell>
          <cell r="H346" t="str">
            <v>100</v>
          </cell>
        </row>
        <row r="347">
          <cell r="C347" t="str">
            <v>0041801979</v>
          </cell>
          <cell r="D347" t="str">
            <v>0001890113</v>
          </cell>
          <cell r="E347" t="str">
            <v>V14956</v>
          </cell>
          <cell r="F347" t="str">
            <v>2026-01-14</v>
          </cell>
          <cell r="G347" t="str">
            <v>9999-12-31</v>
          </cell>
          <cell r="H347" t="str">
            <v>100</v>
          </cell>
        </row>
        <row r="348">
          <cell r="C348" t="str">
            <v>0041801949A</v>
          </cell>
          <cell r="D348" t="str">
            <v>0001850671</v>
          </cell>
          <cell r="E348" t="str">
            <v>V14956</v>
          </cell>
          <cell r="F348" t="str">
            <v>2025-09-25</v>
          </cell>
          <cell r="G348" t="str">
            <v>9999-12-31</v>
          </cell>
          <cell r="H348" t="str">
            <v>100</v>
          </cell>
        </row>
        <row r="349">
          <cell r="C349" t="str">
            <v>0041801949</v>
          </cell>
          <cell r="D349" t="str">
            <v>0001850670</v>
          </cell>
          <cell r="E349" t="str">
            <v>V14956</v>
          </cell>
          <cell r="F349" t="str">
            <v>2025-09-25</v>
          </cell>
          <cell r="G349" t="str">
            <v>9999-12-31</v>
          </cell>
          <cell r="H349" t="str">
            <v>100</v>
          </cell>
        </row>
        <row r="350">
          <cell r="C350" t="str">
            <v>0041801687</v>
          </cell>
          <cell r="D350" t="str">
            <v>0001691292</v>
          </cell>
          <cell r="E350" t="str">
            <v>V14956</v>
          </cell>
          <cell r="F350" t="str">
            <v>2024-04-26</v>
          </cell>
          <cell r="G350" t="str">
            <v>9999-12-31</v>
          </cell>
          <cell r="H350" t="str">
            <v>100</v>
          </cell>
        </row>
        <row r="351">
          <cell r="C351" t="str">
            <v>0041800569</v>
          </cell>
          <cell r="D351" t="str">
            <v>0001878372</v>
          </cell>
          <cell r="E351" t="str">
            <v>V14956</v>
          </cell>
          <cell r="F351" t="str">
            <v>2025-12-18</v>
          </cell>
          <cell r="G351" t="str">
            <v>9999-12-31</v>
          </cell>
          <cell r="H351" t="str">
            <v>100</v>
          </cell>
        </row>
        <row r="352">
          <cell r="C352" t="str">
            <v>0121800174D</v>
          </cell>
          <cell r="D352" t="str">
            <v>0001636069</v>
          </cell>
          <cell r="E352" t="str">
            <v>V14956</v>
          </cell>
          <cell r="F352" t="str">
            <v>2023-09-27</v>
          </cell>
          <cell r="G352" t="str">
            <v>9999-12-31</v>
          </cell>
          <cell r="H352" t="str">
            <v>100</v>
          </cell>
        </row>
        <row r="353">
          <cell r="C353" t="str">
            <v>0031800138R</v>
          </cell>
          <cell r="D353" t="str">
            <v>0001687768</v>
          </cell>
          <cell r="E353" t="str">
            <v>V14956</v>
          </cell>
          <cell r="F353" t="str">
            <v>2024-04-15</v>
          </cell>
          <cell r="G353" t="str">
            <v>9999-12-31</v>
          </cell>
          <cell r="H353" t="str">
            <v>100</v>
          </cell>
        </row>
        <row r="354">
          <cell r="C354" t="str">
            <v>0041801979H</v>
          </cell>
          <cell r="D354" t="str">
            <v>0001889023</v>
          </cell>
          <cell r="E354" t="str">
            <v>V14956</v>
          </cell>
          <cell r="F354" t="str">
            <v>2026-01-12</v>
          </cell>
          <cell r="G354" t="str">
            <v>9999-12-31</v>
          </cell>
          <cell r="H354" t="str">
            <v>100</v>
          </cell>
        </row>
        <row r="355">
          <cell r="C355" t="str">
            <v>0041800569</v>
          </cell>
          <cell r="D355" t="str">
            <v>0001791398</v>
          </cell>
          <cell r="E355" t="str">
            <v>V14956</v>
          </cell>
          <cell r="F355" t="str">
            <v>2025-03-31</v>
          </cell>
          <cell r="G355" t="str">
            <v>9999-12-31</v>
          </cell>
          <cell r="H355" t="str">
            <v>100</v>
          </cell>
        </row>
        <row r="356">
          <cell r="C356" t="str">
            <v>0151801031F</v>
          </cell>
          <cell r="D356" t="str">
            <v>0001818327</v>
          </cell>
          <cell r="E356" t="str">
            <v>V14956</v>
          </cell>
          <cell r="F356" t="str">
            <v>2025-06-23</v>
          </cell>
          <cell r="G356" t="str">
            <v>9999-12-31</v>
          </cell>
          <cell r="H356" t="str">
            <v>100</v>
          </cell>
        </row>
        <row r="357">
          <cell r="C357" t="str">
            <v>0151801031E</v>
          </cell>
          <cell r="D357" t="str">
            <v>0001752559</v>
          </cell>
          <cell r="E357" t="str">
            <v>V14956</v>
          </cell>
          <cell r="F357" t="str">
            <v>2024-11-23</v>
          </cell>
          <cell r="G357" t="str">
            <v>9999-12-31</v>
          </cell>
          <cell r="H357" t="str">
            <v>100</v>
          </cell>
        </row>
        <row r="358">
          <cell r="C358" t="str">
            <v>0151801031D</v>
          </cell>
          <cell r="D358" t="str">
            <v>0001752558</v>
          </cell>
          <cell r="E358" t="str">
            <v>V14956</v>
          </cell>
          <cell r="F358" t="str">
            <v>2024-11-23</v>
          </cell>
          <cell r="G358" t="str">
            <v>9999-12-31</v>
          </cell>
          <cell r="H358" t="str">
            <v>100</v>
          </cell>
        </row>
        <row r="359">
          <cell r="C359" t="str">
            <v>0151801031C</v>
          </cell>
          <cell r="D359" t="str">
            <v>0001752557</v>
          </cell>
          <cell r="E359" t="str">
            <v>V14956</v>
          </cell>
          <cell r="F359" t="str">
            <v>2024-11-23</v>
          </cell>
          <cell r="G359" t="str">
            <v>9999-12-31</v>
          </cell>
          <cell r="H359" t="str">
            <v>100</v>
          </cell>
        </row>
        <row r="360">
          <cell r="C360" t="str">
            <v>0151801003C</v>
          </cell>
          <cell r="D360" t="str">
            <v>0001752556</v>
          </cell>
          <cell r="E360" t="str">
            <v>V14956</v>
          </cell>
          <cell r="F360" t="str">
            <v>2024-11-23</v>
          </cell>
          <cell r="G360" t="str">
            <v>9999-12-31</v>
          </cell>
          <cell r="H360" t="str">
            <v>100</v>
          </cell>
        </row>
        <row r="361">
          <cell r="C361" t="str">
            <v>0151801003A</v>
          </cell>
          <cell r="D361" t="str">
            <v>0001632821</v>
          </cell>
          <cell r="E361" t="str">
            <v>V14956</v>
          </cell>
          <cell r="F361" t="str">
            <v>2023-09-13</v>
          </cell>
          <cell r="G361" t="str">
            <v>9999-12-31</v>
          </cell>
          <cell r="H361" t="str">
            <v>100</v>
          </cell>
        </row>
        <row r="362">
          <cell r="C362" t="str">
            <v>0151801031FB</v>
          </cell>
          <cell r="D362" t="str">
            <v>0001846225</v>
          </cell>
          <cell r="E362" t="str">
            <v>V14956</v>
          </cell>
          <cell r="F362" t="str">
            <v>2025-09-12</v>
          </cell>
          <cell r="G362" t="str">
            <v>9999-12-31</v>
          </cell>
          <cell r="H362" t="str">
            <v>100</v>
          </cell>
        </row>
        <row r="363">
          <cell r="C363" t="str">
            <v>0151801031FA</v>
          </cell>
          <cell r="D363" t="str">
            <v>0001846224</v>
          </cell>
          <cell r="E363" t="str">
            <v>V14956</v>
          </cell>
          <cell r="F363" t="str">
            <v>2025-09-12</v>
          </cell>
          <cell r="G363" t="str">
            <v>9999-12-31</v>
          </cell>
          <cell r="H363" t="str">
            <v>100</v>
          </cell>
        </row>
        <row r="364">
          <cell r="C364" t="str">
            <v>0151801003</v>
          </cell>
          <cell r="D364" t="str">
            <v>0001729189</v>
          </cell>
          <cell r="E364" t="str">
            <v>V14956</v>
          </cell>
          <cell r="F364" t="str">
            <v>2024-09-26</v>
          </cell>
          <cell r="G364" t="str">
            <v>9999-12-31</v>
          </cell>
          <cell r="H364" t="str">
            <v>100</v>
          </cell>
        </row>
        <row r="365">
          <cell r="C365" t="str">
            <v>0151801031A</v>
          </cell>
          <cell r="D365" t="str">
            <v>0001638278</v>
          </cell>
          <cell r="E365" t="str">
            <v>V14956</v>
          </cell>
          <cell r="F365" t="str">
            <v>2023-10-13</v>
          </cell>
          <cell r="G365" t="str">
            <v>9999-12-31</v>
          </cell>
          <cell r="H365" t="str">
            <v>100</v>
          </cell>
        </row>
        <row r="366">
          <cell r="C366" t="str">
            <v>0151801031</v>
          </cell>
          <cell r="D366" t="str">
            <v>0001638277</v>
          </cell>
          <cell r="E366" t="str">
            <v>V14956</v>
          </cell>
          <cell r="F366" t="str">
            <v>2023-10-13</v>
          </cell>
          <cell r="G366" t="str">
            <v>9999-12-31</v>
          </cell>
          <cell r="H366" t="str">
            <v>100</v>
          </cell>
        </row>
        <row r="367">
          <cell r="C367" t="str">
            <v>0151801031G</v>
          </cell>
          <cell r="D367" t="str">
            <v>0001835447</v>
          </cell>
          <cell r="E367" t="str">
            <v>V14956</v>
          </cell>
          <cell r="F367" t="str">
            <v>2025-08-08</v>
          </cell>
          <cell r="G367" t="str">
            <v>9999-12-31</v>
          </cell>
          <cell r="H367" t="str">
            <v>100</v>
          </cell>
        </row>
        <row r="368">
          <cell r="C368" t="str">
            <v>0151801031B</v>
          </cell>
          <cell r="D368" t="str">
            <v>0001868538</v>
          </cell>
          <cell r="E368" t="str">
            <v>V14956</v>
          </cell>
          <cell r="F368" t="str">
            <v>2025-11-21</v>
          </cell>
          <cell r="G368" t="str">
            <v>9999-12-31</v>
          </cell>
          <cell r="H368" t="str">
            <v>100</v>
          </cell>
        </row>
        <row r="369">
          <cell r="C369" t="str">
            <v>0151801031AA</v>
          </cell>
          <cell r="D369" t="str">
            <v>0001868537</v>
          </cell>
          <cell r="E369" t="str">
            <v>V14956</v>
          </cell>
          <cell r="F369" t="str">
            <v>2025-11-21</v>
          </cell>
          <cell r="G369" t="str">
            <v>9999-12-31</v>
          </cell>
          <cell r="H369" t="str">
            <v>100</v>
          </cell>
        </row>
        <row r="370">
          <cell r="C370" t="str">
            <v>0151801003CA</v>
          </cell>
          <cell r="D370" t="str">
            <v>0001858354</v>
          </cell>
          <cell r="E370" t="str">
            <v>V14956</v>
          </cell>
          <cell r="F370" t="str">
            <v>2025-10-24</v>
          </cell>
          <cell r="G370" t="str">
            <v>9999-12-31</v>
          </cell>
          <cell r="H370" t="str">
            <v>100</v>
          </cell>
        </row>
        <row r="371">
          <cell r="C371" t="str">
            <v>0151801003AC</v>
          </cell>
          <cell r="D371" t="str">
            <v>0001868536</v>
          </cell>
          <cell r="E371" t="str">
            <v>V14956</v>
          </cell>
          <cell r="F371" t="str">
            <v>2025-11-21</v>
          </cell>
          <cell r="G371" t="str">
            <v>9999-12-31</v>
          </cell>
          <cell r="H371" t="str">
            <v>100</v>
          </cell>
        </row>
        <row r="372">
          <cell r="C372" t="str">
            <v>0151801003AB</v>
          </cell>
          <cell r="D372" t="str">
            <v>0001868535</v>
          </cell>
          <cell r="E372" t="str">
            <v>V14956</v>
          </cell>
          <cell r="F372" t="str">
            <v>2025-11-21</v>
          </cell>
          <cell r="G372" t="str">
            <v>9999-12-31</v>
          </cell>
          <cell r="H372" t="str">
            <v>100</v>
          </cell>
        </row>
        <row r="373">
          <cell r="C373" t="str">
            <v>0151800709C</v>
          </cell>
          <cell r="D373" t="str">
            <v>0001691796</v>
          </cell>
          <cell r="E373" t="str">
            <v>V14956</v>
          </cell>
          <cell r="F373" t="str">
            <v>2024-04-29</v>
          </cell>
          <cell r="G373" t="str">
            <v>9999-12-31</v>
          </cell>
          <cell r="H373" t="str">
            <v>100</v>
          </cell>
        </row>
        <row r="374">
          <cell r="C374" t="str">
            <v>0041801979H</v>
          </cell>
          <cell r="D374" t="str">
            <v>0001889022</v>
          </cell>
          <cell r="E374" t="str">
            <v>V14956</v>
          </cell>
          <cell r="F374" t="str">
            <v>2026-01-12</v>
          </cell>
          <cell r="G374" t="str">
            <v>9999-12-31</v>
          </cell>
          <cell r="H374" t="str">
            <v>100</v>
          </cell>
        </row>
        <row r="375">
          <cell r="C375" t="str">
            <v>0041801979E</v>
          </cell>
          <cell r="D375" t="str">
            <v>0001889021</v>
          </cell>
          <cell r="E375" t="str">
            <v>V14956</v>
          </cell>
          <cell r="F375" t="str">
            <v>2026-01-12</v>
          </cell>
          <cell r="G375" t="str">
            <v>9999-12-31</v>
          </cell>
          <cell r="H375" t="str">
            <v>100</v>
          </cell>
        </row>
        <row r="376">
          <cell r="C376" t="str">
            <v>0041801979</v>
          </cell>
          <cell r="D376" t="str">
            <v>0001889020</v>
          </cell>
          <cell r="E376" t="str">
            <v>V14956</v>
          </cell>
          <cell r="F376" t="str">
            <v>2026-01-12</v>
          </cell>
          <cell r="G376" t="str">
            <v>9999-12-31</v>
          </cell>
          <cell r="H376" t="str">
            <v>100</v>
          </cell>
        </row>
        <row r="377">
          <cell r="C377" t="str">
            <v>0041801949AC</v>
          </cell>
          <cell r="D377" t="str">
            <v>0001868757</v>
          </cell>
          <cell r="E377" t="str">
            <v>V14956</v>
          </cell>
          <cell r="F377" t="str">
            <v>2025-11-24</v>
          </cell>
          <cell r="G377" t="str">
            <v>9999-12-31</v>
          </cell>
          <cell r="H377" t="str">
            <v>100</v>
          </cell>
        </row>
        <row r="378">
          <cell r="C378" t="str">
            <v>0041801949AB</v>
          </cell>
          <cell r="D378" t="str">
            <v>0001897008</v>
          </cell>
          <cell r="E378" t="str">
            <v>V14956</v>
          </cell>
          <cell r="F378" t="str">
            <v>2026-01-27</v>
          </cell>
          <cell r="G378" t="str">
            <v>9999-12-31</v>
          </cell>
          <cell r="H378" t="str">
            <v>100</v>
          </cell>
        </row>
        <row r="379">
          <cell r="C379" t="str">
            <v>0041801949AA</v>
          </cell>
          <cell r="D379" t="str">
            <v>0001868756</v>
          </cell>
          <cell r="E379" t="str">
            <v>V14956</v>
          </cell>
          <cell r="F379" t="str">
            <v>2025-11-24</v>
          </cell>
          <cell r="G379" t="str">
            <v>9999-12-31</v>
          </cell>
          <cell r="H379" t="str">
            <v>100</v>
          </cell>
        </row>
        <row r="380">
          <cell r="C380" t="str">
            <v>0041801949A</v>
          </cell>
          <cell r="D380" t="str">
            <v>0001879419</v>
          </cell>
          <cell r="E380" t="str">
            <v>V14956</v>
          </cell>
          <cell r="F380" t="str">
            <v>2025-12-22</v>
          </cell>
          <cell r="G380" t="str">
            <v>9999-12-31</v>
          </cell>
          <cell r="H380" t="str">
            <v>100</v>
          </cell>
        </row>
        <row r="381">
          <cell r="C381" t="str">
            <v>0041801949</v>
          </cell>
          <cell r="D381" t="str">
            <v>0001879418</v>
          </cell>
          <cell r="E381" t="str">
            <v>V14956</v>
          </cell>
          <cell r="F381" t="str">
            <v>2025-12-22</v>
          </cell>
          <cell r="G381" t="str">
            <v>9999-12-31</v>
          </cell>
          <cell r="H381" t="str">
            <v>100</v>
          </cell>
        </row>
        <row r="382">
          <cell r="C382" t="str">
            <v>0041800569</v>
          </cell>
          <cell r="D382" t="str">
            <v>0001855682</v>
          </cell>
          <cell r="E382" t="str">
            <v>V14956</v>
          </cell>
          <cell r="F382" t="str">
            <v>2025-10-16</v>
          </cell>
          <cell r="G382" t="str">
            <v>9999-12-31</v>
          </cell>
          <cell r="H382" t="str">
            <v>100</v>
          </cell>
        </row>
        <row r="383">
          <cell r="C383" t="str">
            <v>0121800104WP</v>
          </cell>
          <cell r="D383" t="str">
            <v>0001886795</v>
          </cell>
          <cell r="E383" t="str">
            <v>V14956</v>
          </cell>
          <cell r="F383" t="str">
            <v>2026-01-06</v>
          </cell>
          <cell r="G383" t="str">
            <v>9999-12-31</v>
          </cell>
          <cell r="H383" t="str">
            <v>100</v>
          </cell>
        </row>
        <row r="384">
          <cell r="C384" t="str">
            <v>0121800104WG</v>
          </cell>
          <cell r="D384" t="str">
            <v>0001848550</v>
          </cell>
          <cell r="E384" t="str">
            <v>V14956</v>
          </cell>
          <cell r="F384" t="str">
            <v>2025-09-18</v>
          </cell>
          <cell r="G384" t="str">
            <v>9999-12-31</v>
          </cell>
          <cell r="H384" t="str">
            <v>100</v>
          </cell>
        </row>
        <row r="385">
          <cell r="C385" t="str">
            <v>0121800104WE</v>
          </cell>
          <cell r="D385" t="str">
            <v>0001864489</v>
          </cell>
          <cell r="E385" t="str">
            <v>V14956</v>
          </cell>
          <cell r="F385" t="str">
            <v>2025-11-11</v>
          </cell>
          <cell r="G385" t="str">
            <v>9999-12-31</v>
          </cell>
          <cell r="H385" t="str">
            <v>100</v>
          </cell>
        </row>
        <row r="386">
          <cell r="C386" t="str">
            <v>0121800104WC</v>
          </cell>
          <cell r="D386" t="str">
            <v>0001886794</v>
          </cell>
          <cell r="E386" t="str">
            <v>V14956</v>
          </cell>
          <cell r="F386" t="str">
            <v>2026-01-06</v>
          </cell>
          <cell r="G386" t="str">
            <v>9999-12-31</v>
          </cell>
          <cell r="H386" t="str">
            <v>100</v>
          </cell>
        </row>
        <row r="387">
          <cell r="C387" t="str">
            <v>0121800324</v>
          </cell>
          <cell r="D387" t="str">
            <v>0001812740</v>
          </cell>
          <cell r="E387" t="str">
            <v>V14956</v>
          </cell>
          <cell r="F387" t="str">
            <v>2025-06-04</v>
          </cell>
          <cell r="G387" t="str">
            <v>9999-12-31</v>
          </cell>
          <cell r="H387" t="str">
            <v>100</v>
          </cell>
        </row>
        <row r="388">
          <cell r="C388" t="str">
            <v>0121800104WF</v>
          </cell>
          <cell r="D388" t="str">
            <v>0001848961</v>
          </cell>
          <cell r="E388" t="str">
            <v>V14956</v>
          </cell>
          <cell r="F388" t="str">
            <v>2025-09-19</v>
          </cell>
          <cell r="G388" t="str">
            <v>9999-12-31</v>
          </cell>
          <cell r="H388" t="str">
            <v>100</v>
          </cell>
        </row>
        <row r="389">
          <cell r="C389" t="str">
            <v>0121800104WD</v>
          </cell>
          <cell r="D389" t="str">
            <v>0001716306</v>
          </cell>
          <cell r="E389" t="str">
            <v>V14956</v>
          </cell>
          <cell r="F389" t="str">
            <v>2024-08-05</v>
          </cell>
          <cell r="G389" t="str">
            <v>9999-12-31</v>
          </cell>
          <cell r="H389" t="str">
            <v>100</v>
          </cell>
        </row>
        <row r="390">
          <cell r="C390" t="str">
            <v>0121800104W</v>
          </cell>
          <cell r="D390" t="str">
            <v>0001661634</v>
          </cell>
          <cell r="E390" t="str">
            <v>V14956</v>
          </cell>
          <cell r="F390" t="str">
            <v>2024-01-05</v>
          </cell>
          <cell r="G390" t="str">
            <v>9999-12-31</v>
          </cell>
          <cell r="H390" t="str">
            <v>100</v>
          </cell>
        </row>
        <row r="391">
          <cell r="C391" t="str">
            <v>0021800616D</v>
          </cell>
          <cell r="D391" t="str">
            <v>0001861479</v>
          </cell>
          <cell r="E391" t="str">
            <v>V14956</v>
          </cell>
          <cell r="F391" t="str">
            <v>2025-11-01</v>
          </cell>
          <cell r="G391" t="str">
            <v>9999-12-31</v>
          </cell>
          <cell r="H391" t="str">
            <v>100</v>
          </cell>
        </row>
        <row r="392">
          <cell r="C392" t="str">
            <v>0041801545AB</v>
          </cell>
          <cell r="D392" t="str">
            <v>0001817525</v>
          </cell>
          <cell r="E392" t="str">
            <v>V14956</v>
          </cell>
          <cell r="F392" t="str">
            <v>2025-06-19</v>
          </cell>
          <cell r="G392" t="str">
            <v>9999-12-31</v>
          </cell>
          <cell r="H392" t="str">
            <v>100</v>
          </cell>
        </row>
        <row r="393">
          <cell r="C393" t="str">
            <v>0041801545AA</v>
          </cell>
          <cell r="D393" t="str">
            <v>0001817524</v>
          </cell>
          <cell r="E393" t="str">
            <v>V14956</v>
          </cell>
          <cell r="F393" t="str">
            <v>2025-06-19</v>
          </cell>
          <cell r="G393" t="str">
            <v>9999-12-31</v>
          </cell>
          <cell r="H393" t="str">
            <v>100</v>
          </cell>
        </row>
        <row r="394">
          <cell r="C394" t="str">
            <v>0041801545</v>
          </cell>
          <cell r="D394" t="str">
            <v>0001575485</v>
          </cell>
          <cell r="E394" t="str">
            <v>V14956</v>
          </cell>
          <cell r="F394" t="str">
            <v>2023-03-08</v>
          </cell>
          <cell r="G394" t="str">
            <v>9999-12-31</v>
          </cell>
          <cell r="H394" t="str">
            <v>100</v>
          </cell>
        </row>
        <row r="395">
          <cell r="C395" t="str">
            <v>0041800569</v>
          </cell>
          <cell r="D395" t="str">
            <v>0001791400</v>
          </cell>
          <cell r="E395" t="str">
            <v>V14956</v>
          </cell>
          <cell r="F395" t="str">
            <v>2025-03-31</v>
          </cell>
          <cell r="G395" t="str">
            <v>9999-12-31</v>
          </cell>
          <cell r="H395" t="str">
            <v>100</v>
          </cell>
        </row>
        <row r="396">
          <cell r="C396" t="str">
            <v>0021800866</v>
          </cell>
          <cell r="D396" t="str">
            <v>0001858592</v>
          </cell>
          <cell r="E396" t="str">
            <v>V14956</v>
          </cell>
          <cell r="F396" t="str">
            <v>2025-10-27</v>
          </cell>
          <cell r="G396" t="str">
            <v>9999-12-31</v>
          </cell>
          <cell r="H396" t="str">
            <v>100</v>
          </cell>
        </row>
        <row r="397">
          <cell r="C397" t="str">
            <v>0021800616K</v>
          </cell>
          <cell r="D397" t="str">
            <v>0001894914</v>
          </cell>
          <cell r="E397" t="str">
            <v>V14956</v>
          </cell>
          <cell r="F397" t="str">
            <v>2026-01-23</v>
          </cell>
          <cell r="G397" t="str">
            <v>9999-12-31</v>
          </cell>
          <cell r="H397" t="str">
            <v>100</v>
          </cell>
        </row>
        <row r="398">
          <cell r="C398" t="str">
            <v>0021800616J</v>
          </cell>
          <cell r="D398" t="str">
            <v>0001877046</v>
          </cell>
          <cell r="E398" t="str">
            <v>V14956</v>
          </cell>
          <cell r="F398" t="str">
            <v>2025-12-15</v>
          </cell>
          <cell r="G398" t="str">
            <v>9999-12-31</v>
          </cell>
          <cell r="H398" t="str">
            <v>100</v>
          </cell>
        </row>
        <row r="399">
          <cell r="C399" t="str">
            <v>0021800616H</v>
          </cell>
          <cell r="D399" t="str">
            <v>0001856844</v>
          </cell>
          <cell r="E399" t="str">
            <v>V14956</v>
          </cell>
          <cell r="F399" t="str">
            <v>2025-10-20</v>
          </cell>
          <cell r="G399" t="str">
            <v>9999-12-31</v>
          </cell>
          <cell r="H399" t="str">
            <v>100</v>
          </cell>
        </row>
        <row r="400">
          <cell r="C400" t="str">
            <v>0021800616F</v>
          </cell>
          <cell r="D400" t="str">
            <v>0001821841</v>
          </cell>
          <cell r="E400" t="str">
            <v>V14956</v>
          </cell>
          <cell r="F400" t="str">
            <v>2025-07-01</v>
          </cell>
          <cell r="G400" t="str">
            <v>9999-12-31</v>
          </cell>
          <cell r="H400" t="str">
            <v>100</v>
          </cell>
        </row>
        <row r="401">
          <cell r="C401" t="str">
            <v>0021800616E</v>
          </cell>
          <cell r="D401" t="str">
            <v>0001837311</v>
          </cell>
          <cell r="E401" t="str">
            <v>V14956</v>
          </cell>
          <cell r="F401" t="str">
            <v>2025-08-14</v>
          </cell>
          <cell r="G401" t="str">
            <v>9999-12-31</v>
          </cell>
          <cell r="H401" t="str">
            <v>100</v>
          </cell>
        </row>
        <row r="402">
          <cell r="C402" t="str">
            <v>0021800616C</v>
          </cell>
          <cell r="D402" t="str">
            <v>0001881607</v>
          </cell>
          <cell r="E402" t="str">
            <v>V14956</v>
          </cell>
          <cell r="F402" t="str">
            <v>2025-12-26</v>
          </cell>
          <cell r="G402" t="str">
            <v>9999-12-31</v>
          </cell>
          <cell r="H402" t="str">
            <v>100</v>
          </cell>
        </row>
        <row r="403">
          <cell r="C403" t="str">
            <v>0021800616A</v>
          </cell>
          <cell r="D403" t="str">
            <v>0001856725</v>
          </cell>
          <cell r="E403" t="str">
            <v>V14956</v>
          </cell>
          <cell r="F403" t="str">
            <v>2025-10-20</v>
          </cell>
          <cell r="G403" t="str">
            <v>9999-12-31</v>
          </cell>
          <cell r="H403" t="str">
            <v>100</v>
          </cell>
        </row>
        <row r="404">
          <cell r="C404" t="str">
            <v>0021800616</v>
          </cell>
          <cell r="D404" t="str">
            <v>0001791919</v>
          </cell>
          <cell r="E404" t="str">
            <v>V14956</v>
          </cell>
          <cell r="F404" t="str">
            <v>2025-04-01</v>
          </cell>
          <cell r="G404" t="str">
            <v>9999-12-31</v>
          </cell>
          <cell r="H404" t="str">
            <v>100</v>
          </cell>
        </row>
        <row r="405">
          <cell r="C405" t="str">
            <v>0021800442A</v>
          </cell>
          <cell r="D405" t="str">
            <v>0001848364</v>
          </cell>
          <cell r="E405" t="str">
            <v>V14956</v>
          </cell>
          <cell r="F405" t="str">
            <v>2025-09-18</v>
          </cell>
          <cell r="G405" t="str">
            <v>9999-12-31</v>
          </cell>
          <cell r="H405" t="str">
            <v>100</v>
          </cell>
        </row>
        <row r="406">
          <cell r="C406" t="str">
            <v>0021800839B</v>
          </cell>
          <cell r="D406" t="str">
            <v>0001849024</v>
          </cell>
          <cell r="E406" t="str">
            <v>V14956</v>
          </cell>
          <cell r="F406" t="str">
            <v>2025-09-19</v>
          </cell>
          <cell r="G406" t="str">
            <v>9999-12-31</v>
          </cell>
          <cell r="H406" t="str">
            <v>100</v>
          </cell>
        </row>
        <row r="407">
          <cell r="C407" t="str">
            <v>0011801425X</v>
          </cell>
          <cell r="D407" t="str">
            <v>0001573589</v>
          </cell>
          <cell r="E407" t="str">
            <v>V14956</v>
          </cell>
          <cell r="F407" t="str">
            <v>2023-02-28</v>
          </cell>
          <cell r="G407" t="str">
            <v>9999-12-31</v>
          </cell>
          <cell r="H407" t="str">
            <v>100</v>
          </cell>
        </row>
        <row r="408">
          <cell r="C408" t="str">
            <v>0011801425W</v>
          </cell>
          <cell r="D408" t="str">
            <v>0001573588</v>
          </cell>
          <cell r="E408" t="str">
            <v>V14956</v>
          </cell>
          <cell r="F408" t="str">
            <v>2023-02-28</v>
          </cell>
          <cell r="G408" t="str">
            <v>9999-12-31</v>
          </cell>
          <cell r="H408" t="str">
            <v>100</v>
          </cell>
        </row>
        <row r="409">
          <cell r="C409" t="str">
            <v>0011801425T</v>
          </cell>
          <cell r="D409" t="str">
            <v>0001560930</v>
          </cell>
          <cell r="E409" t="str">
            <v>V14956</v>
          </cell>
          <cell r="F409" t="str">
            <v>2022-12-28</v>
          </cell>
          <cell r="G409" t="str">
            <v>9999-12-31</v>
          </cell>
          <cell r="H409" t="str">
            <v>100</v>
          </cell>
        </row>
        <row r="410">
          <cell r="C410" t="str">
            <v>0011801425P</v>
          </cell>
          <cell r="D410" t="str">
            <v>0001789250</v>
          </cell>
          <cell r="E410" t="str">
            <v>V14956</v>
          </cell>
          <cell r="F410" t="str">
            <v>2025-03-24</v>
          </cell>
          <cell r="G410" t="str">
            <v>9999-12-31</v>
          </cell>
          <cell r="H410" t="str">
            <v>100</v>
          </cell>
        </row>
        <row r="411">
          <cell r="C411" t="str">
            <v>0011801425F</v>
          </cell>
          <cell r="D411" t="str">
            <v>0001789248</v>
          </cell>
          <cell r="E411" t="str">
            <v>V14956</v>
          </cell>
          <cell r="F411" t="str">
            <v>2025-03-24</v>
          </cell>
          <cell r="G411" t="str">
            <v>9999-12-31</v>
          </cell>
          <cell r="H411" t="str">
            <v>100</v>
          </cell>
        </row>
        <row r="412">
          <cell r="C412" t="str">
            <v>0011801425E</v>
          </cell>
          <cell r="D412" t="str">
            <v>0001560922</v>
          </cell>
          <cell r="E412" t="str">
            <v>V14956</v>
          </cell>
          <cell r="F412" t="str">
            <v>2022-12-28</v>
          </cell>
          <cell r="G412" t="str">
            <v>9999-12-31</v>
          </cell>
          <cell r="H412" t="str">
            <v>100</v>
          </cell>
        </row>
        <row r="413">
          <cell r="C413" t="str">
            <v>0011801424Y</v>
          </cell>
          <cell r="D413" t="str">
            <v>0001560916</v>
          </cell>
          <cell r="E413" t="str">
            <v>V14956</v>
          </cell>
          <cell r="F413" t="str">
            <v>2022-12-28</v>
          </cell>
          <cell r="G413" t="str">
            <v>9999-12-31</v>
          </cell>
          <cell r="H413" t="str">
            <v>100</v>
          </cell>
        </row>
        <row r="414">
          <cell r="C414" t="str">
            <v>0011801372F</v>
          </cell>
          <cell r="D414" t="str">
            <v>0001721588</v>
          </cell>
          <cell r="E414" t="str">
            <v>V14956</v>
          </cell>
          <cell r="F414" t="str">
            <v>2024-08-26</v>
          </cell>
          <cell r="G414" t="str">
            <v>9999-12-31</v>
          </cell>
          <cell r="H414" t="str">
            <v>100</v>
          </cell>
        </row>
        <row r="415">
          <cell r="C415" t="str">
            <v>0011801372D</v>
          </cell>
          <cell r="D415" t="str">
            <v>0001721586</v>
          </cell>
          <cell r="E415" t="str">
            <v>V14956</v>
          </cell>
          <cell r="F415" t="str">
            <v>2024-08-26</v>
          </cell>
          <cell r="G415" t="str">
            <v>9999-12-31</v>
          </cell>
          <cell r="H415" t="str">
            <v>100</v>
          </cell>
        </row>
        <row r="416">
          <cell r="C416" t="str">
            <v>0011801372C</v>
          </cell>
          <cell r="D416" t="str">
            <v>0001721584</v>
          </cell>
          <cell r="E416" t="str">
            <v>V14956</v>
          </cell>
          <cell r="F416" t="str">
            <v>2024-08-26</v>
          </cell>
          <cell r="G416" t="str">
            <v>9999-12-31</v>
          </cell>
          <cell r="H416" t="str">
            <v>100</v>
          </cell>
        </row>
        <row r="417">
          <cell r="C417" t="str">
            <v>0011801372A</v>
          </cell>
          <cell r="D417" t="str">
            <v>0001721582</v>
          </cell>
          <cell r="E417" t="str">
            <v>V14956</v>
          </cell>
          <cell r="F417" t="str">
            <v>2024-08-26</v>
          </cell>
          <cell r="G417" t="str">
            <v>9999-12-31</v>
          </cell>
          <cell r="H417" t="str">
            <v>100</v>
          </cell>
        </row>
        <row r="418">
          <cell r="C418" t="str">
            <v>0011801302</v>
          </cell>
          <cell r="D418" t="str">
            <v>0001584137</v>
          </cell>
          <cell r="E418" t="str">
            <v>V14956</v>
          </cell>
          <cell r="F418" t="str">
            <v>2023-04-06</v>
          </cell>
          <cell r="G418" t="str">
            <v>9999-12-31</v>
          </cell>
          <cell r="H418" t="str">
            <v>100</v>
          </cell>
        </row>
        <row r="419">
          <cell r="C419" t="str">
            <v>0011801172CH</v>
          </cell>
          <cell r="D419" t="str">
            <v>0001721580</v>
          </cell>
          <cell r="E419" t="str">
            <v>V14956</v>
          </cell>
          <cell r="F419" t="str">
            <v>2024-08-26</v>
          </cell>
          <cell r="G419" t="str">
            <v>9999-12-31</v>
          </cell>
          <cell r="H419" t="str">
            <v>100</v>
          </cell>
        </row>
        <row r="420">
          <cell r="C420" t="str">
            <v>0011801172BA</v>
          </cell>
          <cell r="D420" t="str">
            <v>0001666464</v>
          </cell>
          <cell r="E420" t="str">
            <v>V14956</v>
          </cell>
          <cell r="F420" t="str">
            <v>2024-01-23</v>
          </cell>
          <cell r="G420" t="str">
            <v>9999-12-31</v>
          </cell>
          <cell r="H420" t="str">
            <v>100</v>
          </cell>
        </row>
        <row r="421">
          <cell r="C421" t="str">
            <v>0011800980D</v>
          </cell>
          <cell r="D421" t="str">
            <v>0001571257</v>
          </cell>
          <cell r="E421" t="str">
            <v>V14956</v>
          </cell>
          <cell r="F421" t="str">
            <v>2023-02-20</v>
          </cell>
          <cell r="G421" t="str">
            <v>9999-12-31</v>
          </cell>
          <cell r="H421" t="str">
            <v>100</v>
          </cell>
        </row>
        <row r="422">
          <cell r="C422" t="str">
            <v>0041801545C</v>
          </cell>
          <cell r="D422" t="str">
            <v>0001688001</v>
          </cell>
          <cell r="E422" t="str">
            <v>V14956</v>
          </cell>
          <cell r="F422" t="str">
            <v>2024-04-16</v>
          </cell>
          <cell r="G422" t="str">
            <v>9999-12-31</v>
          </cell>
          <cell r="H422" t="str">
            <v>100</v>
          </cell>
        </row>
        <row r="423">
          <cell r="C423" t="str">
            <v>0041801545A</v>
          </cell>
          <cell r="D423" t="str">
            <v>0001688000</v>
          </cell>
          <cell r="E423" t="str">
            <v>V14956</v>
          </cell>
          <cell r="F423" t="str">
            <v>2024-04-16</v>
          </cell>
          <cell r="G423" t="str">
            <v>9999-12-31</v>
          </cell>
          <cell r="H423" t="str">
            <v>100</v>
          </cell>
        </row>
        <row r="424">
          <cell r="C424" t="str">
            <v>0011800977S</v>
          </cell>
          <cell r="D424" t="str">
            <v>0001721578</v>
          </cell>
          <cell r="E424" t="str">
            <v>V14956</v>
          </cell>
          <cell r="F424" t="str">
            <v>2024-08-26</v>
          </cell>
          <cell r="G424" t="str">
            <v>9999-12-31</v>
          </cell>
          <cell r="H424" t="str">
            <v>100</v>
          </cell>
        </row>
        <row r="425">
          <cell r="C425" t="str">
            <v>0011800977R</v>
          </cell>
          <cell r="D425" t="str">
            <v>0001573587</v>
          </cell>
          <cell r="E425" t="str">
            <v>V14956</v>
          </cell>
          <cell r="F425" t="str">
            <v>2023-02-28</v>
          </cell>
          <cell r="G425" t="str">
            <v>9999-12-31</v>
          </cell>
          <cell r="H425" t="str">
            <v>100</v>
          </cell>
        </row>
        <row r="426">
          <cell r="C426" t="str">
            <v>0011800977P</v>
          </cell>
          <cell r="D426" t="str">
            <v>0001573586</v>
          </cell>
          <cell r="E426" t="str">
            <v>V14956</v>
          </cell>
          <cell r="F426" t="str">
            <v>2023-02-28</v>
          </cell>
          <cell r="G426" t="str">
            <v>9999-12-31</v>
          </cell>
          <cell r="H426" t="str">
            <v>100</v>
          </cell>
        </row>
        <row r="427">
          <cell r="C427" t="str">
            <v>0011800977C</v>
          </cell>
          <cell r="D427" t="str">
            <v>0001733692</v>
          </cell>
          <cell r="E427" t="str">
            <v>V14956</v>
          </cell>
          <cell r="F427" t="str">
            <v>2024-10-12</v>
          </cell>
          <cell r="G427" t="str">
            <v>9999-12-31</v>
          </cell>
          <cell r="H427" t="str">
            <v>100</v>
          </cell>
        </row>
        <row r="428">
          <cell r="C428" t="str">
            <v>0011800977B</v>
          </cell>
          <cell r="D428" t="str">
            <v>0001666462</v>
          </cell>
          <cell r="E428" t="str">
            <v>V14956</v>
          </cell>
          <cell r="F428" t="str">
            <v>2024-01-23</v>
          </cell>
          <cell r="G428" t="str">
            <v>9999-12-31</v>
          </cell>
          <cell r="H428" t="str">
            <v>100</v>
          </cell>
        </row>
        <row r="429">
          <cell r="C429" t="str">
            <v>0011800923F</v>
          </cell>
          <cell r="D429" t="str">
            <v>0001567496</v>
          </cell>
          <cell r="E429" t="str">
            <v>V14956</v>
          </cell>
          <cell r="F429" t="str">
            <v>2023-02-03</v>
          </cell>
          <cell r="G429" t="str">
            <v>9999-12-31</v>
          </cell>
          <cell r="H429" t="str">
            <v>100</v>
          </cell>
        </row>
        <row r="430">
          <cell r="C430" t="str">
            <v>0041801952</v>
          </cell>
          <cell r="D430" t="str">
            <v>0001851152</v>
          </cell>
          <cell r="E430" t="str">
            <v>V14956</v>
          </cell>
          <cell r="F430" t="str">
            <v>2025-09-26</v>
          </cell>
          <cell r="G430" t="str">
            <v>9999-12-31</v>
          </cell>
          <cell r="H430" t="str">
            <v>100</v>
          </cell>
        </row>
        <row r="431">
          <cell r="C431" t="str">
            <v>0031800517A</v>
          </cell>
          <cell r="D431" t="str">
            <v>0001874874</v>
          </cell>
          <cell r="E431" t="str">
            <v>V14956</v>
          </cell>
          <cell r="F431" t="str">
            <v>2025-12-10</v>
          </cell>
          <cell r="G431" t="str">
            <v>9999-12-31</v>
          </cell>
          <cell r="H431" t="str">
            <v>100</v>
          </cell>
        </row>
        <row r="432">
          <cell r="C432" t="str">
            <v>0031800517</v>
          </cell>
          <cell r="D432" t="str">
            <v>0001819382</v>
          </cell>
          <cell r="E432" t="str">
            <v>V14956</v>
          </cell>
          <cell r="F432" t="str">
            <v>2025-06-25</v>
          </cell>
          <cell r="G432" t="str">
            <v>9999-12-31</v>
          </cell>
          <cell r="H432" t="str">
            <v>100</v>
          </cell>
        </row>
        <row r="433">
          <cell r="C433" t="str">
            <v>0011801123J</v>
          </cell>
          <cell r="D433" t="str">
            <v>0001575977</v>
          </cell>
          <cell r="E433" t="str">
            <v>V14956</v>
          </cell>
          <cell r="F433" t="str">
            <v>2023-03-10</v>
          </cell>
          <cell r="G433" t="str">
            <v>9999-12-31</v>
          </cell>
          <cell r="H433" t="str">
            <v>100</v>
          </cell>
        </row>
        <row r="434">
          <cell r="C434" t="str">
            <v>0011801123H</v>
          </cell>
          <cell r="D434" t="str">
            <v>0001575270</v>
          </cell>
          <cell r="E434" t="str">
            <v>V14956</v>
          </cell>
          <cell r="F434" t="str">
            <v>2023-03-07</v>
          </cell>
          <cell r="G434" t="str">
            <v>9999-12-31</v>
          </cell>
          <cell r="H434" t="str">
            <v>100</v>
          </cell>
        </row>
        <row r="435">
          <cell r="C435" t="str">
            <v>0011801048AC</v>
          </cell>
          <cell r="D435" t="str">
            <v>0001626346</v>
          </cell>
          <cell r="E435" t="str">
            <v>V14956</v>
          </cell>
          <cell r="F435" t="str">
            <v>2023-08-22</v>
          </cell>
          <cell r="G435" t="str">
            <v>9999-12-31</v>
          </cell>
          <cell r="H435" t="str">
            <v>100</v>
          </cell>
        </row>
        <row r="436">
          <cell r="C436" t="str">
            <v>0011801048AB</v>
          </cell>
          <cell r="D436" t="str">
            <v>0001643528</v>
          </cell>
          <cell r="E436" t="str">
            <v>V14956</v>
          </cell>
          <cell r="F436" t="str">
            <v>2023-11-02</v>
          </cell>
          <cell r="G436" t="str">
            <v>9999-12-31</v>
          </cell>
          <cell r="H436" t="str">
            <v>100</v>
          </cell>
        </row>
        <row r="437">
          <cell r="C437" t="str">
            <v>0011801048AA</v>
          </cell>
          <cell r="D437" t="str">
            <v>0001626345</v>
          </cell>
          <cell r="E437" t="str">
            <v>V14956</v>
          </cell>
          <cell r="F437" t="str">
            <v>2023-08-22</v>
          </cell>
          <cell r="G437" t="str">
            <v>9999-12-31</v>
          </cell>
          <cell r="H437" t="str">
            <v>100</v>
          </cell>
        </row>
        <row r="438">
          <cell r="C438" t="str">
            <v>0011800977T</v>
          </cell>
          <cell r="D438" t="str">
            <v>0001632432</v>
          </cell>
          <cell r="E438" t="str">
            <v>V14956</v>
          </cell>
          <cell r="F438" t="str">
            <v>2023-09-12</v>
          </cell>
          <cell r="G438" t="str">
            <v>9999-12-31</v>
          </cell>
          <cell r="H438" t="str">
            <v>100</v>
          </cell>
        </row>
        <row r="439">
          <cell r="C439" t="str">
            <v>0011800977J</v>
          </cell>
          <cell r="D439" t="str">
            <v>0001614522</v>
          </cell>
          <cell r="E439" t="str">
            <v>V14956</v>
          </cell>
          <cell r="F439" t="str">
            <v>2023-06-30</v>
          </cell>
          <cell r="G439" t="str">
            <v>9999-12-31</v>
          </cell>
          <cell r="H439" t="str">
            <v>100</v>
          </cell>
        </row>
        <row r="440">
          <cell r="C440" t="str">
            <v>0011800923G</v>
          </cell>
          <cell r="D440" t="str">
            <v>0001628543</v>
          </cell>
          <cell r="E440" t="str">
            <v>V14956</v>
          </cell>
          <cell r="F440" t="str">
            <v>2023-08-29</v>
          </cell>
          <cell r="G440" t="str">
            <v>9999-12-31</v>
          </cell>
          <cell r="H440" t="str">
            <v>100</v>
          </cell>
        </row>
        <row r="441">
          <cell r="C441" t="str">
            <v>0011802119</v>
          </cell>
          <cell r="D441" t="str">
            <v>0001817403</v>
          </cell>
          <cell r="E441" t="str">
            <v>V14956</v>
          </cell>
          <cell r="F441" t="str">
            <v>2025-06-19</v>
          </cell>
          <cell r="G441" t="str">
            <v>9999-12-31</v>
          </cell>
          <cell r="H441" t="str">
            <v>100</v>
          </cell>
        </row>
        <row r="442">
          <cell r="C442" t="str">
            <v>0011801424AT</v>
          </cell>
          <cell r="D442" t="str">
            <v>0001646251</v>
          </cell>
          <cell r="E442" t="str">
            <v>V14956</v>
          </cell>
          <cell r="F442" t="str">
            <v>2023-11-15</v>
          </cell>
          <cell r="G442" t="str">
            <v>9999-12-31</v>
          </cell>
          <cell r="H442" t="str">
            <v>100</v>
          </cell>
        </row>
        <row r="443">
          <cell r="C443" t="str">
            <v>0011801372B</v>
          </cell>
          <cell r="D443" t="str">
            <v>0001685358</v>
          </cell>
          <cell r="E443" t="str">
            <v>V14956</v>
          </cell>
          <cell r="F443" t="str">
            <v>2024-04-08</v>
          </cell>
          <cell r="G443" t="str">
            <v>9999-12-31</v>
          </cell>
          <cell r="H443" t="str">
            <v>100</v>
          </cell>
        </row>
        <row r="444">
          <cell r="C444" t="str">
            <v>0011801303</v>
          </cell>
          <cell r="D444" t="str">
            <v>0001633710</v>
          </cell>
          <cell r="E444" t="str">
            <v>V14956</v>
          </cell>
          <cell r="F444" t="str">
            <v>2023-09-18</v>
          </cell>
          <cell r="G444" t="str">
            <v>9999-12-31</v>
          </cell>
          <cell r="H444" t="str">
            <v>100</v>
          </cell>
        </row>
        <row r="445">
          <cell r="C445" t="str">
            <v>0011801256S</v>
          </cell>
          <cell r="D445" t="str">
            <v>0001635302</v>
          </cell>
          <cell r="E445" t="str">
            <v>V14956</v>
          </cell>
          <cell r="F445" t="str">
            <v>2023-09-22</v>
          </cell>
          <cell r="G445" t="str">
            <v>9999-12-31</v>
          </cell>
          <cell r="H445" t="str">
            <v>100</v>
          </cell>
        </row>
        <row r="446">
          <cell r="C446" t="str">
            <v>0011801172CW</v>
          </cell>
          <cell r="D446" t="str">
            <v>0001639673</v>
          </cell>
          <cell r="E446" t="str">
            <v>V14956</v>
          </cell>
          <cell r="F446" t="str">
            <v>2023-10-19</v>
          </cell>
          <cell r="G446" t="str">
            <v>9999-12-31</v>
          </cell>
          <cell r="H446" t="str">
            <v>100</v>
          </cell>
        </row>
        <row r="447">
          <cell r="C447" t="str">
            <v>0011801172CJ</v>
          </cell>
          <cell r="D447" t="str">
            <v>0001627671</v>
          </cell>
          <cell r="E447" t="str">
            <v>V14956</v>
          </cell>
          <cell r="F447" t="str">
            <v>2023-08-25</v>
          </cell>
          <cell r="G447" t="str">
            <v>9999-12-31</v>
          </cell>
          <cell r="H447" t="str">
            <v>100</v>
          </cell>
        </row>
        <row r="448">
          <cell r="C448" t="str">
            <v>0011801713</v>
          </cell>
          <cell r="D448" t="str">
            <v>0001827030</v>
          </cell>
          <cell r="E448" t="str">
            <v>V14956</v>
          </cell>
          <cell r="F448" t="str">
            <v>2025-07-16</v>
          </cell>
          <cell r="G448" t="str">
            <v>9999-12-31</v>
          </cell>
          <cell r="H448" t="str">
            <v>100</v>
          </cell>
        </row>
        <row r="449">
          <cell r="C449" t="str">
            <v>0011801522B</v>
          </cell>
          <cell r="D449" t="str">
            <v>0001569310</v>
          </cell>
          <cell r="E449" t="str">
            <v>V14956</v>
          </cell>
          <cell r="F449" t="str">
            <v>2023-02-13</v>
          </cell>
          <cell r="G449" t="str">
            <v>9999-12-31</v>
          </cell>
          <cell r="H449" t="str">
            <v>100</v>
          </cell>
        </row>
        <row r="450">
          <cell r="C450" t="str">
            <v>0011801522A</v>
          </cell>
          <cell r="D450" t="str">
            <v>0001569309</v>
          </cell>
          <cell r="E450" t="str">
            <v>V14956</v>
          </cell>
          <cell r="F450" t="str">
            <v>2023-02-13</v>
          </cell>
          <cell r="G450" t="str">
            <v>9999-12-31</v>
          </cell>
          <cell r="H450" t="str">
            <v>100</v>
          </cell>
        </row>
        <row r="451">
          <cell r="C451" t="str">
            <v>0011801522</v>
          </cell>
          <cell r="D451" t="str">
            <v>0001569308</v>
          </cell>
          <cell r="E451" t="str">
            <v>V14956</v>
          </cell>
          <cell r="F451" t="str">
            <v>2023-02-13</v>
          </cell>
          <cell r="G451" t="str">
            <v>9999-12-31</v>
          </cell>
          <cell r="H451" t="str">
            <v>100</v>
          </cell>
        </row>
        <row r="452">
          <cell r="C452" t="str">
            <v>0011801123G</v>
          </cell>
          <cell r="D452" t="str">
            <v>0001569307</v>
          </cell>
          <cell r="E452" t="str">
            <v>V14956</v>
          </cell>
          <cell r="F452" t="str">
            <v>2023-02-13</v>
          </cell>
          <cell r="G452" t="str">
            <v>9999-12-31</v>
          </cell>
          <cell r="H452" t="str">
            <v>100</v>
          </cell>
        </row>
        <row r="453">
          <cell r="C453" t="str">
            <v>0011801123F</v>
          </cell>
          <cell r="D453" t="str">
            <v>0001569306</v>
          </cell>
          <cell r="E453" t="str">
            <v>V14956</v>
          </cell>
          <cell r="F453" t="str">
            <v>2023-02-13</v>
          </cell>
          <cell r="G453" t="str">
            <v>9999-12-31</v>
          </cell>
          <cell r="H453" t="str">
            <v>100</v>
          </cell>
        </row>
        <row r="454">
          <cell r="C454" t="str">
            <v>0011800980K</v>
          </cell>
          <cell r="D454" t="str">
            <v>0001613524</v>
          </cell>
          <cell r="E454" t="str">
            <v>V14956</v>
          </cell>
          <cell r="F454" t="str">
            <v>2023-06-27</v>
          </cell>
          <cell r="G454" t="str">
            <v>9999-12-31</v>
          </cell>
          <cell r="H454" t="str">
            <v>100</v>
          </cell>
        </row>
        <row r="455">
          <cell r="C455" t="str">
            <v>0011800879P</v>
          </cell>
          <cell r="D455" t="str">
            <v>0001569305</v>
          </cell>
          <cell r="E455" t="str">
            <v>V14956</v>
          </cell>
          <cell r="F455" t="str">
            <v>2023-02-13</v>
          </cell>
          <cell r="G455" t="str">
            <v>9999-12-31</v>
          </cell>
          <cell r="H455" t="str">
            <v>100</v>
          </cell>
        </row>
        <row r="456">
          <cell r="C456" t="str">
            <v>0011800879N</v>
          </cell>
          <cell r="D456" t="str">
            <v>0001569304</v>
          </cell>
          <cell r="E456" t="str">
            <v>V14956</v>
          </cell>
          <cell r="F456" t="str">
            <v>2023-02-13</v>
          </cell>
          <cell r="G456" t="str">
            <v>9999-12-31</v>
          </cell>
          <cell r="H456" t="str">
            <v>100</v>
          </cell>
        </row>
        <row r="457">
          <cell r="C457" t="str">
            <v>0031800138R</v>
          </cell>
          <cell r="D457" t="str">
            <v>0001687763</v>
          </cell>
          <cell r="E457" t="str">
            <v>V14956</v>
          </cell>
          <cell r="F457" t="str">
            <v>2024-04-15</v>
          </cell>
          <cell r="G457" t="str">
            <v>9999-12-31</v>
          </cell>
          <cell r="H457" t="str">
            <v>100</v>
          </cell>
        </row>
        <row r="458">
          <cell r="C458" t="str">
            <v>0211800001</v>
          </cell>
          <cell r="D458" t="str">
            <v>0001611230</v>
          </cell>
          <cell r="E458" t="str">
            <v>V14956</v>
          </cell>
          <cell r="F458" t="str">
            <v>2023-06-15</v>
          </cell>
          <cell r="G458" t="str">
            <v>9999-12-31</v>
          </cell>
          <cell r="H458" t="str">
            <v>100</v>
          </cell>
        </row>
        <row r="459">
          <cell r="C459" t="str">
            <v>0031800138R</v>
          </cell>
          <cell r="D459" t="str">
            <v>0001687764</v>
          </cell>
          <cell r="E459" t="str">
            <v>V14956</v>
          </cell>
          <cell r="F459" t="str">
            <v>2024-04-15</v>
          </cell>
          <cell r="G459" t="str">
            <v>9999-12-31</v>
          </cell>
          <cell r="H459" t="str">
            <v>100</v>
          </cell>
        </row>
        <row r="460">
          <cell r="C460" t="str">
            <v>0211800001</v>
          </cell>
          <cell r="D460" t="str">
            <v>0001651895</v>
          </cell>
          <cell r="E460" t="str">
            <v>V14956</v>
          </cell>
          <cell r="F460" t="str">
            <v>2023-12-04</v>
          </cell>
          <cell r="G460" t="str">
            <v>9999-12-31</v>
          </cell>
          <cell r="H460" t="str">
            <v>100</v>
          </cell>
        </row>
        <row r="461">
          <cell r="C461" t="str">
            <v>0021800866</v>
          </cell>
          <cell r="D461" t="str">
            <v>0001838589</v>
          </cell>
          <cell r="E461" t="str">
            <v>V14956</v>
          </cell>
          <cell r="F461" t="str">
            <v>2025-08-19</v>
          </cell>
          <cell r="G461" t="str">
            <v>9999-12-31</v>
          </cell>
          <cell r="H461" t="str">
            <v>100</v>
          </cell>
        </row>
        <row r="462">
          <cell r="C462" t="str">
            <v>0021800442A</v>
          </cell>
          <cell r="D462" t="str">
            <v>0001848362</v>
          </cell>
          <cell r="E462" t="str">
            <v>V14956</v>
          </cell>
          <cell r="F462" t="str">
            <v>2025-09-18</v>
          </cell>
          <cell r="G462" t="str">
            <v>9999-12-31</v>
          </cell>
          <cell r="H462" t="str">
            <v>100</v>
          </cell>
        </row>
        <row r="463">
          <cell r="C463" t="str">
            <v>0021800442G</v>
          </cell>
          <cell r="D463" t="str">
            <v>0001866842</v>
          </cell>
          <cell r="E463" t="str">
            <v>V14956</v>
          </cell>
          <cell r="F463" t="str">
            <v>2025-11-17</v>
          </cell>
          <cell r="G463" t="str">
            <v>9999-12-31</v>
          </cell>
          <cell r="H463" t="str">
            <v>100</v>
          </cell>
        </row>
        <row r="464">
          <cell r="C464" t="str">
            <v>0181800103</v>
          </cell>
          <cell r="D464" t="str">
            <v>0001813848</v>
          </cell>
          <cell r="E464" t="str">
            <v>V14956</v>
          </cell>
          <cell r="F464" t="str">
            <v>2025-06-09</v>
          </cell>
          <cell r="G464" t="str">
            <v>9999-12-31</v>
          </cell>
          <cell r="H464" t="str">
            <v>100</v>
          </cell>
        </row>
        <row r="465">
          <cell r="C465" t="str">
            <v>0190400534D</v>
          </cell>
          <cell r="D465" t="str">
            <v>0001747969</v>
          </cell>
          <cell r="E465" t="str">
            <v>V14956</v>
          </cell>
          <cell r="F465" t="str">
            <v>2024-11-12</v>
          </cell>
          <cell r="G465" t="str">
            <v>9999-12-31</v>
          </cell>
          <cell r="H465" t="str">
            <v>100</v>
          </cell>
        </row>
        <row r="466">
          <cell r="C466" t="str">
            <v>0190400534B</v>
          </cell>
          <cell r="D466" t="str">
            <v>0001747968</v>
          </cell>
          <cell r="E466" t="str">
            <v>V14956</v>
          </cell>
          <cell r="F466" t="str">
            <v>2024-11-12</v>
          </cell>
          <cell r="G466" t="str">
            <v>9999-12-31</v>
          </cell>
          <cell r="H466" t="str">
            <v>100</v>
          </cell>
        </row>
        <row r="467">
          <cell r="C467" t="str">
            <v>0190400534AA</v>
          </cell>
          <cell r="D467" t="str">
            <v>0001785177</v>
          </cell>
          <cell r="E467" t="str">
            <v>V14956</v>
          </cell>
          <cell r="F467" t="str">
            <v>2025-03-11</v>
          </cell>
          <cell r="G467" t="str">
            <v>9999-12-31</v>
          </cell>
          <cell r="H467" t="str">
            <v>100</v>
          </cell>
        </row>
        <row r="468">
          <cell r="C468" t="str">
            <v>0190400534A</v>
          </cell>
          <cell r="D468" t="str">
            <v>0001747967</v>
          </cell>
          <cell r="E468" t="str">
            <v>V14956</v>
          </cell>
          <cell r="F468" t="str">
            <v>2024-11-12</v>
          </cell>
          <cell r="G468" t="str">
            <v>9999-12-31</v>
          </cell>
          <cell r="H468" t="str">
            <v>100</v>
          </cell>
        </row>
        <row r="469">
          <cell r="C469" t="str">
            <v>0190400534</v>
          </cell>
          <cell r="D469" t="str">
            <v>0001747966</v>
          </cell>
          <cell r="E469" t="str">
            <v>V14956</v>
          </cell>
          <cell r="F469" t="str">
            <v>2024-11-12</v>
          </cell>
          <cell r="G469" t="str">
            <v>9999-12-31</v>
          </cell>
          <cell r="H469" t="str">
            <v>100</v>
          </cell>
        </row>
        <row r="470">
          <cell r="C470" t="str">
            <v>0190400527D</v>
          </cell>
          <cell r="D470" t="str">
            <v>0001747965</v>
          </cell>
          <cell r="E470" t="str">
            <v>V14956</v>
          </cell>
          <cell r="F470" t="str">
            <v>2024-11-12</v>
          </cell>
          <cell r="G470" t="str">
            <v>9999-12-31</v>
          </cell>
          <cell r="H470" t="str">
            <v>100</v>
          </cell>
        </row>
        <row r="471">
          <cell r="C471" t="str">
            <v>0190400527B</v>
          </cell>
          <cell r="D471" t="str">
            <v>0001747964</v>
          </cell>
          <cell r="E471" t="str">
            <v>V14956</v>
          </cell>
          <cell r="F471" t="str">
            <v>2024-11-12</v>
          </cell>
          <cell r="G471" t="str">
            <v>9999-12-31</v>
          </cell>
          <cell r="H471" t="str">
            <v>100</v>
          </cell>
        </row>
        <row r="472">
          <cell r="C472" t="str">
            <v>0190400527A</v>
          </cell>
          <cell r="D472" t="str">
            <v>0001747963</v>
          </cell>
          <cell r="E472" t="str">
            <v>V14956</v>
          </cell>
          <cell r="F472" t="str">
            <v>2024-11-12</v>
          </cell>
          <cell r="G472" t="str">
            <v>9999-12-31</v>
          </cell>
          <cell r="H472" t="str">
            <v>100</v>
          </cell>
        </row>
        <row r="473">
          <cell r="C473" t="str">
            <v>0031800138R</v>
          </cell>
          <cell r="D473" t="str">
            <v>0001687765</v>
          </cell>
          <cell r="E473" t="str">
            <v>V14956</v>
          </cell>
          <cell r="F473" t="str">
            <v>2024-04-15</v>
          </cell>
          <cell r="G473" t="str">
            <v>9999-12-31</v>
          </cell>
          <cell r="H473" t="str">
            <v>100</v>
          </cell>
        </row>
        <row r="474">
          <cell r="C474" t="str">
            <v>0011801606</v>
          </cell>
          <cell r="D474" t="str">
            <v>0001621244</v>
          </cell>
          <cell r="E474" t="str">
            <v>V14956</v>
          </cell>
          <cell r="F474" t="str">
            <v>2023-08-03</v>
          </cell>
          <cell r="G474" t="str">
            <v>9999-12-31</v>
          </cell>
          <cell r="H474" t="str">
            <v>100</v>
          </cell>
        </row>
        <row r="475">
          <cell r="C475" t="str">
            <v>0031800517</v>
          </cell>
          <cell r="D475" t="str">
            <v>0000604346</v>
          </cell>
          <cell r="E475" t="str">
            <v>V14956</v>
          </cell>
          <cell r="F475" t="str">
            <v>2025-08-22</v>
          </cell>
          <cell r="G475" t="str">
            <v>9999-12-31</v>
          </cell>
          <cell r="H475" t="str">
            <v>100</v>
          </cell>
        </row>
        <row r="476">
          <cell r="C476" t="str">
            <v>0031800517</v>
          </cell>
          <cell r="D476" t="str">
            <v>0000604347</v>
          </cell>
          <cell r="E476" t="str">
            <v>V14956</v>
          </cell>
          <cell r="F476" t="str">
            <v>2025-08-22</v>
          </cell>
          <cell r="G476" t="str">
            <v>9999-12-31</v>
          </cell>
          <cell r="H476" t="str">
            <v>100</v>
          </cell>
        </row>
        <row r="477">
          <cell r="C477" t="str">
            <v>0011801710H</v>
          </cell>
          <cell r="D477" t="str">
            <v>0001887314</v>
          </cell>
          <cell r="E477" t="str">
            <v>V14956</v>
          </cell>
          <cell r="F477" t="str">
            <v>2026-01-08</v>
          </cell>
          <cell r="G477" t="str">
            <v>9999-12-31</v>
          </cell>
          <cell r="H477" t="str">
            <v>100</v>
          </cell>
        </row>
        <row r="478">
          <cell r="C478" t="str">
            <v>0011801606L</v>
          </cell>
          <cell r="D478" t="str">
            <v>0001887312</v>
          </cell>
          <cell r="E478" t="str">
            <v>V14956</v>
          </cell>
          <cell r="F478" t="str">
            <v>2026-01-08</v>
          </cell>
          <cell r="G478" t="str">
            <v>9999-12-31</v>
          </cell>
          <cell r="H478" t="str">
            <v>100</v>
          </cell>
        </row>
        <row r="479">
          <cell r="C479" t="str">
            <v>0021800866A</v>
          </cell>
          <cell r="D479" t="str">
            <v>0001881778</v>
          </cell>
          <cell r="E479" t="str">
            <v>V14956</v>
          </cell>
          <cell r="F479" t="str">
            <v>2025-12-26</v>
          </cell>
          <cell r="G479" t="str">
            <v>9999-12-31</v>
          </cell>
          <cell r="H479" t="str">
            <v>100</v>
          </cell>
        </row>
        <row r="480">
          <cell r="C480" t="str">
            <v>0021800616</v>
          </cell>
          <cell r="D480" t="str">
            <v>0001634321</v>
          </cell>
          <cell r="E480" t="str">
            <v>V14956</v>
          </cell>
          <cell r="F480" t="str">
            <v>2023-09-20</v>
          </cell>
          <cell r="G480" t="str">
            <v>9999-12-31</v>
          </cell>
          <cell r="H480" t="str">
            <v>100</v>
          </cell>
        </row>
        <row r="481">
          <cell r="C481" t="str">
            <v>0021800442A</v>
          </cell>
          <cell r="D481" t="str">
            <v>0001848238</v>
          </cell>
          <cell r="E481" t="str">
            <v>V14956</v>
          </cell>
          <cell r="F481" t="str">
            <v>2025-09-18</v>
          </cell>
          <cell r="G481" t="str">
            <v>9999-12-31</v>
          </cell>
          <cell r="H481" t="str">
            <v>100</v>
          </cell>
        </row>
        <row r="482">
          <cell r="C482" t="str">
            <v>0021800472B</v>
          </cell>
          <cell r="D482" t="str">
            <v>0001760370</v>
          </cell>
          <cell r="E482" t="str">
            <v>V14956</v>
          </cell>
          <cell r="F482" t="str">
            <v>2024-12-17</v>
          </cell>
          <cell r="G482" t="str">
            <v>9999-12-31</v>
          </cell>
          <cell r="H482" t="str">
            <v>100</v>
          </cell>
        </row>
        <row r="483">
          <cell r="C483" t="str">
            <v>0021800442G</v>
          </cell>
          <cell r="D483" t="str">
            <v>0001848240</v>
          </cell>
          <cell r="E483" t="str">
            <v>V14956</v>
          </cell>
          <cell r="F483" t="str">
            <v>2025-09-18</v>
          </cell>
          <cell r="G483" t="str">
            <v>9999-12-31</v>
          </cell>
          <cell r="H483" t="str">
            <v>100</v>
          </cell>
        </row>
        <row r="484">
          <cell r="C484" t="str">
            <v>0021800866GA</v>
          </cell>
          <cell r="D484" t="str">
            <v>0001877018</v>
          </cell>
          <cell r="E484" t="str">
            <v>V14956</v>
          </cell>
          <cell r="F484" t="str">
            <v>2025-12-15</v>
          </cell>
          <cell r="G484" t="str">
            <v>9999-12-31</v>
          </cell>
          <cell r="H484" t="str">
            <v>100</v>
          </cell>
        </row>
        <row r="485">
          <cell r="C485" t="str">
            <v>0021800866G</v>
          </cell>
          <cell r="D485" t="str">
            <v>0001865574</v>
          </cell>
          <cell r="E485" t="str">
            <v>V14956</v>
          </cell>
          <cell r="F485" t="str">
            <v>2025-11-14</v>
          </cell>
          <cell r="G485" t="str">
            <v>9999-12-31</v>
          </cell>
          <cell r="H485" t="str">
            <v>100</v>
          </cell>
        </row>
        <row r="486">
          <cell r="C486" t="str">
            <v>0021800616GA</v>
          </cell>
          <cell r="D486" t="str">
            <v>0001850680</v>
          </cell>
          <cell r="E486" t="str">
            <v>V14956</v>
          </cell>
          <cell r="F486" t="str">
            <v>2025-09-25</v>
          </cell>
          <cell r="G486" t="str">
            <v>9999-12-31</v>
          </cell>
          <cell r="H486" t="str">
            <v>100</v>
          </cell>
        </row>
        <row r="487">
          <cell r="C487" t="str">
            <v>0021800442GB</v>
          </cell>
          <cell r="D487" t="str">
            <v>0001866810</v>
          </cell>
          <cell r="E487" t="str">
            <v>V14956</v>
          </cell>
          <cell r="F487" t="str">
            <v>2025-11-17</v>
          </cell>
          <cell r="G487" t="str">
            <v>9999-12-31</v>
          </cell>
          <cell r="H487" t="str">
            <v>100</v>
          </cell>
        </row>
        <row r="488">
          <cell r="C488" t="str">
            <v>0021800442GA</v>
          </cell>
          <cell r="D488" t="str">
            <v>0001866808</v>
          </cell>
          <cell r="E488" t="str">
            <v>V14956</v>
          </cell>
          <cell r="F488" t="str">
            <v>2025-11-17</v>
          </cell>
          <cell r="G488" t="str">
            <v>9999-12-31</v>
          </cell>
          <cell r="H488" t="str">
            <v>100</v>
          </cell>
        </row>
        <row r="489">
          <cell r="C489" t="str">
            <v>0181800103</v>
          </cell>
          <cell r="D489" t="str">
            <v>0001688391</v>
          </cell>
          <cell r="E489" t="str">
            <v>V14956</v>
          </cell>
          <cell r="F489" t="str">
            <v>2024-04-17</v>
          </cell>
          <cell r="G489" t="str">
            <v>9999-12-31</v>
          </cell>
          <cell r="H489" t="str">
            <v>100</v>
          </cell>
        </row>
        <row r="490">
          <cell r="C490" t="str">
            <v>0021800616G</v>
          </cell>
          <cell r="D490" t="str">
            <v>0001796140</v>
          </cell>
          <cell r="E490" t="str">
            <v>V14956</v>
          </cell>
          <cell r="F490" t="str">
            <v>2025-04-10</v>
          </cell>
          <cell r="G490" t="str">
            <v>9999-12-31</v>
          </cell>
          <cell r="H490" t="str">
            <v>100</v>
          </cell>
        </row>
        <row r="491">
          <cell r="C491" t="str">
            <v>0021800615G</v>
          </cell>
          <cell r="D491" t="str">
            <v>0001796139</v>
          </cell>
          <cell r="E491" t="str">
            <v>V14956</v>
          </cell>
          <cell r="F491" t="str">
            <v>2025-04-10</v>
          </cell>
          <cell r="G491" t="str">
            <v>9999-12-31</v>
          </cell>
          <cell r="H491" t="str">
            <v>100</v>
          </cell>
        </row>
        <row r="492">
          <cell r="C492" t="str">
            <v>0021800472D</v>
          </cell>
          <cell r="D492" t="str">
            <v>0001830054</v>
          </cell>
          <cell r="E492" t="str">
            <v>V14956</v>
          </cell>
          <cell r="F492" t="str">
            <v>2025-07-25</v>
          </cell>
          <cell r="G492" t="str">
            <v>9999-12-31</v>
          </cell>
          <cell r="H492" t="str">
            <v>100</v>
          </cell>
        </row>
        <row r="493">
          <cell r="C493" t="str">
            <v>0021800472A</v>
          </cell>
          <cell r="D493" t="str">
            <v>0001830053</v>
          </cell>
          <cell r="E493" t="str">
            <v>V14956</v>
          </cell>
          <cell r="F493" t="str">
            <v>2025-07-25</v>
          </cell>
          <cell r="G493" t="str">
            <v>9999-12-31</v>
          </cell>
          <cell r="H493" t="str">
            <v>100</v>
          </cell>
        </row>
        <row r="494">
          <cell r="C494" t="str">
            <v>0021800472D</v>
          </cell>
          <cell r="D494" t="str">
            <v>0001864500</v>
          </cell>
          <cell r="E494" t="str">
            <v>V14956</v>
          </cell>
          <cell r="F494" t="str">
            <v>2025-11-11</v>
          </cell>
          <cell r="G494" t="str">
            <v>9999-12-31</v>
          </cell>
          <cell r="H494" t="str">
            <v>100</v>
          </cell>
        </row>
        <row r="495">
          <cell r="C495" t="str">
            <v>0021800472B</v>
          </cell>
          <cell r="D495" t="str">
            <v>0001833741</v>
          </cell>
          <cell r="E495" t="str">
            <v>V14956</v>
          </cell>
          <cell r="F495" t="str">
            <v>2025-08-06</v>
          </cell>
          <cell r="G495" t="str">
            <v>9999-12-31</v>
          </cell>
          <cell r="H495" t="str">
            <v>100</v>
          </cell>
        </row>
        <row r="496">
          <cell r="C496" t="str">
            <v>0021800616C</v>
          </cell>
          <cell r="D496" t="str">
            <v>0001733587</v>
          </cell>
          <cell r="E496" t="str">
            <v>V14956</v>
          </cell>
          <cell r="F496" t="str">
            <v>2024-10-11</v>
          </cell>
          <cell r="G496" t="str">
            <v>9999-12-31</v>
          </cell>
          <cell r="H496" t="str">
            <v>100</v>
          </cell>
        </row>
        <row r="497">
          <cell r="C497" t="str">
            <v>0021800616B</v>
          </cell>
          <cell r="D497" t="str">
            <v>0001714271</v>
          </cell>
          <cell r="E497" t="str">
            <v>V14956</v>
          </cell>
          <cell r="F497" t="str">
            <v>2024-07-29</v>
          </cell>
          <cell r="G497" t="str">
            <v>9999-12-31</v>
          </cell>
          <cell r="H497" t="str">
            <v>100</v>
          </cell>
        </row>
        <row r="498">
          <cell r="C498" t="str">
            <v>0021800616E</v>
          </cell>
          <cell r="D498" t="str">
            <v>0001801829</v>
          </cell>
          <cell r="E498" t="str">
            <v>V14956</v>
          </cell>
          <cell r="F498" t="str">
            <v>2025-04-27</v>
          </cell>
          <cell r="G498" t="str">
            <v>9999-12-31</v>
          </cell>
          <cell r="H498" t="str">
            <v>100</v>
          </cell>
        </row>
        <row r="499">
          <cell r="C499" t="str">
            <v>0021800616D</v>
          </cell>
          <cell r="D499" t="str">
            <v>0001780318</v>
          </cell>
          <cell r="E499" t="str">
            <v>V14956</v>
          </cell>
          <cell r="F499" t="str">
            <v>2025-02-26</v>
          </cell>
          <cell r="G499" t="str">
            <v>9999-12-31</v>
          </cell>
          <cell r="H499" t="str">
            <v>100</v>
          </cell>
        </row>
        <row r="500">
          <cell r="C500" t="str">
            <v>0021800616A</v>
          </cell>
          <cell r="D500" t="str">
            <v>0001748182</v>
          </cell>
          <cell r="E500" t="str">
            <v>V14956</v>
          </cell>
          <cell r="F500" t="str">
            <v>2024-11-13</v>
          </cell>
          <cell r="G500" t="str">
            <v>9999-12-31</v>
          </cell>
          <cell r="H500" t="str">
            <v>100</v>
          </cell>
        </row>
        <row r="501">
          <cell r="C501" t="str">
            <v>0021800616</v>
          </cell>
          <cell r="D501" t="str">
            <v>0001634320</v>
          </cell>
          <cell r="E501" t="str">
            <v>V14956</v>
          </cell>
          <cell r="F501" t="str">
            <v>2023-09-20</v>
          </cell>
          <cell r="G501" t="str">
            <v>9999-12-31</v>
          </cell>
          <cell r="H501" t="str">
            <v>100</v>
          </cell>
        </row>
        <row r="502">
          <cell r="C502" t="str">
            <v>0021800615E</v>
          </cell>
          <cell r="D502" t="str">
            <v>0001888005</v>
          </cell>
          <cell r="E502" t="str">
            <v>V14956</v>
          </cell>
          <cell r="F502" t="str">
            <v>2026-01-08</v>
          </cell>
          <cell r="G502" t="str">
            <v>9999-12-31</v>
          </cell>
          <cell r="H502" t="str">
            <v>100</v>
          </cell>
        </row>
        <row r="503">
          <cell r="C503" t="str">
            <v>0021800615C</v>
          </cell>
          <cell r="D503" t="str">
            <v>0001760168</v>
          </cell>
          <cell r="E503" t="str">
            <v>V14956</v>
          </cell>
          <cell r="F503" t="str">
            <v>2024-12-17</v>
          </cell>
          <cell r="G503" t="str">
            <v>9999-12-31</v>
          </cell>
          <cell r="H503" t="str">
            <v>100</v>
          </cell>
        </row>
        <row r="504">
          <cell r="C504" t="str">
            <v>0021800615A</v>
          </cell>
          <cell r="D504" t="str">
            <v>0001664822</v>
          </cell>
          <cell r="E504" t="str">
            <v>V14956</v>
          </cell>
          <cell r="F504" t="str">
            <v>2024-01-17</v>
          </cell>
          <cell r="G504" t="str">
            <v>9999-12-31</v>
          </cell>
          <cell r="H504" t="str">
            <v>100</v>
          </cell>
        </row>
        <row r="505">
          <cell r="C505" t="str">
            <v>0021800615</v>
          </cell>
          <cell r="D505" t="str">
            <v>0001626676</v>
          </cell>
          <cell r="E505" t="str">
            <v>V14956</v>
          </cell>
          <cell r="F505" t="str">
            <v>2023-08-22</v>
          </cell>
          <cell r="G505" t="str">
            <v>9999-12-31</v>
          </cell>
          <cell r="H505" t="str">
            <v>100</v>
          </cell>
        </row>
        <row r="506">
          <cell r="C506" t="str">
            <v>0021800472B</v>
          </cell>
          <cell r="D506" t="str">
            <v>0001752874</v>
          </cell>
          <cell r="E506" t="str">
            <v>V14956</v>
          </cell>
          <cell r="F506" t="str">
            <v>2024-11-25</v>
          </cell>
          <cell r="G506" t="str">
            <v>9999-12-31</v>
          </cell>
          <cell r="H506" t="str">
            <v>100</v>
          </cell>
        </row>
        <row r="507">
          <cell r="C507" t="str">
            <v>0031800138R</v>
          </cell>
          <cell r="D507" t="str">
            <v>0001687758</v>
          </cell>
          <cell r="E507" t="str">
            <v>V14956</v>
          </cell>
          <cell r="F507" t="str">
            <v>2024-04-15</v>
          </cell>
          <cell r="G507" t="str">
            <v>9999-12-31</v>
          </cell>
          <cell r="H507" t="str">
            <v>100</v>
          </cell>
        </row>
        <row r="508">
          <cell r="C508" t="str">
            <v>0021800616J</v>
          </cell>
          <cell r="D508" t="str">
            <v>0001889996</v>
          </cell>
          <cell r="E508" t="str">
            <v>V14956</v>
          </cell>
          <cell r="F508" t="str">
            <v>2026-01-13</v>
          </cell>
          <cell r="G508" t="str">
            <v>9999-12-31</v>
          </cell>
          <cell r="H508" t="str">
            <v>100</v>
          </cell>
        </row>
        <row r="509">
          <cell r="C509" t="str">
            <v>0021800616H</v>
          </cell>
          <cell r="D509" t="str">
            <v>0001870183</v>
          </cell>
          <cell r="E509" t="str">
            <v>V14956</v>
          </cell>
          <cell r="F509" t="str">
            <v>2025-11-27</v>
          </cell>
          <cell r="G509" t="str">
            <v>9999-12-31</v>
          </cell>
          <cell r="H509" t="str">
            <v>100</v>
          </cell>
        </row>
        <row r="510">
          <cell r="C510" t="str">
            <v>0021800615D</v>
          </cell>
          <cell r="D510" t="str">
            <v>0001814499</v>
          </cell>
          <cell r="E510" t="str">
            <v>V14956</v>
          </cell>
          <cell r="F510" t="str">
            <v>2025-06-11</v>
          </cell>
          <cell r="G510" t="str">
            <v>9999-12-31</v>
          </cell>
          <cell r="H510" t="str">
            <v>100</v>
          </cell>
        </row>
        <row r="511">
          <cell r="C511" t="str">
            <v>0021800615B</v>
          </cell>
          <cell r="D511" t="str">
            <v>0001718130</v>
          </cell>
          <cell r="E511" t="str">
            <v>V14956</v>
          </cell>
          <cell r="F511" t="str">
            <v>2024-08-13</v>
          </cell>
          <cell r="G511" t="str">
            <v>9999-12-31</v>
          </cell>
          <cell r="H511" t="str">
            <v>100</v>
          </cell>
        </row>
        <row r="512">
          <cell r="C512" t="str">
            <v>0021800472D</v>
          </cell>
          <cell r="D512" t="str">
            <v>0001829996</v>
          </cell>
          <cell r="E512" t="str">
            <v>V14956</v>
          </cell>
          <cell r="F512" t="str">
            <v>2025-07-25</v>
          </cell>
          <cell r="G512" t="str">
            <v>9999-12-31</v>
          </cell>
          <cell r="H512" t="str">
            <v>100</v>
          </cell>
        </row>
        <row r="513">
          <cell r="C513" t="str">
            <v>0021800472A</v>
          </cell>
          <cell r="D513" t="str">
            <v>0001829995</v>
          </cell>
          <cell r="E513" t="str">
            <v>V14956</v>
          </cell>
          <cell r="F513" t="str">
            <v>2025-07-25</v>
          </cell>
          <cell r="G513" t="str">
            <v>9999-12-31</v>
          </cell>
          <cell r="H513" t="str">
            <v>100</v>
          </cell>
        </row>
        <row r="514">
          <cell r="C514" t="str">
            <v>0021800839A</v>
          </cell>
          <cell r="D514" t="str">
            <v>0001841807</v>
          </cell>
          <cell r="E514" t="str">
            <v>V14956</v>
          </cell>
          <cell r="F514" t="str">
            <v>2025-08-29</v>
          </cell>
          <cell r="G514" t="str">
            <v>9999-12-31</v>
          </cell>
          <cell r="H514" t="str">
            <v>100</v>
          </cell>
        </row>
        <row r="515">
          <cell r="C515" t="str">
            <v>0021800616C</v>
          </cell>
          <cell r="D515" t="str">
            <v>0001755600</v>
          </cell>
          <cell r="E515" t="str">
            <v>V14956</v>
          </cell>
          <cell r="F515" t="str">
            <v>2024-12-02</v>
          </cell>
          <cell r="G515" t="str">
            <v>9999-12-31</v>
          </cell>
          <cell r="H515" t="str">
            <v>100</v>
          </cell>
        </row>
        <row r="516">
          <cell r="C516" t="str">
            <v>0021800616</v>
          </cell>
          <cell r="D516" t="str">
            <v>0001777613</v>
          </cell>
          <cell r="E516" t="str">
            <v>V14956</v>
          </cell>
          <cell r="F516" t="str">
            <v>2025-02-17</v>
          </cell>
          <cell r="G516" t="str">
            <v>9999-12-31</v>
          </cell>
          <cell r="H516" t="str">
            <v>100</v>
          </cell>
        </row>
        <row r="517">
          <cell r="C517" t="str">
            <v>0021800442</v>
          </cell>
          <cell r="D517" t="str">
            <v>0001848236</v>
          </cell>
          <cell r="E517" t="str">
            <v>V14956</v>
          </cell>
          <cell r="F517" t="str">
            <v>2025-09-18</v>
          </cell>
          <cell r="G517" t="str">
            <v>9999-12-31</v>
          </cell>
          <cell r="H517" t="str">
            <v>100</v>
          </cell>
        </row>
        <row r="518">
          <cell r="C518" t="str">
            <v>0020818873</v>
          </cell>
          <cell r="D518" t="str">
            <v>0001810029</v>
          </cell>
          <cell r="E518" t="str">
            <v>V14956</v>
          </cell>
          <cell r="F518" t="str">
            <v>2025-05-27</v>
          </cell>
          <cell r="G518" t="str">
            <v>9999-12-31</v>
          </cell>
          <cell r="H518" t="str">
            <v>100</v>
          </cell>
        </row>
        <row r="519">
          <cell r="C519" t="str">
            <v>0020817461</v>
          </cell>
          <cell r="D519" t="str">
            <v>0001751509</v>
          </cell>
          <cell r="E519" t="str">
            <v>V14956</v>
          </cell>
          <cell r="F519" t="str">
            <v>2024-11-20</v>
          </cell>
          <cell r="G519" t="str">
            <v>9999-12-31</v>
          </cell>
          <cell r="H519" t="str">
            <v>100</v>
          </cell>
        </row>
        <row r="520">
          <cell r="C520" t="str">
            <v>0021800472D</v>
          </cell>
          <cell r="D520" t="str">
            <v>0001829999</v>
          </cell>
          <cell r="E520" t="str">
            <v>V14956</v>
          </cell>
          <cell r="F520" t="str">
            <v>2025-07-25</v>
          </cell>
          <cell r="G520" t="str">
            <v>9999-12-31</v>
          </cell>
          <cell r="H520" t="str">
            <v>100</v>
          </cell>
        </row>
        <row r="521">
          <cell r="C521" t="str">
            <v>0021800472B</v>
          </cell>
          <cell r="D521" t="str">
            <v>0001827778</v>
          </cell>
          <cell r="E521" t="str">
            <v>V14956</v>
          </cell>
          <cell r="F521" t="str">
            <v>2025-07-18</v>
          </cell>
          <cell r="G521" t="str">
            <v>9999-12-31</v>
          </cell>
          <cell r="H521" t="str">
            <v>100</v>
          </cell>
        </row>
        <row r="522">
          <cell r="C522" t="str">
            <v>0021800472A</v>
          </cell>
          <cell r="D522" t="str">
            <v>0001829998</v>
          </cell>
          <cell r="E522" t="str">
            <v>V14956</v>
          </cell>
          <cell r="F522" t="str">
            <v>2025-07-25</v>
          </cell>
          <cell r="G522" t="str">
            <v>9999-12-31</v>
          </cell>
          <cell r="H522" t="str">
            <v>100</v>
          </cell>
        </row>
        <row r="523">
          <cell r="C523" t="str">
            <v>0150410226</v>
          </cell>
          <cell r="D523" t="str">
            <v>0001637176</v>
          </cell>
          <cell r="E523" t="str">
            <v>V14956</v>
          </cell>
          <cell r="F523" t="str">
            <v>2023-10-10</v>
          </cell>
          <cell r="G523" t="str">
            <v>9999-12-31</v>
          </cell>
          <cell r="H523" t="str">
            <v>100</v>
          </cell>
        </row>
        <row r="524">
          <cell r="C524" t="str">
            <v>0151800695</v>
          </cell>
          <cell r="D524" t="str">
            <v>0001708070</v>
          </cell>
          <cell r="E524" t="str">
            <v>V14956</v>
          </cell>
          <cell r="F524" t="str">
            <v>2024-07-04</v>
          </cell>
          <cell r="G524" t="str">
            <v>9999-12-31</v>
          </cell>
          <cell r="H524" t="str">
            <v>100</v>
          </cell>
        </row>
        <row r="525">
          <cell r="C525" t="str">
            <v>0021800841</v>
          </cell>
          <cell r="D525" t="str">
            <v>0001818629</v>
          </cell>
          <cell r="E525" t="str">
            <v>V14956</v>
          </cell>
          <cell r="F525" t="str">
            <v>2025-06-23</v>
          </cell>
          <cell r="G525" t="str">
            <v>9999-12-31</v>
          </cell>
          <cell r="H525" t="str">
            <v>100</v>
          </cell>
        </row>
        <row r="526">
          <cell r="C526" t="str">
            <v>0021800839</v>
          </cell>
          <cell r="D526" t="str">
            <v>0001818628</v>
          </cell>
          <cell r="E526" t="str">
            <v>V14956</v>
          </cell>
          <cell r="F526" t="str">
            <v>2025-06-23</v>
          </cell>
          <cell r="G526" t="str">
            <v>9999-12-31</v>
          </cell>
          <cell r="H526" t="str">
            <v>100</v>
          </cell>
        </row>
        <row r="527">
          <cell r="C527" t="str">
            <v>0291800242</v>
          </cell>
          <cell r="D527" t="str">
            <v>0001805398</v>
          </cell>
          <cell r="E527" t="str">
            <v>V14956</v>
          </cell>
          <cell r="F527" t="str">
            <v>2025-05-12</v>
          </cell>
          <cell r="G527" t="str">
            <v>9999-12-31</v>
          </cell>
          <cell r="H527" t="str">
            <v>100</v>
          </cell>
        </row>
        <row r="528">
          <cell r="C528" t="str">
            <v>0041800569B</v>
          </cell>
          <cell r="D528" t="str">
            <v>0001708374</v>
          </cell>
          <cell r="E528" t="str">
            <v>V9013946</v>
          </cell>
          <cell r="F528" t="str">
            <v>2024-07-05</v>
          </cell>
          <cell r="G528" t="str">
            <v>9999-12-31</v>
          </cell>
          <cell r="H528" t="str">
            <v>70</v>
          </cell>
        </row>
        <row r="529">
          <cell r="C529" t="str">
            <v>0041800569B</v>
          </cell>
          <cell r="D529" t="str">
            <v>0001696417</v>
          </cell>
          <cell r="E529" t="str">
            <v>V9013946</v>
          </cell>
          <cell r="F529" t="str">
            <v>2024-05-17</v>
          </cell>
          <cell r="G529" t="str">
            <v>9999-12-31</v>
          </cell>
          <cell r="H529" t="str">
            <v>70</v>
          </cell>
        </row>
        <row r="530">
          <cell r="C530" t="str">
            <v>0041800773YS</v>
          </cell>
          <cell r="D530" t="str">
            <v>0001594378</v>
          </cell>
          <cell r="E530" t="str">
            <v>V9013946</v>
          </cell>
          <cell r="F530" t="str">
            <v>2023-05-11</v>
          </cell>
          <cell r="G530" t="str">
            <v>9999-12-31</v>
          </cell>
          <cell r="H530" t="str">
            <v>30</v>
          </cell>
        </row>
        <row r="531">
          <cell r="C531" t="str">
            <v>0040400451DS</v>
          </cell>
          <cell r="D531" t="str">
            <v>0001621756</v>
          </cell>
          <cell r="E531" t="str">
            <v>V9013946</v>
          </cell>
          <cell r="F531" t="str">
            <v>2023-08-04</v>
          </cell>
          <cell r="G531" t="str">
            <v>9999-12-31</v>
          </cell>
          <cell r="H531" t="str">
            <v>30</v>
          </cell>
        </row>
        <row r="532">
          <cell r="C532" t="str">
            <v>0011801583A</v>
          </cell>
          <cell r="D532" t="str">
            <v>0001542106</v>
          </cell>
          <cell r="E532" t="str">
            <v>V9013946</v>
          </cell>
          <cell r="F532" t="str">
            <v>2022-10-17</v>
          </cell>
          <cell r="G532" t="str">
            <v>9999-12-31</v>
          </cell>
          <cell r="H532" t="str">
            <v>50</v>
          </cell>
        </row>
        <row r="533">
          <cell r="C533" t="str">
            <v>0011800970M</v>
          </cell>
          <cell r="D533" t="str">
            <v>0001563384</v>
          </cell>
          <cell r="E533" t="str">
            <v>V9013946</v>
          </cell>
          <cell r="F533" t="str">
            <v>2023-01-11</v>
          </cell>
          <cell r="G533" t="str">
            <v>9999-12-31</v>
          </cell>
          <cell r="H533" t="str">
            <v>30</v>
          </cell>
        </row>
        <row r="534">
          <cell r="C534" t="str">
            <v>0011800970AB</v>
          </cell>
          <cell r="D534" t="str">
            <v>0001465020</v>
          </cell>
          <cell r="E534" t="str">
            <v>V9013946</v>
          </cell>
          <cell r="F534" t="str">
            <v>2022-02-09</v>
          </cell>
          <cell r="G534" t="str">
            <v>9999-12-31</v>
          </cell>
          <cell r="H534" t="str">
            <v>20</v>
          </cell>
        </row>
        <row r="535">
          <cell r="C535" t="str">
            <v>0011800970AA</v>
          </cell>
          <cell r="D535" t="str">
            <v>0001604792</v>
          </cell>
          <cell r="E535" t="str">
            <v>V9013946</v>
          </cell>
          <cell r="F535" t="str">
            <v>2023-05-31</v>
          </cell>
          <cell r="G535" t="str">
            <v>9999-12-31</v>
          </cell>
          <cell r="H535" t="str">
            <v>10</v>
          </cell>
        </row>
        <row r="536">
          <cell r="C536" t="str">
            <v>0011800691AF</v>
          </cell>
          <cell r="D536" t="str">
            <v>0001347483</v>
          </cell>
          <cell r="E536" t="str">
            <v>V9013946</v>
          </cell>
          <cell r="F536" t="str">
            <v>2020-10-29</v>
          </cell>
          <cell r="G536" t="str">
            <v>9999-12-31</v>
          </cell>
          <cell r="H536" t="str">
            <v>30</v>
          </cell>
        </row>
        <row r="537">
          <cell r="C537" t="str">
            <v>0011800970N</v>
          </cell>
          <cell r="D537" t="str">
            <v>0001509430</v>
          </cell>
          <cell r="E537" t="str">
            <v>V9013946</v>
          </cell>
          <cell r="F537" t="str">
            <v>2022-06-28</v>
          </cell>
          <cell r="G537" t="str">
            <v>9999-12-31</v>
          </cell>
          <cell r="H537" t="str">
            <v>50</v>
          </cell>
        </row>
        <row r="538">
          <cell r="C538" t="str">
            <v>0011800970L</v>
          </cell>
          <cell r="D538" t="str">
            <v>0001604802</v>
          </cell>
          <cell r="E538" t="str">
            <v>V9013946</v>
          </cell>
          <cell r="F538" t="str">
            <v>2023-05-31</v>
          </cell>
          <cell r="G538" t="str">
            <v>9999-12-31</v>
          </cell>
          <cell r="H538" t="str">
            <v>10</v>
          </cell>
        </row>
        <row r="539">
          <cell r="C539" t="str">
            <v>0011800970F</v>
          </cell>
          <cell r="D539" t="str">
            <v>0001604800</v>
          </cell>
          <cell r="E539" t="str">
            <v>V9013946</v>
          </cell>
          <cell r="F539" t="str">
            <v>2023-05-31</v>
          </cell>
          <cell r="G539" t="str">
            <v>9999-12-31</v>
          </cell>
          <cell r="H539" t="str">
            <v>10</v>
          </cell>
        </row>
        <row r="540">
          <cell r="C540" t="str">
            <v>0011800387D</v>
          </cell>
          <cell r="D540" t="str">
            <v>0001599178</v>
          </cell>
          <cell r="E540" t="str">
            <v>V9013946</v>
          </cell>
          <cell r="F540" t="str">
            <v>2023-05-29</v>
          </cell>
          <cell r="G540" t="str">
            <v>9999-12-31</v>
          </cell>
          <cell r="H540" t="str">
            <v>70</v>
          </cell>
        </row>
        <row r="541">
          <cell r="C541" t="str">
            <v>0011800376AD</v>
          </cell>
          <cell r="D541" t="str">
            <v>0001284599</v>
          </cell>
          <cell r="E541" t="str">
            <v>V9013946</v>
          </cell>
          <cell r="F541" t="str">
            <v>2020-05-23</v>
          </cell>
          <cell r="G541" t="str">
            <v>9999-12-31</v>
          </cell>
          <cell r="H541" t="str">
            <v>30</v>
          </cell>
        </row>
        <row r="542">
          <cell r="C542" t="str">
            <v>0011800691AF</v>
          </cell>
          <cell r="D542" t="str">
            <v>0001604684</v>
          </cell>
          <cell r="E542" t="str">
            <v>V9013946</v>
          </cell>
          <cell r="F542" t="str">
            <v>2023-05-31</v>
          </cell>
          <cell r="G542" t="str">
            <v>9999-12-31</v>
          </cell>
          <cell r="H542" t="str">
            <v>30</v>
          </cell>
        </row>
        <row r="543">
          <cell r="C543" t="str">
            <v>0011800970M</v>
          </cell>
          <cell r="D543" t="str">
            <v>0001415258</v>
          </cell>
          <cell r="E543" t="str">
            <v>V9013946</v>
          </cell>
          <cell r="F543" t="str">
            <v>2021-06-01</v>
          </cell>
          <cell r="G543" t="str">
            <v>9999-12-31</v>
          </cell>
          <cell r="H543" t="str">
            <v>10</v>
          </cell>
        </row>
        <row r="544">
          <cell r="C544" t="str">
            <v>0011800970AB</v>
          </cell>
          <cell r="D544" t="str">
            <v>0001663332</v>
          </cell>
          <cell r="E544" t="str">
            <v>V9013946</v>
          </cell>
          <cell r="F544" t="str">
            <v>2024-01-11</v>
          </cell>
          <cell r="G544" t="str">
            <v>9999-12-31</v>
          </cell>
          <cell r="H544" t="str">
            <v>90</v>
          </cell>
        </row>
        <row r="545">
          <cell r="C545" t="str">
            <v>0011800324S</v>
          </cell>
          <cell r="D545" t="str">
            <v>0001878204</v>
          </cell>
          <cell r="E545" t="str">
            <v>V9013946</v>
          </cell>
          <cell r="F545" t="str">
            <v>2025-12-18</v>
          </cell>
          <cell r="G545" t="str">
            <v>9999-12-31</v>
          </cell>
          <cell r="H545" t="str">
            <v>10</v>
          </cell>
        </row>
        <row r="546">
          <cell r="C546" t="str">
            <v>0011801910</v>
          </cell>
          <cell r="D546" t="str">
            <v>0001827036</v>
          </cell>
          <cell r="E546" t="str">
            <v>V9013946</v>
          </cell>
          <cell r="F546" t="str">
            <v>2025-07-16</v>
          </cell>
          <cell r="G546" t="str">
            <v>9999-12-31</v>
          </cell>
          <cell r="H546" t="str">
            <v>30</v>
          </cell>
        </row>
        <row r="547">
          <cell r="C547" t="str">
            <v>0011801891</v>
          </cell>
          <cell r="D547" t="str">
            <v>0001827035</v>
          </cell>
          <cell r="E547" t="str">
            <v>V9013946</v>
          </cell>
          <cell r="F547" t="str">
            <v>2025-07-16</v>
          </cell>
          <cell r="G547" t="str">
            <v>9999-12-31</v>
          </cell>
          <cell r="H547" t="str">
            <v>30</v>
          </cell>
        </row>
        <row r="548">
          <cell r="C548" t="str">
            <v>0011801593D</v>
          </cell>
          <cell r="D548" t="str">
            <v>0001652333</v>
          </cell>
          <cell r="E548" t="str">
            <v>V9013946</v>
          </cell>
          <cell r="F548" t="str">
            <v>2023-12-05</v>
          </cell>
          <cell r="G548" t="str">
            <v>9999-12-31</v>
          </cell>
          <cell r="H548" t="str">
            <v>30</v>
          </cell>
        </row>
        <row r="549">
          <cell r="C549" t="str">
            <v>0011801593C</v>
          </cell>
          <cell r="D549" t="str">
            <v>0001652332</v>
          </cell>
          <cell r="E549" t="str">
            <v>V9013946</v>
          </cell>
          <cell r="F549" t="str">
            <v>2023-12-05</v>
          </cell>
          <cell r="G549" t="str">
            <v>9999-12-31</v>
          </cell>
          <cell r="H549" t="str">
            <v>30</v>
          </cell>
        </row>
        <row r="550">
          <cell r="C550" t="str">
            <v>0011801593B</v>
          </cell>
          <cell r="D550" t="str">
            <v>0001652331</v>
          </cell>
          <cell r="E550" t="str">
            <v>V9013946</v>
          </cell>
          <cell r="F550" t="str">
            <v>2023-12-05</v>
          </cell>
          <cell r="G550" t="str">
            <v>9999-12-31</v>
          </cell>
          <cell r="H550" t="str">
            <v>30</v>
          </cell>
        </row>
        <row r="551">
          <cell r="C551" t="str">
            <v>0011801593A</v>
          </cell>
          <cell r="D551" t="str">
            <v>0001652330</v>
          </cell>
          <cell r="E551" t="str">
            <v>V9013946</v>
          </cell>
          <cell r="F551" t="str">
            <v>2023-12-05</v>
          </cell>
          <cell r="G551" t="str">
            <v>9999-12-31</v>
          </cell>
          <cell r="H551" t="str">
            <v>30</v>
          </cell>
        </row>
        <row r="552">
          <cell r="C552" t="str">
            <v>0011801516K</v>
          </cell>
          <cell r="D552" t="str">
            <v>0001898490</v>
          </cell>
          <cell r="E552" t="str">
            <v>V9013946</v>
          </cell>
          <cell r="F552" t="str">
            <v>2026-01-28</v>
          </cell>
          <cell r="G552" t="str">
            <v>9999-12-31</v>
          </cell>
          <cell r="H552" t="str">
            <v>70</v>
          </cell>
        </row>
        <row r="553">
          <cell r="C553" t="str">
            <v>0011801516J</v>
          </cell>
          <cell r="D553" t="str">
            <v>0001898489</v>
          </cell>
          <cell r="E553" t="str">
            <v>V9013946</v>
          </cell>
          <cell r="F553" t="str">
            <v>2026-01-28</v>
          </cell>
          <cell r="G553" t="str">
            <v>9999-12-31</v>
          </cell>
          <cell r="H553" t="str">
            <v>70</v>
          </cell>
        </row>
        <row r="554">
          <cell r="C554" t="str">
            <v>0011801516H</v>
          </cell>
          <cell r="D554" t="str">
            <v>0001898488</v>
          </cell>
          <cell r="E554" t="str">
            <v>V9013946</v>
          </cell>
          <cell r="F554" t="str">
            <v>2026-01-28</v>
          </cell>
          <cell r="G554" t="str">
            <v>9999-12-31</v>
          </cell>
          <cell r="H554" t="str">
            <v>70</v>
          </cell>
        </row>
        <row r="555">
          <cell r="C555" t="str">
            <v>0011801516G</v>
          </cell>
          <cell r="D555" t="str">
            <v>0001898487</v>
          </cell>
          <cell r="E555" t="str">
            <v>V9013946</v>
          </cell>
          <cell r="F555" t="str">
            <v>2026-01-28</v>
          </cell>
          <cell r="G555" t="str">
            <v>9999-12-31</v>
          </cell>
          <cell r="H555" t="str">
            <v>70</v>
          </cell>
        </row>
        <row r="556">
          <cell r="C556" t="str">
            <v>0011801516E</v>
          </cell>
          <cell r="D556" t="str">
            <v>0001665303</v>
          </cell>
          <cell r="E556" t="str">
            <v>V9013946</v>
          </cell>
          <cell r="F556" t="str">
            <v>2024-01-18</v>
          </cell>
          <cell r="G556" t="str">
            <v>9999-12-31</v>
          </cell>
          <cell r="H556" t="str">
            <v>30</v>
          </cell>
        </row>
        <row r="557">
          <cell r="C557" t="str">
            <v>0011801516D</v>
          </cell>
          <cell r="D557" t="str">
            <v>0001665302</v>
          </cell>
          <cell r="E557" t="str">
            <v>V9013946</v>
          </cell>
          <cell r="F557" t="str">
            <v>2024-01-18</v>
          </cell>
          <cell r="G557" t="str">
            <v>9999-12-31</v>
          </cell>
          <cell r="H557" t="str">
            <v>30</v>
          </cell>
        </row>
        <row r="558">
          <cell r="C558" t="str">
            <v>0011801516C</v>
          </cell>
          <cell r="D558" t="str">
            <v>0001667142</v>
          </cell>
          <cell r="E558" t="str">
            <v>V9013946</v>
          </cell>
          <cell r="F558" t="str">
            <v>2024-01-25</v>
          </cell>
          <cell r="G558" t="str">
            <v>9999-12-31</v>
          </cell>
          <cell r="H558" t="str">
            <v>50</v>
          </cell>
        </row>
        <row r="559">
          <cell r="C559" t="str">
            <v>0011801424AF</v>
          </cell>
          <cell r="D559" t="str">
            <v>0001567284</v>
          </cell>
          <cell r="E559" t="str">
            <v>V9013946</v>
          </cell>
          <cell r="F559" t="str">
            <v>2023-02-02</v>
          </cell>
          <cell r="G559" t="str">
            <v>9999-12-31</v>
          </cell>
          <cell r="H559" t="str">
            <v>70</v>
          </cell>
        </row>
        <row r="560">
          <cell r="C560" t="str">
            <v>0011801424AE</v>
          </cell>
          <cell r="D560" t="str">
            <v>0001567282</v>
          </cell>
          <cell r="E560" t="str">
            <v>V9013946</v>
          </cell>
          <cell r="F560" t="str">
            <v>2023-02-02</v>
          </cell>
          <cell r="G560" t="str">
            <v>9999-12-31</v>
          </cell>
          <cell r="H560" t="str">
            <v>70</v>
          </cell>
        </row>
        <row r="561">
          <cell r="C561" t="str">
            <v>0011801256B</v>
          </cell>
          <cell r="D561" t="str">
            <v>0001562176</v>
          </cell>
          <cell r="E561" t="str">
            <v>V9013946</v>
          </cell>
          <cell r="F561" t="str">
            <v>2023-01-05</v>
          </cell>
          <cell r="G561" t="str">
            <v>9999-12-31</v>
          </cell>
          <cell r="H561" t="str">
            <v>70</v>
          </cell>
        </row>
        <row r="562">
          <cell r="C562" t="str">
            <v>0011801172Y</v>
          </cell>
          <cell r="D562" t="str">
            <v>0001581797</v>
          </cell>
          <cell r="E562" t="str">
            <v>V9013946</v>
          </cell>
          <cell r="F562" t="str">
            <v>2023-03-28</v>
          </cell>
          <cell r="G562" t="str">
            <v>9999-12-31</v>
          </cell>
          <cell r="H562" t="str">
            <v>30</v>
          </cell>
        </row>
        <row r="563">
          <cell r="C563" t="str">
            <v>0011801172G</v>
          </cell>
          <cell r="D563" t="str">
            <v>0001569877</v>
          </cell>
          <cell r="E563" t="str">
            <v>V9013946</v>
          </cell>
          <cell r="F563" t="str">
            <v>2023-02-14</v>
          </cell>
          <cell r="G563" t="str">
            <v>9999-12-31</v>
          </cell>
          <cell r="H563" t="str">
            <v>30</v>
          </cell>
        </row>
        <row r="564">
          <cell r="C564" t="str">
            <v>0011801172BC</v>
          </cell>
          <cell r="D564" t="str">
            <v>0001527498</v>
          </cell>
          <cell r="E564" t="str">
            <v>V9013946</v>
          </cell>
          <cell r="F564" t="str">
            <v>2022-08-23</v>
          </cell>
          <cell r="G564" t="str">
            <v>9999-12-31</v>
          </cell>
          <cell r="H564" t="str">
            <v>70</v>
          </cell>
        </row>
        <row r="565">
          <cell r="C565" t="str">
            <v>0011800970N</v>
          </cell>
          <cell r="D565" t="str">
            <v>0001509372</v>
          </cell>
          <cell r="E565" t="str">
            <v>V9013946</v>
          </cell>
          <cell r="F565" t="str">
            <v>2022-06-28</v>
          </cell>
          <cell r="G565" t="str">
            <v>9999-12-31</v>
          </cell>
          <cell r="H565" t="str">
            <v>50</v>
          </cell>
        </row>
        <row r="566">
          <cell r="C566" t="str">
            <v>0011800807</v>
          </cell>
          <cell r="D566" t="str">
            <v>0001783499</v>
          </cell>
          <cell r="E566" t="str">
            <v>V9013946</v>
          </cell>
          <cell r="F566" t="str">
            <v>2025-03-06</v>
          </cell>
          <cell r="G566" t="str">
            <v>9999-12-31</v>
          </cell>
          <cell r="H566" t="str">
            <v>70</v>
          </cell>
        </row>
        <row r="567">
          <cell r="C567" t="str">
            <v>0011800646M</v>
          </cell>
          <cell r="D567" t="str">
            <v>0001652444</v>
          </cell>
          <cell r="E567" t="str">
            <v>V9013946</v>
          </cell>
          <cell r="F567" t="str">
            <v>2023-12-06</v>
          </cell>
          <cell r="G567" t="str">
            <v>9999-12-31</v>
          </cell>
          <cell r="H567" t="str">
            <v>70</v>
          </cell>
        </row>
        <row r="568">
          <cell r="C568" t="str">
            <v>0011800646L</v>
          </cell>
          <cell r="D568" t="str">
            <v>0001799204</v>
          </cell>
          <cell r="E568" t="str">
            <v>V9013946</v>
          </cell>
          <cell r="F568" t="str">
            <v>2025-04-21</v>
          </cell>
          <cell r="G568" t="str">
            <v>9999-12-31</v>
          </cell>
          <cell r="H568" t="str">
            <v>70</v>
          </cell>
        </row>
        <row r="569">
          <cell r="C569" t="str">
            <v>0011800646K</v>
          </cell>
          <cell r="D569" t="str">
            <v>0001602588</v>
          </cell>
          <cell r="E569" t="str">
            <v>V9013946</v>
          </cell>
          <cell r="F569" t="str">
            <v>2023-05-31</v>
          </cell>
          <cell r="G569" t="str">
            <v>9999-12-31</v>
          </cell>
          <cell r="H569" t="str">
            <v>70</v>
          </cell>
        </row>
        <row r="570">
          <cell r="C570" t="str">
            <v>0011800646J</v>
          </cell>
          <cell r="D570" t="str">
            <v>0001634682</v>
          </cell>
          <cell r="E570" t="str">
            <v>V9013946</v>
          </cell>
          <cell r="F570" t="str">
            <v>2023-09-21</v>
          </cell>
          <cell r="G570" t="str">
            <v>9999-12-31</v>
          </cell>
          <cell r="H570" t="str">
            <v>70</v>
          </cell>
        </row>
        <row r="571">
          <cell r="C571" t="str">
            <v>0011800646G</v>
          </cell>
          <cell r="D571" t="str">
            <v>0001602584</v>
          </cell>
          <cell r="E571" t="str">
            <v>V9013946</v>
          </cell>
          <cell r="F571" t="str">
            <v>2023-05-31</v>
          </cell>
          <cell r="G571" t="str">
            <v>9999-12-31</v>
          </cell>
          <cell r="H571" t="str">
            <v>70</v>
          </cell>
        </row>
        <row r="572">
          <cell r="C572" t="str">
            <v>0011800646F</v>
          </cell>
          <cell r="D572" t="str">
            <v>0001602582</v>
          </cell>
          <cell r="E572" t="str">
            <v>V9013946</v>
          </cell>
          <cell r="F572" t="str">
            <v>2023-05-31</v>
          </cell>
          <cell r="G572" t="str">
            <v>9999-12-31</v>
          </cell>
          <cell r="H572" t="str">
            <v>70</v>
          </cell>
        </row>
        <row r="573">
          <cell r="C573" t="str">
            <v>0011800646D</v>
          </cell>
          <cell r="D573" t="str">
            <v>0001799202</v>
          </cell>
          <cell r="E573" t="str">
            <v>V9013946</v>
          </cell>
          <cell r="F573" t="str">
            <v>2025-04-21</v>
          </cell>
          <cell r="G573" t="str">
            <v>9999-12-31</v>
          </cell>
          <cell r="H573" t="str">
            <v>70</v>
          </cell>
        </row>
        <row r="574">
          <cell r="C574" t="str">
            <v>0011800646C</v>
          </cell>
          <cell r="D574" t="str">
            <v>0001602578</v>
          </cell>
          <cell r="E574" t="str">
            <v>V9013946</v>
          </cell>
          <cell r="F574" t="str">
            <v>2023-05-31</v>
          </cell>
          <cell r="G574" t="str">
            <v>9999-12-31</v>
          </cell>
          <cell r="H574" t="str">
            <v>70</v>
          </cell>
        </row>
        <row r="575">
          <cell r="C575" t="str">
            <v>0011800646B</v>
          </cell>
          <cell r="D575" t="str">
            <v>0001634616</v>
          </cell>
          <cell r="E575" t="str">
            <v>V9013946</v>
          </cell>
          <cell r="F575" t="str">
            <v>2023-09-21</v>
          </cell>
          <cell r="G575" t="str">
            <v>9999-12-31</v>
          </cell>
          <cell r="H575" t="str">
            <v>70</v>
          </cell>
        </row>
        <row r="576">
          <cell r="C576" t="str">
            <v>0011800646A</v>
          </cell>
          <cell r="D576" t="str">
            <v>0001814817</v>
          </cell>
          <cell r="E576" t="str">
            <v>V9013946</v>
          </cell>
          <cell r="F576" t="str">
            <v>2025-06-20</v>
          </cell>
          <cell r="G576" t="str">
            <v>9999-12-31</v>
          </cell>
          <cell r="H576" t="str">
            <v>70</v>
          </cell>
        </row>
        <row r="577">
          <cell r="C577" t="str">
            <v>0011800646</v>
          </cell>
          <cell r="D577" t="str">
            <v>0001652436</v>
          </cell>
          <cell r="E577" t="str">
            <v>V9013946</v>
          </cell>
          <cell r="F577" t="str">
            <v>2023-12-06</v>
          </cell>
          <cell r="G577" t="str">
            <v>9999-12-31</v>
          </cell>
          <cell r="H577" t="str">
            <v>70</v>
          </cell>
        </row>
        <row r="578">
          <cell r="C578" t="str">
            <v>0011800630Z</v>
          </cell>
          <cell r="D578" t="str">
            <v>0001623148</v>
          </cell>
          <cell r="E578" t="str">
            <v>V9013946</v>
          </cell>
          <cell r="F578" t="str">
            <v>2023-08-10</v>
          </cell>
          <cell r="G578" t="str">
            <v>9999-12-31</v>
          </cell>
          <cell r="H578" t="str">
            <v>30</v>
          </cell>
        </row>
        <row r="579">
          <cell r="C579" t="str">
            <v>0011800630Y</v>
          </cell>
          <cell r="D579" t="str">
            <v>0001623270</v>
          </cell>
          <cell r="E579" t="str">
            <v>V9013946</v>
          </cell>
          <cell r="F579" t="str">
            <v>2023-08-10</v>
          </cell>
          <cell r="G579" t="str">
            <v>9999-12-31</v>
          </cell>
          <cell r="H579" t="str">
            <v>30</v>
          </cell>
        </row>
        <row r="580">
          <cell r="C580" t="str">
            <v>0011800630S</v>
          </cell>
          <cell r="D580" t="str">
            <v>0001623268</v>
          </cell>
          <cell r="E580" t="str">
            <v>V9013946</v>
          </cell>
          <cell r="F580" t="str">
            <v>2023-08-10</v>
          </cell>
          <cell r="G580" t="str">
            <v>9999-12-31</v>
          </cell>
          <cell r="H580" t="str">
            <v>30</v>
          </cell>
        </row>
        <row r="581">
          <cell r="C581" t="str">
            <v>0011800630R</v>
          </cell>
          <cell r="D581" t="str">
            <v>0001623146</v>
          </cell>
          <cell r="E581" t="str">
            <v>V9013946</v>
          </cell>
          <cell r="F581" t="str">
            <v>2023-08-10</v>
          </cell>
          <cell r="G581" t="str">
            <v>9999-12-31</v>
          </cell>
          <cell r="H581" t="str">
            <v>30</v>
          </cell>
        </row>
        <row r="582">
          <cell r="C582" t="str">
            <v>0011800630M</v>
          </cell>
          <cell r="D582" t="str">
            <v>0001737650</v>
          </cell>
          <cell r="E582" t="str">
            <v>V9013946</v>
          </cell>
          <cell r="F582" t="str">
            <v>2024-10-22</v>
          </cell>
          <cell r="G582" t="str">
            <v>9999-12-31</v>
          </cell>
          <cell r="H582" t="str">
            <v>70</v>
          </cell>
        </row>
        <row r="583">
          <cell r="C583" t="str">
            <v>0011800630J</v>
          </cell>
          <cell r="D583" t="str">
            <v>0001739639</v>
          </cell>
          <cell r="E583" t="str">
            <v>V9013946</v>
          </cell>
          <cell r="F583" t="str">
            <v>2024-10-29</v>
          </cell>
          <cell r="G583" t="str">
            <v>9999-12-31</v>
          </cell>
          <cell r="H583" t="str">
            <v>70</v>
          </cell>
        </row>
        <row r="584">
          <cell r="C584" t="str">
            <v>0011800630E</v>
          </cell>
          <cell r="D584" t="str">
            <v>0001634680</v>
          </cell>
          <cell r="E584" t="str">
            <v>V9013946</v>
          </cell>
          <cell r="F584" t="str">
            <v>2023-09-21</v>
          </cell>
          <cell r="G584" t="str">
            <v>9999-12-31</v>
          </cell>
          <cell r="H584" t="str">
            <v>70</v>
          </cell>
        </row>
        <row r="585">
          <cell r="C585" t="str">
            <v>0011800630</v>
          </cell>
          <cell r="D585" t="str">
            <v>0001634678</v>
          </cell>
          <cell r="E585" t="str">
            <v>V9013946</v>
          </cell>
          <cell r="F585" t="str">
            <v>2023-09-21</v>
          </cell>
          <cell r="G585" t="str">
            <v>9999-12-31</v>
          </cell>
          <cell r="H585" t="str">
            <v>70</v>
          </cell>
        </row>
        <row r="586">
          <cell r="C586" t="str">
            <v>0011801583A</v>
          </cell>
          <cell r="D586" t="str">
            <v>0001795693</v>
          </cell>
          <cell r="E586" t="str">
            <v>V9013946</v>
          </cell>
          <cell r="F586" t="str">
            <v>2025-04-10</v>
          </cell>
          <cell r="G586" t="str">
            <v>9999-12-31</v>
          </cell>
          <cell r="H586" t="str">
            <v>50</v>
          </cell>
        </row>
        <row r="587">
          <cell r="C587" t="str">
            <v>0011800612Z</v>
          </cell>
          <cell r="D587" t="str">
            <v>0001602534</v>
          </cell>
          <cell r="E587" t="str">
            <v>V9013946</v>
          </cell>
          <cell r="F587" t="str">
            <v>2023-05-31</v>
          </cell>
          <cell r="G587" t="str">
            <v>9999-12-31</v>
          </cell>
          <cell r="H587" t="str">
            <v>70</v>
          </cell>
        </row>
        <row r="588">
          <cell r="C588" t="str">
            <v>0011800612Y</v>
          </cell>
          <cell r="D588" t="str">
            <v>0001634676</v>
          </cell>
          <cell r="E588" t="str">
            <v>V9013946</v>
          </cell>
          <cell r="F588" t="str">
            <v>2023-09-21</v>
          </cell>
          <cell r="G588" t="str">
            <v>9999-12-31</v>
          </cell>
          <cell r="H588" t="str">
            <v>70</v>
          </cell>
        </row>
        <row r="589">
          <cell r="C589" t="str">
            <v>0011800612W</v>
          </cell>
          <cell r="D589" t="str">
            <v>0001647774</v>
          </cell>
          <cell r="E589" t="str">
            <v>V9013946</v>
          </cell>
          <cell r="F589" t="str">
            <v>2023-11-22</v>
          </cell>
          <cell r="G589" t="str">
            <v>9999-12-31</v>
          </cell>
          <cell r="H589" t="str">
            <v>70</v>
          </cell>
        </row>
        <row r="590">
          <cell r="C590" t="str">
            <v>0011800612V</v>
          </cell>
          <cell r="D590" t="str">
            <v>0001602514</v>
          </cell>
          <cell r="E590" t="str">
            <v>V9013946</v>
          </cell>
          <cell r="F590" t="str">
            <v>2023-05-31</v>
          </cell>
          <cell r="G590" t="str">
            <v>9999-12-31</v>
          </cell>
          <cell r="H590" t="str">
            <v>70</v>
          </cell>
        </row>
        <row r="591">
          <cell r="C591" t="str">
            <v>0011800612T</v>
          </cell>
          <cell r="D591" t="str">
            <v>0001602512</v>
          </cell>
          <cell r="E591" t="str">
            <v>V9013946</v>
          </cell>
          <cell r="F591" t="str">
            <v>2023-05-31</v>
          </cell>
          <cell r="G591" t="str">
            <v>9999-12-31</v>
          </cell>
          <cell r="H591" t="str">
            <v>70</v>
          </cell>
        </row>
        <row r="592">
          <cell r="C592" t="str">
            <v>0011800612Q</v>
          </cell>
          <cell r="D592" t="str">
            <v>0001634674</v>
          </cell>
          <cell r="E592" t="str">
            <v>V9013946</v>
          </cell>
          <cell r="F592" t="str">
            <v>2023-09-21</v>
          </cell>
          <cell r="G592" t="str">
            <v>9999-12-31</v>
          </cell>
          <cell r="H592" t="str">
            <v>70</v>
          </cell>
        </row>
        <row r="593">
          <cell r="C593" t="str">
            <v>0011800612P</v>
          </cell>
          <cell r="D593" t="str">
            <v>0001634672</v>
          </cell>
          <cell r="E593" t="str">
            <v>V9013946</v>
          </cell>
          <cell r="F593" t="str">
            <v>2023-09-21</v>
          </cell>
          <cell r="G593" t="str">
            <v>9999-12-31</v>
          </cell>
          <cell r="H593" t="str">
            <v>70</v>
          </cell>
        </row>
        <row r="594">
          <cell r="C594" t="str">
            <v>0011800612F</v>
          </cell>
          <cell r="D594" t="str">
            <v>0001602500</v>
          </cell>
          <cell r="E594" t="str">
            <v>V9013946</v>
          </cell>
          <cell r="F594" t="str">
            <v>2023-05-31</v>
          </cell>
          <cell r="G594" t="str">
            <v>9999-12-31</v>
          </cell>
          <cell r="H594" t="str">
            <v>70</v>
          </cell>
        </row>
        <row r="595">
          <cell r="C595" t="str">
            <v>0011800612E</v>
          </cell>
          <cell r="D595" t="str">
            <v>0001634669</v>
          </cell>
          <cell r="E595" t="str">
            <v>V9013946</v>
          </cell>
          <cell r="F595" t="str">
            <v>2023-09-21</v>
          </cell>
          <cell r="G595" t="str">
            <v>9999-12-31</v>
          </cell>
          <cell r="H595" t="str">
            <v>70</v>
          </cell>
        </row>
        <row r="596">
          <cell r="C596" t="str">
            <v>0011800612D</v>
          </cell>
          <cell r="D596" t="str">
            <v>0001602496</v>
          </cell>
          <cell r="E596" t="str">
            <v>V9013946</v>
          </cell>
          <cell r="F596" t="str">
            <v>2023-05-31</v>
          </cell>
          <cell r="G596" t="str">
            <v>9999-12-31</v>
          </cell>
          <cell r="H596" t="str">
            <v>70</v>
          </cell>
        </row>
        <row r="597">
          <cell r="C597" t="str">
            <v>0011800612C</v>
          </cell>
          <cell r="D597" t="str">
            <v>0001634667</v>
          </cell>
          <cell r="E597" t="str">
            <v>V9013946</v>
          </cell>
          <cell r="F597" t="str">
            <v>2023-09-21</v>
          </cell>
          <cell r="G597" t="str">
            <v>9999-12-31</v>
          </cell>
          <cell r="H597" t="str">
            <v>70</v>
          </cell>
        </row>
        <row r="598">
          <cell r="C598" t="str">
            <v>0011800612AB</v>
          </cell>
          <cell r="D598" t="str">
            <v>0001602492</v>
          </cell>
          <cell r="E598" t="str">
            <v>V9013946</v>
          </cell>
          <cell r="F598" t="str">
            <v>2023-05-31</v>
          </cell>
          <cell r="G598" t="str">
            <v>9999-12-31</v>
          </cell>
          <cell r="H598" t="str">
            <v>70</v>
          </cell>
        </row>
        <row r="599">
          <cell r="C599" t="str">
            <v>0011800537A</v>
          </cell>
          <cell r="D599" t="str">
            <v>0001602420</v>
          </cell>
          <cell r="E599" t="str">
            <v>V9013946</v>
          </cell>
          <cell r="F599" t="str">
            <v>2023-05-31</v>
          </cell>
          <cell r="G599" t="str">
            <v>9999-12-31</v>
          </cell>
          <cell r="H599" t="str">
            <v>70</v>
          </cell>
        </row>
        <row r="600">
          <cell r="C600" t="str">
            <v>0011800537</v>
          </cell>
          <cell r="D600" t="str">
            <v>0001588054</v>
          </cell>
          <cell r="E600" t="str">
            <v>V9013946</v>
          </cell>
          <cell r="F600" t="str">
            <v>2023-04-20</v>
          </cell>
          <cell r="G600" t="str">
            <v>9999-12-31</v>
          </cell>
          <cell r="H600" t="str">
            <v>70</v>
          </cell>
        </row>
        <row r="601">
          <cell r="C601" t="str">
            <v>0011800387H</v>
          </cell>
          <cell r="D601" t="str">
            <v>0001609842</v>
          </cell>
          <cell r="E601" t="str">
            <v>V9013946</v>
          </cell>
          <cell r="F601" t="str">
            <v>2023-06-13</v>
          </cell>
          <cell r="G601" t="str">
            <v>9999-12-31</v>
          </cell>
          <cell r="H601" t="str">
            <v>70</v>
          </cell>
        </row>
        <row r="602">
          <cell r="C602" t="str">
            <v>0011800387D</v>
          </cell>
          <cell r="D602" t="str">
            <v>0001635808</v>
          </cell>
          <cell r="E602" t="str">
            <v>V9013946</v>
          </cell>
          <cell r="F602" t="str">
            <v>2023-09-26</v>
          </cell>
          <cell r="G602" t="str">
            <v>9999-12-31</v>
          </cell>
          <cell r="H602" t="str">
            <v>30</v>
          </cell>
        </row>
        <row r="603">
          <cell r="C603" t="str">
            <v>0011800387A</v>
          </cell>
          <cell r="D603" t="str">
            <v>0001609838</v>
          </cell>
          <cell r="E603" t="str">
            <v>V9013946</v>
          </cell>
          <cell r="F603" t="str">
            <v>2023-06-13</v>
          </cell>
          <cell r="G603" t="str">
            <v>9999-12-31</v>
          </cell>
          <cell r="H603" t="str">
            <v>70</v>
          </cell>
        </row>
        <row r="604">
          <cell r="C604" t="str">
            <v>0011800970M</v>
          </cell>
          <cell r="D604" t="str">
            <v>0001601728</v>
          </cell>
          <cell r="E604" t="str">
            <v>V9013946</v>
          </cell>
          <cell r="F604" t="str">
            <v>2023-05-31</v>
          </cell>
          <cell r="G604" t="str">
            <v>9999-12-31</v>
          </cell>
          <cell r="H604" t="str">
            <v>10</v>
          </cell>
        </row>
        <row r="605">
          <cell r="C605" t="str">
            <v>0011800324T</v>
          </cell>
          <cell r="D605" t="str">
            <v>0001609836</v>
          </cell>
          <cell r="E605" t="str">
            <v>V9013946</v>
          </cell>
          <cell r="F605" t="str">
            <v>2023-06-13</v>
          </cell>
          <cell r="G605" t="str">
            <v>9999-12-31</v>
          </cell>
          <cell r="H605" t="str">
            <v>30</v>
          </cell>
        </row>
        <row r="606">
          <cell r="C606" t="str">
            <v>0011800324N</v>
          </cell>
          <cell r="D606" t="str">
            <v>0001661318</v>
          </cell>
          <cell r="E606" t="str">
            <v>V9013946</v>
          </cell>
          <cell r="F606" t="str">
            <v>2024-01-04</v>
          </cell>
          <cell r="G606" t="str">
            <v>9999-12-31</v>
          </cell>
          <cell r="H606" t="str">
            <v>70</v>
          </cell>
        </row>
        <row r="607">
          <cell r="C607" t="str">
            <v>0041800773A</v>
          </cell>
          <cell r="D607" t="str">
            <v>0001616218</v>
          </cell>
          <cell r="E607" t="str">
            <v>V9013946</v>
          </cell>
          <cell r="F607" t="str">
            <v>2023-07-11</v>
          </cell>
          <cell r="G607" t="str">
            <v>9999-12-31</v>
          </cell>
          <cell r="H607" t="str">
            <v>30</v>
          </cell>
        </row>
        <row r="608">
          <cell r="C608" t="str">
            <v>0011800970G</v>
          </cell>
          <cell r="D608" t="str">
            <v>0001607236</v>
          </cell>
          <cell r="E608" t="str">
            <v>V9013946</v>
          </cell>
          <cell r="F608" t="str">
            <v>2023-06-02</v>
          </cell>
          <cell r="G608" t="str">
            <v>9999-12-31</v>
          </cell>
          <cell r="H608" t="str">
            <v>10</v>
          </cell>
        </row>
        <row r="609">
          <cell r="C609" t="str">
            <v>0011800970F</v>
          </cell>
          <cell r="D609" t="str">
            <v>0001601724</v>
          </cell>
          <cell r="E609" t="str">
            <v>V9013946</v>
          </cell>
          <cell r="F609" t="str">
            <v>2023-05-31</v>
          </cell>
          <cell r="G609" t="str">
            <v>9999-12-31</v>
          </cell>
          <cell r="H609" t="str">
            <v>10</v>
          </cell>
        </row>
        <row r="610">
          <cell r="C610" t="str">
            <v>0011800387J</v>
          </cell>
          <cell r="D610" t="str">
            <v>0001601546</v>
          </cell>
          <cell r="E610" t="str">
            <v>V9013946</v>
          </cell>
          <cell r="F610" t="str">
            <v>2023-05-31</v>
          </cell>
          <cell r="G610" t="str">
            <v>9999-12-31</v>
          </cell>
          <cell r="H610" t="str">
            <v>30</v>
          </cell>
        </row>
        <row r="611">
          <cell r="C611" t="str">
            <v>0011800387D</v>
          </cell>
          <cell r="D611" t="str">
            <v>0001635806</v>
          </cell>
          <cell r="E611" t="str">
            <v>V9013946</v>
          </cell>
          <cell r="F611" t="str">
            <v>2023-09-26</v>
          </cell>
          <cell r="G611" t="str">
            <v>9999-12-31</v>
          </cell>
          <cell r="H611" t="str">
            <v>30</v>
          </cell>
        </row>
        <row r="612">
          <cell r="C612" t="str">
            <v>0011800376AD</v>
          </cell>
          <cell r="D612" t="str">
            <v>0001284597</v>
          </cell>
          <cell r="E612" t="str">
            <v>V9013946</v>
          </cell>
          <cell r="F612" t="str">
            <v>2020-05-23</v>
          </cell>
          <cell r="G612" t="str">
            <v>9999-12-31</v>
          </cell>
          <cell r="H612" t="str">
            <v>30</v>
          </cell>
        </row>
        <row r="613">
          <cell r="C613" t="str">
            <v>0011801330</v>
          </cell>
          <cell r="D613" t="str">
            <v>0001539046</v>
          </cell>
          <cell r="E613" t="str">
            <v>V9013946</v>
          </cell>
          <cell r="F613" t="str">
            <v>2022-09-30</v>
          </cell>
          <cell r="G613" t="str">
            <v>9999-12-31</v>
          </cell>
          <cell r="H613" t="str">
            <v>100</v>
          </cell>
        </row>
        <row r="614">
          <cell r="C614" t="str">
            <v>0041800773YS</v>
          </cell>
          <cell r="D614" t="str">
            <v>0001594310</v>
          </cell>
          <cell r="E614" t="str">
            <v>V9013946</v>
          </cell>
          <cell r="F614" t="str">
            <v>2023-05-11</v>
          </cell>
          <cell r="G614" t="str">
            <v>9999-12-31</v>
          </cell>
          <cell r="H614" t="str">
            <v>30</v>
          </cell>
        </row>
        <row r="615">
          <cell r="C615" t="str">
            <v>0041800773AYS</v>
          </cell>
          <cell r="D615" t="str">
            <v>0001594306</v>
          </cell>
          <cell r="E615" t="str">
            <v>V9013946</v>
          </cell>
          <cell r="F615" t="str">
            <v>2023-05-11</v>
          </cell>
          <cell r="G615" t="str">
            <v>9999-12-31</v>
          </cell>
          <cell r="H615" t="str">
            <v>30</v>
          </cell>
        </row>
        <row r="616">
          <cell r="C616" t="str">
            <v>0041800773AC</v>
          </cell>
          <cell r="D616" t="str">
            <v>0001539068</v>
          </cell>
          <cell r="E616" t="str">
            <v>V9013946</v>
          </cell>
          <cell r="F616" t="str">
            <v>2022-10-01</v>
          </cell>
          <cell r="G616" t="str">
            <v>9999-12-31</v>
          </cell>
          <cell r="H616" t="str">
            <v>30</v>
          </cell>
        </row>
        <row r="617">
          <cell r="C617" t="str">
            <v>0041800773A</v>
          </cell>
          <cell r="D617" t="str">
            <v>0001616216</v>
          </cell>
          <cell r="E617" t="str">
            <v>V9013946</v>
          </cell>
          <cell r="F617" t="str">
            <v>2023-07-11</v>
          </cell>
          <cell r="G617" t="str">
            <v>9999-12-31</v>
          </cell>
          <cell r="H617" t="str">
            <v>30</v>
          </cell>
        </row>
        <row r="618">
          <cell r="C618" t="str">
            <v>0041800773</v>
          </cell>
          <cell r="D618" t="str">
            <v>0001539066</v>
          </cell>
          <cell r="E618" t="str">
            <v>V9013946</v>
          </cell>
          <cell r="F618" t="str">
            <v>2022-10-01</v>
          </cell>
          <cell r="G618" t="str">
            <v>9999-12-31</v>
          </cell>
          <cell r="H618" t="str">
            <v>30</v>
          </cell>
        </row>
        <row r="619">
          <cell r="C619" t="str">
            <v>0041800693S</v>
          </cell>
          <cell r="D619" t="str">
            <v>0001620314</v>
          </cell>
          <cell r="E619" t="str">
            <v>V9013946</v>
          </cell>
          <cell r="F619" t="str">
            <v>2023-07-28</v>
          </cell>
          <cell r="G619" t="str">
            <v>9999-12-31</v>
          </cell>
          <cell r="H619" t="str">
            <v>30</v>
          </cell>
        </row>
        <row r="620">
          <cell r="C620" t="str">
            <v>0011800387J</v>
          </cell>
          <cell r="D620" t="str">
            <v>0001604628</v>
          </cell>
          <cell r="E620" t="str">
            <v>V9013946</v>
          </cell>
          <cell r="F620" t="str">
            <v>2023-05-31</v>
          </cell>
          <cell r="G620" t="str">
            <v>9999-12-31</v>
          </cell>
          <cell r="H620" t="str">
            <v>30</v>
          </cell>
        </row>
        <row r="621">
          <cell r="C621" t="str">
            <v>0040400451DS</v>
          </cell>
          <cell r="D621" t="str">
            <v>0001620310</v>
          </cell>
          <cell r="E621" t="str">
            <v>V9013946</v>
          </cell>
          <cell r="F621" t="str">
            <v>2023-07-28</v>
          </cell>
          <cell r="G621" t="str">
            <v>9999-12-31</v>
          </cell>
          <cell r="H621" t="str">
            <v>30</v>
          </cell>
        </row>
        <row r="622">
          <cell r="C622" t="str">
            <v>0040400451D</v>
          </cell>
          <cell r="D622" t="str">
            <v>0001624753</v>
          </cell>
          <cell r="E622" t="str">
            <v>V9013946</v>
          </cell>
          <cell r="F622" t="str">
            <v>2023-08-15</v>
          </cell>
          <cell r="G622" t="str">
            <v>9999-12-31</v>
          </cell>
          <cell r="H622" t="str">
            <v>30</v>
          </cell>
        </row>
        <row r="623">
          <cell r="C623" t="str">
            <v>0041800773YS</v>
          </cell>
          <cell r="D623" t="str">
            <v>0001616456</v>
          </cell>
          <cell r="E623" t="str">
            <v>V9013946</v>
          </cell>
          <cell r="F623" t="str">
            <v>2023-07-12</v>
          </cell>
          <cell r="G623" t="str">
            <v>9999-12-31</v>
          </cell>
          <cell r="H623" t="str">
            <v>30</v>
          </cell>
        </row>
        <row r="624">
          <cell r="C624" t="str">
            <v>0041800773AYS</v>
          </cell>
          <cell r="D624" t="str">
            <v>0001615072</v>
          </cell>
          <cell r="E624" t="str">
            <v>V9013946</v>
          </cell>
          <cell r="F624" t="str">
            <v>2023-07-04</v>
          </cell>
          <cell r="G624" t="str">
            <v>9999-12-31</v>
          </cell>
          <cell r="H624" t="str">
            <v>30</v>
          </cell>
        </row>
        <row r="625">
          <cell r="C625" t="str">
            <v>0041800773ABYS</v>
          </cell>
          <cell r="D625" t="str">
            <v>0001594284</v>
          </cell>
          <cell r="E625" t="str">
            <v>V9013946</v>
          </cell>
          <cell r="F625" t="str">
            <v>2023-05-11</v>
          </cell>
          <cell r="G625" t="str">
            <v>9999-12-31</v>
          </cell>
          <cell r="H625" t="str">
            <v>30</v>
          </cell>
        </row>
        <row r="626">
          <cell r="C626" t="str">
            <v>0041800773AB</v>
          </cell>
          <cell r="D626" t="str">
            <v>0001570494</v>
          </cell>
          <cell r="E626" t="str">
            <v>V9013946</v>
          </cell>
          <cell r="F626" t="str">
            <v>2023-02-15</v>
          </cell>
          <cell r="G626" t="str">
            <v>9999-12-31</v>
          </cell>
          <cell r="H626" t="str">
            <v>30</v>
          </cell>
        </row>
        <row r="627">
          <cell r="C627" t="str">
            <v>0041800773A</v>
          </cell>
          <cell r="D627" t="str">
            <v>0001616214</v>
          </cell>
          <cell r="E627" t="str">
            <v>V9013946</v>
          </cell>
          <cell r="F627" t="str">
            <v>2023-07-11</v>
          </cell>
          <cell r="G627" t="str">
            <v>9999-12-31</v>
          </cell>
          <cell r="H627" t="str">
            <v>30</v>
          </cell>
        </row>
        <row r="628">
          <cell r="C628" t="str">
            <v>0041800751YS</v>
          </cell>
          <cell r="D628" t="str">
            <v>0001597892</v>
          </cell>
          <cell r="E628" t="str">
            <v>V9013946</v>
          </cell>
          <cell r="F628" t="str">
            <v>2023-05-23</v>
          </cell>
          <cell r="G628" t="str">
            <v>9999-12-31</v>
          </cell>
          <cell r="H628" t="str">
            <v>30</v>
          </cell>
        </row>
        <row r="629">
          <cell r="C629" t="str">
            <v>0041800751M</v>
          </cell>
          <cell r="D629" t="str">
            <v>0001644332</v>
          </cell>
          <cell r="E629" t="str">
            <v>V9013946</v>
          </cell>
          <cell r="F629" t="str">
            <v>2023-11-05</v>
          </cell>
          <cell r="G629" t="str">
            <v>9999-12-31</v>
          </cell>
          <cell r="H629" t="str">
            <v>30</v>
          </cell>
        </row>
        <row r="630">
          <cell r="C630" t="str">
            <v>0041800751A</v>
          </cell>
          <cell r="D630" t="str">
            <v>0001570492</v>
          </cell>
          <cell r="E630" t="str">
            <v>V9013946</v>
          </cell>
          <cell r="F630" t="str">
            <v>2023-02-15</v>
          </cell>
          <cell r="G630" t="str">
            <v>9999-12-31</v>
          </cell>
          <cell r="H630" t="str">
            <v>30</v>
          </cell>
        </row>
        <row r="631">
          <cell r="C631" t="str">
            <v>0041800693S</v>
          </cell>
          <cell r="D631" t="str">
            <v>0001621760</v>
          </cell>
          <cell r="E631" t="str">
            <v>V9013946</v>
          </cell>
          <cell r="F631" t="str">
            <v>2023-08-04</v>
          </cell>
          <cell r="G631" t="str">
            <v>9999-12-31</v>
          </cell>
          <cell r="H631" t="str">
            <v>30</v>
          </cell>
        </row>
        <row r="632">
          <cell r="C632" t="str">
            <v>0041800569BS</v>
          </cell>
          <cell r="D632" t="str">
            <v>0001621757</v>
          </cell>
          <cell r="E632" t="str">
            <v>V9013946</v>
          </cell>
          <cell r="F632" t="str">
            <v>2023-08-04</v>
          </cell>
          <cell r="G632" t="str">
            <v>9999-12-31</v>
          </cell>
          <cell r="H632" t="str">
            <v>30</v>
          </cell>
        </row>
        <row r="633">
          <cell r="C633" t="str">
            <v>0041800569B</v>
          </cell>
          <cell r="D633" t="str">
            <v>0001594934</v>
          </cell>
          <cell r="E633" t="str">
            <v>V9013946</v>
          </cell>
          <cell r="F633" t="str">
            <v>2023-05-12</v>
          </cell>
          <cell r="G633" t="str">
            <v>9999-12-31</v>
          </cell>
          <cell r="H633" t="str">
            <v>70</v>
          </cell>
        </row>
        <row r="634">
          <cell r="C634" t="str">
            <v>0011801583A</v>
          </cell>
          <cell r="D634" t="str">
            <v>0001737816</v>
          </cell>
          <cell r="E634" t="str">
            <v>V9013946</v>
          </cell>
          <cell r="F634" t="str">
            <v>2024-10-23</v>
          </cell>
          <cell r="G634" t="str">
            <v>9999-12-31</v>
          </cell>
          <cell r="H634" t="str">
            <v>50</v>
          </cell>
        </row>
        <row r="635">
          <cell r="C635" t="str">
            <v>0011801953</v>
          </cell>
          <cell r="D635" t="str">
            <v>0001735021</v>
          </cell>
          <cell r="E635" t="str">
            <v>V9013946</v>
          </cell>
          <cell r="F635" t="str">
            <v>2024-10-17</v>
          </cell>
          <cell r="G635" t="str">
            <v>9999-12-31</v>
          </cell>
          <cell r="H635" t="str">
            <v>70</v>
          </cell>
        </row>
        <row r="636">
          <cell r="C636" t="str">
            <v>0011801920</v>
          </cell>
          <cell r="D636" t="str">
            <v>0001732883</v>
          </cell>
          <cell r="E636" t="str">
            <v>V9013946</v>
          </cell>
          <cell r="F636" t="str">
            <v>2024-10-09</v>
          </cell>
          <cell r="G636" t="str">
            <v>9999-12-31</v>
          </cell>
          <cell r="H636" t="str">
            <v>30</v>
          </cell>
        </row>
        <row r="637">
          <cell r="C637" t="str">
            <v>0011801910</v>
          </cell>
          <cell r="D637" t="str">
            <v>0001783243</v>
          </cell>
          <cell r="E637" t="str">
            <v>V9013946</v>
          </cell>
          <cell r="F637" t="str">
            <v>2025-03-07</v>
          </cell>
          <cell r="G637" t="str">
            <v>9999-12-31</v>
          </cell>
          <cell r="H637" t="str">
            <v>30</v>
          </cell>
        </row>
        <row r="638">
          <cell r="C638" t="str">
            <v>0011801891</v>
          </cell>
          <cell r="D638" t="str">
            <v>0001781913</v>
          </cell>
          <cell r="E638" t="str">
            <v>V9013946</v>
          </cell>
          <cell r="F638" t="str">
            <v>2025-03-03</v>
          </cell>
          <cell r="G638" t="str">
            <v>9999-12-31</v>
          </cell>
          <cell r="H638" t="str">
            <v>30</v>
          </cell>
        </row>
        <row r="639">
          <cell r="C639" t="str">
            <v>0011800951B</v>
          </cell>
          <cell r="D639" t="str">
            <v>0001513424</v>
          </cell>
          <cell r="E639" t="str">
            <v>V9013946</v>
          </cell>
          <cell r="F639" t="str">
            <v>2022-07-13</v>
          </cell>
          <cell r="G639" t="str">
            <v>9999-12-31</v>
          </cell>
          <cell r="H639" t="str">
            <v>30</v>
          </cell>
        </row>
        <row r="640">
          <cell r="C640" t="str">
            <v>0040400451DS</v>
          </cell>
          <cell r="D640" t="str">
            <v>0001621751</v>
          </cell>
          <cell r="E640" t="str">
            <v>V9013946</v>
          </cell>
          <cell r="F640" t="str">
            <v>2023-08-04</v>
          </cell>
          <cell r="G640" t="str">
            <v>9999-12-31</v>
          </cell>
          <cell r="H640" t="str">
            <v>30</v>
          </cell>
        </row>
        <row r="641">
          <cell r="C641" t="str">
            <v>0041800773YS</v>
          </cell>
          <cell r="D641" t="str">
            <v>0001594234</v>
          </cell>
          <cell r="E641" t="str">
            <v>V9013946</v>
          </cell>
          <cell r="F641" t="str">
            <v>2023-05-11</v>
          </cell>
          <cell r="G641" t="str">
            <v>9999-12-31</v>
          </cell>
          <cell r="H641" t="str">
            <v>30</v>
          </cell>
        </row>
        <row r="642">
          <cell r="C642" t="str">
            <v>0041800773ABYS</v>
          </cell>
          <cell r="D642" t="str">
            <v>0001594230</v>
          </cell>
          <cell r="E642" t="str">
            <v>V9013946</v>
          </cell>
          <cell r="F642" t="str">
            <v>2023-05-11</v>
          </cell>
          <cell r="G642" t="str">
            <v>9999-12-31</v>
          </cell>
          <cell r="H642" t="str">
            <v>30</v>
          </cell>
        </row>
        <row r="643">
          <cell r="C643" t="str">
            <v>0041800773AB</v>
          </cell>
          <cell r="D643" t="str">
            <v>0001615780</v>
          </cell>
          <cell r="E643" t="str">
            <v>V9013946</v>
          </cell>
          <cell r="F643" t="str">
            <v>2023-07-08</v>
          </cell>
          <cell r="G643" t="str">
            <v>9999-12-31</v>
          </cell>
          <cell r="H643" t="str">
            <v>30</v>
          </cell>
        </row>
        <row r="644">
          <cell r="C644" t="str">
            <v>0041800773</v>
          </cell>
          <cell r="D644" t="str">
            <v>0001539049</v>
          </cell>
          <cell r="E644" t="str">
            <v>V9013946</v>
          </cell>
          <cell r="F644" t="str">
            <v>2022-10-01</v>
          </cell>
          <cell r="G644" t="str">
            <v>9999-12-31</v>
          </cell>
          <cell r="H644" t="str">
            <v>30</v>
          </cell>
        </row>
        <row r="645">
          <cell r="C645" t="str">
            <v>0041800751YS</v>
          </cell>
          <cell r="D645" t="str">
            <v>0001594226</v>
          </cell>
          <cell r="E645" t="str">
            <v>V9013946</v>
          </cell>
          <cell r="F645" t="str">
            <v>2023-05-11</v>
          </cell>
          <cell r="G645" t="str">
            <v>9999-12-31</v>
          </cell>
          <cell r="H645" t="str">
            <v>30</v>
          </cell>
        </row>
        <row r="646">
          <cell r="C646" t="str">
            <v>0041800751M</v>
          </cell>
          <cell r="D646" t="str">
            <v>0001644318</v>
          </cell>
          <cell r="E646" t="str">
            <v>V9013946</v>
          </cell>
          <cell r="F646" t="str">
            <v>2023-11-05</v>
          </cell>
          <cell r="G646" t="str">
            <v>9999-12-31</v>
          </cell>
          <cell r="H646" t="str">
            <v>30</v>
          </cell>
        </row>
        <row r="647">
          <cell r="C647" t="str">
            <v>0041800751A</v>
          </cell>
          <cell r="D647" t="str">
            <v>0001570482</v>
          </cell>
          <cell r="E647" t="str">
            <v>V9013946</v>
          </cell>
          <cell r="F647" t="str">
            <v>2023-02-15</v>
          </cell>
          <cell r="G647" t="str">
            <v>9999-12-31</v>
          </cell>
          <cell r="H647" t="str">
            <v>30</v>
          </cell>
        </row>
        <row r="648">
          <cell r="C648" t="str">
            <v>0041800751</v>
          </cell>
          <cell r="D648" t="str">
            <v>0001543693</v>
          </cell>
          <cell r="E648" t="str">
            <v>V9013946</v>
          </cell>
          <cell r="F648" t="str">
            <v>2022-10-24</v>
          </cell>
          <cell r="G648" t="str">
            <v>9999-12-31</v>
          </cell>
          <cell r="H648" t="str">
            <v>30</v>
          </cell>
        </row>
        <row r="649">
          <cell r="C649" t="str">
            <v>0041800693S</v>
          </cell>
          <cell r="D649" t="str">
            <v>0001621729</v>
          </cell>
          <cell r="E649" t="str">
            <v>V9013946</v>
          </cell>
          <cell r="F649" t="str">
            <v>2023-08-04</v>
          </cell>
          <cell r="G649" t="str">
            <v>9999-12-31</v>
          </cell>
          <cell r="H649" t="str">
            <v>30</v>
          </cell>
        </row>
        <row r="650">
          <cell r="C650" t="str">
            <v>0041800569BS</v>
          </cell>
          <cell r="D650" t="str">
            <v>0001621726</v>
          </cell>
          <cell r="E650" t="str">
            <v>V9013946</v>
          </cell>
          <cell r="F650" t="str">
            <v>2023-08-04</v>
          </cell>
          <cell r="G650" t="str">
            <v>9999-12-31</v>
          </cell>
          <cell r="H650" t="str">
            <v>30</v>
          </cell>
        </row>
        <row r="651">
          <cell r="C651" t="str">
            <v>0041800569B</v>
          </cell>
          <cell r="D651" t="str">
            <v>0001594737</v>
          </cell>
          <cell r="E651" t="str">
            <v>V9013946</v>
          </cell>
          <cell r="F651" t="str">
            <v>2023-05-12</v>
          </cell>
          <cell r="G651" t="str">
            <v>9999-12-31</v>
          </cell>
          <cell r="H651" t="str">
            <v>70</v>
          </cell>
        </row>
        <row r="652">
          <cell r="C652" t="str">
            <v>0040400451DS</v>
          </cell>
          <cell r="D652" t="str">
            <v>0001621724</v>
          </cell>
          <cell r="E652" t="str">
            <v>V9013946</v>
          </cell>
          <cell r="F652" t="str">
            <v>2023-08-04</v>
          </cell>
          <cell r="G652" t="str">
            <v>9999-12-31</v>
          </cell>
          <cell r="H652" t="str">
            <v>30</v>
          </cell>
        </row>
        <row r="653">
          <cell r="C653" t="str">
            <v>0011801583A</v>
          </cell>
          <cell r="D653" t="str">
            <v>0001806712</v>
          </cell>
          <cell r="E653" t="str">
            <v>V9013946</v>
          </cell>
          <cell r="F653" t="str">
            <v>2025-05-16</v>
          </cell>
          <cell r="G653" t="str">
            <v>9999-12-31</v>
          </cell>
          <cell r="H653" t="str">
            <v>10</v>
          </cell>
        </row>
        <row r="654">
          <cell r="C654" t="str">
            <v>0011801172S</v>
          </cell>
          <cell r="D654" t="str">
            <v>0001691568</v>
          </cell>
          <cell r="E654" t="str">
            <v>V9013946</v>
          </cell>
          <cell r="F654" t="str">
            <v>2024-04-28</v>
          </cell>
          <cell r="G654" t="str">
            <v>9999-12-31</v>
          </cell>
          <cell r="H654" t="str">
            <v>30</v>
          </cell>
        </row>
        <row r="655">
          <cell r="C655" t="str">
            <v>0011800970L</v>
          </cell>
          <cell r="D655" t="str">
            <v>0001415256</v>
          </cell>
          <cell r="E655" t="str">
            <v>V9013946</v>
          </cell>
          <cell r="F655" t="str">
            <v>2021-06-01</v>
          </cell>
          <cell r="G655" t="str">
            <v>9999-12-31</v>
          </cell>
          <cell r="H655" t="str">
            <v>10</v>
          </cell>
        </row>
        <row r="656">
          <cell r="C656" t="str">
            <v>0041800693S</v>
          </cell>
          <cell r="D656" t="str">
            <v>0001621748</v>
          </cell>
          <cell r="E656" t="str">
            <v>V9013946</v>
          </cell>
          <cell r="F656" t="str">
            <v>2023-08-04</v>
          </cell>
          <cell r="G656" t="str">
            <v>9999-12-31</v>
          </cell>
          <cell r="H656" t="str">
            <v>30</v>
          </cell>
        </row>
        <row r="657">
          <cell r="C657" t="str">
            <v>0011800387J</v>
          </cell>
          <cell r="D657" t="str">
            <v>0001590590</v>
          </cell>
          <cell r="E657" t="str">
            <v>V9013946</v>
          </cell>
          <cell r="F657" t="str">
            <v>2023-04-27</v>
          </cell>
          <cell r="G657" t="str">
            <v>9999-12-31</v>
          </cell>
          <cell r="H657" t="str">
            <v>30</v>
          </cell>
        </row>
        <row r="658">
          <cell r="C658" t="str">
            <v>0041800569BS</v>
          </cell>
          <cell r="D658" t="str">
            <v>0001621745</v>
          </cell>
          <cell r="E658" t="str">
            <v>V9013946</v>
          </cell>
          <cell r="F658" t="str">
            <v>2023-08-04</v>
          </cell>
          <cell r="G658" t="str">
            <v>9999-12-31</v>
          </cell>
          <cell r="H658" t="str">
            <v>30</v>
          </cell>
        </row>
        <row r="659">
          <cell r="C659" t="str">
            <v>0041800569B</v>
          </cell>
          <cell r="D659" t="str">
            <v>0001682452</v>
          </cell>
          <cell r="E659" t="str">
            <v>V9013946</v>
          </cell>
          <cell r="F659" t="str">
            <v>2024-03-28</v>
          </cell>
          <cell r="G659" t="str">
            <v>9999-12-31</v>
          </cell>
          <cell r="H659" t="str">
            <v>20</v>
          </cell>
        </row>
        <row r="660">
          <cell r="C660" t="str">
            <v>0040400451DS</v>
          </cell>
          <cell r="D660" t="str">
            <v>0001621744</v>
          </cell>
          <cell r="E660" t="str">
            <v>V9013946</v>
          </cell>
          <cell r="F660" t="str">
            <v>2023-08-04</v>
          </cell>
          <cell r="G660" t="str">
            <v>9999-12-31</v>
          </cell>
          <cell r="H660" t="str">
            <v>30</v>
          </cell>
        </row>
        <row r="661">
          <cell r="C661" t="str">
            <v>0041800811K</v>
          </cell>
          <cell r="D661" t="str">
            <v>0001609622</v>
          </cell>
          <cell r="E661" t="str">
            <v>V9013946</v>
          </cell>
          <cell r="F661" t="str">
            <v>2023-06-12</v>
          </cell>
          <cell r="G661" t="str">
            <v>9999-12-31</v>
          </cell>
          <cell r="H661" t="str">
            <v>70</v>
          </cell>
        </row>
        <row r="662">
          <cell r="C662" t="str">
            <v>0041800773YS</v>
          </cell>
          <cell r="D662" t="str">
            <v>0001594278</v>
          </cell>
          <cell r="E662" t="str">
            <v>V9013946</v>
          </cell>
          <cell r="F662" t="str">
            <v>2023-05-11</v>
          </cell>
          <cell r="G662" t="str">
            <v>9999-12-31</v>
          </cell>
          <cell r="H662" t="str">
            <v>30</v>
          </cell>
        </row>
        <row r="663">
          <cell r="C663" t="str">
            <v>0041800773AYS</v>
          </cell>
          <cell r="D663" t="str">
            <v>0001612282</v>
          </cell>
          <cell r="E663" t="str">
            <v>V9013946</v>
          </cell>
          <cell r="F663" t="str">
            <v>2023-06-20</v>
          </cell>
          <cell r="G663" t="str">
            <v>9999-12-31</v>
          </cell>
          <cell r="H663" t="str">
            <v>30</v>
          </cell>
        </row>
        <row r="664">
          <cell r="C664" t="str">
            <v>0041800773ABYS</v>
          </cell>
          <cell r="D664" t="str">
            <v>0001597046</v>
          </cell>
          <cell r="E664" t="str">
            <v>V9013946</v>
          </cell>
          <cell r="F664" t="str">
            <v>2023-05-18</v>
          </cell>
          <cell r="G664" t="str">
            <v>9999-12-31</v>
          </cell>
          <cell r="H664" t="str">
            <v>30</v>
          </cell>
        </row>
        <row r="665">
          <cell r="C665" t="str">
            <v>0041800773AB</v>
          </cell>
          <cell r="D665" t="str">
            <v>0001615813</v>
          </cell>
          <cell r="E665" t="str">
            <v>V9013946</v>
          </cell>
          <cell r="F665" t="str">
            <v>2023-07-08</v>
          </cell>
          <cell r="G665" t="str">
            <v>9999-12-31</v>
          </cell>
          <cell r="H665" t="str">
            <v>30</v>
          </cell>
        </row>
        <row r="666">
          <cell r="C666" t="str">
            <v>0041800773A</v>
          </cell>
          <cell r="D666" t="str">
            <v>0001616212</v>
          </cell>
          <cell r="E666" t="str">
            <v>V9013946</v>
          </cell>
          <cell r="F666" t="str">
            <v>2023-07-11</v>
          </cell>
          <cell r="G666" t="str">
            <v>9999-12-31</v>
          </cell>
          <cell r="H666" t="str">
            <v>30</v>
          </cell>
        </row>
        <row r="667">
          <cell r="C667" t="str">
            <v>0041800751A</v>
          </cell>
          <cell r="D667" t="str">
            <v>0001616228</v>
          </cell>
          <cell r="E667" t="str">
            <v>V9013946</v>
          </cell>
          <cell r="F667" t="str">
            <v>2023-07-11</v>
          </cell>
          <cell r="G667" t="str">
            <v>9999-12-31</v>
          </cell>
          <cell r="H667" t="str">
            <v>30</v>
          </cell>
        </row>
        <row r="668">
          <cell r="C668" t="str">
            <v>0041800693S</v>
          </cell>
          <cell r="D668" t="str">
            <v>0001621755</v>
          </cell>
          <cell r="E668" t="str">
            <v>V9013946</v>
          </cell>
          <cell r="F668" t="str">
            <v>2023-08-04</v>
          </cell>
          <cell r="G668" t="str">
            <v>9999-12-31</v>
          </cell>
          <cell r="H668" t="str">
            <v>30</v>
          </cell>
        </row>
        <row r="669">
          <cell r="C669" t="str">
            <v>0041800569BS</v>
          </cell>
          <cell r="D669" t="str">
            <v>0001621752</v>
          </cell>
          <cell r="E669" t="str">
            <v>V9013946</v>
          </cell>
          <cell r="F669" t="str">
            <v>2023-08-04</v>
          </cell>
          <cell r="G669" t="str">
            <v>9999-12-31</v>
          </cell>
          <cell r="H669" t="str">
            <v>30</v>
          </cell>
        </row>
        <row r="670">
          <cell r="C670" t="str">
            <v>0041800569B</v>
          </cell>
          <cell r="D670" t="str">
            <v>0001618038</v>
          </cell>
          <cell r="E670" t="str">
            <v>V9013946</v>
          </cell>
          <cell r="F670" t="str">
            <v>2023-07-20</v>
          </cell>
          <cell r="G670" t="str">
            <v>9999-12-31</v>
          </cell>
          <cell r="H670" t="str">
            <v>70</v>
          </cell>
        </row>
        <row r="671">
          <cell r="C671" t="str">
            <v>0011801720B</v>
          </cell>
          <cell r="D671" t="str">
            <v>0001653064</v>
          </cell>
          <cell r="E671" t="str">
            <v>V9013946</v>
          </cell>
          <cell r="F671" t="str">
            <v>2023-12-07</v>
          </cell>
          <cell r="G671" t="str">
            <v>9999-12-31</v>
          </cell>
          <cell r="H671" t="str">
            <v>100</v>
          </cell>
        </row>
        <row r="672">
          <cell r="C672" t="str">
            <v>0011801720A</v>
          </cell>
          <cell r="D672" t="str">
            <v>0001653063</v>
          </cell>
          <cell r="E672" t="str">
            <v>V9013946</v>
          </cell>
          <cell r="F672" t="str">
            <v>2023-12-07</v>
          </cell>
          <cell r="G672" t="str">
            <v>9999-12-31</v>
          </cell>
          <cell r="H672" t="str">
            <v>100</v>
          </cell>
        </row>
        <row r="673">
          <cell r="C673" t="str">
            <v>0011801720</v>
          </cell>
          <cell r="D673" t="str">
            <v>0001653062</v>
          </cell>
          <cell r="E673" t="str">
            <v>V9013946</v>
          </cell>
          <cell r="F673" t="str">
            <v>2023-12-07</v>
          </cell>
          <cell r="G673" t="str">
            <v>9999-12-31</v>
          </cell>
          <cell r="H673" t="str">
            <v>100</v>
          </cell>
        </row>
        <row r="674">
          <cell r="C674" t="str">
            <v>0011801640</v>
          </cell>
          <cell r="D674" t="str">
            <v>0001666680</v>
          </cell>
          <cell r="E674" t="str">
            <v>V9013946</v>
          </cell>
          <cell r="F674" t="str">
            <v>2024-01-23</v>
          </cell>
          <cell r="G674" t="str">
            <v>9999-12-31</v>
          </cell>
          <cell r="H674" t="str">
            <v>100</v>
          </cell>
        </row>
        <row r="675">
          <cell r="C675" t="str">
            <v>0011801036C</v>
          </cell>
          <cell r="D675" t="str">
            <v>0001529856</v>
          </cell>
          <cell r="E675" t="str">
            <v>V9013946</v>
          </cell>
          <cell r="F675" t="str">
            <v>2022-08-30</v>
          </cell>
          <cell r="G675" t="str">
            <v>9999-12-31</v>
          </cell>
          <cell r="H675" t="str">
            <v>100</v>
          </cell>
        </row>
        <row r="676">
          <cell r="C676" t="str">
            <v>0011801036A</v>
          </cell>
          <cell r="D676" t="str">
            <v>0001460196</v>
          </cell>
          <cell r="E676" t="str">
            <v>V9013946</v>
          </cell>
          <cell r="F676" t="str">
            <v>2022-01-04</v>
          </cell>
          <cell r="G676" t="str">
            <v>9999-12-31</v>
          </cell>
          <cell r="H676" t="str">
            <v>100</v>
          </cell>
        </row>
        <row r="677">
          <cell r="C677" t="str">
            <v>0011800607T</v>
          </cell>
          <cell r="D677" t="str">
            <v>0001646367</v>
          </cell>
          <cell r="E677" t="str">
            <v>V9013946</v>
          </cell>
          <cell r="F677" t="str">
            <v>2023-11-16</v>
          </cell>
          <cell r="G677" t="str">
            <v>9999-12-31</v>
          </cell>
          <cell r="H677" t="str">
            <v>100</v>
          </cell>
        </row>
        <row r="678">
          <cell r="C678" t="str">
            <v>0011800607S</v>
          </cell>
          <cell r="D678" t="str">
            <v>0001646365</v>
          </cell>
          <cell r="E678" t="str">
            <v>V9013946</v>
          </cell>
          <cell r="F678" t="str">
            <v>2023-11-16</v>
          </cell>
          <cell r="G678" t="str">
            <v>9999-12-31</v>
          </cell>
          <cell r="H678" t="str">
            <v>100</v>
          </cell>
        </row>
        <row r="679">
          <cell r="C679" t="str">
            <v>0011800607R</v>
          </cell>
          <cell r="D679" t="str">
            <v>0001512749</v>
          </cell>
          <cell r="E679" t="str">
            <v>V9013946</v>
          </cell>
          <cell r="F679" t="str">
            <v>2022-07-11</v>
          </cell>
          <cell r="G679" t="str">
            <v>9999-12-31</v>
          </cell>
          <cell r="H679" t="str">
            <v>100</v>
          </cell>
        </row>
        <row r="680">
          <cell r="C680" t="str">
            <v>0011801583A</v>
          </cell>
          <cell r="D680" t="str">
            <v>0001707768</v>
          </cell>
          <cell r="E680" t="str">
            <v>V9013946</v>
          </cell>
          <cell r="F680" t="str">
            <v>2024-07-03</v>
          </cell>
          <cell r="G680" t="str">
            <v>9999-12-31</v>
          </cell>
          <cell r="H680" t="str">
            <v>50</v>
          </cell>
        </row>
        <row r="681">
          <cell r="C681" t="str">
            <v>0011801172AG</v>
          </cell>
          <cell r="D681" t="str">
            <v>0001691560</v>
          </cell>
          <cell r="E681" t="str">
            <v>V9013946</v>
          </cell>
          <cell r="F681" t="str">
            <v>2024-04-28</v>
          </cell>
          <cell r="G681" t="str">
            <v>9999-12-31</v>
          </cell>
          <cell r="H681" t="str">
            <v>30</v>
          </cell>
        </row>
        <row r="682">
          <cell r="C682" t="str">
            <v>0011800970N</v>
          </cell>
          <cell r="D682" t="str">
            <v>0001509330</v>
          </cell>
          <cell r="E682" t="str">
            <v>V9013946</v>
          </cell>
          <cell r="F682" t="str">
            <v>2022-06-28</v>
          </cell>
          <cell r="G682" t="str">
            <v>9999-12-31</v>
          </cell>
          <cell r="H682" t="str">
            <v>50</v>
          </cell>
        </row>
        <row r="683">
          <cell r="C683" t="str">
            <v>0011800970M</v>
          </cell>
          <cell r="D683" t="str">
            <v>0001601376</v>
          </cell>
          <cell r="E683" t="str">
            <v>V9013946</v>
          </cell>
          <cell r="F683" t="str">
            <v>2023-05-31</v>
          </cell>
          <cell r="G683" t="str">
            <v>9999-12-31</v>
          </cell>
          <cell r="H683" t="str">
            <v>10</v>
          </cell>
        </row>
        <row r="684">
          <cell r="C684" t="str">
            <v>0011800970L</v>
          </cell>
          <cell r="D684" t="str">
            <v>0001601374</v>
          </cell>
          <cell r="E684" t="str">
            <v>V9013946</v>
          </cell>
          <cell r="F684" t="str">
            <v>2023-05-31</v>
          </cell>
          <cell r="G684" t="str">
            <v>9999-12-31</v>
          </cell>
          <cell r="H684" t="str">
            <v>10</v>
          </cell>
        </row>
        <row r="685">
          <cell r="C685" t="str">
            <v>0011800970G</v>
          </cell>
          <cell r="D685" t="str">
            <v>0001606814</v>
          </cell>
          <cell r="E685" t="str">
            <v>V9013946</v>
          </cell>
          <cell r="F685" t="str">
            <v>2023-06-02</v>
          </cell>
          <cell r="G685" t="str">
            <v>9999-12-31</v>
          </cell>
          <cell r="H685" t="str">
            <v>10</v>
          </cell>
        </row>
        <row r="686">
          <cell r="C686" t="str">
            <v>0011800970AB</v>
          </cell>
          <cell r="D686" t="str">
            <v>0001465018</v>
          </cell>
          <cell r="E686" t="str">
            <v>V9013946</v>
          </cell>
          <cell r="F686" t="str">
            <v>2022-02-09</v>
          </cell>
          <cell r="G686" t="str">
            <v>9999-12-31</v>
          </cell>
          <cell r="H686" t="str">
            <v>20</v>
          </cell>
        </row>
        <row r="687">
          <cell r="C687" t="str">
            <v>0011800932E</v>
          </cell>
          <cell r="D687" t="str">
            <v>0001284287</v>
          </cell>
          <cell r="E687" t="str">
            <v>V9013946</v>
          </cell>
          <cell r="F687" t="str">
            <v>2020-05-22</v>
          </cell>
          <cell r="G687" t="str">
            <v>9999-12-31</v>
          </cell>
          <cell r="H687" t="str">
            <v>30</v>
          </cell>
        </row>
        <row r="688">
          <cell r="C688" t="str">
            <v>0011800387J</v>
          </cell>
          <cell r="D688" t="str">
            <v>0001601138</v>
          </cell>
          <cell r="E688" t="str">
            <v>V9013946</v>
          </cell>
          <cell r="F688" t="str">
            <v>2023-05-31</v>
          </cell>
          <cell r="G688" t="str">
            <v>9999-12-31</v>
          </cell>
          <cell r="H688" t="str">
            <v>30</v>
          </cell>
        </row>
        <row r="689">
          <cell r="C689" t="str">
            <v>0011800387D</v>
          </cell>
          <cell r="D689" t="str">
            <v>0001635804</v>
          </cell>
          <cell r="E689" t="str">
            <v>V9013946</v>
          </cell>
          <cell r="F689" t="str">
            <v>2023-09-26</v>
          </cell>
          <cell r="G689" t="str">
            <v>9999-12-31</v>
          </cell>
          <cell r="H689" t="str">
            <v>30</v>
          </cell>
        </row>
        <row r="690">
          <cell r="C690" t="str">
            <v>0011801429</v>
          </cell>
          <cell r="D690" t="str">
            <v>0001471002</v>
          </cell>
          <cell r="E690" t="str">
            <v>V9013946</v>
          </cell>
          <cell r="F690" t="str">
            <v>2022-03-14</v>
          </cell>
          <cell r="G690" t="str">
            <v>9999-12-31</v>
          </cell>
          <cell r="H690" t="str">
            <v>100</v>
          </cell>
        </row>
        <row r="691">
          <cell r="C691" t="str">
            <v>0011801037A</v>
          </cell>
          <cell r="D691" t="str">
            <v>0001488672</v>
          </cell>
          <cell r="E691" t="str">
            <v>V9013946</v>
          </cell>
          <cell r="F691" t="str">
            <v>2022-05-10</v>
          </cell>
          <cell r="G691" t="str">
            <v>9999-12-31</v>
          </cell>
          <cell r="H691" t="str">
            <v>100</v>
          </cell>
        </row>
        <row r="692">
          <cell r="C692" t="str">
            <v>0011801036B</v>
          </cell>
          <cell r="D692" t="str">
            <v>0001533752</v>
          </cell>
          <cell r="E692" t="str">
            <v>V9013946</v>
          </cell>
          <cell r="F692" t="str">
            <v>2022-09-14</v>
          </cell>
          <cell r="G692" t="str">
            <v>9999-12-31</v>
          </cell>
          <cell r="H692" t="str">
            <v>100</v>
          </cell>
        </row>
        <row r="693">
          <cell r="C693" t="str">
            <v>0011801036</v>
          </cell>
          <cell r="D693" t="str">
            <v>0001431761</v>
          </cell>
          <cell r="E693" t="str">
            <v>V9013946</v>
          </cell>
          <cell r="F693" t="str">
            <v>2021-08-14</v>
          </cell>
          <cell r="G693" t="str">
            <v>9999-12-31</v>
          </cell>
          <cell r="H693" t="str">
            <v>100</v>
          </cell>
        </row>
        <row r="694">
          <cell r="C694" t="str">
            <v>0011800950G</v>
          </cell>
          <cell r="D694" t="str">
            <v>0001521176</v>
          </cell>
          <cell r="E694" t="str">
            <v>V9013946</v>
          </cell>
          <cell r="F694" t="str">
            <v>2022-08-04</v>
          </cell>
          <cell r="G694" t="str">
            <v>9999-12-31</v>
          </cell>
          <cell r="H694" t="str">
            <v>100</v>
          </cell>
        </row>
        <row r="695">
          <cell r="C695" t="str">
            <v>0011800950F</v>
          </cell>
          <cell r="D695" t="str">
            <v>0001521175</v>
          </cell>
          <cell r="E695" t="str">
            <v>V9013946</v>
          </cell>
          <cell r="F695" t="str">
            <v>2022-08-04</v>
          </cell>
          <cell r="G695" t="str">
            <v>9999-12-31</v>
          </cell>
          <cell r="H695" t="str">
            <v>100</v>
          </cell>
        </row>
        <row r="696">
          <cell r="C696" t="str">
            <v>0011800950E</v>
          </cell>
          <cell r="D696" t="str">
            <v>0001464232</v>
          </cell>
          <cell r="E696" t="str">
            <v>V9013946</v>
          </cell>
          <cell r="F696" t="str">
            <v>2022-01-24</v>
          </cell>
          <cell r="G696" t="str">
            <v>9999-12-31</v>
          </cell>
          <cell r="H696" t="str">
            <v>100</v>
          </cell>
        </row>
        <row r="697">
          <cell r="C697" t="str">
            <v>0011800950D</v>
          </cell>
          <cell r="D697" t="str">
            <v>0001458042</v>
          </cell>
          <cell r="E697" t="str">
            <v>V9013946</v>
          </cell>
          <cell r="F697" t="str">
            <v>2021-12-25</v>
          </cell>
          <cell r="G697" t="str">
            <v>9999-12-31</v>
          </cell>
          <cell r="H697" t="str">
            <v>100</v>
          </cell>
        </row>
        <row r="698">
          <cell r="C698" t="str">
            <v>0190400415D</v>
          </cell>
          <cell r="D698" t="str">
            <v>0001680137</v>
          </cell>
          <cell r="E698" t="str">
            <v>V9013946</v>
          </cell>
          <cell r="F698" t="str">
            <v>2024-03-21</v>
          </cell>
          <cell r="G698" t="str">
            <v>9999-12-31</v>
          </cell>
          <cell r="H698" t="str">
            <v>100</v>
          </cell>
        </row>
        <row r="699">
          <cell r="C699" t="str">
            <v>0190400415A</v>
          </cell>
          <cell r="D699" t="str">
            <v>0001532983</v>
          </cell>
          <cell r="E699" t="str">
            <v>V9013946</v>
          </cell>
          <cell r="F699" t="str">
            <v>2022-09-09</v>
          </cell>
          <cell r="G699" t="str">
            <v>9999-12-31</v>
          </cell>
          <cell r="H699" t="str">
            <v>100</v>
          </cell>
        </row>
        <row r="700">
          <cell r="C700" t="str">
            <v>0190400415</v>
          </cell>
          <cell r="D700" t="str">
            <v>0001532982</v>
          </cell>
          <cell r="E700" t="str">
            <v>V9013946</v>
          </cell>
          <cell r="F700" t="str">
            <v>2022-09-09</v>
          </cell>
          <cell r="G700" t="str">
            <v>9999-12-31</v>
          </cell>
          <cell r="H700" t="str">
            <v>100</v>
          </cell>
        </row>
        <row r="701">
          <cell r="C701" t="str">
            <v>0190400359B</v>
          </cell>
          <cell r="D701" t="str">
            <v>0001661734</v>
          </cell>
          <cell r="E701" t="str">
            <v>V9013946</v>
          </cell>
          <cell r="F701" t="str">
            <v>2024-01-05</v>
          </cell>
          <cell r="G701" t="str">
            <v>9999-12-31</v>
          </cell>
          <cell r="H701" t="str">
            <v>100</v>
          </cell>
        </row>
        <row r="702">
          <cell r="C702" t="str">
            <v>0190400359AC</v>
          </cell>
          <cell r="D702" t="str">
            <v>0001772733</v>
          </cell>
          <cell r="E702" t="str">
            <v>V9013946</v>
          </cell>
          <cell r="F702" t="str">
            <v>2025-01-22</v>
          </cell>
          <cell r="G702" t="str">
            <v>9999-12-31</v>
          </cell>
          <cell r="H702" t="str">
            <v>100</v>
          </cell>
        </row>
        <row r="703">
          <cell r="C703" t="str">
            <v>0190400359AB</v>
          </cell>
          <cell r="D703" t="str">
            <v>0001772732</v>
          </cell>
          <cell r="E703" t="str">
            <v>V9013946</v>
          </cell>
          <cell r="F703" t="str">
            <v>2025-01-22</v>
          </cell>
          <cell r="G703" t="str">
            <v>9999-12-31</v>
          </cell>
          <cell r="H703" t="str">
            <v>100</v>
          </cell>
        </row>
        <row r="704">
          <cell r="C704" t="str">
            <v>0190400359A</v>
          </cell>
          <cell r="D704" t="str">
            <v>0001563989</v>
          </cell>
          <cell r="E704" t="str">
            <v>V9013946</v>
          </cell>
          <cell r="F704" t="str">
            <v>2023-01-13</v>
          </cell>
          <cell r="G704" t="str">
            <v>9999-12-31</v>
          </cell>
          <cell r="H704" t="str">
            <v>100</v>
          </cell>
        </row>
        <row r="705">
          <cell r="C705" t="str">
            <v>0190400359</v>
          </cell>
          <cell r="D705" t="str">
            <v>0001538515</v>
          </cell>
          <cell r="E705" t="str">
            <v>V9013946</v>
          </cell>
          <cell r="F705" t="str">
            <v>2022-09-29</v>
          </cell>
          <cell r="G705" t="str">
            <v>9999-12-31</v>
          </cell>
          <cell r="H705" t="str">
            <v>100</v>
          </cell>
        </row>
        <row r="706">
          <cell r="C706" t="str">
            <v>0190400348</v>
          </cell>
          <cell r="D706" t="str">
            <v>0001466518</v>
          </cell>
          <cell r="E706" t="str">
            <v>V9013946</v>
          </cell>
          <cell r="F706" t="str">
            <v>2022-02-23</v>
          </cell>
          <cell r="G706" t="str">
            <v>9999-12-31</v>
          </cell>
          <cell r="H706" t="str">
            <v>100</v>
          </cell>
        </row>
        <row r="707">
          <cell r="C707" t="str">
            <v>0190400223</v>
          </cell>
          <cell r="D707" t="str">
            <v>0001430317</v>
          </cell>
          <cell r="E707" t="str">
            <v>V9013946</v>
          </cell>
          <cell r="F707" t="str">
            <v>2021-08-09</v>
          </cell>
          <cell r="G707" t="str">
            <v>9999-12-31</v>
          </cell>
          <cell r="H707" t="str">
            <v>100</v>
          </cell>
        </row>
        <row r="708">
          <cell r="C708" t="str">
            <v>0190400113L</v>
          </cell>
          <cell r="D708" t="str">
            <v>0001525066</v>
          </cell>
          <cell r="E708" t="str">
            <v>V9013946</v>
          </cell>
          <cell r="F708" t="str">
            <v>2022-08-25</v>
          </cell>
          <cell r="G708" t="str">
            <v>9999-12-31</v>
          </cell>
          <cell r="H708" t="str">
            <v>100</v>
          </cell>
        </row>
        <row r="709">
          <cell r="C709" t="str">
            <v>0190400113JK</v>
          </cell>
          <cell r="D709" t="str">
            <v>0001388312</v>
          </cell>
          <cell r="E709" t="str">
            <v>V9013946</v>
          </cell>
          <cell r="F709" t="str">
            <v>2021-02-25</v>
          </cell>
          <cell r="G709" t="str">
            <v>9999-12-31</v>
          </cell>
          <cell r="H709" t="str">
            <v>100</v>
          </cell>
        </row>
        <row r="710">
          <cell r="C710" t="str">
            <v>0190400113B</v>
          </cell>
          <cell r="D710" t="str">
            <v>0001417799</v>
          </cell>
          <cell r="E710" t="str">
            <v>V9013946</v>
          </cell>
          <cell r="F710" t="str">
            <v>2021-06-11</v>
          </cell>
          <cell r="G710" t="str">
            <v>9999-12-31</v>
          </cell>
          <cell r="H710" t="str">
            <v>100</v>
          </cell>
        </row>
        <row r="711">
          <cell r="C711" t="str">
            <v>0190400112JK</v>
          </cell>
          <cell r="D711" t="str">
            <v>0001388311</v>
          </cell>
          <cell r="E711" t="str">
            <v>V9013946</v>
          </cell>
          <cell r="F711" t="str">
            <v>2021-02-25</v>
          </cell>
          <cell r="G711" t="str">
            <v>9999-12-31</v>
          </cell>
          <cell r="H711" t="str">
            <v>100</v>
          </cell>
        </row>
        <row r="712">
          <cell r="C712" t="str">
            <v>0190400112B</v>
          </cell>
          <cell r="D712" t="str">
            <v>0001417798</v>
          </cell>
          <cell r="E712" t="str">
            <v>V9013946</v>
          </cell>
          <cell r="F712" t="str">
            <v>2021-06-11</v>
          </cell>
          <cell r="G712" t="str">
            <v>9999-12-31</v>
          </cell>
          <cell r="H712" t="str">
            <v>100</v>
          </cell>
        </row>
        <row r="713">
          <cell r="C713" t="str">
            <v>0190400102C</v>
          </cell>
          <cell r="D713" t="str">
            <v>0001473462</v>
          </cell>
          <cell r="E713" t="str">
            <v>V9013946</v>
          </cell>
          <cell r="F713" t="str">
            <v>2022-03-25</v>
          </cell>
          <cell r="G713" t="str">
            <v>9999-12-31</v>
          </cell>
          <cell r="H713" t="str">
            <v>100</v>
          </cell>
        </row>
        <row r="714">
          <cell r="C714" t="str">
            <v>0190400102B</v>
          </cell>
          <cell r="D714" t="str">
            <v>0001440074</v>
          </cell>
          <cell r="E714" t="str">
            <v>V9013946</v>
          </cell>
          <cell r="F714" t="str">
            <v>2021-09-30</v>
          </cell>
          <cell r="G714" t="str">
            <v>9999-12-31</v>
          </cell>
          <cell r="H714" t="str">
            <v>100</v>
          </cell>
        </row>
        <row r="715">
          <cell r="C715" t="str">
            <v>0190400002JK</v>
          </cell>
          <cell r="D715" t="str">
            <v>0001326922</v>
          </cell>
          <cell r="E715" t="str">
            <v>V9013946</v>
          </cell>
          <cell r="F715" t="str">
            <v>2020-08-05</v>
          </cell>
          <cell r="G715" t="str">
            <v>9999-12-31</v>
          </cell>
          <cell r="H715" t="str">
            <v>100</v>
          </cell>
        </row>
        <row r="716">
          <cell r="C716" t="str">
            <v>0041800751AD</v>
          </cell>
          <cell r="D716" t="str">
            <v>0001684840</v>
          </cell>
          <cell r="E716" t="str">
            <v>V9013946</v>
          </cell>
          <cell r="F716" t="str">
            <v>2024-04-07</v>
          </cell>
          <cell r="G716" t="str">
            <v>9999-12-31</v>
          </cell>
          <cell r="H716" t="str">
            <v>100</v>
          </cell>
        </row>
        <row r="717">
          <cell r="C717" t="str">
            <v>0190400415E</v>
          </cell>
          <cell r="D717" t="str">
            <v>0001695751</v>
          </cell>
          <cell r="E717" t="str">
            <v>V9013946</v>
          </cell>
          <cell r="F717" t="str">
            <v>2024-05-15</v>
          </cell>
          <cell r="G717" t="str">
            <v>9999-12-31</v>
          </cell>
          <cell r="H717" t="str">
            <v>100</v>
          </cell>
        </row>
        <row r="718">
          <cell r="C718" t="str">
            <v>0190400415C</v>
          </cell>
          <cell r="D718" t="str">
            <v>0001679160</v>
          </cell>
          <cell r="E718" t="str">
            <v>V9013946</v>
          </cell>
          <cell r="F718" t="str">
            <v>2024-03-19</v>
          </cell>
          <cell r="G718" t="str">
            <v>9999-12-31</v>
          </cell>
          <cell r="H718" t="str">
            <v>100</v>
          </cell>
        </row>
        <row r="719">
          <cell r="C719" t="str">
            <v>0190400415B</v>
          </cell>
          <cell r="D719" t="str">
            <v>0001608640</v>
          </cell>
          <cell r="E719" t="str">
            <v>V9013946</v>
          </cell>
          <cell r="F719" t="str">
            <v>2023-06-07</v>
          </cell>
          <cell r="G719" t="str">
            <v>9999-12-31</v>
          </cell>
          <cell r="H719" t="str">
            <v>100</v>
          </cell>
        </row>
        <row r="720">
          <cell r="C720" t="str">
            <v>0190400415AB</v>
          </cell>
          <cell r="D720" t="str">
            <v>0001739575</v>
          </cell>
          <cell r="E720" t="str">
            <v>V9013946</v>
          </cell>
          <cell r="F720" t="str">
            <v>2024-10-29</v>
          </cell>
          <cell r="G720" t="str">
            <v>9999-12-31</v>
          </cell>
          <cell r="H720" t="str">
            <v>100</v>
          </cell>
        </row>
        <row r="721">
          <cell r="C721" t="str">
            <v>0190400415AA</v>
          </cell>
          <cell r="D721" t="str">
            <v>0001739574</v>
          </cell>
          <cell r="E721" t="str">
            <v>V9013946</v>
          </cell>
          <cell r="F721" t="str">
            <v>2024-10-29</v>
          </cell>
          <cell r="G721" t="str">
            <v>9999-12-31</v>
          </cell>
          <cell r="H721" t="str">
            <v>100</v>
          </cell>
        </row>
        <row r="722">
          <cell r="C722" t="str">
            <v>0190400286A</v>
          </cell>
          <cell r="D722" t="str">
            <v>0001623283</v>
          </cell>
          <cell r="E722" t="str">
            <v>V9013946</v>
          </cell>
          <cell r="F722" t="str">
            <v>2023-08-10</v>
          </cell>
          <cell r="G722" t="str">
            <v>9999-12-31</v>
          </cell>
          <cell r="H722" t="str">
            <v>100</v>
          </cell>
        </row>
        <row r="723">
          <cell r="C723" t="str">
            <v>0190400174</v>
          </cell>
          <cell r="D723" t="str">
            <v>0001407027</v>
          </cell>
          <cell r="E723" t="str">
            <v>V9013946</v>
          </cell>
          <cell r="F723" t="str">
            <v>2021-05-14</v>
          </cell>
          <cell r="G723" t="str">
            <v>9999-12-31</v>
          </cell>
          <cell r="H723" t="str">
            <v>100</v>
          </cell>
        </row>
        <row r="724">
          <cell r="C724" t="str">
            <v>0190400173</v>
          </cell>
          <cell r="D724" t="str">
            <v>0001407026</v>
          </cell>
          <cell r="E724" t="str">
            <v>V9013946</v>
          </cell>
          <cell r="F724" t="str">
            <v>2021-05-14</v>
          </cell>
          <cell r="G724" t="str">
            <v>9999-12-31</v>
          </cell>
          <cell r="H724" t="str">
            <v>100</v>
          </cell>
        </row>
        <row r="725">
          <cell r="C725" t="str">
            <v>0190400172JK</v>
          </cell>
          <cell r="D725" t="str">
            <v>0001426307</v>
          </cell>
          <cell r="E725" t="str">
            <v>V9013946</v>
          </cell>
          <cell r="F725" t="str">
            <v>2021-07-20</v>
          </cell>
          <cell r="G725" t="str">
            <v>9999-12-31</v>
          </cell>
          <cell r="H725" t="str">
            <v>100</v>
          </cell>
        </row>
        <row r="726">
          <cell r="C726" t="str">
            <v>0190400172</v>
          </cell>
          <cell r="D726" t="str">
            <v>0001407025</v>
          </cell>
          <cell r="E726" t="str">
            <v>V9013946</v>
          </cell>
          <cell r="F726" t="str">
            <v>2021-05-14</v>
          </cell>
          <cell r="G726" t="str">
            <v>9999-12-31</v>
          </cell>
          <cell r="H726" t="str">
            <v>100</v>
          </cell>
        </row>
        <row r="727">
          <cell r="C727" t="str">
            <v>0190400169</v>
          </cell>
          <cell r="D727" t="str">
            <v>0001407024</v>
          </cell>
          <cell r="E727" t="str">
            <v>V9013946</v>
          </cell>
          <cell r="F727" t="str">
            <v>2021-05-14</v>
          </cell>
          <cell r="G727" t="str">
            <v>9999-12-31</v>
          </cell>
          <cell r="H727" t="str">
            <v>100</v>
          </cell>
        </row>
        <row r="728">
          <cell r="C728" t="str">
            <v>0190400164</v>
          </cell>
          <cell r="D728" t="str">
            <v>0001396565</v>
          </cell>
          <cell r="E728" t="str">
            <v>V9013946</v>
          </cell>
          <cell r="F728" t="str">
            <v>2021-03-31</v>
          </cell>
          <cell r="G728" t="str">
            <v>9999-12-31</v>
          </cell>
          <cell r="H728" t="str">
            <v>100</v>
          </cell>
        </row>
        <row r="729">
          <cell r="C729" t="str">
            <v>0190400127</v>
          </cell>
          <cell r="D729" t="str">
            <v>0001372791</v>
          </cell>
          <cell r="E729" t="str">
            <v>V9013946</v>
          </cell>
          <cell r="F729" t="str">
            <v>2020-12-22</v>
          </cell>
          <cell r="G729" t="str">
            <v>9999-12-31</v>
          </cell>
          <cell r="H729" t="str">
            <v>100</v>
          </cell>
        </row>
        <row r="730">
          <cell r="C730" t="str">
            <v>0190400113K</v>
          </cell>
          <cell r="D730" t="str">
            <v>0001439214</v>
          </cell>
          <cell r="E730" t="str">
            <v>V9013946</v>
          </cell>
          <cell r="F730" t="str">
            <v>2021-09-28</v>
          </cell>
          <cell r="G730" t="str">
            <v>9999-12-31</v>
          </cell>
          <cell r="H730" t="str">
            <v>100</v>
          </cell>
        </row>
        <row r="731">
          <cell r="C731" t="str">
            <v>0190400113J</v>
          </cell>
          <cell r="D731" t="str">
            <v>0001439213</v>
          </cell>
          <cell r="E731" t="str">
            <v>V9013946</v>
          </cell>
          <cell r="F731" t="str">
            <v>2021-09-28</v>
          </cell>
          <cell r="G731" t="str">
            <v>9999-12-31</v>
          </cell>
          <cell r="H731" t="str">
            <v>100</v>
          </cell>
        </row>
        <row r="732">
          <cell r="C732" t="str">
            <v>0190400113H</v>
          </cell>
          <cell r="D732" t="str">
            <v>0001439212</v>
          </cell>
          <cell r="E732" t="str">
            <v>V9013946</v>
          </cell>
          <cell r="F732" t="str">
            <v>2021-09-28</v>
          </cell>
          <cell r="G732" t="str">
            <v>9999-12-31</v>
          </cell>
          <cell r="H732" t="str">
            <v>100</v>
          </cell>
        </row>
        <row r="733">
          <cell r="C733" t="str">
            <v>0190400113G</v>
          </cell>
          <cell r="D733" t="str">
            <v>0001439211</v>
          </cell>
          <cell r="E733" t="str">
            <v>V9013946</v>
          </cell>
          <cell r="F733" t="str">
            <v>2021-09-28</v>
          </cell>
          <cell r="G733" t="str">
            <v>9999-12-31</v>
          </cell>
          <cell r="H733" t="str">
            <v>100</v>
          </cell>
        </row>
        <row r="734">
          <cell r="C734" t="str">
            <v>0190400113F</v>
          </cell>
          <cell r="D734" t="str">
            <v>0001439200</v>
          </cell>
          <cell r="E734" t="str">
            <v>V9013946</v>
          </cell>
          <cell r="F734" t="str">
            <v>2021-09-28</v>
          </cell>
          <cell r="G734" t="str">
            <v>9999-12-31</v>
          </cell>
          <cell r="H734" t="str">
            <v>100</v>
          </cell>
        </row>
        <row r="735">
          <cell r="C735" t="str">
            <v>0190400113E</v>
          </cell>
          <cell r="D735" t="str">
            <v>0001407023</v>
          </cell>
          <cell r="E735" t="str">
            <v>V9013946</v>
          </cell>
          <cell r="F735" t="str">
            <v>2021-05-14</v>
          </cell>
          <cell r="G735" t="str">
            <v>9999-12-31</v>
          </cell>
          <cell r="H735" t="str">
            <v>100</v>
          </cell>
        </row>
        <row r="736">
          <cell r="C736" t="str">
            <v>0190400113D</v>
          </cell>
          <cell r="D736" t="str">
            <v>0001407022</v>
          </cell>
          <cell r="E736" t="str">
            <v>V9013946</v>
          </cell>
          <cell r="F736" t="str">
            <v>2021-05-14</v>
          </cell>
          <cell r="G736" t="str">
            <v>9999-12-31</v>
          </cell>
          <cell r="H736" t="str">
            <v>100</v>
          </cell>
        </row>
        <row r="737">
          <cell r="C737" t="str">
            <v>0190400113</v>
          </cell>
          <cell r="D737" t="str">
            <v>0001353686</v>
          </cell>
          <cell r="E737" t="str">
            <v>V9013946</v>
          </cell>
          <cell r="F737" t="str">
            <v>2020-11-23</v>
          </cell>
          <cell r="G737" t="str">
            <v>9999-12-31</v>
          </cell>
          <cell r="H737" t="str">
            <v>100</v>
          </cell>
        </row>
        <row r="738">
          <cell r="C738" t="str">
            <v>0190400112E</v>
          </cell>
          <cell r="D738" t="str">
            <v>0001407021</v>
          </cell>
          <cell r="E738" t="str">
            <v>V9013946</v>
          </cell>
          <cell r="F738" t="str">
            <v>2021-05-14</v>
          </cell>
          <cell r="G738" t="str">
            <v>9999-12-31</v>
          </cell>
          <cell r="H738" t="str">
            <v>100</v>
          </cell>
        </row>
        <row r="739">
          <cell r="C739" t="str">
            <v>0190400112D</v>
          </cell>
          <cell r="D739" t="str">
            <v>0001407020</v>
          </cell>
          <cell r="E739" t="str">
            <v>V9013946</v>
          </cell>
          <cell r="F739" t="str">
            <v>2021-05-14</v>
          </cell>
          <cell r="G739" t="str">
            <v>9999-12-31</v>
          </cell>
          <cell r="H739" t="str">
            <v>100</v>
          </cell>
        </row>
        <row r="740">
          <cell r="C740" t="str">
            <v>0190400112</v>
          </cell>
          <cell r="D740" t="str">
            <v>0001353685</v>
          </cell>
          <cell r="E740" t="str">
            <v>V9013946</v>
          </cell>
          <cell r="F740" t="str">
            <v>2020-11-23</v>
          </cell>
          <cell r="G740" t="str">
            <v>9999-12-31</v>
          </cell>
          <cell r="H740" t="str">
            <v>100</v>
          </cell>
        </row>
        <row r="741">
          <cell r="C741" t="str">
            <v>0190400105</v>
          </cell>
          <cell r="D741" t="str">
            <v>0001361748</v>
          </cell>
          <cell r="E741" t="str">
            <v>V9013946</v>
          </cell>
          <cell r="F741" t="str">
            <v>2020-12-22</v>
          </cell>
          <cell r="G741" t="str">
            <v>9999-12-31</v>
          </cell>
          <cell r="H741" t="str">
            <v>100</v>
          </cell>
        </row>
        <row r="742">
          <cell r="C742" t="str">
            <v>0190400103</v>
          </cell>
          <cell r="D742" t="str">
            <v>0001361747</v>
          </cell>
          <cell r="E742" t="str">
            <v>V9013946</v>
          </cell>
          <cell r="F742" t="str">
            <v>2020-12-22</v>
          </cell>
          <cell r="G742" t="str">
            <v>9999-12-31</v>
          </cell>
          <cell r="H742" t="str">
            <v>100</v>
          </cell>
        </row>
        <row r="743">
          <cell r="C743" t="str">
            <v>0190400102A</v>
          </cell>
          <cell r="D743" t="str">
            <v>0001396601</v>
          </cell>
          <cell r="E743" t="str">
            <v>V9013946</v>
          </cell>
          <cell r="F743" t="str">
            <v>2021-03-31</v>
          </cell>
          <cell r="G743" t="str">
            <v>9999-12-31</v>
          </cell>
          <cell r="H743" t="str">
            <v>100</v>
          </cell>
        </row>
        <row r="744">
          <cell r="C744" t="str">
            <v>0190400102</v>
          </cell>
          <cell r="D744" t="str">
            <v>0001361746</v>
          </cell>
          <cell r="E744" t="str">
            <v>V9013946</v>
          </cell>
          <cell r="F744" t="str">
            <v>2020-12-22</v>
          </cell>
          <cell r="G744" t="str">
            <v>9999-12-31</v>
          </cell>
          <cell r="H744" t="str">
            <v>100</v>
          </cell>
        </row>
        <row r="745">
          <cell r="C745" t="str">
            <v>0190400286</v>
          </cell>
          <cell r="D745" t="str">
            <v>0001464410</v>
          </cell>
          <cell r="E745" t="str">
            <v>V9013946</v>
          </cell>
          <cell r="F745" t="str">
            <v>2022-01-25</v>
          </cell>
          <cell r="G745" t="str">
            <v>9999-12-31</v>
          </cell>
          <cell r="H745" t="str">
            <v>100</v>
          </cell>
        </row>
        <row r="746">
          <cell r="C746" t="str">
            <v>0190400174A</v>
          </cell>
          <cell r="D746" t="str">
            <v>0001417254</v>
          </cell>
          <cell r="E746" t="str">
            <v>V9013946</v>
          </cell>
          <cell r="F746" t="str">
            <v>2021-06-09</v>
          </cell>
          <cell r="G746" t="str">
            <v>9999-12-31</v>
          </cell>
          <cell r="H746" t="str">
            <v>100</v>
          </cell>
        </row>
        <row r="747">
          <cell r="C747" t="str">
            <v>0190400173A</v>
          </cell>
          <cell r="D747" t="str">
            <v>0001417253</v>
          </cell>
          <cell r="E747" t="str">
            <v>V9013946</v>
          </cell>
          <cell r="F747" t="str">
            <v>2021-06-09</v>
          </cell>
          <cell r="G747" t="str">
            <v>9999-12-31</v>
          </cell>
          <cell r="H747" t="str">
            <v>100</v>
          </cell>
        </row>
        <row r="748">
          <cell r="C748" t="str">
            <v>0190400169A</v>
          </cell>
          <cell r="D748" t="str">
            <v>0001417252</v>
          </cell>
          <cell r="E748" t="str">
            <v>V9013946</v>
          </cell>
          <cell r="F748" t="str">
            <v>2021-06-09</v>
          </cell>
          <cell r="G748" t="str">
            <v>9999-12-31</v>
          </cell>
          <cell r="H748" t="str">
            <v>100</v>
          </cell>
        </row>
        <row r="749">
          <cell r="C749" t="str">
            <v>0190400113M</v>
          </cell>
          <cell r="D749" t="str">
            <v>0001540535</v>
          </cell>
          <cell r="E749" t="str">
            <v>V9013946</v>
          </cell>
          <cell r="F749" t="str">
            <v>2022-10-12</v>
          </cell>
          <cell r="G749" t="str">
            <v>9999-12-31</v>
          </cell>
          <cell r="H749" t="str">
            <v>100</v>
          </cell>
        </row>
        <row r="750">
          <cell r="C750" t="str">
            <v>0190400113A</v>
          </cell>
          <cell r="D750" t="str">
            <v>0001381890</v>
          </cell>
          <cell r="E750" t="str">
            <v>V9013946</v>
          </cell>
          <cell r="F750" t="str">
            <v>2021-01-19</v>
          </cell>
          <cell r="G750" t="str">
            <v>9999-12-31</v>
          </cell>
          <cell r="H750" t="str">
            <v>100</v>
          </cell>
        </row>
        <row r="751">
          <cell r="C751" t="str">
            <v>0190400112F</v>
          </cell>
          <cell r="D751" t="str">
            <v>0001540534</v>
          </cell>
          <cell r="E751" t="str">
            <v>V9013946</v>
          </cell>
          <cell r="F751" t="str">
            <v>2022-10-12</v>
          </cell>
          <cell r="G751" t="str">
            <v>9999-12-31</v>
          </cell>
          <cell r="H751" t="str">
            <v>100</v>
          </cell>
        </row>
        <row r="752">
          <cell r="C752" t="str">
            <v>0190400112A</v>
          </cell>
          <cell r="D752" t="str">
            <v>0001381889</v>
          </cell>
          <cell r="E752" t="str">
            <v>V9013946</v>
          </cell>
          <cell r="F752" t="str">
            <v>2021-01-19</v>
          </cell>
          <cell r="G752" t="str">
            <v>9999-12-31</v>
          </cell>
          <cell r="H752" t="str">
            <v>100</v>
          </cell>
        </row>
        <row r="753">
          <cell r="C753" t="str">
            <v>0190400102D</v>
          </cell>
          <cell r="D753" t="str">
            <v>0001485276</v>
          </cell>
          <cell r="E753" t="str">
            <v>V9013946</v>
          </cell>
          <cell r="F753" t="str">
            <v>2022-04-24</v>
          </cell>
          <cell r="G753" t="str">
            <v>9999-12-31</v>
          </cell>
          <cell r="H753" t="str">
            <v>100</v>
          </cell>
        </row>
        <row r="754">
          <cell r="C754" t="str">
            <v>0190400002H</v>
          </cell>
          <cell r="D754" t="str">
            <v>0001407019</v>
          </cell>
          <cell r="E754" t="str">
            <v>V9013946</v>
          </cell>
          <cell r="F754" t="str">
            <v>2021-05-14</v>
          </cell>
          <cell r="G754" t="str">
            <v>9999-12-31</v>
          </cell>
          <cell r="H754" t="str">
            <v>100</v>
          </cell>
        </row>
        <row r="755">
          <cell r="C755" t="str">
            <v>0190400002G</v>
          </cell>
          <cell r="D755" t="str">
            <v>0001407018</v>
          </cell>
          <cell r="E755" t="str">
            <v>V9013946</v>
          </cell>
          <cell r="F755" t="str">
            <v>2021-05-14</v>
          </cell>
          <cell r="G755" t="str">
            <v>9999-12-31</v>
          </cell>
          <cell r="H755" t="str">
            <v>100</v>
          </cell>
        </row>
        <row r="756">
          <cell r="C756" t="str">
            <v>0190400002C</v>
          </cell>
          <cell r="D756" t="str">
            <v>0001326442</v>
          </cell>
          <cell r="E756" t="str">
            <v>V9013946</v>
          </cell>
          <cell r="F756" t="str">
            <v>2020-08-04</v>
          </cell>
          <cell r="G756" t="str">
            <v>9999-12-31</v>
          </cell>
          <cell r="H756" t="str">
            <v>100</v>
          </cell>
        </row>
        <row r="757">
          <cell r="C757" t="str">
            <v>0190400002B</v>
          </cell>
          <cell r="D757" t="str">
            <v>0001326441</v>
          </cell>
          <cell r="E757" t="str">
            <v>V9013946</v>
          </cell>
          <cell r="F757" t="str">
            <v>2020-08-04</v>
          </cell>
          <cell r="G757" t="str">
            <v>9999-12-31</v>
          </cell>
          <cell r="H757" t="str">
            <v>100</v>
          </cell>
        </row>
        <row r="758">
          <cell r="C758" t="str">
            <v>0190400002</v>
          </cell>
          <cell r="D758" t="str">
            <v>0001283004</v>
          </cell>
          <cell r="E758" t="str">
            <v>V9013946</v>
          </cell>
          <cell r="F758" t="str">
            <v>2020-05-21</v>
          </cell>
          <cell r="G758" t="str">
            <v>9999-12-31</v>
          </cell>
          <cell r="H758" t="str">
            <v>100</v>
          </cell>
        </row>
        <row r="759">
          <cell r="C759" t="str">
            <v>0190400001JK</v>
          </cell>
          <cell r="D759" t="str">
            <v>0001326430</v>
          </cell>
          <cell r="E759" t="str">
            <v>V9013946</v>
          </cell>
          <cell r="F759" t="str">
            <v>2020-08-04</v>
          </cell>
          <cell r="G759" t="str">
            <v>9999-12-31</v>
          </cell>
          <cell r="H759" t="str">
            <v>100</v>
          </cell>
        </row>
        <row r="760">
          <cell r="C760" t="str">
            <v>0190400001H</v>
          </cell>
          <cell r="D760" t="str">
            <v>0001407017</v>
          </cell>
          <cell r="E760" t="str">
            <v>V9013946</v>
          </cell>
          <cell r="F760" t="str">
            <v>2021-05-14</v>
          </cell>
          <cell r="G760" t="str">
            <v>9999-12-31</v>
          </cell>
          <cell r="H760" t="str">
            <v>100</v>
          </cell>
        </row>
        <row r="761">
          <cell r="C761" t="str">
            <v>0190400001G</v>
          </cell>
          <cell r="D761" t="str">
            <v>0001407016</v>
          </cell>
          <cell r="E761" t="str">
            <v>V9013946</v>
          </cell>
          <cell r="F761" t="str">
            <v>2021-05-14</v>
          </cell>
          <cell r="G761" t="str">
            <v>9999-12-31</v>
          </cell>
          <cell r="H761" t="str">
            <v>100</v>
          </cell>
        </row>
        <row r="762">
          <cell r="C762" t="str">
            <v>0190400001C</v>
          </cell>
          <cell r="D762" t="str">
            <v>0001326429</v>
          </cell>
          <cell r="E762" t="str">
            <v>V9013946</v>
          </cell>
          <cell r="F762" t="str">
            <v>2020-08-04</v>
          </cell>
          <cell r="G762" t="str">
            <v>9999-12-31</v>
          </cell>
          <cell r="H762" t="str">
            <v>100</v>
          </cell>
        </row>
        <row r="763">
          <cell r="C763" t="str">
            <v>0190400001B</v>
          </cell>
          <cell r="D763" t="str">
            <v>0001326428</v>
          </cell>
          <cell r="E763" t="str">
            <v>V9013946</v>
          </cell>
          <cell r="F763" t="str">
            <v>2020-08-04</v>
          </cell>
          <cell r="G763" t="str">
            <v>9999-12-31</v>
          </cell>
          <cell r="H763" t="str">
            <v>100</v>
          </cell>
        </row>
        <row r="764">
          <cell r="C764" t="str">
            <v>0190400001</v>
          </cell>
          <cell r="D764" t="str">
            <v>0001283003</v>
          </cell>
          <cell r="E764" t="str">
            <v>V9013946</v>
          </cell>
          <cell r="F764" t="str">
            <v>2020-05-21</v>
          </cell>
          <cell r="G764" t="str">
            <v>9999-12-31</v>
          </cell>
          <cell r="H764" t="str">
            <v>100</v>
          </cell>
        </row>
        <row r="765">
          <cell r="C765" t="str">
            <v>0190400359AA</v>
          </cell>
          <cell r="D765" t="str">
            <v>0001686808</v>
          </cell>
          <cell r="E765" t="str">
            <v>V9013946</v>
          </cell>
          <cell r="F765" t="str">
            <v>2024-04-11</v>
          </cell>
          <cell r="G765" t="str">
            <v>9999-12-31</v>
          </cell>
          <cell r="H765" t="str">
            <v>100</v>
          </cell>
        </row>
        <row r="766">
          <cell r="C766" t="str">
            <v>0190400002F</v>
          </cell>
          <cell r="D766" t="str">
            <v>0001387020</v>
          </cell>
          <cell r="E766" t="str">
            <v>V9013946</v>
          </cell>
          <cell r="F766" t="str">
            <v>2021-02-20</v>
          </cell>
          <cell r="G766" t="str">
            <v>9999-12-31</v>
          </cell>
          <cell r="H766" t="str">
            <v>100</v>
          </cell>
        </row>
        <row r="767">
          <cell r="C767" t="str">
            <v>0190400002E</v>
          </cell>
          <cell r="D767" t="str">
            <v>0001373157</v>
          </cell>
          <cell r="E767" t="str">
            <v>V9013946</v>
          </cell>
          <cell r="F767" t="str">
            <v>2020-12-23</v>
          </cell>
          <cell r="G767" t="str">
            <v>9999-12-31</v>
          </cell>
          <cell r="H767" t="str">
            <v>100</v>
          </cell>
        </row>
        <row r="768">
          <cell r="C768" t="str">
            <v>0190400002D</v>
          </cell>
          <cell r="D768" t="str">
            <v>0001373111</v>
          </cell>
          <cell r="E768" t="str">
            <v>V9013946</v>
          </cell>
          <cell r="F768" t="str">
            <v>2020-12-23</v>
          </cell>
          <cell r="G768" t="str">
            <v>9999-12-31</v>
          </cell>
          <cell r="H768" t="str">
            <v>100</v>
          </cell>
        </row>
        <row r="769">
          <cell r="C769" t="str">
            <v>0190400001F</v>
          </cell>
          <cell r="D769" t="str">
            <v>0001387019</v>
          </cell>
          <cell r="E769" t="str">
            <v>V9013946</v>
          </cell>
          <cell r="F769" t="str">
            <v>2021-02-20</v>
          </cell>
          <cell r="G769" t="str">
            <v>9999-12-31</v>
          </cell>
          <cell r="H769" t="str">
            <v>100</v>
          </cell>
        </row>
        <row r="770">
          <cell r="C770" t="str">
            <v>0190400001E</v>
          </cell>
          <cell r="D770" t="str">
            <v>0001373156</v>
          </cell>
          <cell r="E770" t="str">
            <v>V9013946</v>
          </cell>
          <cell r="F770" t="str">
            <v>2020-12-23</v>
          </cell>
          <cell r="G770" t="str">
            <v>9999-12-31</v>
          </cell>
          <cell r="H770" t="str">
            <v>100</v>
          </cell>
        </row>
        <row r="771">
          <cell r="C771" t="str">
            <v>0190400001D</v>
          </cell>
          <cell r="D771" t="str">
            <v>0001373110</v>
          </cell>
          <cell r="E771" t="str">
            <v>V9013946</v>
          </cell>
          <cell r="F771" t="str">
            <v>2020-12-23</v>
          </cell>
          <cell r="G771" t="str">
            <v>9999-12-31</v>
          </cell>
          <cell r="H771" t="str">
            <v>100</v>
          </cell>
        </row>
        <row r="772">
          <cell r="C772" t="str">
            <v>0011800387B</v>
          </cell>
          <cell r="D772" t="str">
            <v>0001609830</v>
          </cell>
          <cell r="E772" t="str">
            <v>V9013946</v>
          </cell>
          <cell r="F772" t="str">
            <v>2023-06-13</v>
          </cell>
          <cell r="G772" t="str">
            <v>9999-12-31</v>
          </cell>
          <cell r="H772" t="str">
            <v>100</v>
          </cell>
        </row>
        <row r="773">
          <cell r="C773" t="str">
            <v>0011800324</v>
          </cell>
          <cell r="D773" t="str">
            <v>0001609828</v>
          </cell>
          <cell r="E773" t="str">
            <v>V9013946</v>
          </cell>
          <cell r="F773" t="str">
            <v>2023-06-13</v>
          </cell>
          <cell r="G773" t="str">
            <v>9999-12-31</v>
          </cell>
          <cell r="H773" t="str">
            <v>100</v>
          </cell>
        </row>
        <row r="774">
          <cell r="C774" t="str">
            <v>0011800387B</v>
          </cell>
          <cell r="D774" t="str">
            <v>0001609867</v>
          </cell>
          <cell r="E774" t="str">
            <v>V9013946</v>
          </cell>
          <cell r="F774" t="str">
            <v>2023-06-13</v>
          </cell>
          <cell r="G774" t="str">
            <v>9999-12-31</v>
          </cell>
          <cell r="H774" t="str">
            <v>100</v>
          </cell>
        </row>
        <row r="775">
          <cell r="C775" t="str">
            <v>0011800324</v>
          </cell>
          <cell r="D775" t="str">
            <v>0001609866</v>
          </cell>
          <cell r="E775" t="str">
            <v>V9013946</v>
          </cell>
          <cell r="F775" t="str">
            <v>2023-06-13</v>
          </cell>
          <cell r="G775" t="str">
            <v>9999-12-31</v>
          </cell>
          <cell r="H775" t="str">
            <v>100</v>
          </cell>
        </row>
        <row r="776">
          <cell r="C776" t="str">
            <v>0011801172CG</v>
          </cell>
          <cell r="D776" t="str">
            <v>0001531580</v>
          </cell>
          <cell r="E776" t="str">
            <v>V9013946</v>
          </cell>
          <cell r="F776" t="str">
            <v>2022-09-06</v>
          </cell>
          <cell r="G776" t="str">
            <v>9999-12-31</v>
          </cell>
          <cell r="H776" t="str">
            <v>100</v>
          </cell>
        </row>
        <row r="777">
          <cell r="C777" t="str">
            <v>0011801172AG</v>
          </cell>
          <cell r="D777" t="str">
            <v>0001878535</v>
          </cell>
          <cell r="E777" t="str">
            <v>V9013946</v>
          </cell>
          <cell r="F777" t="str">
            <v>2025-12-18</v>
          </cell>
          <cell r="G777" t="str">
            <v>9999-12-31</v>
          </cell>
          <cell r="H777" t="str">
            <v>100</v>
          </cell>
        </row>
        <row r="778">
          <cell r="C778" t="str">
            <v>0011801150J</v>
          </cell>
          <cell r="D778" t="str">
            <v>0001351765</v>
          </cell>
          <cell r="E778" t="str">
            <v>V9013946</v>
          </cell>
          <cell r="F778" t="str">
            <v>2020-11-17</v>
          </cell>
          <cell r="G778" t="str">
            <v>9999-12-31</v>
          </cell>
          <cell r="H778" t="str">
            <v>100</v>
          </cell>
        </row>
        <row r="779">
          <cell r="C779" t="str">
            <v>0011801036</v>
          </cell>
          <cell r="D779" t="str">
            <v>0001373150</v>
          </cell>
          <cell r="E779" t="str">
            <v>V9013946</v>
          </cell>
          <cell r="F779" t="str">
            <v>2020-12-31</v>
          </cell>
          <cell r="G779" t="str">
            <v>9999-12-31</v>
          </cell>
          <cell r="H779" t="str">
            <v>100</v>
          </cell>
        </row>
        <row r="780">
          <cell r="C780" t="str">
            <v>0011800933S</v>
          </cell>
          <cell r="D780" t="str">
            <v>0001351763</v>
          </cell>
          <cell r="E780" t="str">
            <v>V9013946</v>
          </cell>
          <cell r="F780" t="str">
            <v>2020-11-17</v>
          </cell>
          <cell r="G780" t="str">
            <v>9999-12-31</v>
          </cell>
          <cell r="H780" t="str">
            <v>100</v>
          </cell>
        </row>
        <row r="781">
          <cell r="C781" t="str">
            <v>0041801155C</v>
          </cell>
          <cell r="D781" t="str">
            <v>0001653587</v>
          </cell>
          <cell r="E781" t="str">
            <v>V9013946</v>
          </cell>
          <cell r="F781" t="str">
            <v>2023-12-09</v>
          </cell>
          <cell r="G781" t="str">
            <v>9999-12-31</v>
          </cell>
          <cell r="H781" t="str">
            <v>100</v>
          </cell>
        </row>
        <row r="782">
          <cell r="C782" t="str">
            <v>0041801155B</v>
          </cell>
          <cell r="D782" t="str">
            <v>0001621742</v>
          </cell>
          <cell r="E782" t="str">
            <v>V9013946</v>
          </cell>
          <cell r="F782" t="str">
            <v>2023-08-04</v>
          </cell>
          <cell r="G782" t="str">
            <v>9999-12-31</v>
          </cell>
          <cell r="H782" t="str">
            <v>100</v>
          </cell>
        </row>
        <row r="783">
          <cell r="C783" t="str">
            <v>0041801155</v>
          </cell>
          <cell r="D783" t="str">
            <v>0001485714</v>
          </cell>
          <cell r="E783" t="str">
            <v>V9013946</v>
          </cell>
          <cell r="F783" t="str">
            <v>2022-04-25</v>
          </cell>
          <cell r="G783" t="str">
            <v>9999-12-31</v>
          </cell>
          <cell r="H783" t="str">
            <v>100</v>
          </cell>
        </row>
        <row r="784">
          <cell r="C784" t="str">
            <v>0041801039C</v>
          </cell>
          <cell r="D784" t="str">
            <v>0001653586</v>
          </cell>
          <cell r="E784" t="str">
            <v>V9013946</v>
          </cell>
          <cell r="F784" t="str">
            <v>2023-12-09</v>
          </cell>
          <cell r="G784" t="str">
            <v>9999-12-31</v>
          </cell>
          <cell r="H784" t="str">
            <v>100</v>
          </cell>
        </row>
        <row r="785">
          <cell r="C785" t="str">
            <v>0041801039A</v>
          </cell>
          <cell r="D785" t="str">
            <v>0001492168</v>
          </cell>
          <cell r="E785" t="str">
            <v>V9013946</v>
          </cell>
          <cell r="F785" t="str">
            <v>2022-05-18</v>
          </cell>
          <cell r="G785" t="str">
            <v>9999-12-31</v>
          </cell>
          <cell r="H785" t="str">
            <v>100</v>
          </cell>
        </row>
        <row r="786">
          <cell r="C786" t="str">
            <v>0041801039</v>
          </cell>
          <cell r="D786" t="str">
            <v>0001485824</v>
          </cell>
          <cell r="E786" t="str">
            <v>V9013946</v>
          </cell>
          <cell r="F786" t="str">
            <v>2022-04-26</v>
          </cell>
          <cell r="G786" t="str">
            <v>9999-12-31</v>
          </cell>
          <cell r="H786" t="str">
            <v>100</v>
          </cell>
        </row>
        <row r="787">
          <cell r="C787" t="str">
            <v>0041800811</v>
          </cell>
          <cell r="D787" t="str">
            <v>0001563582</v>
          </cell>
          <cell r="E787" t="str">
            <v>V9013946</v>
          </cell>
          <cell r="F787" t="str">
            <v>2023-01-12</v>
          </cell>
          <cell r="G787" t="str">
            <v>9999-12-31</v>
          </cell>
          <cell r="H787" t="str">
            <v>100</v>
          </cell>
        </row>
        <row r="788">
          <cell r="C788" t="str">
            <v>0041800757M</v>
          </cell>
          <cell r="D788" t="str">
            <v>0001509449</v>
          </cell>
          <cell r="E788" t="str">
            <v>V9013946</v>
          </cell>
          <cell r="F788" t="str">
            <v>2022-06-28</v>
          </cell>
          <cell r="G788" t="str">
            <v>9999-12-31</v>
          </cell>
          <cell r="H788" t="str">
            <v>100</v>
          </cell>
        </row>
        <row r="789">
          <cell r="C789" t="str">
            <v>0041800757KA</v>
          </cell>
          <cell r="D789" t="str">
            <v>0001698294</v>
          </cell>
          <cell r="E789" t="str">
            <v>V9013946</v>
          </cell>
          <cell r="F789" t="str">
            <v>2024-05-24</v>
          </cell>
          <cell r="G789" t="str">
            <v>9999-12-31</v>
          </cell>
          <cell r="H789" t="str">
            <v>100</v>
          </cell>
        </row>
        <row r="790">
          <cell r="C790" t="str">
            <v>0041800757K</v>
          </cell>
          <cell r="D790" t="str">
            <v>0001509448</v>
          </cell>
          <cell r="E790" t="str">
            <v>V9013946</v>
          </cell>
          <cell r="F790" t="str">
            <v>2022-06-28</v>
          </cell>
          <cell r="G790" t="str">
            <v>9999-12-31</v>
          </cell>
          <cell r="H790" t="str">
            <v>100</v>
          </cell>
        </row>
        <row r="791">
          <cell r="C791" t="str">
            <v>0041800757J</v>
          </cell>
          <cell r="D791" t="str">
            <v>0001464415</v>
          </cell>
          <cell r="E791" t="str">
            <v>V9013946</v>
          </cell>
          <cell r="F791" t="str">
            <v>2022-01-25</v>
          </cell>
          <cell r="G791" t="str">
            <v>9999-12-31</v>
          </cell>
          <cell r="H791" t="str">
            <v>100</v>
          </cell>
        </row>
        <row r="792">
          <cell r="C792" t="str">
            <v>0041800757H</v>
          </cell>
          <cell r="D792" t="str">
            <v>0001464414</v>
          </cell>
          <cell r="E792" t="str">
            <v>V9013946</v>
          </cell>
          <cell r="F792" t="str">
            <v>2022-01-25</v>
          </cell>
          <cell r="G792" t="str">
            <v>9999-12-31</v>
          </cell>
          <cell r="H792" t="str">
            <v>100</v>
          </cell>
        </row>
        <row r="793">
          <cell r="C793" t="str">
            <v>0041800757F</v>
          </cell>
          <cell r="D793" t="str">
            <v>0001424163</v>
          </cell>
          <cell r="E793" t="str">
            <v>V9013946</v>
          </cell>
          <cell r="F793" t="str">
            <v>2021-07-08</v>
          </cell>
          <cell r="G793" t="str">
            <v>9999-12-31</v>
          </cell>
          <cell r="H793" t="str">
            <v>100</v>
          </cell>
        </row>
        <row r="794">
          <cell r="C794" t="str">
            <v>0041800757E</v>
          </cell>
          <cell r="D794" t="str">
            <v>0001424162</v>
          </cell>
          <cell r="E794" t="str">
            <v>V9013946</v>
          </cell>
          <cell r="F794" t="str">
            <v>2021-07-08</v>
          </cell>
          <cell r="G794" t="str">
            <v>9999-12-31</v>
          </cell>
          <cell r="H794" t="str">
            <v>100</v>
          </cell>
        </row>
        <row r="795">
          <cell r="C795" t="str">
            <v>0041800757BA</v>
          </cell>
          <cell r="D795" t="str">
            <v>0001432169</v>
          </cell>
          <cell r="E795" t="str">
            <v>V9013946</v>
          </cell>
          <cell r="F795" t="str">
            <v>2021-08-18</v>
          </cell>
          <cell r="G795" t="str">
            <v>9999-12-31</v>
          </cell>
          <cell r="H795" t="str">
            <v>100</v>
          </cell>
        </row>
        <row r="796">
          <cell r="C796" t="str">
            <v>0041800757B</v>
          </cell>
          <cell r="D796" t="str">
            <v>0001424161</v>
          </cell>
          <cell r="E796" t="str">
            <v>V9013946</v>
          </cell>
          <cell r="F796" t="str">
            <v>2021-07-08</v>
          </cell>
          <cell r="G796" t="str">
            <v>9999-12-31</v>
          </cell>
          <cell r="H796" t="str">
            <v>100</v>
          </cell>
        </row>
        <row r="797">
          <cell r="C797" t="str">
            <v>0011800827Y</v>
          </cell>
          <cell r="D797" t="str">
            <v>0001391033</v>
          </cell>
          <cell r="E797" t="str">
            <v>V9013946</v>
          </cell>
          <cell r="F797" t="str">
            <v>2021-03-08</v>
          </cell>
          <cell r="G797" t="str">
            <v>9999-12-31</v>
          </cell>
          <cell r="H797" t="str">
            <v>100</v>
          </cell>
        </row>
        <row r="798">
          <cell r="C798" t="str">
            <v>0011800324</v>
          </cell>
          <cell r="D798" t="str">
            <v>0001609826</v>
          </cell>
          <cell r="E798" t="str">
            <v>V9013946</v>
          </cell>
          <cell r="F798" t="str">
            <v>2023-06-13</v>
          </cell>
          <cell r="G798" t="str">
            <v>9999-12-31</v>
          </cell>
          <cell r="H798" t="str">
            <v>100</v>
          </cell>
        </row>
        <row r="799">
          <cell r="C799" t="str">
            <v>0041801057</v>
          </cell>
          <cell r="D799" t="str">
            <v>0001480499</v>
          </cell>
          <cell r="E799" t="str">
            <v>V9013946</v>
          </cell>
          <cell r="F799" t="str">
            <v>2022-04-14</v>
          </cell>
          <cell r="G799" t="str">
            <v>9999-12-31</v>
          </cell>
          <cell r="H799" t="str">
            <v>100</v>
          </cell>
        </row>
        <row r="800">
          <cell r="C800" t="str">
            <v>0041800898A</v>
          </cell>
          <cell r="D800" t="str">
            <v>0001472268</v>
          </cell>
          <cell r="E800" t="str">
            <v>V9013946</v>
          </cell>
          <cell r="F800" t="str">
            <v>2022-03-22</v>
          </cell>
          <cell r="G800" t="str">
            <v>9999-12-31</v>
          </cell>
          <cell r="H800" t="str">
            <v>100</v>
          </cell>
        </row>
        <row r="801">
          <cell r="C801" t="str">
            <v>0041800751YSA</v>
          </cell>
          <cell r="D801" t="str">
            <v>0001584334</v>
          </cell>
          <cell r="E801" t="str">
            <v>V9013946</v>
          </cell>
          <cell r="F801" t="str">
            <v>2023-04-07</v>
          </cell>
          <cell r="G801" t="str">
            <v>9999-12-31</v>
          </cell>
          <cell r="H801" t="str">
            <v>100</v>
          </cell>
        </row>
        <row r="802">
          <cell r="C802" t="str">
            <v>0021800442</v>
          </cell>
          <cell r="D802" t="str">
            <v>0001456601</v>
          </cell>
          <cell r="E802" t="str">
            <v>V9013946</v>
          </cell>
          <cell r="F802" t="str">
            <v>2021-12-17</v>
          </cell>
          <cell r="G802" t="str">
            <v>9999-12-31</v>
          </cell>
          <cell r="H802" t="str">
            <v>100</v>
          </cell>
        </row>
        <row r="803">
          <cell r="C803" t="str">
            <v>0041800757BA</v>
          </cell>
          <cell r="D803" t="str">
            <v>0001432170</v>
          </cell>
          <cell r="E803" t="str">
            <v>V9013946</v>
          </cell>
          <cell r="F803" t="str">
            <v>2021-08-18</v>
          </cell>
          <cell r="G803" t="str">
            <v>9999-12-31</v>
          </cell>
          <cell r="H803" t="str">
            <v>100</v>
          </cell>
        </row>
        <row r="804">
          <cell r="C804" t="str">
            <v>0041801155DB</v>
          </cell>
          <cell r="D804" t="str">
            <v>0001837445</v>
          </cell>
          <cell r="E804" t="str">
            <v>V9013946</v>
          </cell>
          <cell r="F804" t="str">
            <v>2025-08-14</v>
          </cell>
          <cell r="G804" t="str">
            <v>9999-12-31</v>
          </cell>
          <cell r="H804" t="str">
            <v>100</v>
          </cell>
        </row>
        <row r="805">
          <cell r="C805" t="str">
            <v>0041801155D</v>
          </cell>
          <cell r="D805" t="str">
            <v>0001687478</v>
          </cell>
          <cell r="E805" t="str">
            <v>V9013946</v>
          </cell>
          <cell r="F805" t="str">
            <v>2024-04-13</v>
          </cell>
          <cell r="G805" t="str">
            <v>9999-12-31</v>
          </cell>
          <cell r="H805" t="str">
            <v>100</v>
          </cell>
        </row>
        <row r="806">
          <cell r="C806" t="str">
            <v>0041801155C</v>
          </cell>
          <cell r="D806" t="str">
            <v>0001653589</v>
          </cell>
          <cell r="E806" t="str">
            <v>V9013946</v>
          </cell>
          <cell r="F806" t="str">
            <v>2023-12-09</v>
          </cell>
          <cell r="G806" t="str">
            <v>9999-12-31</v>
          </cell>
          <cell r="H806" t="str">
            <v>100</v>
          </cell>
        </row>
        <row r="807">
          <cell r="C807" t="str">
            <v>0041801155BA</v>
          </cell>
          <cell r="D807" t="str">
            <v>0001837444</v>
          </cell>
          <cell r="E807" t="str">
            <v>V9013946</v>
          </cell>
          <cell r="F807" t="str">
            <v>2025-08-14</v>
          </cell>
          <cell r="G807" t="str">
            <v>9999-12-31</v>
          </cell>
          <cell r="H807" t="str">
            <v>100</v>
          </cell>
        </row>
        <row r="808">
          <cell r="C808" t="str">
            <v>0041801155</v>
          </cell>
          <cell r="D808" t="str">
            <v>0001485802</v>
          </cell>
          <cell r="E808" t="str">
            <v>V9013946</v>
          </cell>
          <cell r="F808" t="str">
            <v>2022-04-26</v>
          </cell>
          <cell r="G808" t="str">
            <v>9999-12-31</v>
          </cell>
          <cell r="H808" t="str">
            <v>100</v>
          </cell>
        </row>
        <row r="809">
          <cell r="C809" t="str">
            <v>0041801039C</v>
          </cell>
          <cell r="D809" t="str">
            <v>0001653588</v>
          </cell>
          <cell r="E809" t="str">
            <v>V9013946</v>
          </cell>
          <cell r="F809" t="str">
            <v>2023-12-09</v>
          </cell>
          <cell r="G809" t="str">
            <v>9999-12-31</v>
          </cell>
          <cell r="H809" t="str">
            <v>100</v>
          </cell>
        </row>
        <row r="810">
          <cell r="C810" t="str">
            <v>0041801039</v>
          </cell>
          <cell r="D810" t="str">
            <v>0001485847</v>
          </cell>
          <cell r="E810" t="str">
            <v>V9013946</v>
          </cell>
          <cell r="F810" t="str">
            <v>2022-04-26</v>
          </cell>
          <cell r="G810" t="str">
            <v>9999-12-31</v>
          </cell>
          <cell r="H810" t="str">
            <v>100</v>
          </cell>
        </row>
        <row r="811">
          <cell r="C811" t="str">
            <v>0041800569B</v>
          </cell>
          <cell r="D811" t="str">
            <v>0001652349</v>
          </cell>
          <cell r="E811" t="str">
            <v>V9013946</v>
          </cell>
          <cell r="F811" t="str">
            <v>2023-12-06</v>
          </cell>
          <cell r="G811" t="str">
            <v>9999-12-31</v>
          </cell>
          <cell r="H811" t="str">
            <v>100</v>
          </cell>
        </row>
        <row r="812">
          <cell r="C812" t="str">
            <v>0041801155B</v>
          </cell>
          <cell r="D812" t="str">
            <v>0001621761</v>
          </cell>
          <cell r="E812" t="str">
            <v>V9013946</v>
          </cell>
          <cell r="F812" t="str">
            <v>2023-08-04</v>
          </cell>
          <cell r="G812" t="str">
            <v>9999-12-31</v>
          </cell>
          <cell r="H812" t="str">
            <v>100</v>
          </cell>
        </row>
        <row r="813">
          <cell r="C813" t="str">
            <v>0011800324</v>
          </cell>
          <cell r="D813" t="str">
            <v>0001609874</v>
          </cell>
          <cell r="E813" t="str">
            <v>V9013946</v>
          </cell>
          <cell r="F813" t="str">
            <v>2023-06-13</v>
          </cell>
          <cell r="G813" t="str">
            <v>9999-12-31</v>
          </cell>
          <cell r="H813" t="str">
            <v>100</v>
          </cell>
        </row>
        <row r="814">
          <cell r="C814" t="str">
            <v>0011801425N</v>
          </cell>
          <cell r="D814" t="str">
            <v>0001562190</v>
          </cell>
          <cell r="E814" t="str">
            <v>V9013946</v>
          </cell>
          <cell r="F814" t="str">
            <v>2023-01-05</v>
          </cell>
          <cell r="G814" t="str">
            <v>9999-12-31</v>
          </cell>
          <cell r="H814" t="str">
            <v>100</v>
          </cell>
        </row>
        <row r="815">
          <cell r="C815" t="str">
            <v>0011801424X</v>
          </cell>
          <cell r="D815" t="str">
            <v>0001666662</v>
          </cell>
          <cell r="E815" t="str">
            <v>V9013946</v>
          </cell>
          <cell r="F815" t="str">
            <v>2024-01-23</v>
          </cell>
          <cell r="G815" t="str">
            <v>9999-12-31</v>
          </cell>
          <cell r="H815" t="str">
            <v>100</v>
          </cell>
        </row>
        <row r="816">
          <cell r="C816" t="str">
            <v>0011801424W</v>
          </cell>
          <cell r="D816" t="str">
            <v>0001563984</v>
          </cell>
          <cell r="E816" t="str">
            <v>V9013946</v>
          </cell>
          <cell r="F816" t="str">
            <v>2023-01-13</v>
          </cell>
          <cell r="G816" t="str">
            <v>9999-12-31</v>
          </cell>
          <cell r="H816" t="str">
            <v>100</v>
          </cell>
        </row>
        <row r="817">
          <cell r="C817" t="str">
            <v>0011801424V</v>
          </cell>
          <cell r="D817" t="str">
            <v>0001563982</v>
          </cell>
          <cell r="E817" t="str">
            <v>V9013946</v>
          </cell>
          <cell r="F817" t="str">
            <v>2023-01-13</v>
          </cell>
          <cell r="G817" t="str">
            <v>9999-12-31</v>
          </cell>
          <cell r="H817" t="str">
            <v>100</v>
          </cell>
        </row>
        <row r="818">
          <cell r="C818" t="str">
            <v>0011801424N</v>
          </cell>
          <cell r="D818" t="str">
            <v>0001614026</v>
          </cell>
          <cell r="E818" t="str">
            <v>V9013946</v>
          </cell>
          <cell r="F818" t="str">
            <v>2023-06-29</v>
          </cell>
          <cell r="G818" t="str">
            <v>9999-12-31</v>
          </cell>
          <cell r="H818" t="str">
            <v>100</v>
          </cell>
        </row>
        <row r="819">
          <cell r="C819" t="str">
            <v>0011801424L</v>
          </cell>
          <cell r="D819" t="str">
            <v>0001614024</v>
          </cell>
          <cell r="E819" t="str">
            <v>V9013946</v>
          </cell>
          <cell r="F819" t="str">
            <v>2023-06-29</v>
          </cell>
          <cell r="G819" t="str">
            <v>9999-12-31</v>
          </cell>
          <cell r="H819" t="str">
            <v>100</v>
          </cell>
        </row>
        <row r="820">
          <cell r="C820" t="str">
            <v>0011801424K</v>
          </cell>
          <cell r="D820" t="str">
            <v>0001614022</v>
          </cell>
          <cell r="E820" t="str">
            <v>V9013946</v>
          </cell>
          <cell r="F820" t="str">
            <v>2023-06-29</v>
          </cell>
          <cell r="G820" t="str">
            <v>9999-12-31</v>
          </cell>
          <cell r="H820" t="str">
            <v>100</v>
          </cell>
        </row>
        <row r="821">
          <cell r="C821" t="str">
            <v>0011801424J</v>
          </cell>
          <cell r="D821" t="str">
            <v>0001562188</v>
          </cell>
          <cell r="E821" t="str">
            <v>V9013946</v>
          </cell>
          <cell r="F821" t="str">
            <v>2023-01-05</v>
          </cell>
          <cell r="G821" t="str">
            <v>9999-12-31</v>
          </cell>
          <cell r="H821" t="str">
            <v>100</v>
          </cell>
        </row>
        <row r="822">
          <cell r="C822" t="str">
            <v>0011801424H</v>
          </cell>
          <cell r="D822" t="str">
            <v>0001568494</v>
          </cell>
          <cell r="E822" t="str">
            <v>V9013946</v>
          </cell>
          <cell r="F822" t="str">
            <v>2023-02-09</v>
          </cell>
          <cell r="G822" t="str">
            <v>9999-12-31</v>
          </cell>
          <cell r="H822" t="str">
            <v>100</v>
          </cell>
        </row>
        <row r="823">
          <cell r="C823" t="str">
            <v>0011801424G</v>
          </cell>
          <cell r="D823" t="str">
            <v>0001614019</v>
          </cell>
          <cell r="E823" t="str">
            <v>V9013946</v>
          </cell>
          <cell r="F823" t="str">
            <v>2023-06-29</v>
          </cell>
          <cell r="G823" t="str">
            <v>9999-12-31</v>
          </cell>
          <cell r="H823" t="str">
            <v>100</v>
          </cell>
        </row>
        <row r="824">
          <cell r="C824" t="str">
            <v>0011801424D</v>
          </cell>
          <cell r="D824" t="str">
            <v>0001635812</v>
          </cell>
          <cell r="E824" t="str">
            <v>V9013946</v>
          </cell>
          <cell r="F824" t="str">
            <v>2023-09-26</v>
          </cell>
          <cell r="G824" t="str">
            <v>9999-12-31</v>
          </cell>
          <cell r="H824" t="str">
            <v>100</v>
          </cell>
        </row>
        <row r="825">
          <cell r="C825" t="str">
            <v>0011801424C</v>
          </cell>
          <cell r="D825" t="str">
            <v>0001568492</v>
          </cell>
          <cell r="E825" t="str">
            <v>V9013946</v>
          </cell>
          <cell r="F825" t="str">
            <v>2023-02-09</v>
          </cell>
          <cell r="G825" t="str">
            <v>9999-12-31</v>
          </cell>
          <cell r="H825" t="str">
            <v>100</v>
          </cell>
        </row>
        <row r="826">
          <cell r="C826" t="str">
            <v>0011801424B</v>
          </cell>
          <cell r="D826" t="str">
            <v>0001562186</v>
          </cell>
          <cell r="E826" t="str">
            <v>V9013946</v>
          </cell>
          <cell r="F826" t="str">
            <v>2023-01-05</v>
          </cell>
          <cell r="G826" t="str">
            <v>9999-12-31</v>
          </cell>
          <cell r="H826" t="str">
            <v>100</v>
          </cell>
        </row>
        <row r="827">
          <cell r="C827" t="str">
            <v>0011801424AB</v>
          </cell>
          <cell r="D827" t="str">
            <v>0001562184</v>
          </cell>
          <cell r="E827" t="str">
            <v>V9013946</v>
          </cell>
          <cell r="F827" t="str">
            <v>2023-01-05</v>
          </cell>
          <cell r="G827" t="str">
            <v>9999-12-31</v>
          </cell>
          <cell r="H827" t="str">
            <v>100</v>
          </cell>
        </row>
        <row r="828">
          <cell r="C828" t="str">
            <v>0011801424AA</v>
          </cell>
          <cell r="D828" t="str">
            <v>0001562182</v>
          </cell>
          <cell r="E828" t="str">
            <v>V9013946</v>
          </cell>
          <cell r="F828" t="str">
            <v>2023-01-05</v>
          </cell>
          <cell r="G828" t="str">
            <v>9999-12-31</v>
          </cell>
          <cell r="H828" t="str">
            <v>100</v>
          </cell>
        </row>
        <row r="829">
          <cell r="C829" t="str">
            <v>0011801424A</v>
          </cell>
          <cell r="D829" t="str">
            <v>0001562180</v>
          </cell>
          <cell r="E829" t="str">
            <v>V9013946</v>
          </cell>
          <cell r="F829" t="str">
            <v>2023-01-05</v>
          </cell>
          <cell r="G829" t="str">
            <v>9999-12-31</v>
          </cell>
          <cell r="H829" t="str">
            <v>100</v>
          </cell>
        </row>
        <row r="830">
          <cell r="C830" t="str">
            <v>0011801372G</v>
          </cell>
          <cell r="D830" t="str">
            <v>0001525871</v>
          </cell>
          <cell r="E830" t="str">
            <v>V9013946</v>
          </cell>
          <cell r="F830" t="str">
            <v>2022-08-17</v>
          </cell>
          <cell r="G830" t="str">
            <v>9999-12-31</v>
          </cell>
          <cell r="H830" t="str">
            <v>100</v>
          </cell>
        </row>
        <row r="831">
          <cell r="C831" t="str">
            <v>0011801327</v>
          </cell>
          <cell r="D831" t="str">
            <v>0001562178</v>
          </cell>
          <cell r="E831" t="str">
            <v>V9013946</v>
          </cell>
          <cell r="F831" t="str">
            <v>2023-01-05</v>
          </cell>
          <cell r="G831" t="str">
            <v>9999-12-31</v>
          </cell>
          <cell r="H831" t="str">
            <v>100</v>
          </cell>
        </row>
        <row r="832">
          <cell r="C832" t="str">
            <v>0011801270A</v>
          </cell>
          <cell r="D832" t="str">
            <v>0001451853</v>
          </cell>
          <cell r="E832" t="str">
            <v>V9013946</v>
          </cell>
          <cell r="F832" t="str">
            <v>2021-11-25</v>
          </cell>
          <cell r="G832" t="str">
            <v>9999-12-31</v>
          </cell>
          <cell r="H832" t="str">
            <v>100</v>
          </cell>
        </row>
        <row r="833">
          <cell r="C833" t="str">
            <v>0011801256M</v>
          </cell>
          <cell r="D833" t="str">
            <v>0001614017</v>
          </cell>
          <cell r="E833" t="str">
            <v>V9013946</v>
          </cell>
          <cell r="F833" t="str">
            <v>2023-06-29</v>
          </cell>
          <cell r="G833" t="str">
            <v>9999-12-31</v>
          </cell>
          <cell r="H833" t="str">
            <v>100</v>
          </cell>
        </row>
        <row r="834">
          <cell r="C834" t="str">
            <v>0011801172BT</v>
          </cell>
          <cell r="D834" t="str">
            <v>0001517762</v>
          </cell>
          <cell r="E834" t="str">
            <v>V9013946</v>
          </cell>
          <cell r="F834" t="str">
            <v>2022-07-26</v>
          </cell>
          <cell r="G834" t="str">
            <v>9999-12-31</v>
          </cell>
          <cell r="H834" t="str">
            <v>100</v>
          </cell>
        </row>
        <row r="835">
          <cell r="C835" t="str">
            <v>0011801172BK</v>
          </cell>
          <cell r="D835" t="str">
            <v>0001517761</v>
          </cell>
          <cell r="E835" t="str">
            <v>V9013946</v>
          </cell>
          <cell r="F835" t="str">
            <v>2022-07-26</v>
          </cell>
          <cell r="G835" t="str">
            <v>9999-12-31</v>
          </cell>
          <cell r="H835" t="str">
            <v>100</v>
          </cell>
        </row>
        <row r="836">
          <cell r="C836" t="str">
            <v>0011801172AV</v>
          </cell>
          <cell r="D836" t="str">
            <v>0001514296</v>
          </cell>
          <cell r="E836" t="str">
            <v>V9013946</v>
          </cell>
          <cell r="F836" t="str">
            <v>2022-07-25</v>
          </cell>
          <cell r="G836" t="str">
            <v>9999-12-31</v>
          </cell>
          <cell r="H836" t="str">
            <v>100</v>
          </cell>
        </row>
        <row r="837">
          <cell r="C837" t="str">
            <v>0011801150J</v>
          </cell>
          <cell r="D837" t="str">
            <v>0001334835</v>
          </cell>
          <cell r="E837" t="str">
            <v>V9013946</v>
          </cell>
          <cell r="F837" t="str">
            <v>2020-09-03</v>
          </cell>
          <cell r="G837" t="str">
            <v>9999-12-31</v>
          </cell>
          <cell r="H837" t="str">
            <v>100</v>
          </cell>
        </row>
        <row r="838">
          <cell r="C838" t="str">
            <v>0011801150G</v>
          </cell>
          <cell r="D838" t="str">
            <v>0001334834</v>
          </cell>
          <cell r="E838" t="str">
            <v>V9013946</v>
          </cell>
          <cell r="F838" t="str">
            <v>2020-09-03</v>
          </cell>
          <cell r="G838" t="str">
            <v>9999-12-31</v>
          </cell>
          <cell r="H838" t="str">
            <v>100</v>
          </cell>
        </row>
        <row r="839">
          <cell r="C839" t="str">
            <v>0011800981H</v>
          </cell>
          <cell r="D839" t="str">
            <v>0001451852</v>
          </cell>
          <cell r="E839" t="str">
            <v>V9013946</v>
          </cell>
          <cell r="F839" t="str">
            <v>2021-11-25</v>
          </cell>
          <cell r="G839" t="str">
            <v>9999-12-31</v>
          </cell>
          <cell r="H839" t="str">
            <v>100</v>
          </cell>
        </row>
        <row r="840">
          <cell r="C840" t="str">
            <v>0041801155DA</v>
          </cell>
          <cell r="D840" t="str">
            <v>0001797925</v>
          </cell>
          <cell r="E840" t="str">
            <v>V9013946</v>
          </cell>
          <cell r="F840" t="str">
            <v>2025-04-15</v>
          </cell>
          <cell r="G840" t="str">
            <v>9999-12-31</v>
          </cell>
          <cell r="H840" t="str">
            <v>100</v>
          </cell>
        </row>
        <row r="841">
          <cell r="C841" t="str">
            <v>0011800980C</v>
          </cell>
          <cell r="D841" t="str">
            <v>0001451851</v>
          </cell>
          <cell r="E841" t="str">
            <v>V9013946</v>
          </cell>
          <cell r="F841" t="str">
            <v>2021-11-25</v>
          </cell>
          <cell r="G841" t="str">
            <v>9999-12-31</v>
          </cell>
          <cell r="H841" t="str">
            <v>100</v>
          </cell>
        </row>
        <row r="842">
          <cell r="C842" t="str">
            <v>0011800933Y</v>
          </cell>
          <cell r="D842" t="str">
            <v>0001294673</v>
          </cell>
          <cell r="E842" t="str">
            <v>V9013946</v>
          </cell>
          <cell r="F842" t="str">
            <v>2020-06-16</v>
          </cell>
          <cell r="G842" t="str">
            <v>9999-12-31</v>
          </cell>
          <cell r="H842" t="str">
            <v>100</v>
          </cell>
        </row>
        <row r="843">
          <cell r="C843" t="str">
            <v>0011800933S</v>
          </cell>
          <cell r="D843" t="str">
            <v>0001294672</v>
          </cell>
          <cell r="E843" t="str">
            <v>V9013946</v>
          </cell>
          <cell r="F843" t="str">
            <v>2020-06-16</v>
          </cell>
          <cell r="G843" t="str">
            <v>9999-12-31</v>
          </cell>
          <cell r="H843" t="str">
            <v>100</v>
          </cell>
        </row>
        <row r="844">
          <cell r="C844" t="str">
            <v>0011800827Y</v>
          </cell>
          <cell r="D844" t="str">
            <v>0001334832</v>
          </cell>
          <cell r="E844" t="str">
            <v>V9013946</v>
          </cell>
          <cell r="F844" t="str">
            <v>2020-09-03</v>
          </cell>
          <cell r="G844" t="str">
            <v>9999-12-31</v>
          </cell>
          <cell r="H844" t="str">
            <v>100</v>
          </cell>
        </row>
        <row r="845">
          <cell r="C845" t="str">
            <v>0011800377Y</v>
          </cell>
          <cell r="D845" t="str">
            <v>0001451850</v>
          </cell>
          <cell r="E845" t="str">
            <v>V9013946</v>
          </cell>
          <cell r="F845" t="str">
            <v>2021-11-25</v>
          </cell>
          <cell r="G845" t="str">
            <v>9999-12-31</v>
          </cell>
          <cell r="H845" t="str">
            <v>100</v>
          </cell>
        </row>
        <row r="846">
          <cell r="C846" t="str">
            <v>0011800377X</v>
          </cell>
          <cell r="D846" t="str">
            <v>0001451849</v>
          </cell>
          <cell r="E846" t="str">
            <v>V9013946</v>
          </cell>
          <cell r="F846" t="str">
            <v>2021-11-25</v>
          </cell>
          <cell r="G846" t="str">
            <v>9999-12-31</v>
          </cell>
          <cell r="H846" t="str">
            <v>100</v>
          </cell>
        </row>
        <row r="847">
          <cell r="C847" t="str">
            <v>0041801039B</v>
          </cell>
          <cell r="D847" t="str">
            <v>0001614543</v>
          </cell>
          <cell r="E847" t="str">
            <v>V9013946</v>
          </cell>
          <cell r="F847" t="str">
            <v>2023-06-30</v>
          </cell>
          <cell r="G847" t="str">
            <v>9999-12-31</v>
          </cell>
          <cell r="H847" t="str">
            <v>100</v>
          </cell>
        </row>
        <row r="848">
          <cell r="C848" t="str">
            <v>0011801172BG</v>
          </cell>
          <cell r="D848" t="str">
            <v>0001554449</v>
          </cell>
          <cell r="E848" t="str">
            <v>V9013946</v>
          </cell>
          <cell r="F848" t="str">
            <v>2022-11-30</v>
          </cell>
          <cell r="G848" t="str">
            <v>9999-12-31</v>
          </cell>
          <cell r="H848" t="str">
            <v>100</v>
          </cell>
        </row>
        <row r="849">
          <cell r="C849" t="str">
            <v>0011801036</v>
          </cell>
          <cell r="D849" t="str">
            <v>0001392056</v>
          </cell>
          <cell r="E849" t="str">
            <v>V9013946</v>
          </cell>
          <cell r="F849" t="str">
            <v>2021-03-12</v>
          </cell>
          <cell r="G849" t="str">
            <v>9999-12-31</v>
          </cell>
          <cell r="H849" t="str">
            <v>100</v>
          </cell>
        </row>
        <row r="850">
          <cell r="C850" t="str">
            <v>0011800980J</v>
          </cell>
          <cell r="D850" t="str">
            <v>0001512751</v>
          </cell>
          <cell r="E850" t="str">
            <v>V9013946</v>
          </cell>
          <cell r="F850" t="str">
            <v>2022-07-11</v>
          </cell>
          <cell r="G850" t="str">
            <v>9999-12-31</v>
          </cell>
          <cell r="H850" t="str">
            <v>100</v>
          </cell>
        </row>
        <row r="851">
          <cell r="C851" t="str">
            <v>0011800977K</v>
          </cell>
          <cell r="D851" t="str">
            <v>0001531403</v>
          </cell>
          <cell r="E851" t="str">
            <v>V9013946</v>
          </cell>
          <cell r="F851" t="str">
            <v>2022-09-05</v>
          </cell>
          <cell r="G851" t="str">
            <v>9999-12-31</v>
          </cell>
          <cell r="H851" t="str">
            <v>100</v>
          </cell>
        </row>
        <row r="852">
          <cell r="C852" t="str">
            <v>0011800612R</v>
          </cell>
          <cell r="D852" t="str">
            <v>0001511580</v>
          </cell>
          <cell r="E852" t="str">
            <v>V9013946</v>
          </cell>
          <cell r="F852" t="str">
            <v>2022-07-06</v>
          </cell>
          <cell r="G852" t="str">
            <v>9999-12-31</v>
          </cell>
          <cell r="H852" t="str">
            <v>100</v>
          </cell>
        </row>
        <row r="853">
          <cell r="C853" t="str">
            <v>0011800387B</v>
          </cell>
          <cell r="D853" t="str">
            <v>0001609840</v>
          </cell>
          <cell r="E853" t="str">
            <v>V9013946</v>
          </cell>
          <cell r="F853" t="str">
            <v>2023-06-13</v>
          </cell>
          <cell r="G853" t="str">
            <v>9999-12-31</v>
          </cell>
          <cell r="H853" t="str">
            <v>100</v>
          </cell>
        </row>
        <row r="854">
          <cell r="C854" t="str">
            <v>0011800324</v>
          </cell>
          <cell r="D854" t="str">
            <v>0001609832</v>
          </cell>
          <cell r="E854" t="str">
            <v>V9013946</v>
          </cell>
          <cell r="F854" t="str">
            <v>2023-06-13</v>
          </cell>
          <cell r="G854" t="str">
            <v>9999-12-31</v>
          </cell>
          <cell r="H854" t="str">
            <v>100</v>
          </cell>
        </row>
        <row r="855">
          <cell r="C855" t="str">
            <v>0011801593</v>
          </cell>
          <cell r="D855" t="str">
            <v>0001686206</v>
          </cell>
          <cell r="E855" t="str">
            <v>V9013946</v>
          </cell>
          <cell r="F855" t="str">
            <v>2024-04-10</v>
          </cell>
          <cell r="G855" t="str">
            <v>9999-12-31</v>
          </cell>
          <cell r="H855" t="str">
            <v>100</v>
          </cell>
        </row>
        <row r="856">
          <cell r="C856" t="str">
            <v>0011801516</v>
          </cell>
          <cell r="D856" t="str">
            <v>0001686204</v>
          </cell>
          <cell r="E856" t="str">
            <v>V9013946</v>
          </cell>
          <cell r="F856" t="str">
            <v>2024-04-10</v>
          </cell>
          <cell r="G856" t="str">
            <v>9999-12-31</v>
          </cell>
          <cell r="H856" t="str">
            <v>100</v>
          </cell>
        </row>
        <row r="857">
          <cell r="C857" t="str">
            <v>0011801497</v>
          </cell>
          <cell r="D857" t="str">
            <v>0001551598</v>
          </cell>
          <cell r="E857" t="str">
            <v>V9013946</v>
          </cell>
          <cell r="F857" t="str">
            <v>2022-11-23</v>
          </cell>
          <cell r="G857" t="str">
            <v>9999-12-31</v>
          </cell>
          <cell r="H857" t="str">
            <v>100</v>
          </cell>
        </row>
        <row r="858">
          <cell r="C858" t="str">
            <v>0011801425D</v>
          </cell>
          <cell r="D858" t="str">
            <v>0001581182</v>
          </cell>
          <cell r="E858" t="str">
            <v>V9013946</v>
          </cell>
          <cell r="F858" t="str">
            <v>2023-03-24</v>
          </cell>
          <cell r="G858" t="str">
            <v>9999-12-31</v>
          </cell>
          <cell r="H858" t="str">
            <v>100</v>
          </cell>
        </row>
        <row r="859">
          <cell r="C859" t="str">
            <v>0011801424Z</v>
          </cell>
          <cell r="D859" t="str">
            <v>0001610058</v>
          </cell>
          <cell r="E859" t="str">
            <v>V9013946</v>
          </cell>
          <cell r="F859" t="str">
            <v>2023-06-20</v>
          </cell>
          <cell r="G859" t="str">
            <v>9999-12-31</v>
          </cell>
          <cell r="H859" t="str">
            <v>100</v>
          </cell>
        </row>
        <row r="860">
          <cell r="C860" t="str">
            <v>0011801424M</v>
          </cell>
          <cell r="D860" t="str">
            <v>0001610056</v>
          </cell>
          <cell r="E860" t="str">
            <v>V9013946</v>
          </cell>
          <cell r="F860" t="str">
            <v>2023-06-20</v>
          </cell>
          <cell r="G860" t="str">
            <v>9999-12-31</v>
          </cell>
          <cell r="H860" t="str">
            <v>100</v>
          </cell>
        </row>
        <row r="861">
          <cell r="C861" t="str">
            <v>0011801330A</v>
          </cell>
          <cell r="D861" t="str">
            <v>0001537282</v>
          </cell>
          <cell r="E861" t="str">
            <v>V9013946</v>
          </cell>
          <cell r="F861" t="str">
            <v>2022-09-28</v>
          </cell>
          <cell r="G861" t="str">
            <v>9999-12-31</v>
          </cell>
          <cell r="H861" t="str">
            <v>100</v>
          </cell>
        </row>
        <row r="862">
          <cell r="C862" t="str">
            <v>0011801256R</v>
          </cell>
          <cell r="D862" t="str">
            <v>0001581180</v>
          </cell>
          <cell r="E862" t="str">
            <v>V9013946</v>
          </cell>
          <cell r="F862" t="str">
            <v>2023-03-24</v>
          </cell>
          <cell r="G862" t="str">
            <v>9999-12-31</v>
          </cell>
          <cell r="H862" t="str">
            <v>100</v>
          </cell>
        </row>
        <row r="863">
          <cell r="C863" t="str">
            <v>0011801256L</v>
          </cell>
          <cell r="D863" t="str">
            <v>0001564190</v>
          </cell>
          <cell r="E863" t="str">
            <v>V9013946</v>
          </cell>
          <cell r="F863" t="str">
            <v>2023-02-02</v>
          </cell>
          <cell r="G863" t="str">
            <v>9999-12-31</v>
          </cell>
          <cell r="H863" t="str">
            <v>100</v>
          </cell>
        </row>
        <row r="864">
          <cell r="C864" t="str">
            <v>0011801172CR</v>
          </cell>
          <cell r="D864" t="str">
            <v>0001668559</v>
          </cell>
          <cell r="E864" t="str">
            <v>V9013946</v>
          </cell>
          <cell r="F864" t="str">
            <v>2024-02-04</v>
          </cell>
          <cell r="G864" t="str">
            <v>9999-12-31</v>
          </cell>
          <cell r="H864" t="str">
            <v>100</v>
          </cell>
        </row>
        <row r="865">
          <cell r="C865" t="str">
            <v>0011801172BR</v>
          </cell>
          <cell r="D865" t="str">
            <v>0001561534</v>
          </cell>
          <cell r="E865" t="str">
            <v>V9013946</v>
          </cell>
          <cell r="F865" t="str">
            <v>2022-12-30</v>
          </cell>
          <cell r="G865" t="str">
            <v>9999-12-31</v>
          </cell>
          <cell r="H865" t="str">
            <v>100</v>
          </cell>
        </row>
        <row r="866">
          <cell r="C866" t="str">
            <v>0011801424F</v>
          </cell>
          <cell r="D866" t="str">
            <v>0001567962</v>
          </cell>
          <cell r="E866" t="str">
            <v>V9013946</v>
          </cell>
          <cell r="F866" t="str">
            <v>2023-02-07</v>
          </cell>
          <cell r="G866" t="str">
            <v>9999-12-31</v>
          </cell>
          <cell r="H866" t="str">
            <v>100</v>
          </cell>
        </row>
        <row r="867">
          <cell r="C867" t="str">
            <v>0011801424E</v>
          </cell>
          <cell r="D867" t="str">
            <v>0001567939</v>
          </cell>
          <cell r="E867" t="str">
            <v>V9013946</v>
          </cell>
          <cell r="F867" t="str">
            <v>2023-02-07</v>
          </cell>
          <cell r="G867" t="str">
            <v>9999-12-31</v>
          </cell>
          <cell r="H867" t="str">
            <v>100</v>
          </cell>
        </row>
        <row r="868">
          <cell r="C868" t="str">
            <v>0011800612X</v>
          </cell>
          <cell r="D868" t="str">
            <v>0001524500</v>
          </cell>
          <cell r="E868" t="str">
            <v>V9013946</v>
          </cell>
          <cell r="F868" t="str">
            <v>2022-08-11</v>
          </cell>
          <cell r="G868" t="str">
            <v>9999-12-31</v>
          </cell>
          <cell r="H868" t="str">
            <v>100</v>
          </cell>
        </row>
        <row r="869">
          <cell r="C869" t="str">
            <v>0011800612M</v>
          </cell>
          <cell r="D869" t="str">
            <v>0001524498</v>
          </cell>
          <cell r="E869" t="str">
            <v>V9013946</v>
          </cell>
          <cell r="F869" t="str">
            <v>2022-08-11</v>
          </cell>
          <cell r="G869" t="str">
            <v>9999-12-31</v>
          </cell>
          <cell r="H869" t="str">
            <v>100</v>
          </cell>
        </row>
        <row r="870">
          <cell r="C870" t="str">
            <v>0011800612L</v>
          </cell>
          <cell r="D870" t="str">
            <v>0001524496</v>
          </cell>
          <cell r="E870" t="str">
            <v>V9013946</v>
          </cell>
          <cell r="F870" t="str">
            <v>2022-08-11</v>
          </cell>
          <cell r="G870" t="str">
            <v>9999-12-31</v>
          </cell>
          <cell r="H870" t="str">
            <v>100</v>
          </cell>
        </row>
        <row r="871">
          <cell r="C871" t="str">
            <v>0011800612AC</v>
          </cell>
          <cell r="D871" t="str">
            <v>0001524494</v>
          </cell>
          <cell r="E871" t="str">
            <v>V9013946</v>
          </cell>
          <cell r="F871" t="str">
            <v>2022-08-11</v>
          </cell>
          <cell r="G871" t="str">
            <v>9999-12-31</v>
          </cell>
          <cell r="H871" t="str">
            <v>100</v>
          </cell>
        </row>
        <row r="872">
          <cell r="C872" t="str">
            <v>0011800607R</v>
          </cell>
          <cell r="D872" t="str">
            <v>0001827017</v>
          </cell>
          <cell r="E872" t="str">
            <v>V9013946</v>
          </cell>
          <cell r="F872" t="str">
            <v>2025-07-16</v>
          </cell>
          <cell r="G872" t="str">
            <v>9999-12-31</v>
          </cell>
          <cell r="H872" t="str">
            <v>100</v>
          </cell>
        </row>
        <row r="873">
          <cell r="C873" t="str">
            <v>0021800442</v>
          </cell>
          <cell r="D873" t="str">
            <v>0001456600</v>
          </cell>
          <cell r="E873" t="str">
            <v>V9013946</v>
          </cell>
          <cell r="F873" t="str">
            <v>2021-12-17</v>
          </cell>
          <cell r="G873" t="str">
            <v>9999-12-31</v>
          </cell>
          <cell r="H873" t="str">
            <v>100</v>
          </cell>
        </row>
        <row r="874">
          <cell r="C874" t="str">
            <v>0021800442A</v>
          </cell>
          <cell r="D874" t="str">
            <v>0001565234</v>
          </cell>
          <cell r="E874" t="str">
            <v>V9013946</v>
          </cell>
          <cell r="F874" t="str">
            <v>2023-01-30</v>
          </cell>
          <cell r="G874" t="str">
            <v>9999-12-31</v>
          </cell>
          <cell r="H874" t="str">
            <v>100</v>
          </cell>
        </row>
        <row r="875">
          <cell r="C875" t="str">
            <v>0021800442</v>
          </cell>
          <cell r="D875" t="str">
            <v>0001456595</v>
          </cell>
          <cell r="E875" t="str">
            <v>V9013946</v>
          </cell>
          <cell r="F875" t="str">
            <v>2021-12-17</v>
          </cell>
          <cell r="G875" t="str">
            <v>9999-12-31</v>
          </cell>
          <cell r="H875" t="str">
            <v>100</v>
          </cell>
        </row>
        <row r="876">
          <cell r="C876" t="str">
            <v>0021800442GB</v>
          </cell>
          <cell r="D876" t="str">
            <v>0001639686</v>
          </cell>
          <cell r="E876" t="str">
            <v>V9013946</v>
          </cell>
          <cell r="F876" t="str">
            <v>2023-10-19</v>
          </cell>
          <cell r="G876" t="str">
            <v>9999-12-31</v>
          </cell>
          <cell r="H876" t="str">
            <v>100</v>
          </cell>
        </row>
        <row r="877">
          <cell r="C877" t="str">
            <v>0021800442GA</v>
          </cell>
          <cell r="D877" t="str">
            <v>0001621490</v>
          </cell>
          <cell r="E877" t="str">
            <v>V9013946</v>
          </cell>
          <cell r="F877" t="str">
            <v>2023-08-03</v>
          </cell>
          <cell r="G877" t="str">
            <v>9999-12-31</v>
          </cell>
          <cell r="H877" t="str">
            <v>100</v>
          </cell>
        </row>
        <row r="878">
          <cell r="C878" t="str">
            <v>0190400359B</v>
          </cell>
          <cell r="D878" t="str">
            <v>0001688681</v>
          </cell>
          <cell r="E878" t="str">
            <v>V9013946</v>
          </cell>
          <cell r="F878" t="str">
            <v>2024-04-18</v>
          </cell>
          <cell r="G878" t="str">
            <v>9999-12-31</v>
          </cell>
          <cell r="H878" t="str">
            <v>100</v>
          </cell>
        </row>
        <row r="879">
          <cell r="C879" t="str">
            <v>0190400359AF</v>
          </cell>
          <cell r="D879" t="str">
            <v>0001872317</v>
          </cell>
          <cell r="E879" t="str">
            <v>V9013946</v>
          </cell>
          <cell r="F879" t="str">
            <v>2025-12-04</v>
          </cell>
          <cell r="G879" t="str">
            <v>9999-12-31</v>
          </cell>
          <cell r="H879" t="str">
            <v>100</v>
          </cell>
        </row>
        <row r="880">
          <cell r="C880" t="str">
            <v>0190400359AE</v>
          </cell>
          <cell r="D880" t="str">
            <v>0001874886</v>
          </cell>
          <cell r="E880" t="str">
            <v>V9013946</v>
          </cell>
          <cell r="F880" t="str">
            <v>2025-12-10</v>
          </cell>
          <cell r="G880" t="str">
            <v>9999-12-31</v>
          </cell>
          <cell r="H880" t="str">
            <v>100</v>
          </cell>
        </row>
        <row r="881">
          <cell r="C881" t="str">
            <v>0190400359AD</v>
          </cell>
          <cell r="D881" t="str">
            <v>0001872316</v>
          </cell>
          <cell r="E881" t="str">
            <v>V9013946</v>
          </cell>
          <cell r="F881" t="str">
            <v>2025-12-04</v>
          </cell>
          <cell r="G881" t="str">
            <v>9999-12-31</v>
          </cell>
          <cell r="H881" t="str">
            <v>100</v>
          </cell>
        </row>
        <row r="882">
          <cell r="C882" t="str">
            <v>0190400359AC</v>
          </cell>
          <cell r="D882" t="str">
            <v>0001822697</v>
          </cell>
          <cell r="E882" t="str">
            <v>V9013946</v>
          </cell>
          <cell r="F882" t="str">
            <v>2025-07-03</v>
          </cell>
          <cell r="G882" t="str">
            <v>9999-12-31</v>
          </cell>
          <cell r="H882" t="str">
            <v>100</v>
          </cell>
        </row>
        <row r="883">
          <cell r="C883" t="str">
            <v>0190400359AB</v>
          </cell>
          <cell r="D883" t="str">
            <v>0001798888</v>
          </cell>
          <cell r="E883" t="str">
            <v>V9013946</v>
          </cell>
          <cell r="F883" t="str">
            <v>2025-04-18</v>
          </cell>
          <cell r="G883" t="str">
            <v>9999-12-31</v>
          </cell>
          <cell r="H883" t="str">
            <v>100</v>
          </cell>
        </row>
        <row r="884">
          <cell r="C884" t="str">
            <v>0190400359AA</v>
          </cell>
          <cell r="D884" t="str">
            <v>0001747939</v>
          </cell>
          <cell r="E884" t="str">
            <v>V9013946</v>
          </cell>
          <cell r="F884" t="str">
            <v>2024-11-12</v>
          </cell>
          <cell r="G884" t="str">
            <v>9999-12-31</v>
          </cell>
          <cell r="H884" t="str">
            <v>100</v>
          </cell>
        </row>
        <row r="885">
          <cell r="C885" t="str">
            <v>0190400359A</v>
          </cell>
          <cell r="D885" t="str">
            <v>0001747938</v>
          </cell>
          <cell r="E885" t="str">
            <v>V9013946</v>
          </cell>
          <cell r="F885" t="str">
            <v>2024-11-12</v>
          </cell>
          <cell r="G885" t="str">
            <v>9999-12-31</v>
          </cell>
          <cell r="H885" t="str">
            <v>100</v>
          </cell>
        </row>
        <row r="886">
          <cell r="C886" t="str">
            <v>0190400359</v>
          </cell>
          <cell r="D886" t="str">
            <v>0001747937</v>
          </cell>
          <cell r="E886" t="str">
            <v>V9013946</v>
          </cell>
          <cell r="F886" t="str">
            <v>2024-11-12</v>
          </cell>
          <cell r="G886" t="str">
            <v>9999-12-31</v>
          </cell>
          <cell r="H886" t="str">
            <v>100</v>
          </cell>
        </row>
        <row r="887">
          <cell r="C887" t="str">
            <v>0021800442</v>
          </cell>
          <cell r="D887" t="str">
            <v>0001456592</v>
          </cell>
          <cell r="E887" t="str">
            <v>V9013946</v>
          </cell>
          <cell r="F887" t="str">
            <v>2021-12-17</v>
          </cell>
          <cell r="G887" t="str">
            <v>9999-12-31</v>
          </cell>
          <cell r="H887" t="str">
            <v>100</v>
          </cell>
        </row>
        <row r="888">
          <cell r="C888" t="str">
            <v>0021800442</v>
          </cell>
          <cell r="D888" t="str">
            <v>0001456589</v>
          </cell>
          <cell r="E888" t="str">
            <v>V9013946</v>
          </cell>
          <cell r="F888" t="str">
            <v>2021-12-17</v>
          </cell>
          <cell r="G888" t="str">
            <v>9999-12-31</v>
          </cell>
          <cell r="H888" t="str">
            <v>100</v>
          </cell>
        </row>
        <row r="889">
          <cell r="C889" t="str">
            <v>0021800442A</v>
          </cell>
          <cell r="D889" t="str">
            <v>0001565223</v>
          </cell>
          <cell r="E889" t="str">
            <v>V9013946</v>
          </cell>
          <cell r="F889" t="str">
            <v>2023-01-30</v>
          </cell>
          <cell r="G889" t="str">
            <v>9999-12-31</v>
          </cell>
          <cell r="H889" t="str">
            <v>100</v>
          </cell>
        </row>
        <row r="890">
          <cell r="C890" t="str">
            <v>0021800442A</v>
          </cell>
          <cell r="D890" t="str">
            <v>0001565224</v>
          </cell>
          <cell r="E890" t="str">
            <v>V9013946</v>
          </cell>
          <cell r="F890" t="str">
            <v>2023-01-30</v>
          </cell>
          <cell r="G890" t="str">
            <v>9999-12-31</v>
          </cell>
          <cell r="H890" t="str">
            <v>100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配额0227"/>
    </sheetNames>
    <sheetDataSet>
      <sheetData sheetId="0">
        <row r="1">
          <cell r="A1" t="str">
            <v>物料号</v>
          </cell>
          <cell r="B1" t="str">
            <v>物料描述</v>
          </cell>
        </row>
        <row r="2">
          <cell r="A2" t="str">
            <v>0010214563A</v>
          </cell>
          <cell r="B2" t="str">
            <v>支架-ABS浅金棕 HFBR-1424</v>
          </cell>
        </row>
        <row r="3">
          <cell r="A3" t="str">
            <v>0010400122H</v>
          </cell>
          <cell r="B3" t="str">
            <v>带插头电源线-115V/60Hz</v>
          </cell>
        </row>
        <row r="4">
          <cell r="A4" t="str">
            <v>0010400122J</v>
          </cell>
          <cell r="B4" t="str">
            <v>带插头电源线-115V/60Hz</v>
          </cell>
        </row>
        <row r="5">
          <cell r="A5" t="str">
            <v>0010400649</v>
          </cell>
          <cell r="B5" t="str">
            <v>室外端子排-N/A</v>
          </cell>
        </row>
        <row r="6">
          <cell r="A6" t="str">
            <v>0010400649C</v>
          </cell>
          <cell r="B6" t="str">
            <v>端子排-塑料</v>
          </cell>
        </row>
        <row r="7">
          <cell r="A7" t="str">
            <v>0010400649E</v>
          </cell>
          <cell r="B7" t="str">
            <v>端子排-塑料/</v>
          </cell>
        </row>
        <row r="8">
          <cell r="A8" t="str">
            <v>0010400649E</v>
          </cell>
          <cell r="B8" t="str">
            <v>端子排-塑料/</v>
          </cell>
        </row>
        <row r="9">
          <cell r="A9" t="str">
            <v>0010400649E</v>
          </cell>
          <cell r="B9" t="str">
            <v>端子排-塑料/</v>
          </cell>
        </row>
        <row r="10">
          <cell r="A10" t="str">
            <v>0010400649F</v>
          </cell>
          <cell r="B10" t="str">
            <v>2.93塑料/</v>
          </cell>
        </row>
        <row r="11">
          <cell r="A11" t="str">
            <v>0010400649J</v>
          </cell>
          <cell r="B11" t="str">
            <v>端子排-/</v>
          </cell>
        </row>
        <row r="12">
          <cell r="A12" t="str">
            <v>0010400649X</v>
          </cell>
          <cell r="B12" t="str">
            <v>端子排-塑料</v>
          </cell>
        </row>
        <row r="13">
          <cell r="A13" t="str">
            <v>0010400931</v>
          </cell>
          <cell r="B13" t="str">
            <v>ROHS-端子排(JXW-6 300V 30A 4MM2)-N/A</v>
          </cell>
        </row>
        <row r="14">
          <cell r="A14" t="str">
            <v>0010401314AB</v>
          </cell>
          <cell r="B14" t="str">
            <v>遥控器-塑料</v>
          </cell>
        </row>
        <row r="15">
          <cell r="A15" t="str">
            <v>0010401314J</v>
          </cell>
          <cell r="B15" t="str">
            <v>遥控器-塑料</v>
          </cell>
        </row>
        <row r="16">
          <cell r="A16" t="str">
            <v>0010401314K</v>
          </cell>
          <cell r="B16" t="str">
            <v>遥控器-塑料</v>
          </cell>
        </row>
        <row r="17">
          <cell r="A17" t="str">
            <v>0010401314Y</v>
          </cell>
          <cell r="B17" t="str">
            <v>遥控器-/</v>
          </cell>
        </row>
        <row r="18">
          <cell r="A18" t="str">
            <v>0010401314Z</v>
          </cell>
          <cell r="B18" t="str">
            <v>遥控器-/</v>
          </cell>
        </row>
        <row r="19">
          <cell r="A19" t="str">
            <v>0010401511</v>
          </cell>
          <cell r="B19" t="str">
            <v>遥控器-/</v>
          </cell>
        </row>
        <row r="20">
          <cell r="A20" t="str">
            <v>0010401523</v>
          </cell>
          <cell r="B20" t="str">
            <v>接收显示板-/</v>
          </cell>
        </row>
        <row r="21">
          <cell r="A21" t="str">
            <v>0010401537</v>
          </cell>
          <cell r="B21" t="str">
            <v>室外端子排(JXW-7-U1 600V 30A 4MM2)-N/A</v>
          </cell>
        </row>
        <row r="22">
          <cell r="A22" t="str">
            <v>0010401715AA</v>
          </cell>
          <cell r="B22" t="str">
            <v>遥控器-塑料</v>
          </cell>
        </row>
        <row r="23">
          <cell r="A23" t="str">
            <v>0010401715AA</v>
          </cell>
          <cell r="B23" t="str">
            <v>遥控器-塑料</v>
          </cell>
        </row>
        <row r="24">
          <cell r="A24" t="str">
            <v>0010401715AD</v>
          </cell>
          <cell r="B24" t="str">
            <v>遥控器-/LG商标单冷带自动功能英文HE遥控器</v>
          </cell>
        </row>
        <row r="25">
          <cell r="A25" t="str">
            <v>0010401715AN</v>
          </cell>
          <cell r="B25" t="str">
            <v>遥控器-/</v>
          </cell>
        </row>
        <row r="26">
          <cell r="A26" t="str">
            <v>0010401715AY</v>
          </cell>
          <cell r="B26" t="str">
            <v>遥控器-塑料1715B基础上英文按键改为俄文按</v>
          </cell>
        </row>
        <row r="27">
          <cell r="A27" t="str">
            <v>0010401715B</v>
          </cell>
          <cell r="B27" t="str">
            <v>遥控器-塑料</v>
          </cell>
        </row>
        <row r="28">
          <cell r="A28" t="str">
            <v>0010401715CC</v>
          </cell>
          <cell r="B28" t="str">
            <v>遥控器-塑料</v>
          </cell>
        </row>
        <row r="29">
          <cell r="A29" t="str">
            <v>0010401715CW</v>
          </cell>
          <cell r="B29" t="str">
            <v>遥控器-/</v>
          </cell>
        </row>
        <row r="30">
          <cell r="A30" t="str">
            <v>0010401715CX</v>
          </cell>
          <cell r="B30" t="str">
            <v>遥控器-塑料</v>
          </cell>
        </row>
        <row r="31">
          <cell r="A31" t="str">
            <v>0010401715CY</v>
          </cell>
          <cell r="B31" t="str">
            <v>遥控器-塑料</v>
          </cell>
        </row>
        <row r="32">
          <cell r="A32" t="str">
            <v>0010401715DA</v>
          </cell>
          <cell r="B32" t="str">
            <v>遥控器-/</v>
          </cell>
        </row>
        <row r="33">
          <cell r="A33" t="str">
            <v>0010401715DA</v>
          </cell>
          <cell r="B33" t="str">
            <v>遥控器-/</v>
          </cell>
        </row>
        <row r="34">
          <cell r="A34" t="str">
            <v>0010401715DA</v>
          </cell>
          <cell r="B34" t="str">
            <v>遥控器-/</v>
          </cell>
        </row>
        <row r="35">
          <cell r="A35" t="str">
            <v>0010401715DG</v>
          </cell>
          <cell r="B35" t="str">
            <v>遥控器-塑料</v>
          </cell>
        </row>
        <row r="36">
          <cell r="A36" t="str">
            <v>0010401715DM</v>
          </cell>
          <cell r="B36" t="str">
            <v>遥控器-/母本基础PMV丝印更换为home其他不变</v>
          </cell>
        </row>
        <row r="37">
          <cell r="A37" t="str">
            <v>0010401715DM</v>
          </cell>
          <cell r="B37" t="str">
            <v>遥控器-/母本基础PMV丝印更换为home其他不变</v>
          </cell>
        </row>
        <row r="38">
          <cell r="A38" t="str">
            <v>0010401715DU</v>
          </cell>
          <cell r="B38" t="str">
            <v>遥控器-塑料</v>
          </cell>
        </row>
        <row r="39">
          <cell r="A39" t="str">
            <v>0010401715DW</v>
          </cell>
          <cell r="B39" t="str">
            <v>遥控器-塑料</v>
          </cell>
        </row>
        <row r="40">
          <cell r="A40" t="str">
            <v>0010401715DW</v>
          </cell>
          <cell r="B40" t="str">
            <v>遥控器-塑料</v>
          </cell>
        </row>
        <row r="41">
          <cell r="A41" t="str">
            <v>0010401715DX</v>
          </cell>
          <cell r="B41" t="str">
            <v>遥控器-塑料</v>
          </cell>
        </row>
        <row r="42">
          <cell r="A42" t="str">
            <v>0010401715DY</v>
          </cell>
          <cell r="B42" t="str">
            <v>遥控器-塑料</v>
          </cell>
        </row>
        <row r="43">
          <cell r="A43" t="str">
            <v>0010401715EB</v>
          </cell>
          <cell r="B43" t="str">
            <v>遥控器-/</v>
          </cell>
        </row>
        <row r="44">
          <cell r="A44" t="str">
            <v>0010401715EN</v>
          </cell>
          <cell r="B44" t="str">
            <v>遥控器-塑料</v>
          </cell>
        </row>
        <row r="45">
          <cell r="A45" t="str">
            <v>0010401715FC</v>
          </cell>
          <cell r="B45" t="str">
            <v>遥控器-塑料</v>
          </cell>
        </row>
        <row r="46">
          <cell r="A46" t="str">
            <v>0010401715FK</v>
          </cell>
          <cell r="B46" t="str">
            <v>遥控器-/</v>
          </cell>
        </row>
        <row r="47">
          <cell r="A47" t="str">
            <v>0010401715FK</v>
          </cell>
          <cell r="B47" t="str">
            <v>遥控器-/</v>
          </cell>
        </row>
        <row r="48">
          <cell r="A48" t="str">
            <v>0010401715FU</v>
          </cell>
          <cell r="B48" t="str">
            <v>遥控器-塑料</v>
          </cell>
        </row>
        <row r="49">
          <cell r="A49" t="str">
            <v>0010401715FV</v>
          </cell>
          <cell r="B49" t="str">
            <v>遥控器-塑料</v>
          </cell>
        </row>
        <row r="50">
          <cell r="A50" t="str">
            <v>0010401715FX</v>
          </cell>
          <cell r="B50" t="str">
            <v>遥控器-塑料HE系列遥控器</v>
          </cell>
        </row>
        <row r="51">
          <cell r="A51" t="str">
            <v>0010401715FX</v>
          </cell>
          <cell r="B51" t="str">
            <v>遥控器-塑料HE系列遥控器</v>
          </cell>
        </row>
        <row r="52">
          <cell r="A52" t="str">
            <v>0010401715GE</v>
          </cell>
          <cell r="B52" t="str">
            <v>遥控器-塑料81*21</v>
          </cell>
        </row>
        <row r="53">
          <cell r="A53" t="str">
            <v>0010401715GG</v>
          </cell>
          <cell r="B53" t="str">
            <v>遥控器-塑料HE系列遥控器</v>
          </cell>
        </row>
        <row r="54">
          <cell r="A54" t="str">
            <v>0010401715GL</v>
          </cell>
          <cell r="B54" t="str">
            <v>遥控器-塑料塑料&lt;Plastic&gt;</v>
          </cell>
        </row>
        <row r="55">
          <cell r="A55" t="str">
            <v>0010401715GT</v>
          </cell>
          <cell r="B55" t="str">
            <v>遥控器-塑料HE</v>
          </cell>
        </row>
        <row r="56">
          <cell r="A56" t="str">
            <v>0010401715HA</v>
          </cell>
          <cell r="B56" t="str">
            <v>遥控器-塑料HE</v>
          </cell>
        </row>
        <row r="57">
          <cell r="A57" t="str">
            <v>0010401715HA</v>
          </cell>
          <cell r="B57" t="str">
            <v>遥控器-塑料HE</v>
          </cell>
        </row>
        <row r="58">
          <cell r="A58" t="str">
            <v>0010401715HA</v>
          </cell>
          <cell r="B58" t="str">
            <v>遥控器-塑料HE</v>
          </cell>
        </row>
        <row r="59">
          <cell r="A59" t="str">
            <v>0010401715HB</v>
          </cell>
          <cell r="B59" t="str">
            <v>遥控器-塑料/</v>
          </cell>
        </row>
        <row r="60">
          <cell r="A60" t="str">
            <v>0010401715HC</v>
          </cell>
          <cell r="B60" t="str">
            <v>遥控器-塑料/</v>
          </cell>
        </row>
        <row r="61">
          <cell r="A61" t="str">
            <v>0010401715HE</v>
          </cell>
          <cell r="B61" t="str">
            <v>遥控器-塑料HE</v>
          </cell>
        </row>
        <row r="62">
          <cell r="A62" t="str">
            <v>0010401715HJ</v>
          </cell>
          <cell r="B62" t="str">
            <v>遥控器-塑料</v>
          </cell>
        </row>
        <row r="63">
          <cell r="A63" t="str">
            <v>0010401715HL</v>
          </cell>
          <cell r="B63" t="str">
            <v>遥控器-塑料/</v>
          </cell>
        </row>
        <row r="64">
          <cell r="A64" t="str">
            <v>0010401715HM</v>
          </cell>
          <cell r="B64" t="str">
            <v>遥控器-塑料</v>
          </cell>
        </row>
        <row r="65">
          <cell r="A65" t="str">
            <v>0010401715HQ</v>
          </cell>
          <cell r="B65" t="str">
            <v>遥控器-塑料</v>
          </cell>
        </row>
        <row r="66">
          <cell r="A66" t="str">
            <v>0010401715HR</v>
          </cell>
          <cell r="B66" t="str">
            <v>遥控器-塑料</v>
          </cell>
        </row>
        <row r="67">
          <cell r="A67" t="str">
            <v>0010401715HU</v>
          </cell>
          <cell r="B67" t="str">
            <v>遥控器-塑料</v>
          </cell>
        </row>
        <row r="68">
          <cell r="A68" t="str">
            <v>0010401715HV</v>
          </cell>
          <cell r="B68" t="str">
            <v>遥控器-塑料</v>
          </cell>
        </row>
        <row r="69">
          <cell r="A69" t="str">
            <v>0010401715HW</v>
          </cell>
          <cell r="B69" t="str">
            <v>遥控器-塑料</v>
          </cell>
        </row>
        <row r="70">
          <cell r="A70" t="str">
            <v>0010401715HX</v>
          </cell>
          <cell r="B70" t="str">
            <v>遥控器-塑料</v>
          </cell>
        </row>
        <row r="71">
          <cell r="A71" t="str">
            <v>0010401715HY</v>
          </cell>
          <cell r="B71" t="str">
            <v>遥控器-塑料</v>
          </cell>
        </row>
        <row r="72">
          <cell r="A72" t="str">
            <v>0010401715JE</v>
          </cell>
          <cell r="B72" t="str">
            <v>遥控器-塑料</v>
          </cell>
        </row>
        <row r="73">
          <cell r="A73" t="str">
            <v>0010401715JF</v>
          </cell>
          <cell r="B73" t="str">
            <v>遥控器-/</v>
          </cell>
        </row>
        <row r="74">
          <cell r="A74" t="str">
            <v>0010401715JFY</v>
          </cell>
          <cell r="B74" t="str">
            <v>遥控器-/</v>
          </cell>
        </row>
        <row r="75">
          <cell r="A75" t="str">
            <v>0010401715JG</v>
          </cell>
          <cell r="B75" t="str">
            <v>遥控器-塑料</v>
          </cell>
        </row>
        <row r="76">
          <cell r="A76" t="str">
            <v>0010401715JK</v>
          </cell>
          <cell r="B76" t="str">
            <v>遥控器-塑料红外遥控器</v>
          </cell>
        </row>
        <row r="77">
          <cell r="A77" t="str">
            <v>0010401715JL</v>
          </cell>
          <cell r="B77" t="str">
            <v>遥控器-塑料冰雪白 HBWH-1404</v>
          </cell>
        </row>
        <row r="78">
          <cell r="A78" t="str">
            <v>0010401715JM</v>
          </cell>
          <cell r="B78" t="str">
            <v>遥控器-/</v>
          </cell>
        </row>
        <row r="79">
          <cell r="A79" t="str">
            <v>0010401715JN</v>
          </cell>
          <cell r="B79" t="str">
            <v>遥控器</v>
          </cell>
        </row>
        <row r="80">
          <cell r="A80" t="str">
            <v>0010401715JP</v>
          </cell>
          <cell r="B80" t="str">
            <v>遥控器-塑料</v>
          </cell>
        </row>
        <row r="81">
          <cell r="A81" t="str">
            <v>0010401715JU</v>
          </cell>
          <cell r="B81" t="str">
            <v>遥控器-冰雪白 WH-0114</v>
          </cell>
        </row>
        <row r="82">
          <cell r="A82" t="str">
            <v>0010401715JV</v>
          </cell>
          <cell r="B82" t="str">
            <v>遥控器-冰雪白 WH-0114</v>
          </cell>
        </row>
        <row r="83">
          <cell r="A83" t="str">
            <v>0010401715KC</v>
          </cell>
          <cell r="B83" t="str">
            <v>遥控器-塑料</v>
          </cell>
        </row>
        <row r="84">
          <cell r="A84" t="str">
            <v>0010401715KD</v>
          </cell>
          <cell r="B84" t="str">
            <v>遥控器-塑料</v>
          </cell>
        </row>
        <row r="85">
          <cell r="A85" t="str">
            <v>0010401715KE</v>
          </cell>
          <cell r="B85" t="str">
            <v>遥控器-塑料</v>
          </cell>
        </row>
        <row r="86">
          <cell r="A86" t="str">
            <v>0010401715KG</v>
          </cell>
          <cell r="B86" t="str">
            <v>遥控器-塑料冰雪白 HBWH-1404</v>
          </cell>
        </row>
        <row r="87">
          <cell r="A87" t="str">
            <v>0010401715P</v>
          </cell>
          <cell r="B87" t="str">
            <v>遥控器-塑料</v>
          </cell>
        </row>
        <row r="88">
          <cell r="A88" t="str">
            <v>0010401715PG</v>
          </cell>
          <cell r="B88" t="str">
            <v>遥控器-塑料冰雪白 WH-0114</v>
          </cell>
        </row>
        <row r="89">
          <cell r="A89" t="str">
            <v>0010401715XY</v>
          </cell>
          <cell r="B89" t="str">
            <v>遥控器-塑料</v>
          </cell>
        </row>
        <row r="90">
          <cell r="A90" t="str">
            <v>0010401715Y</v>
          </cell>
          <cell r="B90" t="str">
            <v>遥控器-塑料</v>
          </cell>
        </row>
        <row r="91">
          <cell r="A91" t="str">
            <v>0010401715YD</v>
          </cell>
          <cell r="B91" t="str">
            <v>遥控器-塑料</v>
          </cell>
        </row>
        <row r="92">
          <cell r="A92" t="str">
            <v>0010401715YM</v>
          </cell>
          <cell r="B92" t="str">
            <v>遥控器-塑料</v>
          </cell>
        </row>
        <row r="93">
          <cell r="A93" t="str">
            <v>0010401858</v>
          </cell>
          <cell r="B93" t="str">
            <v>ROHS-室内端子排(JXW-5-B 600V 30A 4MM2)-/---</v>
          </cell>
        </row>
        <row r="94">
          <cell r="A94" t="str">
            <v>0010401858</v>
          </cell>
          <cell r="B94" t="str">
            <v>ROHS-室内端子排(JXW-5-B 600V 30A 4MM2)-/---</v>
          </cell>
        </row>
        <row r="95">
          <cell r="A95" t="str">
            <v>0010401858F</v>
          </cell>
          <cell r="B95" t="str">
            <v>端子排-/</v>
          </cell>
        </row>
        <row r="96">
          <cell r="A96" t="str">
            <v>0010401858F</v>
          </cell>
          <cell r="B96" t="str">
            <v>端子排-/</v>
          </cell>
        </row>
        <row r="97">
          <cell r="A97" t="str">
            <v>0010401858H</v>
          </cell>
          <cell r="B97" t="str">
            <v>端子排-/</v>
          </cell>
        </row>
        <row r="98">
          <cell r="A98" t="str">
            <v>0010401858J</v>
          </cell>
          <cell r="B98" t="str">
            <v>端子排-/</v>
          </cell>
        </row>
        <row r="99">
          <cell r="A99" t="str">
            <v>0010401858K</v>
          </cell>
          <cell r="B99" t="str">
            <v>端子排-//</v>
          </cell>
        </row>
        <row r="100">
          <cell r="A100" t="str">
            <v>0010401858L</v>
          </cell>
          <cell r="B100" t="str">
            <v>端子排-/</v>
          </cell>
        </row>
        <row r="101">
          <cell r="A101" t="str">
            <v>0010401858L</v>
          </cell>
          <cell r="B101" t="str">
            <v>端子排-/</v>
          </cell>
        </row>
        <row r="102">
          <cell r="A102" t="str">
            <v>0010401996A</v>
          </cell>
          <cell r="B102" t="str">
            <v>遥控器-塑料</v>
          </cell>
        </row>
        <row r="103">
          <cell r="A103" t="str">
            <v>0010401996AA</v>
          </cell>
          <cell r="B103" t="str">
            <v>遥控器-塑料</v>
          </cell>
        </row>
        <row r="104">
          <cell r="A104" t="str">
            <v>0010401996AC</v>
          </cell>
          <cell r="B104" t="str">
            <v>遥控器-/</v>
          </cell>
        </row>
        <row r="105">
          <cell r="A105" t="str">
            <v>0010401996AG</v>
          </cell>
          <cell r="B105" t="str">
            <v>遥控器-塑料</v>
          </cell>
        </row>
        <row r="106">
          <cell r="A106" t="str">
            <v>0010401996AM</v>
          </cell>
          <cell r="B106" t="str">
            <v>遥控器-塑料</v>
          </cell>
        </row>
        <row r="107">
          <cell r="A107" t="str">
            <v>0010401996B</v>
          </cell>
          <cell r="B107" t="str">
            <v>遥控器-塑料</v>
          </cell>
        </row>
        <row r="108">
          <cell r="A108" t="str">
            <v>0010401996G</v>
          </cell>
          <cell r="B108" t="str">
            <v>遥控器-塑料</v>
          </cell>
        </row>
        <row r="109">
          <cell r="A109" t="str">
            <v>0010401996K</v>
          </cell>
          <cell r="B109" t="str">
            <v>遥控器-塑料</v>
          </cell>
        </row>
        <row r="110">
          <cell r="A110" t="str">
            <v>0010401996L</v>
          </cell>
          <cell r="B110" t="str">
            <v>遥控器-塑料</v>
          </cell>
        </row>
        <row r="111">
          <cell r="A111" t="str">
            <v>0010401996N</v>
          </cell>
          <cell r="B111" t="str">
            <v>遥控器-塑料</v>
          </cell>
        </row>
        <row r="112">
          <cell r="A112" t="str">
            <v>0010401996P</v>
          </cell>
          <cell r="B112" t="str">
            <v>遥控器-塑料</v>
          </cell>
        </row>
        <row r="113">
          <cell r="A113" t="str">
            <v>0010401996S</v>
          </cell>
          <cell r="B113" t="str">
            <v>遥控器-塑料HG遥控器</v>
          </cell>
        </row>
        <row r="114">
          <cell r="A114" t="str">
            <v>0010401996S</v>
          </cell>
          <cell r="B114" t="str">
            <v>遥控器-塑料HG遥控器</v>
          </cell>
        </row>
        <row r="115">
          <cell r="A115" t="str">
            <v>0010401996U</v>
          </cell>
          <cell r="B115" t="str">
            <v>遥控器-塑料</v>
          </cell>
        </row>
        <row r="116">
          <cell r="A116" t="str">
            <v>0010401996W</v>
          </cell>
          <cell r="B116" t="str">
            <v>遥控器-塑料</v>
          </cell>
        </row>
        <row r="117">
          <cell r="A117" t="str">
            <v>0010401996X</v>
          </cell>
          <cell r="B117" t="str">
            <v>遥控器-塑料</v>
          </cell>
        </row>
        <row r="118">
          <cell r="A118" t="str">
            <v>0010402040</v>
          </cell>
          <cell r="B118" t="str">
            <v>端子排(HSU-18CF13(T3))-N/A</v>
          </cell>
        </row>
        <row r="119">
          <cell r="A119" t="str">
            <v>0010402187</v>
          </cell>
          <cell r="B119" t="str">
            <v>端子排-/</v>
          </cell>
        </row>
        <row r="120">
          <cell r="A120" t="str">
            <v>0010402187</v>
          </cell>
          <cell r="B120" t="str">
            <v>端子排-/</v>
          </cell>
        </row>
        <row r="121">
          <cell r="A121" t="str">
            <v>0010402187A</v>
          </cell>
          <cell r="B121" t="str">
            <v>端子排-//--</v>
          </cell>
        </row>
        <row r="122">
          <cell r="A122" t="str">
            <v>0010402192</v>
          </cell>
          <cell r="B122" t="str">
            <v>选择开关(HWS18VHA)-/</v>
          </cell>
        </row>
        <row r="123">
          <cell r="A123" t="str">
            <v>0010402208</v>
          </cell>
          <cell r="B123" t="str">
            <v>端子排-/</v>
          </cell>
        </row>
        <row r="124">
          <cell r="A124" t="str">
            <v>0010402208</v>
          </cell>
          <cell r="B124" t="str">
            <v>端子排-/</v>
          </cell>
        </row>
        <row r="125">
          <cell r="A125" t="str">
            <v>0010402208</v>
          </cell>
          <cell r="B125" t="str">
            <v>端子排-/</v>
          </cell>
        </row>
        <row r="126">
          <cell r="A126" t="str">
            <v>0010402208B</v>
          </cell>
          <cell r="B126" t="str">
            <v>端子排-/---</v>
          </cell>
        </row>
        <row r="127">
          <cell r="A127" t="str">
            <v>0010402208B</v>
          </cell>
          <cell r="B127" t="str">
            <v>端子排-/---</v>
          </cell>
        </row>
        <row r="128">
          <cell r="A128" t="str">
            <v>0010402208B</v>
          </cell>
          <cell r="B128" t="str">
            <v>端子排-/---</v>
          </cell>
        </row>
        <row r="129">
          <cell r="A129" t="str">
            <v>0010402208C</v>
          </cell>
          <cell r="B129" t="str">
            <v>端子排-/端子排</v>
          </cell>
        </row>
        <row r="130">
          <cell r="A130" t="str">
            <v>0010402208C</v>
          </cell>
          <cell r="B130" t="str">
            <v>端子排-/端子排</v>
          </cell>
        </row>
        <row r="131">
          <cell r="A131" t="str">
            <v>0010402208D</v>
          </cell>
          <cell r="B131" t="str">
            <v>端子排</v>
          </cell>
        </row>
        <row r="132">
          <cell r="A132" t="str">
            <v>0010402208D</v>
          </cell>
          <cell r="B132" t="str">
            <v>端子排</v>
          </cell>
        </row>
        <row r="133">
          <cell r="A133" t="str">
            <v>0010402208D</v>
          </cell>
          <cell r="B133" t="str">
            <v>端子排</v>
          </cell>
        </row>
        <row r="134">
          <cell r="A134" t="str">
            <v>0010402208E</v>
          </cell>
          <cell r="B134" t="str">
            <v>端子排</v>
          </cell>
        </row>
        <row r="135">
          <cell r="A135" t="str">
            <v>0010402208E</v>
          </cell>
          <cell r="B135" t="str">
            <v>端子排</v>
          </cell>
        </row>
        <row r="136">
          <cell r="A136" t="str">
            <v>0010402287</v>
          </cell>
          <cell r="B136" t="str">
            <v>ROHS-室外端子排(JXW-4 600V 30A 4MM2)-/</v>
          </cell>
        </row>
        <row r="137">
          <cell r="A137" t="str">
            <v>0010402287B</v>
          </cell>
          <cell r="B137" t="str">
            <v>端子排-/</v>
          </cell>
        </row>
        <row r="138">
          <cell r="A138" t="str">
            <v>0010402633</v>
          </cell>
          <cell r="B138" t="str">
            <v>端子排(JXW-11-T 600V 40A 5.5MM2)-N/A</v>
          </cell>
        </row>
        <row r="139">
          <cell r="A139" t="str">
            <v>0010402647AE</v>
          </cell>
          <cell r="B139" t="str">
            <v>遥控器-塑料</v>
          </cell>
        </row>
        <row r="140">
          <cell r="A140" t="str">
            <v>0010402647U</v>
          </cell>
          <cell r="B140" t="str">
            <v>遥控器-塑料</v>
          </cell>
        </row>
        <row r="141">
          <cell r="A141" t="str">
            <v>0010402647Z</v>
          </cell>
          <cell r="B141" t="str">
            <v>遥控器-塑料</v>
          </cell>
        </row>
        <row r="142">
          <cell r="A142" t="str">
            <v>0010402856</v>
          </cell>
          <cell r="B142" t="str">
            <v>端子排-/</v>
          </cell>
        </row>
        <row r="143">
          <cell r="A143" t="str">
            <v>0010402856</v>
          </cell>
          <cell r="B143" t="str">
            <v>端子排-/</v>
          </cell>
        </row>
        <row r="144">
          <cell r="A144" t="str">
            <v>0010402860</v>
          </cell>
          <cell r="B144" t="str">
            <v>端子排-/</v>
          </cell>
        </row>
        <row r="145">
          <cell r="A145" t="str">
            <v>0010402886</v>
          </cell>
          <cell r="B145" t="str">
            <v>遥控器-/</v>
          </cell>
        </row>
        <row r="146">
          <cell r="A146" t="str">
            <v>0010402886AB</v>
          </cell>
          <cell r="B146" t="str">
            <v>遥控器-/</v>
          </cell>
        </row>
        <row r="147">
          <cell r="A147" t="str">
            <v>0010402886AC</v>
          </cell>
          <cell r="B147" t="str">
            <v>遥控器-塑料</v>
          </cell>
        </row>
        <row r="148">
          <cell r="A148" t="str">
            <v>0010402886AD</v>
          </cell>
          <cell r="B148" t="str">
            <v>遥控器-塑料</v>
          </cell>
        </row>
        <row r="149">
          <cell r="A149" t="str">
            <v>0010402886AE</v>
          </cell>
          <cell r="B149" t="str">
            <v>遥控器-/HQ遥控器</v>
          </cell>
        </row>
        <row r="150">
          <cell r="A150" t="str">
            <v>0010402886AF</v>
          </cell>
          <cell r="B150" t="str">
            <v>遥控器-/HQ遥控器</v>
          </cell>
        </row>
        <row r="151">
          <cell r="A151" t="str">
            <v>0010402886AJ</v>
          </cell>
          <cell r="B151" t="str">
            <v>遥控器-塑料</v>
          </cell>
        </row>
        <row r="152">
          <cell r="A152" t="str">
            <v>0010402886AM</v>
          </cell>
          <cell r="B152" t="str">
            <v>遥控器-//</v>
          </cell>
        </row>
        <row r="153">
          <cell r="A153" t="str">
            <v>0010402886AP</v>
          </cell>
          <cell r="B153" t="str">
            <v>遥控器-塑料</v>
          </cell>
        </row>
        <row r="154">
          <cell r="A154" t="str">
            <v>0010402886AQ</v>
          </cell>
          <cell r="B154" t="str">
            <v>遥控器-//--</v>
          </cell>
        </row>
        <row r="155">
          <cell r="A155" t="str">
            <v>0010402886BA</v>
          </cell>
          <cell r="B155" t="str">
            <v>遥控器-塑料/</v>
          </cell>
        </row>
        <row r="156">
          <cell r="A156" t="str">
            <v>0010402886BB</v>
          </cell>
          <cell r="B156" t="str">
            <v>遥控器-/遥控器</v>
          </cell>
        </row>
        <row r="157">
          <cell r="A157" t="str">
            <v>0010402886BD</v>
          </cell>
          <cell r="B157" t="str">
            <v>遥控器-塑料</v>
          </cell>
        </row>
        <row r="158">
          <cell r="A158" t="str">
            <v>0010402886BF</v>
          </cell>
          <cell r="B158" t="str">
            <v>遥控器-//</v>
          </cell>
        </row>
        <row r="159">
          <cell r="A159" t="str">
            <v>0010402886BG</v>
          </cell>
          <cell r="B159" t="str">
            <v>遥控器-塑料冰雪白 HBWH-1404</v>
          </cell>
        </row>
        <row r="160">
          <cell r="A160" t="str">
            <v>0010402886BH</v>
          </cell>
          <cell r="B160" t="str">
            <v>遥控器-/</v>
          </cell>
        </row>
        <row r="161">
          <cell r="A161" t="str">
            <v>0010402886BJ</v>
          </cell>
          <cell r="B161" t="str">
            <v>遥控器-塑料冰雪白 HBWH-1404</v>
          </cell>
        </row>
        <row r="162">
          <cell r="A162" t="str">
            <v>0010402886BQ</v>
          </cell>
          <cell r="B162" t="str">
            <v>遥控器-塑料</v>
          </cell>
        </row>
        <row r="163">
          <cell r="A163" t="str">
            <v>0010402886BR</v>
          </cell>
          <cell r="B163" t="str">
            <v>遥控器-塑料</v>
          </cell>
        </row>
        <row r="164">
          <cell r="A164" t="str">
            <v>0010402886F</v>
          </cell>
          <cell r="B164" t="str">
            <v>遥控器-/</v>
          </cell>
        </row>
        <row r="165">
          <cell r="A165" t="str">
            <v>0010402886L</v>
          </cell>
          <cell r="B165" t="str">
            <v>遥控器-/</v>
          </cell>
        </row>
        <row r="166">
          <cell r="A166" t="str">
            <v>0010402886P</v>
          </cell>
          <cell r="B166" t="str">
            <v>遥控器-塑料---</v>
          </cell>
        </row>
        <row r="167">
          <cell r="A167" t="str">
            <v>0010402886Q</v>
          </cell>
          <cell r="B167" t="str">
            <v>遥控器-塑料---</v>
          </cell>
        </row>
        <row r="168">
          <cell r="A168" t="str">
            <v>0010402886R</v>
          </cell>
          <cell r="B168" t="str">
            <v>遥控器-/</v>
          </cell>
        </row>
        <row r="169">
          <cell r="A169" t="str">
            <v>0010402886S</v>
          </cell>
          <cell r="B169" t="str">
            <v>遥控器-/</v>
          </cell>
        </row>
        <row r="170">
          <cell r="A170" t="str">
            <v>0010402886V</v>
          </cell>
          <cell r="B170" t="str">
            <v>遥控器-/</v>
          </cell>
        </row>
        <row r="171">
          <cell r="A171" t="str">
            <v>0010402886W</v>
          </cell>
          <cell r="B171" t="str">
            <v>遥控器-塑料</v>
          </cell>
        </row>
        <row r="172">
          <cell r="A172" t="str">
            <v>0010402886Y</v>
          </cell>
          <cell r="B172" t="str">
            <v>遥控器-塑料/</v>
          </cell>
        </row>
        <row r="173">
          <cell r="A173" t="str">
            <v>0010403146</v>
          </cell>
          <cell r="B173" t="str">
            <v>端子排-/</v>
          </cell>
        </row>
        <row r="174">
          <cell r="A174" t="str">
            <v>0010403146</v>
          </cell>
          <cell r="B174" t="str">
            <v>端子排-/</v>
          </cell>
        </row>
        <row r="175">
          <cell r="A175" t="str">
            <v>0010403146E</v>
          </cell>
          <cell r="B175" t="str">
            <v>端子排-//</v>
          </cell>
        </row>
        <row r="176">
          <cell r="A176" t="str">
            <v>0010403146F</v>
          </cell>
          <cell r="B176" t="str">
            <v>端子排-/</v>
          </cell>
        </row>
        <row r="177">
          <cell r="A177" t="str">
            <v>0010403146F</v>
          </cell>
          <cell r="B177" t="str">
            <v>端子排-/</v>
          </cell>
        </row>
        <row r="178">
          <cell r="A178" t="str">
            <v>0010403338</v>
          </cell>
          <cell r="B178" t="str">
            <v>选择开关(HW-07CK03)-N/A</v>
          </cell>
        </row>
        <row r="179">
          <cell r="A179" t="str">
            <v>0010403338A</v>
          </cell>
          <cell r="B179" t="str">
            <v>选择开关-/</v>
          </cell>
        </row>
        <row r="180">
          <cell r="A180" t="str">
            <v>0010403338C</v>
          </cell>
          <cell r="B180" t="str">
            <v>选择开关-金属</v>
          </cell>
        </row>
        <row r="181">
          <cell r="A181" t="str">
            <v>0010403363</v>
          </cell>
          <cell r="B181" t="str">
            <v>端子排-/</v>
          </cell>
        </row>
        <row r="182">
          <cell r="A182" t="str">
            <v>0010403766</v>
          </cell>
          <cell r="B182" t="str">
            <v>ROHS-电脑板(JA-18D)-塑料</v>
          </cell>
        </row>
        <row r="183">
          <cell r="A183" t="str">
            <v>0010403767</v>
          </cell>
          <cell r="B183" t="str">
            <v>遥控器-塑料/</v>
          </cell>
        </row>
        <row r="184">
          <cell r="A184" t="str">
            <v>0010403816</v>
          </cell>
          <cell r="B184" t="str">
            <v>ROHS-室内端子排(6位KFR-60GW/V(ZXF))</v>
          </cell>
        </row>
        <row r="185">
          <cell r="A185" t="str">
            <v>0010403816A</v>
          </cell>
          <cell r="B185" t="str">
            <v>端子排-/</v>
          </cell>
        </row>
        <row r="186">
          <cell r="A186" t="str">
            <v>0010403863</v>
          </cell>
          <cell r="B186" t="str">
            <v>端子排-N/A</v>
          </cell>
        </row>
        <row r="187">
          <cell r="A187" t="str">
            <v>0010403863</v>
          </cell>
          <cell r="B187" t="str">
            <v>端子排-N/A</v>
          </cell>
        </row>
        <row r="188">
          <cell r="A188" t="str">
            <v>0010403863</v>
          </cell>
          <cell r="B188" t="str">
            <v>端子排-N/A</v>
          </cell>
        </row>
        <row r="189">
          <cell r="A189" t="str">
            <v>0010403863G</v>
          </cell>
          <cell r="B189" t="str">
            <v>端子排-/</v>
          </cell>
        </row>
        <row r="190">
          <cell r="A190" t="str">
            <v>0010403863H</v>
          </cell>
          <cell r="B190" t="str">
            <v>端子排-//</v>
          </cell>
        </row>
        <row r="191">
          <cell r="A191" t="str">
            <v>0010403863J</v>
          </cell>
          <cell r="B191" t="str">
            <v>端子排-/</v>
          </cell>
        </row>
        <row r="192">
          <cell r="A192" t="str">
            <v>0010403941</v>
          </cell>
          <cell r="B192" t="str">
            <v>端子排-/</v>
          </cell>
        </row>
        <row r="193">
          <cell r="A193" t="str">
            <v>0010404180</v>
          </cell>
          <cell r="B193" t="str">
            <v>端子排-金属双排30A/4mm?</v>
          </cell>
        </row>
        <row r="194">
          <cell r="A194" t="str">
            <v>0010404180A</v>
          </cell>
          <cell r="B194" t="str">
            <v>端子排-金属双排30A/4mm?-</v>
          </cell>
        </row>
        <row r="195">
          <cell r="A195" t="str">
            <v>0010404180A</v>
          </cell>
          <cell r="B195" t="str">
            <v>端子排-金属双排30A/4mm?-</v>
          </cell>
        </row>
        <row r="196">
          <cell r="A196" t="str">
            <v>0010404411A</v>
          </cell>
          <cell r="B196" t="str">
            <v>室内电脑板-CEM-1</v>
          </cell>
        </row>
        <row r="197">
          <cell r="A197" t="str">
            <v>0010404411B</v>
          </cell>
          <cell r="B197" t="str">
            <v>室内电脑板-CEM-1</v>
          </cell>
        </row>
        <row r="198">
          <cell r="A198" t="str">
            <v>0010404411C</v>
          </cell>
          <cell r="B198" t="str">
            <v>室内电脑板-CEM-1</v>
          </cell>
        </row>
        <row r="199">
          <cell r="A199" t="str">
            <v>0010404473</v>
          </cell>
          <cell r="B199" t="str">
            <v>ROHS-室内电脑板(HSU-18LE03)-/</v>
          </cell>
        </row>
        <row r="200">
          <cell r="A200" t="str">
            <v>0010404555B</v>
          </cell>
          <cell r="B200" t="str">
            <v>遥控器-塑料---</v>
          </cell>
        </row>
        <row r="201">
          <cell r="A201" t="str">
            <v>0010404555C</v>
          </cell>
          <cell r="B201" t="str">
            <v>遥控器-塑料/</v>
          </cell>
        </row>
        <row r="202">
          <cell r="A202" t="str">
            <v>0010404555D</v>
          </cell>
          <cell r="B202" t="str">
            <v>遥控器-塑料HFA</v>
          </cell>
        </row>
        <row r="203">
          <cell r="A203" t="str">
            <v>0010404555F</v>
          </cell>
          <cell r="B203" t="str">
            <v>遥控器-塑料/</v>
          </cell>
        </row>
        <row r="204">
          <cell r="A204" t="str">
            <v>0010404555G</v>
          </cell>
          <cell r="B204" t="str">
            <v>遥控器-塑料/</v>
          </cell>
        </row>
        <row r="205">
          <cell r="A205" t="str">
            <v>0010404555H</v>
          </cell>
          <cell r="B205" t="str">
            <v>遥控器-塑料/</v>
          </cell>
        </row>
        <row r="206">
          <cell r="A206" t="str">
            <v>0010404555J</v>
          </cell>
          <cell r="B206" t="str">
            <v>遥控器-塑料/</v>
          </cell>
        </row>
        <row r="207">
          <cell r="A207" t="str">
            <v>0010404555M</v>
          </cell>
          <cell r="B207" t="str">
            <v>遥控器-塑料HFA</v>
          </cell>
        </row>
        <row r="208">
          <cell r="A208" t="str">
            <v>0010404555N</v>
          </cell>
          <cell r="B208" t="str">
            <v>遥控器-塑料/</v>
          </cell>
        </row>
        <row r="209">
          <cell r="A209" t="str">
            <v>0010404555T</v>
          </cell>
          <cell r="B209" t="str">
            <v>遥控器-塑料/</v>
          </cell>
        </row>
        <row r="210">
          <cell r="A210" t="str">
            <v>0010404555U</v>
          </cell>
          <cell r="B210" t="str">
            <v>遥控器-塑料HFA</v>
          </cell>
        </row>
        <row r="211">
          <cell r="A211" t="str">
            <v>0010404941</v>
          </cell>
          <cell r="B211" t="str">
            <v>遥控器-塑料</v>
          </cell>
        </row>
        <row r="212">
          <cell r="A212" t="str">
            <v>0010404941A</v>
          </cell>
          <cell r="B212" t="str">
            <v>遥控器-塑料</v>
          </cell>
        </row>
        <row r="213">
          <cell r="A213" t="str">
            <v>0010404941B</v>
          </cell>
          <cell r="B213" t="str">
            <v>遥控器-塑料/</v>
          </cell>
        </row>
        <row r="214">
          <cell r="A214" t="str">
            <v>0010405091</v>
          </cell>
          <cell r="B214" t="str">
            <v>端子排-/</v>
          </cell>
        </row>
        <row r="215">
          <cell r="A215" t="str">
            <v>0010405091</v>
          </cell>
          <cell r="B215" t="str">
            <v>端子排-/</v>
          </cell>
        </row>
        <row r="216">
          <cell r="A216" t="str">
            <v>0010405817B</v>
          </cell>
          <cell r="B216" t="str">
            <v>遥控器-塑料红外遥控器</v>
          </cell>
        </row>
        <row r="217">
          <cell r="A217" t="str">
            <v>0010405817L</v>
          </cell>
          <cell r="B217" t="str">
            <v>遥控器-塑料红外遥控器</v>
          </cell>
        </row>
        <row r="218">
          <cell r="A218" t="str">
            <v>0010405817T</v>
          </cell>
          <cell r="B218" t="str">
            <v>遥控器-塑料</v>
          </cell>
        </row>
        <row r="219">
          <cell r="A219" t="str">
            <v>0010405888E</v>
          </cell>
          <cell r="B219" t="str">
            <v>遥控器-/YR系列</v>
          </cell>
        </row>
        <row r="220">
          <cell r="A220" t="str">
            <v>0010405898</v>
          </cell>
          <cell r="B220" t="str">
            <v>端子排-塑料四位端子排/</v>
          </cell>
        </row>
        <row r="221">
          <cell r="A221" t="str">
            <v>0010405967C</v>
          </cell>
          <cell r="B221" t="str">
            <v>遥控器</v>
          </cell>
        </row>
        <row r="222">
          <cell r="A222" t="str">
            <v>0010405967D</v>
          </cell>
          <cell r="B222" t="str">
            <v>遥控器-冰雪白 HBWH-1404</v>
          </cell>
        </row>
        <row r="223">
          <cell r="A223" t="str">
            <v>0010405967E</v>
          </cell>
          <cell r="B223" t="str">
            <v>遥控器-冰雪白 HBWH-1404</v>
          </cell>
        </row>
        <row r="224">
          <cell r="A224" t="str">
            <v>0010405967F</v>
          </cell>
          <cell r="B224" t="str">
            <v>遥控器</v>
          </cell>
        </row>
        <row r="225">
          <cell r="A225" t="str">
            <v>0010405967H</v>
          </cell>
          <cell r="B225" t="str">
            <v>遥控器</v>
          </cell>
        </row>
        <row r="226">
          <cell r="A226" t="str">
            <v>0010405967J</v>
          </cell>
          <cell r="B226" t="str">
            <v>遥控器</v>
          </cell>
        </row>
        <row r="227">
          <cell r="A227" t="str">
            <v>0010405967K</v>
          </cell>
          <cell r="B227" t="str">
            <v>遥控器-冰雪白 WH-0114</v>
          </cell>
        </row>
        <row r="228">
          <cell r="A228" t="str">
            <v>0010405967L</v>
          </cell>
          <cell r="B228" t="str">
            <v>遥控器-冰雪白 WH-0114</v>
          </cell>
        </row>
        <row r="229">
          <cell r="A229" t="str">
            <v>0010405967M</v>
          </cell>
          <cell r="B229" t="str">
            <v>遥控器-冰雪白 WH-0114</v>
          </cell>
        </row>
        <row r="230">
          <cell r="A230" t="str">
            <v>0010405967N</v>
          </cell>
          <cell r="B230" t="str">
            <v>遥控器-冰雪白 WH-0114</v>
          </cell>
        </row>
        <row r="231">
          <cell r="A231" t="str">
            <v>0010405969C</v>
          </cell>
          <cell r="B231" t="str">
            <v>遥控器-塑料</v>
          </cell>
        </row>
        <row r="232">
          <cell r="A232" t="str">
            <v>0010405969L</v>
          </cell>
          <cell r="B232" t="str">
            <v>遥控器-冰雪白 WH-0114</v>
          </cell>
        </row>
        <row r="233">
          <cell r="A233" t="str">
            <v>0010406178</v>
          </cell>
          <cell r="B233" t="str">
            <v>遥控器-塑料</v>
          </cell>
        </row>
        <row r="234">
          <cell r="A234" t="str">
            <v>0010406178A</v>
          </cell>
          <cell r="B234" t="str">
            <v>遥控器-塑料</v>
          </cell>
        </row>
        <row r="235">
          <cell r="A235" t="str">
            <v>0010406178AC</v>
          </cell>
          <cell r="B235" t="str">
            <v>遥控器-塑料</v>
          </cell>
        </row>
        <row r="236">
          <cell r="A236" t="str">
            <v>0010406178AH</v>
          </cell>
          <cell r="B236" t="str">
            <v>遥控器-塑料</v>
          </cell>
        </row>
        <row r="237">
          <cell r="A237" t="str">
            <v>0010406178AJ</v>
          </cell>
          <cell r="B237" t="str">
            <v>遥控器-塑料</v>
          </cell>
        </row>
        <row r="238">
          <cell r="A238" t="str">
            <v>0010406178AK</v>
          </cell>
          <cell r="B238" t="str">
            <v>遥控器-塑料</v>
          </cell>
        </row>
        <row r="239">
          <cell r="A239" t="str">
            <v>0010406178AL</v>
          </cell>
          <cell r="B239" t="str">
            <v>遥控器-塑料</v>
          </cell>
        </row>
        <row r="240">
          <cell r="A240" t="str">
            <v>0010406178AN</v>
          </cell>
          <cell r="B240" t="str">
            <v>遥控器-塑料</v>
          </cell>
        </row>
        <row r="241">
          <cell r="A241" t="str">
            <v>0010406178AP</v>
          </cell>
          <cell r="B241" t="str">
            <v>遥控器-塑料</v>
          </cell>
        </row>
        <row r="242">
          <cell r="A242" t="str">
            <v>0010406178AQ</v>
          </cell>
          <cell r="B242" t="str">
            <v>遥控器-塑料</v>
          </cell>
        </row>
        <row r="243">
          <cell r="A243" t="str">
            <v>0010406178AS</v>
          </cell>
          <cell r="B243" t="str">
            <v>遥控器</v>
          </cell>
        </row>
        <row r="244">
          <cell r="A244" t="str">
            <v>0010406178AT</v>
          </cell>
          <cell r="B244" t="str">
            <v>遥控器-塑料</v>
          </cell>
        </row>
        <row r="245">
          <cell r="A245" t="str">
            <v>0010406178AT</v>
          </cell>
          <cell r="B245" t="str">
            <v>遥控器-塑料</v>
          </cell>
        </row>
        <row r="246">
          <cell r="A246" t="str">
            <v>0010406178AU</v>
          </cell>
          <cell r="B246" t="str">
            <v>遥控器-塑料</v>
          </cell>
        </row>
        <row r="247">
          <cell r="A247" t="str">
            <v>0010406178AV</v>
          </cell>
          <cell r="B247" t="str">
            <v>遥控器-塑料</v>
          </cell>
        </row>
        <row r="248">
          <cell r="A248" t="str">
            <v>0010406178AV</v>
          </cell>
          <cell r="B248" t="str">
            <v>遥控器-塑料</v>
          </cell>
        </row>
        <row r="249">
          <cell r="A249" t="str">
            <v>0010406178AW</v>
          </cell>
          <cell r="B249" t="str">
            <v>遥控器-塑料</v>
          </cell>
        </row>
        <row r="250">
          <cell r="A250" t="str">
            <v>0010406178AX</v>
          </cell>
          <cell r="B250" t="str">
            <v>遥控器-塑料</v>
          </cell>
        </row>
        <row r="251">
          <cell r="A251" t="str">
            <v>0010406178AZ</v>
          </cell>
          <cell r="B251" t="str">
            <v>遥控器-塑料</v>
          </cell>
        </row>
        <row r="252">
          <cell r="A252" t="str">
            <v>0010406178B</v>
          </cell>
          <cell r="B252" t="str">
            <v>遥控器-塑料</v>
          </cell>
        </row>
        <row r="253">
          <cell r="A253" t="str">
            <v>0010406178BD</v>
          </cell>
          <cell r="B253" t="str">
            <v>遥控器-塑料冰雪白 HBWH-1404</v>
          </cell>
        </row>
        <row r="254">
          <cell r="A254" t="str">
            <v>0010406178BF</v>
          </cell>
          <cell r="B254" t="str">
            <v>遥控器-塑料冰雪白 HBWH-1404</v>
          </cell>
        </row>
        <row r="255">
          <cell r="A255" t="str">
            <v>0010406178BF</v>
          </cell>
          <cell r="B255" t="str">
            <v>遥控器-塑料冰雪白 HBWH-1404</v>
          </cell>
        </row>
        <row r="256">
          <cell r="A256" t="str">
            <v>0010406178BH</v>
          </cell>
          <cell r="B256" t="str">
            <v>遥控器-塑料冰雪白 WH-0114</v>
          </cell>
        </row>
        <row r="257">
          <cell r="A257" t="str">
            <v>0010406178BM</v>
          </cell>
          <cell r="B257" t="str">
            <v>遥控器-冰雪白 WH-0114</v>
          </cell>
        </row>
        <row r="258">
          <cell r="A258" t="str">
            <v>0010406178BM</v>
          </cell>
          <cell r="B258" t="str">
            <v>遥控器-冰雪白 WH-0114</v>
          </cell>
        </row>
        <row r="259">
          <cell r="A259" t="str">
            <v>0010406178BN</v>
          </cell>
          <cell r="B259" t="str">
            <v>遥控器-冰雪白 WH-0114</v>
          </cell>
        </row>
        <row r="260">
          <cell r="A260" t="str">
            <v>0010406178BN</v>
          </cell>
          <cell r="B260" t="str">
            <v>遥控器-冰雪白 WH-0114</v>
          </cell>
        </row>
        <row r="261">
          <cell r="A261" t="str">
            <v>0010406178BXCKD</v>
          </cell>
          <cell r="B261" t="str">
            <v>遥控器-塑料冰雪白 WH-0114</v>
          </cell>
        </row>
        <row r="262">
          <cell r="A262" t="str">
            <v>0010406178BXCKDA</v>
          </cell>
          <cell r="B262" t="str">
            <v>遥控器-塑料冰雪白 WH-0114</v>
          </cell>
        </row>
        <row r="263">
          <cell r="A263" t="str">
            <v>0010406178C</v>
          </cell>
          <cell r="B263" t="str">
            <v>遥控器-塑料</v>
          </cell>
        </row>
        <row r="264">
          <cell r="A264" t="str">
            <v>0010406178D</v>
          </cell>
          <cell r="B264" t="str">
            <v>遥控器-塑料</v>
          </cell>
        </row>
        <row r="265">
          <cell r="A265" t="str">
            <v>0010406178E</v>
          </cell>
          <cell r="B265" t="str">
            <v>遥控器-塑料</v>
          </cell>
        </row>
        <row r="266">
          <cell r="A266" t="str">
            <v>0010406178F</v>
          </cell>
          <cell r="B266" t="str">
            <v>遥控器-塑料</v>
          </cell>
        </row>
        <row r="267">
          <cell r="A267" t="str">
            <v>0010406178G</v>
          </cell>
          <cell r="B267" t="str">
            <v>遥控器-塑料</v>
          </cell>
        </row>
        <row r="268">
          <cell r="A268" t="str">
            <v>0010406178H</v>
          </cell>
          <cell r="B268" t="str">
            <v>遥控器-塑料</v>
          </cell>
        </row>
        <row r="269">
          <cell r="A269" t="str">
            <v>0010406178J</v>
          </cell>
          <cell r="B269" t="str">
            <v>遥控器-塑料</v>
          </cell>
        </row>
        <row r="270">
          <cell r="A270" t="str">
            <v>0010406178K</v>
          </cell>
          <cell r="B270" t="str">
            <v>遥控器-塑料</v>
          </cell>
        </row>
        <row r="271">
          <cell r="A271" t="str">
            <v>0010406178L</v>
          </cell>
          <cell r="B271" t="str">
            <v>遥控器-塑料</v>
          </cell>
        </row>
        <row r="272">
          <cell r="A272" t="str">
            <v>0010406178M</v>
          </cell>
          <cell r="B272" t="str">
            <v>遥控器-塑料</v>
          </cell>
        </row>
        <row r="273">
          <cell r="A273" t="str">
            <v>0010406178N</v>
          </cell>
          <cell r="B273" t="str">
            <v>遥控器-塑料</v>
          </cell>
        </row>
        <row r="274">
          <cell r="A274" t="str">
            <v>0010406178P</v>
          </cell>
          <cell r="B274" t="str">
            <v>遥控器-塑料</v>
          </cell>
        </row>
        <row r="275">
          <cell r="A275" t="str">
            <v>0010406178T</v>
          </cell>
          <cell r="B275" t="str">
            <v>遥控器-塑料</v>
          </cell>
        </row>
        <row r="276">
          <cell r="A276" t="str">
            <v>0010406178U</v>
          </cell>
          <cell r="B276" t="str">
            <v>遥控器-塑料</v>
          </cell>
        </row>
        <row r="277">
          <cell r="A277" t="str">
            <v>0010406178V</v>
          </cell>
          <cell r="B277" t="str">
            <v>遥控器-塑料</v>
          </cell>
        </row>
        <row r="278">
          <cell r="A278" t="str">
            <v>0010406178W</v>
          </cell>
          <cell r="B278" t="str">
            <v>遥控器-塑料</v>
          </cell>
        </row>
        <row r="279">
          <cell r="A279" t="str">
            <v>0010406178X</v>
          </cell>
          <cell r="B279" t="str">
            <v>遥控器-塑料</v>
          </cell>
        </row>
        <row r="280">
          <cell r="A280" t="str">
            <v>0010406178XA</v>
          </cell>
          <cell r="B280" t="str">
            <v>遥控器-冰雪白 HBWH-1404</v>
          </cell>
        </row>
        <row r="281">
          <cell r="A281" t="str">
            <v>0010406178XA</v>
          </cell>
          <cell r="B281" t="str">
            <v>遥控器-冰雪白 HBWH-1404</v>
          </cell>
        </row>
        <row r="282">
          <cell r="A282" t="str">
            <v>0010406178Y</v>
          </cell>
          <cell r="B282" t="str">
            <v>遥控器-塑料</v>
          </cell>
        </row>
        <row r="283">
          <cell r="A283" t="str">
            <v>0010406178Y</v>
          </cell>
          <cell r="B283" t="str">
            <v>遥控器-塑料</v>
          </cell>
        </row>
        <row r="284">
          <cell r="A284" t="str">
            <v>0010406178Z</v>
          </cell>
          <cell r="B284" t="str">
            <v>遥控器-塑料</v>
          </cell>
        </row>
        <row r="285">
          <cell r="A285" t="str">
            <v>0010406605</v>
          </cell>
          <cell r="B285" t="str">
            <v>遥控器-塑料HE</v>
          </cell>
        </row>
        <row r="286">
          <cell r="A286" t="str">
            <v>0010406605</v>
          </cell>
          <cell r="B286" t="str">
            <v>遥控器-塑料HE</v>
          </cell>
        </row>
        <row r="287">
          <cell r="A287" t="str">
            <v>0010406605B</v>
          </cell>
          <cell r="B287" t="str">
            <v>遥控器-塑料HE</v>
          </cell>
        </row>
        <row r="288">
          <cell r="A288" t="str">
            <v>0010406605D</v>
          </cell>
          <cell r="B288" t="str">
            <v>遥控器-塑料HE</v>
          </cell>
        </row>
        <row r="289">
          <cell r="A289" t="str">
            <v>0010406605D</v>
          </cell>
          <cell r="B289" t="str">
            <v>遥控器-塑料HE</v>
          </cell>
        </row>
        <row r="290">
          <cell r="A290" t="str">
            <v>0010406605DJZ</v>
          </cell>
          <cell r="B290" t="str">
            <v>遥控器-塑料</v>
          </cell>
        </row>
        <row r="291">
          <cell r="A291" t="str">
            <v>0010406605DJZ</v>
          </cell>
          <cell r="B291" t="str">
            <v>遥控器-塑料</v>
          </cell>
        </row>
        <row r="292">
          <cell r="A292" t="str">
            <v>0010406605E</v>
          </cell>
          <cell r="B292" t="str">
            <v>遥控器-塑料HE</v>
          </cell>
        </row>
        <row r="293">
          <cell r="A293" t="str">
            <v>0010406605E</v>
          </cell>
          <cell r="B293" t="str">
            <v>遥控器-塑料HE</v>
          </cell>
        </row>
        <row r="294">
          <cell r="A294" t="str">
            <v>0010406605E</v>
          </cell>
          <cell r="B294" t="str">
            <v>遥控器-塑料HE</v>
          </cell>
        </row>
        <row r="295">
          <cell r="A295" t="str">
            <v>0010406607K</v>
          </cell>
          <cell r="B295" t="str">
            <v>遥控器</v>
          </cell>
        </row>
        <row r="296">
          <cell r="A296" t="str">
            <v>0010406608</v>
          </cell>
          <cell r="B296" t="str">
            <v>遥控器-塑料HJ遥控器</v>
          </cell>
        </row>
        <row r="297">
          <cell r="A297" t="str">
            <v>0010406608AH</v>
          </cell>
          <cell r="B297" t="str">
            <v>遥控器-塑料</v>
          </cell>
        </row>
        <row r="298">
          <cell r="A298" t="str">
            <v>0010406608AK</v>
          </cell>
          <cell r="B298" t="str">
            <v>遥控器-塑料</v>
          </cell>
        </row>
        <row r="299">
          <cell r="A299" t="str">
            <v>0010406608AP</v>
          </cell>
          <cell r="B299" t="str">
            <v>遥控器</v>
          </cell>
        </row>
        <row r="300">
          <cell r="A300" t="str">
            <v>0010406608AQ</v>
          </cell>
          <cell r="B300" t="str">
            <v>遥控器</v>
          </cell>
        </row>
        <row r="301">
          <cell r="A301" t="str">
            <v>0010406608AU</v>
          </cell>
          <cell r="B301" t="str">
            <v>遥控器-塑料</v>
          </cell>
        </row>
        <row r="302">
          <cell r="A302" t="str">
            <v>0010406608AU</v>
          </cell>
          <cell r="B302" t="str">
            <v>遥控器-塑料</v>
          </cell>
        </row>
        <row r="303">
          <cell r="A303" t="str">
            <v>0010406608AU</v>
          </cell>
          <cell r="B303" t="str">
            <v>遥控器-塑料</v>
          </cell>
        </row>
        <row r="304">
          <cell r="A304" t="str">
            <v>0010406608AX</v>
          </cell>
          <cell r="B304" t="str">
            <v>遥控器</v>
          </cell>
        </row>
        <row r="305">
          <cell r="A305" t="str">
            <v>0010406608AY</v>
          </cell>
          <cell r="B305" t="str">
            <v>遥控器</v>
          </cell>
        </row>
        <row r="306">
          <cell r="A306" t="str">
            <v>0010406608B</v>
          </cell>
          <cell r="B306" t="str">
            <v>遥控器-塑料</v>
          </cell>
        </row>
        <row r="307">
          <cell r="A307" t="str">
            <v>0010406608BP</v>
          </cell>
          <cell r="B307" t="str">
            <v>遥控器-本色 CHLU-0000</v>
          </cell>
        </row>
        <row r="308">
          <cell r="A308" t="str">
            <v>0010406608BP</v>
          </cell>
          <cell r="B308" t="str">
            <v>遥控器-本色 CHLU-0000</v>
          </cell>
        </row>
        <row r="309">
          <cell r="A309" t="str">
            <v>0010406608BX</v>
          </cell>
          <cell r="B309" t="str">
            <v>遥控器-塑料冰雪白 HBWH-1404</v>
          </cell>
        </row>
        <row r="310">
          <cell r="A310" t="str">
            <v>0010406608BX</v>
          </cell>
          <cell r="B310" t="str">
            <v>遥控器-塑料冰雪白 HBWH-1404</v>
          </cell>
        </row>
        <row r="311">
          <cell r="A311" t="str">
            <v>0010406608C</v>
          </cell>
          <cell r="B311" t="str">
            <v>遥控器-塑料</v>
          </cell>
        </row>
        <row r="312">
          <cell r="A312" t="str">
            <v>0010406608D</v>
          </cell>
          <cell r="B312" t="str">
            <v>遥控器-塑料</v>
          </cell>
        </row>
        <row r="313">
          <cell r="A313" t="str">
            <v>0010406608J</v>
          </cell>
          <cell r="B313" t="str">
            <v>遥控器-塑料HJ2控器</v>
          </cell>
        </row>
        <row r="314">
          <cell r="A314" t="str">
            <v>0010406608K</v>
          </cell>
          <cell r="B314" t="str">
            <v>遥控器-塑料HJ2控器</v>
          </cell>
        </row>
        <row r="315">
          <cell r="A315" t="str">
            <v>0010406608L</v>
          </cell>
          <cell r="B315" t="str">
            <v>遥控器-塑料HJ2控器</v>
          </cell>
        </row>
        <row r="316">
          <cell r="A316" t="str">
            <v>0010406608L</v>
          </cell>
          <cell r="B316" t="str">
            <v>遥控器-塑料HJ2控器</v>
          </cell>
        </row>
        <row r="317">
          <cell r="A317" t="str">
            <v>0010406608M</v>
          </cell>
          <cell r="B317" t="str">
            <v>遥控器-塑料</v>
          </cell>
        </row>
        <row r="318">
          <cell r="A318" t="str">
            <v>0010406608P</v>
          </cell>
          <cell r="B318" t="str">
            <v>遥控器-塑料</v>
          </cell>
        </row>
        <row r="319">
          <cell r="A319" t="str">
            <v>0010406608Q</v>
          </cell>
          <cell r="B319" t="str">
            <v>遥控器-塑料</v>
          </cell>
        </row>
        <row r="320">
          <cell r="A320" t="str">
            <v>0010406608R</v>
          </cell>
          <cell r="B320" t="str">
            <v>遥控器-塑料</v>
          </cell>
        </row>
        <row r="321">
          <cell r="A321" t="str">
            <v>0010406608W</v>
          </cell>
          <cell r="B321" t="str">
            <v>遥控器-塑料</v>
          </cell>
        </row>
        <row r="322">
          <cell r="A322" t="str">
            <v>0010406608WB</v>
          </cell>
          <cell r="B322" t="str">
            <v>遥控器-塑料冰雪白 HBWH-1404</v>
          </cell>
        </row>
        <row r="323">
          <cell r="A323" t="str">
            <v>0010406608X</v>
          </cell>
          <cell r="B323" t="str">
            <v>遥控器-塑料</v>
          </cell>
        </row>
        <row r="324">
          <cell r="A324" t="str">
            <v>0010406608Y</v>
          </cell>
          <cell r="B324" t="str">
            <v>遥控器-塑料</v>
          </cell>
        </row>
        <row r="325">
          <cell r="A325" t="str">
            <v>0010406608Z</v>
          </cell>
          <cell r="B325" t="str">
            <v>遥控器-塑料</v>
          </cell>
        </row>
        <row r="326">
          <cell r="A326" t="str">
            <v>0010406609</v>
          </cell>
          <cell r="B326" t="str">
            <v>遥控器-塑料</v>
          </cell>
        </row>
        <row r="327">
          <cell r="A327" t="str">
            <v>0010406609</v>
          </cell>
          <cell r="B327" t="str">
            <v>遥控器-塑料</v>
          </cell>
        </row>
        <row r="328">
          <cell r="A328" t="str">
            <v>0010406609A</v>
          </cell>
          <cell r="B328" t="str">
            <v>遥控器-塑料</v>
          </cell>
        </row>
        <row r="329">
          <cell r="A329" t="str">
            <v>0010406609AA</v>
          </cell>
          <cell r="B329" t="str">
            <v>遥控器</v>
          </cell>
        </row>
        <row r="330">
          <cell r="A330" t="str">
            <v>0010406609AB</v>
          </cell>
          <cell r="B330" t="str">
            <v>遥控器-塑料</v>
          </cell>
        </row>
        <row r="331">
          <cell r="A331" t="str">
            <v>0010406609AC</v>
          </cell>
          <cell r="B331" t="str">
            <v>遥控器-塑料</v>
          </cell>
        </row>
        <row r="332">
          <cell r="A332" t="str">
            <v>0010406609AD</v>
          </cell>
          <cell r="B332" t="str">
            <v>遥控器-冰雪白 HBWH-1404</v>
          </cell>
        </row>
        <row r="333">
          <cell r="A333" t="str">
            <v>0010406609AG</v>
          </cell>
          <cell r="B333" t="str">
            <v>遥控器-冰雪白 HBWH-1404</v>
          </cell>
        </row>
        <row r="334">
          <cell r="A334" t="str">
            <v>0010406609B</v>
          </cell>
          <cell r="B334" t="str">
            <v>遥控器-塑料</v>
          </cell>
        </row>
        <row r="335">
          <cell r="A335" t="str">
            <v>0010406609C</v>
          </cell>
          <cell r="B335" t="str">
            <v>遥控器-塑料</v>
          </cell>
        </row>
        <row r="336">
          <cell r="A336" t="str">
            <v>0010406609D</v>
          </cell>
          <cell r="B336" t="str">
            <v>遥控器-塑料</v>
          </cell>
        </row>
        <row r="337">
          <cell r="A337" t="str">
            <v>0010406609E</v>
          </cell>
          <cell r="B337" t="str">
            <v>遥控器-塑料</v>
          </cell>
        </row>
        <row r="338">
          <cell r="A338" t="str">
            <v>0010406609F</v>
          </cell>
          <cell r="B338" t="str">
            <v>遥控器-塑料</v>
          </cell>
        </row>
        <row r="339">
          <cell r="A339" t="str">
            <v>0010406609L</v>
          </cell>
          <cell r="B339" t="str">
            <v>遥控器-塑料</v>
          </cell>
        </row>
        <row r="340">
          <cell r="A340" t="str">
            <v>0010406609M</v>
          </cell>
          <cell r="B340" t="str">
            <v>遥控器-塑料</v>
          </cell>
        </row>
        <row r="341">
          <cell r="A341" t="str">
            <v>0010406609N</v>
          </cell>
          <cell r="B341" t="str">
            <v>遥控器-塑料</v>
          </cell>
        </row>
        <row r="342">
          <cell r="A342" t="str">
            <v>0010406609Q</v>
          </cell>
          <cell r="B342" t="str">
            <v>遥控器</v>
          </cell>
        </row>
        <row r="343">
          <cell r="A343" t="str">
            <v>0010406609U</v>
          </cell>
          <cell r="B343" t="str">
            <v>遥控器-塑料</v>
          </cell>
        </row>
        <row r="344">
          <cell r="A344" t="str">
            <v>0010406609V</v>
          </cell>
          <cell r="B344" t="str">
            <v>遥控器-冰雪白 HBWH-1404</v>
          </cell>
        </row>
        <row r="345">
          <cell r="A345" t="str">
            <v>0010406609W</v>
          </cell>
          <cell r="B345" t="str">
            <v>遥控器-塑料</v>
          </cell>
        </row>
        <row r="346">
          <cell r="A346" t="str">
            <v>0010406609X</v>
          </cell>
          <cell r="B346" t="str">
            <v>遥控器-塑料</v>
          </cell>
        </row>
        <row r="347">
          <cell r="A347" t="str">
            <v>0010406609Y</v>
          </cell>
          <cell r="B347" t="str">
            <v>遥控器-塑料</v>
          </cell>
        </row>
        <row r="348">
          <cell r="A348" t="str">
            <v>0010406609Z</v>
          </cell>
          <cell r="B348" t="str">
            <v>遥控器</v>
          </cell>
        </row>
        <row r="349">
          <cell r="A349" t="str">
            <v>0010406721</v>
          </cell>
          <cell r="B349" t="str">
            <v>端子排-/</v>
          </cell>
        </row>
        <row r="350">
          <cell r="A350" t="str">
            <v>0010406721A</v>
          </cell>
          <cell r="B350" t="str">
            <v>端子排-/</v>
          </cell>
        </row>
        <row r="351">
          <cell r="A351" t="str">
            <v>0010406870</v>
          </cell>
          <cell r="B351" t="str">
            <v>端子排-塑料</v>
          </cell>
        </row>
        <row r="352">
          <cell r="A352" t="str">
            <v>0010406875</v>
          </cell>
          <cell r="B352" t="str">
            <v>端子排-/</v>
          </cell>
        </row>
        <row r="353">
          <cell r="A353" t="str">
            <v>0010406875A</v>
          </cell>
          <cell r="B353" t="str">
            <v>端子排-PBT</v>
          </cell>
        </row>
        <row r="354">
          <cell r="A354" t="str">
            <v>0010406932</v>
          </cell>
          <cell r="B354" t="str">
            <v>端子排-/</v>
          </cell>
        </row>
        <row r="355">
          <cell r="A355" t="str">
            <v>0010406932A</v>
          </cell>
          <cell r="B355" t="str">
            <v>端子排</v>
          </cell>
        </row>
        <row r="356">
          <cell r="A356" t="str">
            <v>0010407273</v>
          </cell>
          <cell r="B356" t="str">
            <v>遥控器</v>
          </cell>
        </row>
        <row r="357">
          <cell r="A357" t="str">
            <v>0010407320</v>
          </cell>
          <cell r="B357" t="str">
            <v>遥控器-塑料</v>
          </cell>
        </row>
        <row r="358">
          <cell r="A358" t="str">
            <v>0010407320</v>
          </cell>
          <cell r="B358" t="str">
            <v>遥控器-塑料</v>
          </cell>
        </row>
        <row r="359">
          <cell r="A359" t="str">
            <v>0010407320C</v>
          </cell>
          <cell r="B359" t="str">
            <v>遥控器-塑料冰雪白 WH-0114</v>
          </cell>
        </row>
        <row r="360">
          <cell r="A360" t="str">
            <v>0010407320C</v>
          </cell>
          <cell r="B360" t="str">
            <v>遥控器-塑料冰雪白 WH-0114</v>
          </cell>
        </row>
        <row r="361">
          <cell r="A361" t="str">
            <v>0010450184EB</v>
          </cell>
          <cell r="B361" t="str">
            <v>端子排-/JXW-3-B30A端子排-3-3C-30A-</v>
          </cell>
        </row>
        <row r="362">
          <cell r="A362" t="str">
            <v>0010450184EH</v>
          </cell>
          <cell r="B362" t="str">
            <v>端子排-/</v>
          </cell>
        </row>
        <row r="363">
          <cell r="A363" t="str">
            <v>0010452441AY</v>
          </cell>
          <cell r="B363" t="str">
            <v>电脑板-通用/印度48定频电脑板</v>
          </cell>
        </row>
        <row r="364">
          <cell r="A364" t="str">
            <v>0010540148BQ</v>
          </cell>
          <cell r="B364" t="str">
            <v>显示膜片-PET</v>
          </cell>
        </row>
        <row r="365">
          <cell r="A365" t="str">
            <v>0010540148BQ</v>
          </cell>
          <cell r="B365" t="str">
            <v>显示膜片-PET</v>
          </cell>
        </row>
        <row r="366">
          <cell r="A366" t="str">
            <v>0010865511K</v>
          </cell>
          <cell r="B366" t="str">
            <v>内电控模块-/0010865511基础上显示盒更改为</v>
          </cell>
        </row>
        <row r="367">
          <cell r="A367" t="str">
            <v>0010870403E</v>
          </cell>
          <cell r="B367" t="str">
            <v>显示面板组-组件</v>
          </cell>
        </row>
        <row r="368">
          <cell r="A368" t="str">
            <v>0011800028</v>
          </cell>
          <cell r="B368" t="str">
            <v>室内电脑板-N/A</v>
          </cell>
        </row>
        <row r="369">
          <cell r="A369" t="str">
            <v>0011800028A</v>
          </cell>
          <cell r="B369" t="str">
            <v>一体机电脑板-CEM-1</v>
          </cell>
        </row>
        <row r="370">
          <cell r="A370" t="str">
            <v>0011800029AW</v>
          </cell>
          <cell r="B370" t="str">
            <v>室内电脑板</v>
          </cell>
        </row>
        <row r="371">
          <cell r="A371" t="str">
            <v>0011800029AX</v>
          </cell>
          <cell r="B371" t="str">
            <v>室内电脑板</v>
          </cell>
        </row>
        <row r="372">
          <cell r="A372" t="str">
            <v>0011800029AY</v>
          </cell>
          <cell r="B372" t="str">
            <v>室内电脑板-CEM-1</v>
          </cell>
        </row>
        <row r="373">
          <cell r="A373" t="str">
            <v>0011800029BQ</v>
          </cell>
          <cell r="B373" t="str">
            <v>室内电脑板-CEM-1</v>
          </cell>
        </row>
        <row r="374">
          <cell r="A374" t="str">
            <v>0011800029K</v>
          </cell>
          <cell r="B374" t="str">
            <v>ROHS-室内电脑板(HSU-18LEA03)</v>
          </cell>
        </row>
        <row r="375">
          <cell r="A375" t="str">
            <v>0011800029M</v>
          </cell>
          <cell r="B375" t="str">
            <v>室内电脑板-CEM-1</v>
          </cell>
        </row>
        <row r="376">
          <cell r="A376" t="str">
            <v>0011800033</v>
          </cell>
          <cell r="B376" t="str">
            <v>显示面板-N/A</v>
          </cell>
        </row>
        <row r="377">
          <cell r="A377" t="str">
            <v>0011800050</v>
          </cell>
          <cell r="B377" t="str">
            <v>室外电脑板-N/A</v>
          </cell>
        </row>
        <row r="378">
          <cell r="A378" t="str">
            <v>0011800052</v>
          </cell>
          <cell r="B378" t="str">
            <v>室外电脑板-N/A</v>
          </cell>
        </row>
        <row r="379">
          <cell r="A379" t="str">
            <v>0011800052C</v>
          </cell>
          <cell r="B379" t="str">
            <v>室外电脑板-N/A</v>
          </cell>
        </row>
        <row r="380">
          <cell r="A380" t="str">
            <v>0011800052E</v>
          </cell>
          <cell r="B380" t="str">
            <v>室外模块板-FR-4</v>
          </cell>
        </row>
        <row r="381">
          <cell r="A381" t="str">
            <v>0011800052F</v>
          </cell>
          <cell r="B381" t="str">
            <v>室外模块板-FR-4</v>
          </cell>
        </row>
        <row r="382">
          <cell r="A382" t="str">
            <v>0011800052J</v>
          </cell>
          <cell r="B382" t="str">
            <v>室外模块板-FR-4</v>
          </cell>
        </row>
        <row r="383">
          <cell r="A383" t="str">
            <v>0011800052K</v>
          </cell>
          <cell r="B383" t="str">
            <v>室外模块板</v>
          </cell>
        </row>
        <row r="384">
          <cell r="A384" t="str">
            <v>0011800052M</v>
          </cell>
          <cell r="B384" t="str">
            <v>室外模块板-FR-4</v>
          </cell>
        </row>
        <row r="385">
          <cell r="A385" t="str">
            <v>0011800063B</v>
          </cell>
          <cell r="B385" t="str">
            <v>室内电脑板</v>
          </cell>
        </row>
        <row r="386">
          <cell r="A386" t="str">
            <v>0011800063G</v>
          </cell>
          <cell r="B386" t="str">
            <v>室内电脑板-CEM-3</v>
          </cell>
        </row>
        <row r="387">
          <cell r="A387" t="str">
            <v>0011800063J</v>
          </cell>
          <cell r="B387" t="str">
            <v>室内电脑板-CEM-3</v>
          </cell>
        </row>
        <row r="388">
          <cell r="A388" t="str">
            <v>0011800063M</v>
          </cell>
          <cell r="B388" t="str">
            <v>室内电脑板-CEM-1</v>
          </cell>
        </row>
        <row r="389">
          <cell r="A389" t="str">
            <v>0011800066D</v>
          </cell>
          <cell r="B389" t="str">
            <v>室外电脑板-N/A</v>
          </cell>
        </row>
        <row r="390">
          <cell r="A390" t="str">
            <v>0011800110G</v>
          </cell>
          <cell r="B390" t="str">
            <v>室内电脑板-CEM-1</v>
          </cell>
        </row>
        <row r="391">
          <cell r="A391" t="str">
            <v>0011800111</v>
          </cell>
          <cell r="B391" t="str">
            <v>ROHS-室内电脑板(KFRD-50LW/R(QXF))</v>
          </cell>
        </row>
        <row r="392">
          <cell r="A392" t="str">
            <v>0011800132</v>
          </cell>
          <cell r="B392" t="str">
            <v>控制面板-CEM-3</v>
          </cell>
        </row>
        <row r="393">
          <cell r="A393" t="str">
            <v>0011800137B</v>
          </cell>
          <cell r="B393" t="str">
            <v>室外电脑板-CEM-3</v>
          </cell>
        </row>
        <row r="394">
          <cell r="A394" t="str">
            <v>0011800137K</v>
          </cell>
          <cell r="B394" t="str">
            <v>室外电脑板</v>
          </cell>
        </row>
        <row r="395">
          <cell r="A395" t="str">
            <v>0011800166C</v>
          </cell>
          <cell r="B395" t="str">
            <v>室内电脑板-CEM-1</v>
          </cell>
        </row>
        <row r="396">
          <cell r="A396" t="str">
            <v>0011800166D</v>
          </cell>
          <cell r="B396" t="str">
            <v>室内电脑板-CEM-1</v>
          </cell>
        </row>
        <row r="397">
          <cell r="A397" t="str">
            <v>0011800166G</v>
          </cell>
          <cell r="B397" t="str">
            <v>室内电脑板-CEM-1</v>
          </cell>
        </row>
        <row r="398">
          <cell r="A398" t="str">
            <v>0011800166J</v>
          </cell>
          <cell r="B398" t="str">
            <v>室内电脑板-CEM-1</v>
          </cell>
        </row>
        <row r="399">
          <cell r="A399" t="str">
            <v>0011800166K</v>
          </cell>
          <cell r="B399" t="str">
            <v>室内电脑板-CEM-1</v>
          </cell>
        </row>
        <row r="400">
          <cell r="A400" t="str">
            <v>0011800166L</v>
          </cell>
          <cell r="B400" t="str">
            <v>室内电脑板-CEM-1</v>
          </cell>
        </row>
        <row r="401">
          <cell r="A401" t="str">
            <v>0011800173G</v>
          </cell>
          <cell r="B401" t="str">
            <v>室内电脑板-CEM-1</v>
          </cell>
        </row>
        <row r="402">
          <cell r="A402" t="str">
            <v>0011800173H</v>
          </cell>
          <cell r="B402" t="str">
            <v>室内电脑板-CEM-1</v>
          </cell>
        </row>
        <row r="403">
          <cell r="A403" t="str">
            <v>0011800179</v>
          </cell>
          <cell r="B403" t="str">
            <v>室外电脑板</v>
          </cell>
        </row>
        <row r="404">
          <cell r="A404" t="str">
            <v>0011800179H</v>
          </cell>
          <cell r="B404" t="str">
            <v>室外电脑板-CEM-3</v>
          </cell>
        </row>
        <row r="405">
          <cell r="A405" t="str">
            <v>0011800184</v>
          </cell>
          <cell r="B405" t="str">
            <v>显示面板-CEM-1</v>
          </cell>
        </row>
        <row r="406">
          <cell r="A406" t="str">
            <v>0011800184A</v>
          </cell>
          <cell r="B406" t="str">
            <v>显示面板</v>
          </cell>
        </row>
        <row r="407">
          <cell r="A407" t="str">
            <v>0011800194A</v>
          </cell>
          <cell r="B407" t="str">
            <v>室内电脑板-CEM-3</v>
          </cell>
        </row>
        <row r="408">
          <cell r="A408" t="str">
            <v>0011800194D</v>
          </cell>
          <cell r="B408" t="str">
            <v>室内电脑板-LBCEM-1BHDC3</v>
          </cell>
        </row>
        <row r="409">
          <cell r="A409" t="str">
            <v>0011800194F</v>
          </cell>
          <cell r="B409" t="str">
            <v>室内电脑板-CEM-1</v>
          </cell>
        </row>
        <row r="410">
          <cell r="A410" t="str">
            <v>0011800195V</v>
          </cell>
          <cell r="B410" t="str">
            <v>室内电脑板-GCCEM-1BHAC1.5</v>
          </cell>
        </row>
        <row r="411">
          <cell r="A411" t="str">
            <v>0011800197C</v>
          </cell>
          <cell r="B411" t="str">
            <v>室内电脑板-CEM-1</v>
          </cell>
        </row>
        <row r="412">
          <cell r="A412" t="str">
            <v>0011800198</v>
          </cell>
          <cell r="B412" t="str">
            <v>室内电脑板</v>
          </cell>
        </row>
        <row r="413">
          <cell r="A413" t="str">
            <v>0011800198C</v>
          </cell>
          <cell r="B413" t="str">
            <v>室内电脑板-CEM-1</v>
          </cell>
        </row>
        <row r="414">
          <cell r="A414" t="str">
            <v>0011800198D</v>
          </cell>
          <cell r="B414" t="str">
            <v>室内电脑板-CEM-1</v>
          </cell>
        </row>
        <row r="415">
          <cell r="A415" t="str">
            <v>0011800204A</v>
          </cell>
          <cell r="B415" t="str">
            <v>室内电脑板-CEM-3</v>
          </cell>
        </row>
        <row r="416">
          <cell r="A416" t="str">
            <v>0011800209B</v>
          </cell>
          <cell r="B416" t="str">
            <v>室外电脑板-CEM-3</v>
          </cell>
        </row>
        <row r="417">
          <cell r="A417" t="str">
            <v>0011800209C</v>
          </cell>
          <cell r="B417" t="str">
            <v>室外电脑板-CEM-3</v>
          </cell>
        </row>
        <row r="418">
          <cell r="A418" t="str">
            <v>0011800209F</v>
          </cell>
          <cell r="B418" t="str">
            <v>室外电脑板-CEM-3</v>
          </cell>
        </row>
        <row r="419">
          <cell r="A419" t="str">
            <v>0011800209G</v>
          </cell>
          <cell r="B419" t="str">
            <v>室外电脑板-WDCEM-3BHDC1.5</v>
          </cell>
        </row>
        <row r="420">
          <cell r="A420" t="str">
            <v>0011800209GA</v>
          </cell>
          <cell r="B420" t="str">
            <v>室外电脑板-CEM-3</v>
          </cell>
        </row>
        <row r="421">
          <cell r="A421" t="str">
            <v>0011800209H</v>
          </cell>
          <cell r="B421" t="str">
            <v>室外电脑板-CEM-3</v>
          </cell>
        </row>
        <row r="422">
          <cell r="A422" t="str">
            <v>0011800209J</v>
          </cell>
          <cell r="B422" t="str">
            <v>室外电脑板-CEM-3WDBHDC2</v>
          </cell>
        </row>
        <row r="423">
          <cell r="A423" t="str">
            <v>0011800209L</v>
          </cell>
          <cell r="B423" t="str">
            <v>室外电脑板-CEM-3</v>
          </cell>
        </row>
        <row r="424">
          <cell r="A424" t="str">
            <v>0011800209P</v>
          </cell>
          <cell r="B424" t="str">
            <v>室外电脑板-CEM-3</v>
          </cell>
        </row>
        <row r="425">
          <cell r="A425" t="str">
            <v>0011800209R</v>
          </cell>
          <cell r="B425" t="str">
            <v>室外电脑板-CEM-3</v>
          </cell>
        </row>
        <row r="426">
          <cell r="A426" t="str">
            <v>0011800209S</v>
          </cell>
          <cell r="B426" t="str">
            <v>室外电脑板-CEM-1在0011800209J基础上更改</v>
          </cell>
        </row>
        <row r="427">
          <cell r="A427" t="str">
            <v>0011800209T</v>
          </cell>
          <cell r="B427" t="str">
            <v>室外电脑板-CEM-3</v>
          </cell>
        </row>
        <row r="428">
          <cell r="A428" t="str">
            <v>0011800209U</v>
          </cell>
          <cell r="B428" t="str">
            <v>室外电脑板-/</v>
          </cell>
        </row>
        <row r="429">
          <cell r="A429" t="str">
            <v>0011800209Y</v>
          </cell>
          <cell r="B429" t="str">
            <v>室外电脑板-CEM-3WDBHDC2</v>
          </cell>
        </row>
        <row r="430">
          <cell r="A430" t="str">
            <v>0011800215C</v>
          </cell>
          <cell r="B430" t="str">
            <v>室内电脑板-CEM-3</v>
          </cell>
        </row>
        <row r="431">
          <cell r="A431" t="str">
            <v>0011800223</v>
          </cell>
          <cell r="B431" t="str">
            <v>室外模块板-FR-4</v>
          </cell>
        </row>
        <row r="432">
          <cell r="A432" t="str">
            <v>0011800223A</v>
          </cell>
          <cell r="B432" t="str">
            <v>室外模块驱动板-FR-4</v>
          </cell>
        </row>
        <row r="433">
          <cell r="A433" t="str">
            <v>0011800223K</v>
          </cell>
          <cell r="B433" t="str">
            <v>室外模块驱动板-FR-4</v>
          </cell>
        </row>
        <row r="434">
          <cell r="A434" t="str">
            <v>0011800223M</v>
          </cell>
          <cell r="B434" t="str">
            <v>室外模块驱动板-FR-4</v>
          </cell>
        </row>
        <row r="435">
          <cell r="A435" t="str">
            <v>0011800223R</v>
          </cell>
          <cell r="B435" t="str">
            <v>室外模块驱动板-FR-4</v>
          </cell>
        </row>
        <row r="436">
          <cell r="A436" t="str">
            <v>0011800223V</v>
          </cell>
          <cell r="B436" t="str">
            <v>室外电脑板-/</v>
          </cell>
        </row>
        <row r="437">
          <cell r="A437" t="str">
            <v>0011800223W</v>
          </cell>
          <cell r="B437" t="str">
            <v>室外模块驱动板-/</v>
          </cell>
        </row>
        <row r="438">
          <cell r="A438" t="str">
            <v>0011800241</v>
          </cell>
          <cell r="B438" t="str">
            <v>室外电脑板-CEM-3在电脑板0011800137G基础上更改通讯电路和软件程序</v>
          </cell>
        </row>
        <row r="439">
          <cell r="A439" t="str">
            <v>0011800241A</v>
          </cell>
          <cell r="B439" t="str">
            <v>室外电脑板-CEM-3在0011800241基础上更改EEPROM参数</v>
          </cell>
        </row>
        <row r="440">
          <cell r="A440" t="str">
            <v>0011800241B</v>
          </cell>
          <cell r="B440" t="str">
            <v>室外电脑板-CEM-3</v>
          </cell>
        </row>
        <row r="441">
          <cell r="A441" t="str">
            <v>0011800241C</v>
          </cell>
          <cell r="B441" t="str">
            <v>室外电脑板-CEM-3</v>
          </cell>
        </row>
        <row r="442">
          <cell r="A442" t="str">
            <v>0011800241D</v>
          </cell>
          <cell r="B442" t="str">
            <v>室外电脑板-CEM-3</v>
          </cell>
        </row>
        <row r="443">
          <cell r="A443" t="str">
            <v>0011800241F</v>
          </cell>
          <cell r="B443" t="str">
            <v>室外电脑板-CEM-3</v>
          </cell>
        </row>
        <row r="444">
          <cell r="A444" t="str">
            <v>0011800241FA</v>
          </cell>
          <cell r="B444" t="str">
            <v>室外电脑板-/</v>
          </cell>
        </row>
        <row r="445">
          <cell r="A445" t="str">
            <v>0011800241G</v>
          </cell>
          <cell r="B445" t="str">
            <v>室外电脑板-/WEDHDC2</v>
          </cell>
        </row>
        <row r="446">
          <cell r="A446" t="str">
            <v>0011800241GA</v>
          </cell>
          <cell r="B446" t="str">
            <v>室外电脑板-/</v>
          </cell>
        </row>
        <row r="447">
          <cell r="A447" t="str">
            <v>0011800241H</v>
          </cell>
          <cell r="B447" t="str">
            <v>室外电脑板-CEM-3</v>
          </cell>
        </row>
        <row r="448">
          <cell r="A448" t="str">
            <v>0011800241K</v>
          </cell>
          <cell r="B448" t="str">
            <v>室外电脑板-CEM-3</v>
          </cell>
        </row>
        <row r="449">
          <cell r="A449" t="str">
            <v>0011800241L</v>
          </cell>
          <cell r="B449" t="str">
            <v>室外电脑板-/</v>
          </cell>
        </row>
        <row r="450">
          <cell r="A450" t="str">
            <v>0011800241M</v>
          </cell>
          <cell r="B450" t="str">
            <v>室外电脑板-/</v>
          </cell>
        </row>
        <row r="451">
          <cell r="A451" t="str">
            <v>0011800241N</v>
          </cell>
          <cell r="B451" t="str">
            <v>室外电脑板-/</v>
          </cell>
        </row>
        <row r="452">
          <cell r="A452" t="str">
            <v>0011800241Y</v>
          </cell>
          <cell r="B452" t="str">
            <v>室外电脑板-/</v>
          </cell>
        </row>
        <row r="453">
          <cell r="A453" t="str">
            <v>0011800242</v>
          </cell>
          <cell r="B453" t="str">
            <v>显示面板-CEM-1</v>
          </cell>
        </row>
        <row r="454">
          <cell r="A454" t="str">
            <v>0011800242B</v>
          </cell>
          <cell r="B454" t="str">
            <v>显示面板-CEM-1</v>
          </cell>
        </row>
        <row r="455">
          <cell r="A455" t="str">
            <v>0011800242C</v>
          </cell>
          <cell r="B455" t="str">
            <v>显示面板-CEM-1</v>
          </cell>
        </row>
        <row r="456">
          <cell r="A456" t="str">
            <v>0011800244</v>
          </cell>
          <cell r="B456" t="str">
            <v>室内电脑板-CEM-1</v>
          </cell>
        </row>
        <row r="457">
          <cell r="A457" t="str">
            <v>0011800244A</v>
          </cell>
          <cell r="B457" t="str">
            <v>室内电脑板-CEM-3</v>
          </cell>
        </row>
        <row r="458">
          <cell r="A458" t="str">
            <v>0011800245</v>
          </cell>
          <cell r="B458" t="str">
            <v>室内电脑板-CEM-1</v>
          </cell>
        </row>
        <row r="459">
          <cell r="A459" t="str">
            <v>0011800258B</v>
          </cell>
          <cell r="B459" t="str">
            <v>室外模块驱动板-FR-4</v>
          </cell>
        </row>
        <row r="460">
          <cell r="A460" t="str">
            <v>0011800258G</v>
          </cell>
          <cell r="B460" t="str">
            <v>室外模块驱动板-FR-4</v>
          </cell>
        </row>
        <row r="461">
          <cell r="A461" t="str">
            <v>0011800258H</v>
          </cell>
          <cell r="B461" t="str">
            <v>室外模块驱动板-FR-4</v>
          </cell>
        </row>
        <row r="462">
          <cell r="A462" t="str">
            <v>0011800258J</v>
          </cell>
          <cell r="B462" t="str">
            <v>室外模块驱动板-FR-4</v>
          </cell>
        </row>
        <row r="463">
          <cell r="A463" t="str">
            <v>0011800277</v>
          </cell>
          <cell r="B463" t="str">
            <v>室内电脑板-CEM-3</v>
          </cell>
        </row>
        <row r="464">
          <cell r="A464" t="str">
            <v>0011800281</v>
          </cell>
          <cell r="B464" t="str">
            <v>室内电脑板-CEM-1</v>
          </cell>
        </row>
        <row r="465">
          <cell r="A465" t="str">
            <v>0011800281A</v>
          </cell>
          <cell r="B465" t="str">
            <v>室内电脑板-CEM-1</v>
          </cell>
        </row>
        <row r="466">
          <cell r="A466" t="str">
            <v>0011800281C</v>
          </cell>
          <cell r="B466" t="str">
            <v>室内电脑板-/</v>
          </cell>
        </row>
        <row r="467">
          <cell r="A467" t="str">
            <v>0011800281CA</v>
          </cell>
          <cell r="B467" t="str">
            <v>室内电脑板-CEM-1</v>
          </cell>
        </row>
        <row r="468">
          <cell r="A468" t="str">
            <v>0011800281D</v>
          </cell>
          <cell r="B468" t="str">
            <v>室内电脑板-/</v>
          </cell>
        </row>
        <row r="469">
          <cell r="A469" t="str">
            <v>0011800281F</v>
          </cell>
          <cell r="B469" t="str">
            <v>室内电脑板-/自由组合内机板100N内板4个上</v>
          </cell>
        </row>
        <row r="470">
          <cell r="A470" t="str">
            <v>0011800281FA</v>
          </cell>
          <cell r="B470" t="str">
            <v>室内电脑板-CEM-1</v>
          </cell>
        </row>
        <row r="471">
          <cell r="A471" t="str">
            <v>0011800281G</v>
          </cell>
          <cell r="B471" t="str">
            <v>室内电脑板-/supermatch一代商用系统项目</v>
          </cell>
        </row>
        <row r="472">
          <cell r="A472" t="str">
            <v>0011800281J</v>
          </cell>
          <cell r="B472" t="str">
            <v>室内电脑板-CEM-1281F35码替代专门用于澳洲</v>
          </cell>
        </row>
        <row r="473">
          <cell r="A473" t="str">
            <v>0011800281K</v>
          </cell>
          <cell r="B473" t="str">
            <v>室内电脑板-/美国用电脑板无负离子,带线控器</v>
          </cell>
        </row>
        <row r="474">
          <cell r="A474" t="str">
            <v>0011800281L</v>
          </cell>
          <cell r="B474" t="str">
            <v>室内电脑板-/</v>
          </cell>
        </row>
        <row r="475">
          <cell r="A475" t="str">
            <v>0011800281M</v>
          </cell>
          <cell r="B475" t="str">
            <v>室内电脑板-CEM-1</v>
          </cell>
        </row>
        <row r="476">
          <cell r="A476" t="str">
            <v>0011800283CM</v>
          </cell>
          <cell r="B476" t="str">
            <v>室外电脑板-/日本GAC3.6K新开外机</v>
          </cell>
        </row>
        <row r="477">
          <cell r="A477" t="str">
            <v>0011800283F</v>
          </cell>
          <cell r="B477" t="str">
            <v>室外电脑板-CEM-3</v>
          </cell>
        </row>
        <row r="478">
          <cell r="A478" t="str">
            <v>0011800284AB</v>
          </cell>
          <cell r="B478" t="str">
            <v>室内电脑板-CEM-1---</v>
          </cell>
        </row>
        <row r="479">
          <cell r="A479" t="str">
            <v>0011800301C</v>
          </cell>
          <cell r="B479" t="str">
            <v>室内电脑板-CEM-1</v>
          </cell>
        </row>
        <row r="480">
          <cell r="A480" t="str">
            <v>0011800304B</v>
          </cell>
          <cell r="B480" t="str">
            <v>室内电脑板-/</v>
          </cell>
        </row>
        <row r="481">
          <cell r="A481" t="str">
            <v>0011800304K</v>
          </cell>
          <cell r="B481" t="str">
            <v>室内电脑板-CEM-3母本基础更改软件,芯片334</v>
          </cell>
        </row>
        <row r="482">
          <cell r="A482" t="str">
            <v>0011800309J</v>
          </cell>
          <cell r="B482" t="str">
            <v>显示面板-CEM-3---</v>
          </cell>
        </row>
        <row r="483">
          <cell r="A483" t="str">
            <v>0011800310</v>
          </cell>
          <cell r="B483" t="str">
            <v>显示面板-CEM-1</v>
          </cell>
        </row>
        <row r="484">
          <cell r="A484" t="str">
            <v>0011800311</v>
          </cell>
          <cell r="B484" t="str">
            <v>显示面板-CEM-1</v>
          </cell>
        </row>
        <row r="485">
          <cell r="A485" t="str">
            <v>0011800311F</v>
          </cell>
          <cell r="B485" t="str">
            <v>显示面板-CEM-1</v>
          </cell>
        </row>
        <row r="486">
          <cell r="A486" t="str">
            <v>0011800311G</v>
          </cell>
          <cell r="B486" t="str">
            <v>显示面板-CEM-1</v>
          </cell>
        </row>
        <row r="487">
          <cell r="A487" t="str">
            <v>0011800317</v>
          </cell>
          <cell r="B487" t="str">
            <v>显示面板-FR-4</v>
          </cell>
        </row>
        <row r="488">
          <cell r="A488" t="str">
            <v>0011800317A</v>
          </cell>
          <cell r="B488" t="str">
            <v>显示面板-FR-4</v>
          </cell>
        </row>
        <row r="489">
          <cell r="A489" t="str">
            <v>0011800317B</v>
          </cell>
          <cell r="B489" t="str">
            <v>显示面板-CEM-1</v>
          </cell>
        </row>
        <row r="490">
          <cell r="A490" t="str">
            <v>0011800317C</v>
          </cell>
          <cell r="B490" t="str">
            <v>显示面板-FR-4</v>
          </cell>
        </row>
        <row r="491">
          <cell r="A491" t="str">
            <v>0011800317D</v>
          </cell>
          <cell r="B491" t="str">
            <v>显示面板-/</v>
          </cell>
        </row>
        <row r="492">
          <cell r="A492" t="str">
            <v>0011800317E</v>
          </cell>
          <cell r="B492" t="str">
            <v>显示面板-FR-4</v>
          </cell>
        </row>
        <row r="493">
          <cell r="A493" t="str">
            <v>0011800317F</v>
          </cell>
          <cell r="B493" t="str">
            <v>显示面板-/</v>
          </cell>
        </row>
        <row r="494">
          <cell r="A494" t="str">
            <v>0011800317R</v>
          </cell>
          <cell r="B494" t="str">
            <v>显示面板-FR-4---</v>
          </cell>
        </row>
        <row r="495">
          <cell r="A495" t="str">
            <v>0011800317S</v>
          </cell>
          <cell r="B495" t="str">
            <v>显示面板-FR-4---</v>
          </cell>
        </row>
        <row r="496">
          <cell r="A496" t="str">
            <v>0011800317V</v>
          </cell>
          <cell r="B496" t="str">
            <v>显示面板-/---</v>
          </cell>
        </row>
        <row r="497">
          <cell r="A497" t="str">
            <v>0011800317V</v>
          </cell>
          <cell r="B497" t="str">
            <v>显示面板-/---</v>
          </cell>
        </row>
        <row r="498">
          <cell r="A498" t="str">
            <v>0011800317V</v>
          </cell>
          <cell r="B498" t="str">
            <v>显示面板-/---</v>
          </cell>
        </row>
        <row r="499">
          <cell r="A499" t="str">
            <v>0011800317W</v>
          </cell>
          <cell r="B499" t="str">
            <v>显示面板-/---</v>
          </cell>
        </row>
        <row r="500">
          <cell r="A500" t="str">
            <v>0011800317Z</v>
          </cell>
          <cell r="B500" t="str">
            <v>显示板-FR-4</v>
          </cell>
        </row>
        <row r="501">
          <cell r="A501" t="str">
            <v>0011800317Z</v>
          </cell>
          <cell r="B501" t="str">
            <v>显示板-FR-4</v>
          </cell>
        </row>
        <row r="502">
          <cell r="A502" t="str">
            <v>0011800320G</v>
          </cell>
          <cell r="B502" t="str">
            <v>室内电脑板-/</v>
          </cell>
        </row>
        <row r="503">
          <cell r="A503" t="str">
            <v>0011800320G</v>
          </cell>
          <cell r="B503" t="str">
            <v>室内电脑板-/</v>
          </cell>
        </row>
        <row r="504">
          <cell r="A504" t="str">
            <v>0011800320M</v>
          </cell>
          <cell r="B504" t="str">
            <v>室内电脑板-/</v>
          </cell>
        </row>
        <row r="505">
          <cell r="A505" t="str">
            <v>0011800321</v>
          </cell>
          <cell r="B505" t="str">
            <v>显示面板-/</v>
          </cell>
        </row>
        <row r="506">
          <cell r="A506" t="str">
            <v>0011800323</v>
          </cell>
          <cell r="B506" t="str">
            <v>室内电脑板-CEM-1</v>
          </cell>
        </row>
        <row r="507">
          <cell r="A507" t="str">
            <v>0011800323A</v>
          </cell>
          <cell r="B507" t="str">
            <v>室内电脑板-CEM-1在0011800304基础上增加左</v>
          </cell>
        </row>
        <row r="508">
          <cell r="A508" t="str">
            <v>0011800323AG</v>
          </cell>
          <cell r="B508" t="str">
            <v>室内电脑板-CEM-1</v>
          </cell>
        </row>
        <row r="509">
          <cell r="A509" t="str">
            <v>0011800323AH</v>
          </cell>
          <cell r="B509" t="str">
            <v>室内电脑板-CEM-1---</v>
          </cell>
        </row>
        <row r="510">
          <cell r="A510" t="str">
            <v>0011800323AJ</v>
          </cell>
          <cell r="B510" t="str">
            <v>室内电脑板-CEM-1</v>
          </cell>
        </row>
        <row r="511">
          <cell r="A511" t="str">
            <v>0011800323AS</v>
          </cell>
          <cell r="B511" t="str">
            <v>室内电脑板-CEM-1</v>
          </cell>
        </row>
        <row r="512">
          <cell r="A512" t="str">
            <v>0011800323AV</v>
          </cell>
          <cell r="B512" t="str">
            <v>室内电脑板-CEM-1</v>
          </cell>
        </row>
        <row r="513">
          <cell r="A513" t="str">
            <v>0011800323AY</v>
          </cell>
          <cell r="B513" t="str">
            <v>室内电脑板-CEM-3</v>
          </cell>
        </row>
        <row r="514">
          <cell r="A514" t="str">
            <v>0011800323AZ</v>
          </cell>
          <cell r="B514" t="str">
            <v>室内电脑板-CEM-1</v>
          </cell>
        </row>
        <row r="515">
          <cell r="A515" t="str">
            <v>0011800323B</v>
          </cell>
          <cell r="B515" t="str">
            <v>室内电脑板-CEM-1在0011800323基础上改为单冷板,成本低2元左右</v>
          </cell>
        </row>
        <row r="516">
          <cell r="A516" t="str">
            <v>0011800323C</v>
          </cell>
          <cell r="B516" t="str">
            <v>室内电脑板-CEM-3在0011800323A基础上改为</v>
          </cell>
        </row>
        <row r="517">
          <cell r="A517" t="str">
            <v>0011800323D</v>
          </cell>
          <cell r="B517" t="str">
            <v>室内电脑板-CEM-3</v>
          </cell>
        </row>
        <row r="518">
          <cell r="A518" t="str">
            <v>0011800323G</v>
          </cell>
          <cell r="B518" t="str">
            <v>室内电脑板-CEM-1直流风机定频在323C基础上</v>
          </cell>
        </row>
        <row r="519">
          <cell r="A519" t="str">
            <v>0011800323H</v>
          </cell>
          <cell r="B519" t="str">
            <v>室内电脑板-CEM-1</v>
          </cell>
        </row>
        <row r="520">
          <cell r="A520" t="str">
            <v>0011800323J</v>
          </cell>
          <cell r="B520" t="str">
            <v>室内电脑板-CEM-1</v>
          </cell>
        </row>
        <row r="521">
          <cell r="A521" t="str">
            <v>0011800323K</v>
          </cell>
          <cell r="B521" t="str">
            <v>室内电脑板-CEM-1</v>
          </cell>
        </row>
        <row r="522">
          <cell r="A522" t="str">
            <v>0011800323L</v>
          </cell>
          <cell r="B522" t="str">
            <v>室内电脑板-CEM-3</v>
          </cell>
        </row>
        <row r="523">
          <cell r="A523" t="str">
            <v>0011800323N</v>
          </cell>
          <cell r="B523" t="str">
            <v>室内电脑板-CEM-3</v>
          </cell>
        </row>
        <row r="524">
          <cell r="A524" t="str">
            <v>0011800323T</v>
          </cell>
          <cell r="B524" t="str">
            <v>室内电脑板-CEM-3</v>
          </cell>
        </row>
        <row r="525">
          <cell r="A525" t="str">
            <v>0011800323U</v>
          </cell>
          <cell r="B525" t="str">
            <v>室内电脑板-CEM-1</v>
          </cell>
        </row>
        <row r="526">
          <cell r="A526" t="str">
            <v>0011800323W</v>
          </cell>
          <cell r="B526" t="str">
            <v>室内电脑板-/</v>
          </cell>
        </row>
        <row r="527">
          <cell r="A527" t="str">
            <v>0011800323X</v>
          </cell>
          <cell r="B527" t="str">
            <v>室内电脑板-/</v>
          </cell>
        </row>
        <row r="528">
          <cell r="A528" t="str">
            <v>0011800323Y</v>
          </cell>
          <cell r="B528" t="str">
            <v>室内电脑板-CEM-1</v>
          </cell>
        </row>
        <row r="529">
          <cell r="A529" t="str">
            <v>0011800323Z</v>
          </cell>
          <cell r="B529" t="str">
            <v>室内电脑板-CEM-1</v>
          </cell>
        </row>
        <row r="530">
          <cell r="A530" t="str">
            <v>0011800324</v>
          </cell>
          <cell r="B530" t="str">
            <v>显示面板-CEM-1</v>
          </cell>
        </row>
        <row r="531">
          <cell r="A531" t="str">
            <v>0011800324FL</v>
          </cell>
          <cell r="B531" t="str">
            <v>显示面板-CEM-3CEM-3&lt;CEM-3&gt;</v>
          </cell>
        </row>
        <row r="532">
          <cell r="A532" t="str">
            <v>0011800324H</v>
          </cell>
          <cell r="B532" t="str">
            <v>显示面板-CEM-1</v>
          </cell>
        </row>
        <row r="533">
          <cell r="A533" t="str">
            <v>0011800324N</v>
          </cell>
          <cell r="B533" t="str">
            <v>显示面板-CEM-1</v>
          </cell>
        </row>
        <row r="534">
          <cell r="A534" t="str">
            <v>0011800324N</v>
          </cell>
          <cell r="B534" t="str">
            <v>显示面板-CEM-1</v>
          </cell>
        </row>
        <row r="535">
          <cell r="A535" t="str">
            <v>0011800324P</v>
          </cell>
          <cell r="B535" t="str">
            <v>显示面板-CEM-1</v>
          </cell>
        </row>
        <row r="536">
          <cell r="A536" t="str">
            <v>0011800324S</v>
          </cell>
          <cell r="B536" t="str">
            <v>显示面板-CEM-3</v>
          </cell>
        </row>
        <row r="537">
          <cell r="A537" t="str">
            <v>0011800324S</v>
          </cell>
          <cell r="B537" t="str">
            <v>显示面板-CEM-3</v>
          </cell>
        </row>
        <row r="538">
          <cell r="A538" t="str">
            <v>0011800324T</v>
          </cell>
          <cell r="B538" t="str">
            <v>显示面板-CEM-1/--</v>
          </cell>
        </row>
        <row r="539">
          <cell r="A539" t="str">
            <v>0011800324T</v>
          </cell>
          <cell r="B539" t="str">
            <v>显示面板-CEM-1/--</v>
          </cell>
        </row>
        <row r="540">
          <cell r="A540" t="str">
            <v>0011800325</v>
          </cell>
          <cell r="B540" t="str">
            <v>显示面板-CEM-1</v>
          </cell>
        </row>
        <row r="541">
          <cell r="A541" t="str">
            <v>0011800325D</v>
          </cell>
          <cell r="B541" t="str">
            <v>显示面板-CEM-1</v>
          </cell>
        </row>
        <row r="542">
          <cell r="A542" t="str">
            <v>0011800325L</v>
          </cell>
          <cell r="B542" t="str">
            <v>显示面板-CEM-1</v>
          </cell>
        </row>
        <row r="543">
          <cell r="A543" t="str">
            <v>0011800328AD</v>
          </cell>
          <cell r="B543" t="str">
            <v>室外模块驱动板-FR-4</v>
          </cell>
        </row>
        <row r="544">
          <cell r="A544" t="str">
            <v>0011800328AE</v>
          </cell>
          <cell r="B544" t="str">
            <v>室外模块驱动板-FR-4</v>
          </cell>
        </row>
        <row r="545">
          <cell r="A545" t="str">
            <v>0011800328AH</v>
          </cell>
          <cell r="B545" t="str">
            <v>室外模块驱动板-FR-4</v>
          </cell>
        </row>
        <row r="546">
          <cell r="A546" t="str">
            <v>0011800328AK</v>
          </cell>
          <cell r="B546" t="str">
            <v>室外模块驱动板-FR-4</v>
          </cell>
        </row>
        <row r="547">
          <cell r="A547" t="str">
            <v>0011800328AM</v>
          </cell>
          <cell r="B547" t="str">
            <v>室外模块驱动板-FR-4</v>
          </cell>
        </row>
        <row r="548">
          <cell r="A548" t="str">
            <v>0011800328AN</v>
          </cell>
          <cell r="B548" t="str">
            <v>室外模块驱动板-FR-4</v>
          </cell>
        </row>
        <row r="549">
          <cell r="A549" t="str">
            <v>0011800328AP</v>
          </cell>
          <cell r="B549" t="str">
            <v>室外模块驱动板-FR-4</v>
          </cell>
        </row>
        <row r="550">
          <cell r="A550" t="str">
            <v>0011800328AQ</v>
          </cell>
          <cell r="B550" t="str">
            <v>室外模块驱动板-FR-4</v>
          </cell>
        </row>
        <row r="551">
          <cell r="A551" t="str">
            <v>0011800328AR</v>
          </cell>
          <cell r="B551" t="str">
            <v>室外模块驱动板-FR-4模块板</v>
          </cell>
        </row>
        <row r="552">
          <cell r="A552" t="str">
            <v>0011800328BF</v>
          </cell>
          <cell r="B552" t="str">
            <v>室外模块驱动板-FR-4---</v>
          </cell>
        </row>
        <row r="553">
          <cell r="A553" t="str">
            <v>0011800328BH</v>
          </cell>
          <cell r="B553" t="str">
            <v>室外模块驱动板-FR-4</v>
          </cell>
        </row>
        <row r="554">
          <cell r="A554" t="str">
            <v>0011800328D</v>
          </cell>
          <cell r="B554" t="str">
            <v>室外模块驱动板-FR-4</v>
          </cell>
        </row>
        <row r="555">
          <cell r="A555" t="str">
            <v>0011800328E</v>
          </cell>
          <cell r="B555" t="str">
            <v>室外模块驱动板-FR-4</v>
          </cell>
        </row>
        <row r="556">
          <cell r="A556" t="str">
            <v>0011800328F</v>
          </cell>
          <cell r="B556" t="str">
            <v>室外模块驱动板-FR-4</v>
          </cell>
        </row>
        <row r="557">
          <cell r="A557" t="str">
            <v>0011800328FA</v>
          </cell>
          <cell r="B557" t="str">
            <v>室外模块驱动板-FR-4---</v>
          </cell>
        </row>
        <row r="558">
          <cell r="A558" t="str">
            <v>0011800328FA</v>
          </cell>
          <cell r="B558" t="str">
            <v>室外模块驱动板-FR-4---</v>
          </cell>
        </row>
        <row r="559">
          <cell r="A559" t="str">
            <v>0011800328G</v>
          </cell>
          <cell r="B559" t="str">
            <v>室外模块驱动板-FR-4</v>
          </cell>
        </row>
        <row r="560">
          <cell r="A560" t="str">
            <v>0011800328H</v>
          </cell>
          <cell r="B560" t="str">
            <v>室外模块驱动板-FR-4</v>
          </cell>
        </row>
        <row r="561">
          <cell r="A561" t="str">
            <v>0011800328J</v>
          </cell>
          <cell r="B561" t="str">
            <v>室外模块驱动板-FR-4</v>
          </cell>
        </row>
        <row r="562">
          <cell r="A562" t="str">
            <v>0011800328JA</v>
          </cell>
          <cell r="B562" t="str">
            <v>室外模块驱动板-FR-4</v>
          </cell>
        </row>
        <row r="563">
          <cell r="A563" t="str">
            <v>0011800328P</v>
          </cell>
          <cell r="B563" t="str">
            <v>室外模块驱动板-FR-4</v>
          </cell>
        </row>
        <row r="564">
          <cell r="A564" t="str">
            <v>0011800328U</v>
          </cell>
          <cell r="B564" t="str">
            <v>室外模块驱动板-FR-4</v>
          </cell>
        </row>
        <row r="565">
          <cell r="A565" t="str">
            <v>0011800328X</v>
          </cell>
          <cell r="B565" t="str">
            <v>室外模块驱动板-FR-4</v>
          </cell>
        </row>
        <row r="566">
          <cell r="A566" t="str">
            <v>0011800328YA</v>
          </cell>
          <cell r="B566" t="str">
            <v>室外模块驱动板-FR-4---</v>
          </cell>
        </row>
        <row r="567">
          <cell r="A567" t="str">
            <v>0011800333E</v>
          </cell>
          <cell r="B567" t="str">
            <v>电脑板-CEM-1---</v>
          </cell>
        </row>
        <row r="568">
          <cell r="A568" t="str">
            <v>0011800339AF</v>
          </cell>
          <cell r="B568" t="str">
            <v>室外电脑板-/</v>
          </cell>
        </row>
        <row r="569">
          <cell r="A569" t="str">
            <v>0011800339CD</v>
          </cell>
          <cell r="B569" t="str">
            <v>室外电脑板-CEM-3</v>
          </cell>
        </row>
        <row r="570">
          <cell r="A570" t="str">
            <v>0011800339DH</v>
          </cell>
          <cell r="B570" t="str">
            <v>室外电脑板-CEM-3---</v>
          </cell>
        </row>
        <row r="571">
          <cell r="A571" t="str">
            <v>0011800339DN</v>
          </cell>
          <cell r="B571" t="str">
            <v>室外电脑板-CEM-3</v>
          </cell>
        </row>
        <row r="572">
          <cell r="A572" t="str">
            <v>0011800339DV</v>
          </cell>
          <cell r="B572" t="str">
            <v>室外电脑板-CEM-3</v>
          </cell>
        </row>
        <row r="573">
          <cell r="A573" t="str">
            <v>0011800339DX</v>
          </cell>
          <cell r="B573" t="str">
            <v>室外电脑板-CEM-3</v>
          </cell>
        </row>
        <row r="574">
          <cell r="A574" t="str">
            <v>0011800339EF</v>
          </cell>
          <cell r="B574" t="str">
            <v>室外电脑板-CEM-3</v>
          </cell>
        </row>
        <row r="575">
          <cell r="A575" t="str">
            <v>0011800339FA</v>
          </cell>
          <cell r="B575" t="str">
            <v>室外电脑板-FR-4</v>
          </cell>
        </row>
        <row r="576">
          <cell r="A576" t="str">
            <v>0011800339FB</v>
          </cell>
          <cell r="B576" t="str">
            <v>室外电脑板-FR-4</v>
          </cell>
        </row>
        <row r="577">
          <cell r="A577" t="str">
            <v>0011800339FU</v>
          </cell>
          <cell r="B577" t="str">
            <v>室外电脑板-CEM-3---</v>
          </cell>
        </row>
        <row r="578">
          <cell r="A578" t="str">
            <v>0011800339H001</v>
          </cell>
          <cell r="B578" t="str">
            <v>室外电脑板-CEM-3硬件同339G,程序F111硬件同339G,程序F111</v>
          </cell>
        </row>
        <row r="579">
          <cell r="A579" t="str">
            <v>0011800339H002</v>
          </cell>
          <cell r="B579" t="str">
            <v>室外电脑板-CEM-3硬件同339V,软件为322D硬件同339V,软件为322</v>
          </cell>
        </row>
        <row r="580">
          <cell r="A580" t="str">
            <v>0011800339H003</v>
          </cell>
          <cell r="B580" t="str">
            <v>室外电脑板-CEM-3硬件同339S,程序校验和322</v>
          </cell>
        </row>
        <row r="581">
          <cell r="A581" t="str">
            <v>0011800339H004</v>
          </cell>
          <cell r="B581" t="str">
            <v>室外电脑板-CEM-3硬件同339AG,程序校验和9D</v>
          </cell>
        </row>
        <row r="582">
          <cell r="A582" t="str">
            <v>0011800339H005</v>
          </cell>
          <cell r="B582" t="str">
            <v>室外电脑板-CEM-3硬件同339BB,程序1B17硬件</v>
          </cell>
        </row>
        <row r="583">
          <cell r="A583" t="str">
            <v>0011800339H006</v>
          </cell>
          <cell r="B583" t="str">
            <v>室外电脑板-CEM-3硬件同339AC,程序1B17硬件</v>
          </cell>
        </row>
        <row r="584">
          <cell r="A584" t="str">
            <v>0011800339H007</v>
          </cell>
          <cell r="B584" t="str">
            <v>室外电脑板-CEM-3硬件同339DN,程序2554硬件</v>
          </cell>
        </row>
        <row r="585">
          <cell r="A585" t="str">
            <v>0011800339H008</v>
          </cell>
          <cell r="B585" t="str">
            <v>室外电脑板-CEM-3硬件同339,程序F111硬件同</v>
          </cell>
        </row>
        <row r="586">
          <cell r="A586" t="str">
            <v>0011800339H009</v>
          </cell>
          <cell r="B586" t="str">
            <v>室外电脑板-CEM-3硬件同339H,程序为F111硬件同339H,程序为F11</v>
          </cell>
        </row>
        <row r="587">
          <cell r="A587" t="str">
            <v>0011800339H00A</v>
          </cell>
          <cell r="B587" t="str">
            <v>室外电脑板-CEM-3硬件同0011800339BS,程序为D661硬件同001</v>
          </cell>
        </row>
        <row r="588">
          <cell r="A588" t="str">
            <v>0011800339H00B</v>
          </cell>
          <cell r="B588" t="str">
            <v>室外电脑板-CEM-3硬件同0011800339AQ,程序为D661硬件同001</v>
          </cell>
        </row>
        <row r="589">
          <cell r="A589" t="str">
            <v>0011800339H00C</v>
          </cell>
          <cell r="B589" t="str">
            <v>室外电脑板-CEM-3硬件同0011800339DG,程序为D661硬件同001</v>
          </cell>
        </row>
        <row r="590">
          <cell r="A590" t="str">
            <v>0011800339H00D</v>
          </cell>
          <cell r="B590" t="str">
            <v>室外电脑板-CEM-3硬件同0011800339B,程序为</v>
          </cell>
        </row>
        <row r="591">
          <cell r="A591" t="str">
            <v>0011800339H00E</v>
          </cell>
          <cell r="B591" t="str">
            <v>室外电脑板-CEM-3硬件同0011800339AE,程序是7D9B硬件同001</v>
          </cell>
        </row>
        <row r="592">
          <cell r="A592" t="str">
            <v>0011800339H00F</v>
          </cell>
          <cell r="B592" t="str">
            <v>室外电脑板-CEM-3硬件同0011800339CF,程序为7D9B硬件同001</v>
          </cell>
        </row>
        <row r="593">
          <cell r="A593" t="str">
            <v>0011800339H00G</v>
          </cell>
          <cell r="B593" t="str">
            <v>室外电脑板-CEM-3硬件同339AW,程序F111硬件</v>
          </cell>
        </row>
        <row r="594">
          <cell r="A594" t="str">
            <v>0011800339H00H</v>
          </cell>
          <cell r="B594" t="str">
            <v>室外电脑板-CEM-3硬件同339BZ,程序1B17硬件</v>
          </cell>
        </row>
        <row r="595">
          <cell r="A595" t="str">
            <v>0011800339H00J</v>
          </cell>
          <cell r="B595" t="str">
            <v>室外电脑板-CEM-3硬件同339AS,程序D661硬件</v>
          </cell>
        </row>
        <row r="596">
          <cell r="A596" t="str">
            <v>0011800339H00K</v>
          </cell>
          <cell r="B596" t="str">
            <v>室外电脑板-CEM-3硬件同339AA,程序322D硬件</v>
          </cell>
        </row>
        <row r="597">
          <cell r="A597" t="str">
            <v>0011800339H00L</v>
          </cell>
          <cell r="B597" t="str">
            <v>室外电脑板-CEM-3硬件同339CT,程序1B17硬件</v>
          </cell>
        </row>
        <row r="598">
          <cell r="A598" t="str">
            <v>0011800339H00M</v>
          </cell>
          <cell r="B598" t="str">
            <v>室外电脑板-CEM-3硬件同339CM,程序1B17硬件</v>
          </cell>
        </row>
        <row r="599">
          <cell r="A599" t="str">
            <v>0011800345AU</v>
          </cell>
          <cell r="B599" t="str">
            <v>室外电脑板-CEM-3</v>
          </cell>
        </row>
        <row r="600">
          <cell r="A600" t="str">
            <v>0011800345BE</v>
          </cell>
          <cell r="B600" t="str">
            <v>室外电脑板-CEM-3---</v>
          </cell>
        </row>
        <row r="601">
          <cell r="A601" t="str">
            <v>0011800345BF</v>
          </cell>
          <cell r="B601" t="str">
            <v>室外电脑板-CEM-3</v>
          </cell>
        </row>
        <row r="602">
          <cell r="A602" t="str">
            <v>0011800345BH</v>
          </cell>
          <cell r="B602" t="str">
            <v>室外电脑板-CEM-3---</v>
          </cell>
        </row>
        <row r="603">
          <cell r="A603" t="str">
            <v>0011800345BK</v>
          </cell>
          <cell r="B603" t="str">
            <v>室外电脑板-CEM-3</v>
          </cell>
        </row>
        <row r="604">
          <cell r="A604" t="str">
            <v>0011800345BL</v>
          </cell>
          <cell r="B604" t="str">
            <v>室外电脑板-CEM-3</v>
          </cell>
        </row>
        <row r="605">
          <cell r="A605" t="str">
            <v>0011800345P</v>
          </cell>
          <cell r="B605" t="str">
            <v>室外电脑板-CEM-3---</v>
          </cell>
        </row>
        <row r="606">
          <cell r="A606" t="str">
            <v>0011800345PA</v>
          </cell>
          <cell r="B606" t="str">
            <v>室外电脑板-CEM-3</v>
          </cell>
        </row>
        <row r="607">
          <cell r="A607" t="str">
            <v>0011800345Q</v>
          </cell>
          <cell r="B607" t="str">
            <v>室外电脑板-CEM-3</v>
          </cell>
        </row>
        <row r="608">
          <cell r="A608" t="str">
            <v>0011800345T</v>
          </cell>
          <cell r="B608" t="str">
            <v>室外电脑板-CEM-3</v>
          </cell>
        </row>
        <row r="609">
          <cell r="A609" t="str">
            <v>0011800345TA</v>
          </cell>
          <cell r="B609" t="str">
            <v>室外电脑板-CEM-3</v>
          </cell>
        </row>
        <row r="610">
          <cell r="A610" t="str">
            <v>0011800346H</v>
          </cell>
          <cell r="B610" t="str">
            <v>室外电脑板-/</v>
          </cell>
        </row>
        <row r="611">
          <cell r="A611" t="str">
            <v>0011800350AL</v>
          </cell>
          <cell r="B611" t="str">
            <v>室外电脑板-CEM-3</v>
          </cell>
        </row>
        <row r="612">
          <cell r="A612" t="str">
            <v>0011800350AP</v>
          </cell>
          <cell r="B612" t="str">
            <v>室外电脑板-CEM-3</v>
          </cell>
        </row>
        <row r="613">
          <cell r="A613" t="str">
            <v>0011800350AQ</v>
          </cell>
          <cell r="B613" t="str">
            <v>室外电脑板-CEM-3</v>
          </cell>
        </row>
        <row r="614">
          <cell r="A614" t="str">
            <v>0011800350AW</v>
          </cell>
          <cell r="B614" t="str">
            <v>室外电脑板-CEM-3</v>
          </cell>
        </row>
        <row r="615">
          <cell r="A615" t="str">
            <v>0011800350AY</v>
          </cell>
          <cell r="B615" t="str">
            <v>室外电脑板-CEM-3</v>
          </cell>
        </row>
        <row r="616">
          <cell r="A616" t="str">
            <v>0011800350BD</v>
          </cell>
          <cell r="B616" t="str">
            <v>室外电脑板-CEM-3</v>
          </cell>
        </row>
        <row r="617">
          <cell r="A617" t="str">
            <v>0011800350BE</v>
          </cell>
          <cell r="B617" t="str">
            <v>室外电脑板-CEM-3</v>
          </cell>
        </row>
        <row r="618">
          <cell r="A618" t="str">
            <v>0011800350BZ</v>
          </cell>
          <cell r="B618" t="str">
            <v>室外电脑板-CEM-3</v>
          </cell>
        </row>
        <row r="619">
          <cell r="A619" t="str">
            <v>0011800350K</v>
          </cell>
          <cell r="B619" t="str">
            <v>室外电脑板-/</v>
          </cell>
        </row>
        <row r="620">
          <cell r="A620" t="str">
            <v>0011800359</v>
          </cell>
          <cell r="B620" t="str">
            <v>柜机控制面板-CEM-1</v>
          </cell>
        </row>
        <row r="621">
          <cell r="A621" t="str">
            <v>0011800359B</v>
          </cell>
          <cell r="B621" t="str">
            <v>显示面板-CEM-1</v>
          </cell>
        </row>
        <row r="622">
          <cell r="A622" t="str">
            <v>0011800359G</v>
          </cell>
          <cell r="B622" t="str">
            <v>显示板-LED</v>
          </cell>
        </row>
        <row r="623">
          <cell r="A623" t="str">
            <v>0011800360A</v>
          </cell>
          <cell r="B623" t="str">
            <v>显示面板-FR-4</v>
          </cell>
        </row>
        <row r="624">
          <cell r="A624" t="str">
            <v>0011800366AG</v>
          </cell>
          <cell r="B624" t="str">
            <v>室外模块驱动板-/</v>
          </cell>
        </row>
        <row r="625">
          <cell r="A625" t="str">
            <v>0011800366AK</v>
          </cell>
          <cell r="B625" t="str">
            <v>室外电脑板-FR-4</v>
          </cell>
        </row>
        <row r="626">
          <cell r="A626" t="str">
            <v>0011800366AL</v>
          </cell>
          <cell r="B626" t="str">
            <v>室外电脑板-FR-4</v>
          </cell>
        </row>
        <row r="627">
          <cell r="A627" t="str">
            <v>0011800366AP</v>
          </cell>
          <cell r="B627" t="str">
            <v>一体机电脑板-FR-4</v>
          </cell>
        </row>
        <row r="628">
          <cell r="A628" t="str">
            <v>0011800366AR</v>
          </cell>
          <cell r="B628" t="str">
            <v>室外电脑板-/</v>
          </cell>
        </row>
        <row r="629">
          <cell r="A629" t="str">
            <v>0011800366AS</v>
          </cell>
          <cell r="B629" t="str">
            <v>室外电脑板-FR-4室外电脑板293mm*181mm室外电脑板(开关电源)-</v>
          </cell>
        </row>
        <row r="630">
          <cell r="A630" t="str">
            <v>0011800366AT</v>
          </cell>
          <cell r="B630" t="str">
            <v>室外电脑板-FR-4室外电脑板293mm*181mm室外电脑板(开关电源)-</v>
          </cell>
        </row>
        <row r="631">
          <cell r="A631" t="str">
            <v>0011800366E</v>
          </cell>
          <cell r="B631" t="str">
            <v>室外模块驱动板-/</v>
          </cell>
        </row>
        <row r="632">
          <cell r="A632" t="str">
            <v>0011800369A</v>
          </cell>
          <cell r="B632" t="str">
            <v>室内电脑板-FR-4</v>
          </cell>
        </row>
        <row r="633">
          <cell r="A633" t="str">
            <v>0011800371</v>
          </cell>
          <cell r="B633" t="str">
            <v>一体机电脑板-通用</v>
          </cell>
        </row>
        <row r="634">
          <cell r="A634" t="str">
            <v>0011800371A</v>
          </cell>
          <cell r="B634" t="str">
            <v>一体机电脑板-CEM-1</v>
          </cell>
        </row>
        <row r="635">
          <cell r="A635" t="str">
            <v>0011800376</v>
          </cell>
          <cell r="B635" t="str">
            <v>室内电脑板-CEM-1</v>
          </cell>
        </row>
        <row r="636">
          <cell r="A636" t="str">
            <v>0011800376AB</v>
          </cell>
          <cell r="B636" t="str">
            <v>室内电脑板-CEM-1</v>
          </cell>
        </row>
        <row r="637">
          <cell r="A637" t="str">
            <v>0011800376AB</v>
          </cell>
          <cell r="B637" t="str">
            <v>室内电脑板-CEM-1</v>
          </cell>
        </row>
        <row r="638">
          <cell r="A638" t="str">
            <v>0011800376AD</v>
          </cell>
          <cell r="B638" t="str">
            <v>室内电脑板-CEM-3208mm*105mm</v>
          </cell>
        </row>
        <row r="639">
          <cell r="A639" t="str">
            <v>0011800376AE</v>
          </cell>
          <cell r="B639" t="str">
            <v>室内电脑板-CEM-1/--</v>
          </cell>
        </row>
        <row r="640">
          <cell r="A640" t="str">
            <v>0011800376AF</v>
          </cell>
          <cell r="B640" t="str">
            <v>室内电脑板-CEM-1</v>
          </cell>
        </row>
        <row r="641">
          <cell r="A641" t="str">
            <v>0011800376AG</v>
          </cell>
          <cell r="B641" t="str">
            <v>室内电脑板-CEM-1</v>
          </cell>
        </row>
        <row r="642">
          <cell r="A642" t="str">
            <v>0011800376AG</v>
          </cell>
          <cell r="B642" t="str">
            <v>室内电脑板-CEM-1</v>
          </cell>
        </row>
        <row r="643">
          <cell r="A643" t="str">
            <v>0011800376C</v>
          </cell>
          <cell r="B643" t="str">
            <v>室内电脑板-CEM-1</v>
          </cell>
        </row>
        <row r="644">
          <cell r="A644" t="str">
            <v>0011800376FL</v>
          </cell>
          <cell r="B644" t="str">
            <v>室内电脑板-CEM-1CEM-1&lt;CEM-1&gt;</v>
          </cell>
        </row>
        <row r="645">
          <cell r="A645" t="str">
            <v>0011800376K</v>
          </cell>
          <cell r="B645" t="str">
            <v>室内电脑板-CEM-1</v>
          </cell>
        </row>
        <row r="646">
          <cell r="A646" t="str">
            <v>0011800376Q</v>
          </cell>
          <cell r="B646" t="str">
            <v>室内电脑板-/</v>
          </cell>
        </row>
        <row r="647">
          <cell r="A647" t="str">
            <v>0011800376S</v>
          </cell>
          <cell r="B647" t="str">
            <v>室内电脑板-CEM-1</v>
          </cell>
        </row>
        <row r="648">
          <cell r="A648" t="str">
            <v>0011800376T</v>
          </cell>
          <cell r="B648" t="str">
            <v>室内电脑板-CEM-1</v>
          </cell>
        </row>
        <row r="649">
          <cell r="A649" t="str">
            <v>0011800376V</v>
          </cell>
          <cell r="B649" t="str">
            <v>室内电脑板-/</v>
          </cell>
        </row>
        <row r="650">
          <cell r="A650" t="str">
            <v>0011800376Z</v>
          </cell>
          <cell r="B650" t="str">
            <v>室内电脑板-CEM-1</v>
          </cell>
        </row>
        <row r="651">
          <cell r="A651" t="str">
            <v>0011800376Z</v>
          </cell>
          <cell r="B651" t="str">
            <v>室内电脑板-CEM-1</v>
          </cell>
        </row>
        <row r="652">
          <cell r="A652" t="str">
            <v>0011800377</v>
          </cell>
          <cell r="B652" t="str">
            <v>室外模块驱动板-FR-4</v>
          </cell>
        </row>
        <row r="653">
          <cell r="A653" t="str">
            <v>0011800377A</v>
          </cell>
          <cell r="B653" t="str">
            <v>室外模块驱动板-FR-4</v>
          </cell>
        </row>
        <row r="654">
          <cell r="A654" t="str">
            <v>0011800377C</v>
          </cell>
          <cell r="B654" t="str">
            <v>室外模块驱动板-FR-4</v>
          </cell>
        </row>
        <row r="655">
          <cell r="A655" t="str">
            <v>0011800377H</v>
          </cell>
          <cell r="B655" t="str">
            <v>室外模块驱动板-FR-4SNB130FYQMC压缩机30AR</v>
          </cell>
        </row>
        <row r="656">
          <cell r="A656" t="str">
            <v>0011800377J</v>
          </cell>
          <cell r="B656" t="str">
            <v>室外模块驱动板-FR-4</v>
          </cell>
        </row>
        <row r="657">
          <cell r="A657" t="str">
            <v>0011800377M</v>
          </cell>
          <cell r="B657" t="str">
            <v>室外模块驱动板-FR-4</v>
          </cell>
        </row>
        <row r="658">
          <cell r="A658" t="str">
            <v>0011800377M</v>
          </cell>
          <cell r="B658" t="str">
            <v>室外模块驱动板-FR-4</v>
          </cell>
        </row>
        <row r="659">
          <cell r="A659" t="str">
            <v>0011800377N</v>
          </cell>
          <cell r="B659" t="str">
            <v>室外模块驱动板-FR-4---</v>
          </cell>
        </row>
        <row r="660">
          <cell r="A660" t="str">
            <v>0011800377Q</v>
          </cell>
          <cell r="B660" t="str">
            <v>室外模块驱动板-FR-4</v>
          </cell>
        </row>
        <row r="661">
          <cell r="A661" t="str">
            <v>0011800377V</v>
          </cell>
          <cell r="B661" t="str">
            <v>功率驱动板-/</v>
          </cell>
        </row>
        <row r="662">
          <cell r="A662" t="str">
            <v>0011800377X</v>
          </cell>
          <cell r="B662" t="str">
            <v>功率驱动板-FR-4SNB130FYQMC压缩机30ARX62T模块驱动板30A</v>
          </cell>
        </row>
        <row r="663">
          <cell r="A663" t="str">
            <v>0011800377Y</v>
          </cell>
          <cell r="B663" t="str">
            <v>功率驱动板-FR-4SNB130FYQMC压缩机30ARX62T模块驱动板30A</v>
          </cell>
        </row>
        <row r="664">
          <cell r="A664" t="str">
            <v>0011800381A</v>
          </cell>
          <cell r="B664" t="str">
            <v>室内电脑板-CEM-1</v>
          </cell>
        </row>
        <row r="665">
          <cell r="A665" t="str">
            <v>0011800381B</v>
          </cell>
          <cell r="B665" t="str">
            <v>室内电脑板-CEM-1</v>
          </cell>
        </row>
        <row r="666">
          <cell r="A666" t="str">
            <v>0011800381C</v>
          </cell>
          <cell r="B666" t="str">
            <v>室内电脑板-CEM-1---</v>
          </cell>
        </row>
        <row r="667">
          <cell r="A667" t="str">
            <v>0011800387</v>
          </cell>
          <cell r="B667" t="str">
            <v>显示面板-FR-4</v>
          </cell>
        </row>
        <row r="668">
          <cell r="A668" t="str">
            <v>0011800387</v>
          </cell>
          <cell r="B668" t="str">
            <v>显示面板-FR-4</v>
          </cell>
        </row>
        <row r="669">
          <cell r="A669" t="str">
            <v>0011800387A</v>
          </cell>
          <cell r="B669" t="str">
            <v>显示面板-FR-4</v>
          </cell>
        </row>
        <row r="670">
          <cell r="A670" t="str">
            <v>0011800387A</v>
          </cell>
          <cell r="B670" t="str">
            <v>显示面板-FR-4</v>
          </cell>
        </row>
        <row r="671">
          <cell r="A671" t="str">
            <v>0011800387B</v>
          </cell>
          <cell r="B671" t="str">
            <v>显示面板-FR-4</v>
          </cell>
        </row>
        <row r="672">
          <cell r="A672" t="str">
            <v>0011800387D</v>
          </cell>
          <cell r="B672" t="str">
            <v>显示面板-FR-4</v>
          </cell>
        </row>
        <row r="673">
          <cell r="A673" t="str">
            <v>0011800387D</v>
          </cell>
          <cell r="B673" t="str">
            <v>显示面板-FR-4</v>
          </cell>
        </row>
        <row r="674">
          <cell r="A674" t="str">
            <v>0011800387D</v>
          </cell>
          <cell r="B674" t="str">
            <v>显示面板-FR-4</v>
          </cell>
        </row>
        <row r="675">
          <cell r="A675" t="str">
            <v>0011800387DFL</v>
          </cell>
          <cell r="B675" t="str">
            <v>显示面板-FR-4FR-4&lt;FR-4&gt;</v>
          </cell>
        </row>
        <row r="676">
          <cell r="A676" t="str">
            <v>0011800387E</v>
          </cell>
          <cell r="B676" t="str">
            <v>显示面板-FR-4---</v>
          </cell>
        </row>
        <row r="677">
          <cell r="A677" t="str">
            <v>0011800387FL</v>
          </cell>
          <cell r="B677" t="str">
            <v>显示面板-FR-4FR-4&lt;FR-4&gt;</v>
          </cell>
        </row>
        <row r="678">
          <cell r="A678" t="str">
            <v>0011800387G</v>
          </cell>
          <cell r="B678" t="str">
            <v>显示面板-FR-4</v>
          </cell>
        </row>
        <row r="679">
          <cell r="A679" t="str">
            <v>0011800387GFL</v>
          </cell>
          <cell r="B679" t="str">
            <v>显示面板-FR-4FR-4&lt;FR-4&gt;</v>
          </cell>
        </row>
        <row r="680">
          <cell r="A680" t="str">
            <v>0011800387H</v>
          </cell>
          <cell r="B680" t="str">
            <v>显示面板-FR-4</v>
          </cell>
        </row>
        <row r="681">
          <cell r="A681" t="str">
            <v>0011800387H</v>
          </cell>
          <cell r="B681" t="str">
            <v>显示面板-FR-4</v>
          </cell>
        </row>
        <row r="682">
          <cell r="A682" t="str">
            <v>0011800390D</v>
          </cell>
          <cell r="B682" t="str">
            <v>室内电脑板-CEM-1</v>
          </cell>
        </row>
        <row r="683">
          <cell r="A683" t="str">
            <v>0011800395C</v>
          </cell>
          <cell r="B683" t="str">
            <v>室内电脑板-CEM-1</v>
          </cell>
        </row>
        <row r="684">
          <cell r="A684" t="str">
            <v>0011800395E</v>
          </cell>
          <cell r="B684" t="str">
            <v>室内电脑板-CEM-1</v>
          </cell>
        </row>
        <row r="685">
          <cell r="A685" t="str">
            <v>0011800405AR</v>
          </cell>
          <cell r="B685" t="str">
            <v>室外电脑板-/---</v>
          </cell>
        </row>
        <row r="686">
          <cell r="A686" t="str">
            <v>0011800405D</v>
          </cell>
          <cell r="B686" t="str">
            <v>室外电脑板-FR-4</v>
          </cell>
        </row>
        <row r="687">
          <cell r="A687" t="str">
            <v>0011800405S</v>
          </cell>
          <cell r="B687" t="str">
            <v>室外电脑板-FR-4</v>
          </cell>
        </row>
        <row r="688">
          <cell r="A688" t="str">
            <v>0011800405T</v>
          </cell>
          <cell r="B688" t="str">
            <v>室外电脑板-FR-4---</v>
          </cell>
        </row>
        <row r="689">
          <cell r="A689" t="str">
            <v>0011800410</v>
          </cell>
          <cell r="B689" t="str">
            <v>室外电脑板-CEM-3</v>
          </cell>
        </row>
        <row r="690">
          <cell r="A690" t="str">
            <v>0011800410A</v>
          </cell>
          <cell r="B690" t="str">
            <v>室外电脑板-CEM-3</v>
          </cell>
        </row>
        <row r="691">
          <cell r="A691" t="str">
            <v>0011800410AA</v>
          </cell>
          <cell r="B691" t="str">
            <v>室外电脑板-通用N系列台湾24K410C基础上更改参数</v>
          </cell>
        </row>
        <row r="692">
          <cell r="A692" t="str">
            <v>0011800410AC</v>
          </cell>
          <cell r="B692" t="str">
            <v>室外电脑板-CEM-3</v>
          </cell>
        </row>
        <row r="693">
          <cell r="A693" t="str">
            <v>0011800410AD</v>
          </cell>
          <cell r="B693" t="str">
            <v>室外电脑板-CEM-3</v>
          </cell>
        </row>
        <row r="694">
          <cell r="A694" t="str">
            <v>0011800410AE</v>
          </cell>
          <cell r="B694" t="str">
            <v>室外电脑板-CEM-3</v>
          </cell>
        </row>
        <row r="695">
          <cell r="A695" t="str">
            <v>0011800410AF</v>
          </cell>
          <cell r="B695" t="str">
            <v>室外电脑板-CEM-3</v>
          </cell>
        </row>
        <row r="696">
          <cell r="A696" t="str">
            <v>0011800410AG</v>
          </cell>
          <cell r="B696" t="str">
            <v>室外电脑板-通用-D系列09K更改参数出澳洲-</v>
          </cell>
        </row>
        <row r="697">
          <cell r="A697" t="str">
            <v>0011800410AH</v>
          </cell>
          <cell r="B697" t="str">
            <v>室外电脑板-通用---</v>
          </cell>
        </row>
        <row r="698">
          <cell r="A698" t="str">
            <v>0011800410AJ</v>
          </cell>
          <cell r="B698" t="str">
            <v>室外电脑板-CEM-1</v>
          </cell>
        </row>
        <row r="699">
          <cell r="A699" t="str">
            <v>0011800410AK</v>
          </cell>
          <cell r="B699" t="str">
            <v>室外电脑板-CEM-1</v>
          </cell>
        </row>
        <row r="700">
          <cell r="A700" t="str">
            <v>0011800410AL</v>
          </cell>
          <cell r="B700" t="str">
            <v>室外电脑板-CEM-1</v>
          </cell>
        </row>
        <row r="701">
          <cell r="A701" t="str">
            <v>0011800410AM</v>
          </cell>
          <cell r="B701" t="str">
            <v>室外电脑板-CEM-3---</v>
          </cell>
        </row>
        <row r="702">
          <cell r="A702" t="str">
            <v>0011800410AN</v>
          </cell>
          <cell r="B702" t="str">
            <v>室外电脑板-CEM-3---</v>
          </cell>
        </row>
        <row r="703">
          <cell r="A703" t="str">
            <v>0011800410AP</v>
          </cell>
          <cell r="B703" t="str">
            <v>室外电脑板-CEM-3---</v>
          </cell>
        </row>
        <row r="704">
          <cell r="A704" t="str">
            <v>0011800410AR</v>
          </cell>
          <cell r="B704" t="str">
            <v>室外电脑板-CEM-3---</v>
          </cell>
        </row>
        <row r="705">
          <cell r="A705" t="str">
            <v>0011800410AS</v>
          </cell>
          <cell r="B705" t="str">
            <v>室外电脑板-CEM-3---</v>
          </cell>
        </row>
        <row r="706">
          <cell r="A706" t="str">
            <v>0011800410B</v>
          </cell>
          <cell r="B706" t="str">
            <v>室外电脑板-CEM-1新2P全球统一室外电脑板低</v>
          </cell>
        </row>
        <row r="707">
          <cell r="A707" t="str">
            <v>0011800410BC</v>
          </cell>
          <cell r="B707" t="str">
            <v>室外电脑板-CEM-3</v>
          </cell>
        </row>
        <row r="708">
          <cell r="A708" t="str">
            <v>0011800410C</v>
          </cell>
          <cell r="B708" t="str">
            <v>室外电脑板-CEM-1新3P室外电脑板全球统一程</v>
          </cell>
        </row>
        <row r="709">
          <cell r="A709" t="str">
            <v>0011800410D</v>
          </cell>
          <cell r="B709" t="str">
            <v>室外电脑板-/40N+CAW外机澳洲40N+CAW外机澳</v>
          </cell>
        </row>
        <row r="710">
          <cell r="A710" t="str">
            <v>0011800410E</v>
          </cell>
          <cell r="B710" t="str">
            <v>室外电脑板-/70N+新2P外机70N+新2P外机</v>
          </cell>
        </row>
        <row r="711">
          <cell r="A711" t="str">
            <v>0011800410F</v>
          </cell>
          <cell r="B711" t="str">
            <v>室外电脑板-CEM-1</v>
          </cell>
        </row>
        <row r="712">
          <cell r="A712" t="str">
            <v>0011800410G</v>
          </cell>
          <cell r="B712" t="str">
            <v>室外电脑板-CEM-1</v>
          </cell>
        </row>
        <row r="713">
          <cell r="A713" t="str">
            <v>0011800410H</v>
          </cell>
          <cell r="B713" t="str">
            <v>室外电脑板-CEM-3</v>
          </cell>
        </row>
        <row r="714">
          <cell r="A714" t="str">
            <v>0011800410J</v>
          </cell>
          <cell r="B714" t="str">
            <v>室外电脑板-CEM-3</v>
          </cell>
        </row>
        <row r="715">
          <cell r="A715" t="str">
            <v>0011800410K</v>
          </cell>
          <cell r="B715" t="str">
            <v>室外电脑板-CEM-3</v>
          </cell>
        </row>
        <row r="716">
          <cell r="A716" t="str">
            <v>0011800410M</v>
          </cell>
          <cell r="B716" t="str">
            <v>室外电脑板-CEM-3</v>
          </cell>
        </row>
        <row r="717">
          <cell r="A717" t="str">
            <v>0011800410N</v>
          </cell>
          <cell r="B717" t="str">
            <v>室外电脑板-CEM-3</v>
          </cell>
        </row>
        <row r="718">
          <cell r="A718" t="str">
            <v>0011800410P</v>
          </cell>
          <cell r="B718" t="str">
            <v>室外电脑板-/低待机新2P低待机新2P</v>
          </cell>
        </row>
        <row r="719">
          <cell r="A719" t="str">
            <v>0011800410Q</v>
          </cell>
          <cell r="B719" t="str">
            <v>室外电脑板-CEM-3</v>
          </cell>
        </row>
        <row r="720">
          <cell r="A720" t="str">
            <v>0011800410R</v>
          </cell>
          <cell r="B720" t="str">
            <v>室外电脑板-CEM-3</v>
          </cell>
        </row>
        <row r="721">
          <cell r="A721" t="str">
            <v>0011800410U</v>
          </cell>
          <cell r="B721" t="str">
            <v>室外电脑板-通用12澳洲低待机</v>
          </cell>
        </row>
        <row r="722">
          <cell r="A722" t="str">
            <v>0011800410W</v>
          </cell>
          <cell r="B722" t="str">
            <v>室外电脑板-/</v>
          </cell>
        </row>
        <row r="723">
          <cell r="A723" t="str">
            <v>0011800410X</v>
          </cell>
          <cell r="B723" t="str">
            <v>室外电脑板-通用台湾低待机N系列09K更改参数出台湾</v>
          </cell>
        </row>
        <row r="724">
          <cell r="A724" t="str">
            <v>0011800410Y</v>
          </cell>
          <cell r="B724" t="str">
            <v>室外电脑板-通用N系列台湾低待机410A更改参</v>
          </cell>
        </row>
        <row r="725">
          <cell r="A725" t="str">
            <v>0011800410Z</v>
          </cell>
          <cell r="B725" t="str">
            <v>变频外电脑板-通用N系列台湾18K在410B基础上更改参数</v>
          </cell>
        </row>
        <row r="726">
          <cell r="A726" t="str">
            <v>0011800417</v>
          </cell>
          <cell r="B726" t="str">
            <v>室内电脑板-CEM-1</v>
          </cell>
        </row>
        <row r="727">
          <cell r="A727" t="str">
            <v>0011800417B</v>
          </cell>
          <cell r="B727" t="str">
            <v>室内电脑板-CEM-1</v>
          </cell>
        </row>
        <row r="728">
          <cell r="A728" t="str">
            <v>0011800417C</v>
          </cell>
          <cell r="B728" t="str">
            <v>室内电脑板-CEM-1</v>
          </cell>
        </row>
        <row r="729">
          <cell r="A729" t="str">
            <v>0011800417D</v>
          </cell>
          <cell r="B729" t="str">
            <v>室内电脑板-/09-12美国低待机09-12N系列美国低待机</v>
          </cell>
        </row>
        <row r="730">
          <cell r="A730" t="str">
            <v>0011800417E</v>
          </cell>
          <cell r="B730" t="str">
            <v>室内电脑板-/澳洲T低待机澳洲T低待机</v>
          </cell>
        </row>
        <row r="731">
          <cell r="A731" t="str">
            <v>0011800417F</v>
          </cell>
          <cell r="B731" t="str">
            <v>室内电脑板-CEM-1---</v>
          </cell>
        </row>
        <row r="732">
          <cell r="A732" t="str">
            <v>0011800417J</v>
          </cell>
          <cell r="B732" t="str">
            <v>室内电脑板-通用台湾低待机417基础上更改参</v>
          </cell>
        </row>
        <row r="733">
          <cell r="A733" t="str">
            <v>0011800417L</v>
          </cell>
          <cell r="B733" t="str">
            <v>室内电脑板-CEM-1</v>
          </cell>
        </row>
        <row r="734">
          <cell r="A734" t="str">
            <v>0011800420</v>
          </cell>
          <cell r="B734" t="str">
            <v>室内电脑板-CEM-1</v>
          </cell>
        </row>
        <row r="735">
          <cell r="A735" t="str">
            <v>0011800421</v>
          </cell>
          <cell r="B735" t="str">
            <v>室内电脑板-CEM-1</v>
          </cell>
        </row>
        <row r="736">
          <cell r="A736" t="str">
            <v>0011800421A</v>
          </cell>
          <cell r="B736" t="str">
            <v>室内电脑板-CEM-1</v>
          </cell>
        </row>
        <row r="737">
          <cell r="A737" t="str">
            <v>0011800421A</v>
          </cell>
          <cell r="B737" t="str">
            <v>室内电脑板-CEM-1</v>
          </cell>
        </row>
        <row r="738">
          <cell r="A738" t="str">
            <v>0011800421B</v>
          </cell>
          <cell r="B738" t="str">
            <v>室内电脑板-CEM-1</v>
          </cell>
        </row>
        <row r="739">
          <cell r="A739" t="str">
            <v>0011800421C</v>
          </cell>
          <cell r="B739" t="str">
            <v>室内电脑板-CEM-1</v>
          </cell>
        </row>
        <row r="740">
          <cell r="A740" t="str">
            <v>0011800438</v>
          </cell>
          <cell r="B740" t="str">
            <v>室外模块驱动板-FR-4</v>
          </cell>
        </row>
        <row r="741">
          <cell r="A741" t="str">
            <v>0011800438D</v>
          </cell>
          <cell r="B741" t="str">
            <v>室外模块驱动板-FR-4</v>
          </cell>
        </row>
        <row r="742">
          <cell r="A742" t="str">
            <v>0011800459</v>
          </cell>
          <cell r="B742" t="str">
            <v>室内电脑板-FR-4</v>
          </cell>
        </row>
        <row r="743">
          <cell r="A743" t="str">
            <v>0011800459A</v>
          </cell>
          <cell r="B743" t="str">
            <v>室内电脑板-FR-4---</v>
          </cell>
        </row>
        <row r="744">
          <cell r="A744" t="str">
            <v>0011800488</v>
          </cell>
          <cell r="B744" t="str">
            <v>显示面板-FR-4茉莉白HPWH-1305</v>
          </cell>
        </row>
        <row r="745">
          <cell r="A745" t="str">
            <v>0011800490</v>
          </cell>
          <cell r="B745" t="str">
            <v>室内电脑板-CEM-1</v>
          </cell>
        </row>
        <row r="746">
          <cell r="A746" t="str">
            <v>0011800490A</v>
          </cell>
          <cell r="B746" t="str">
            <v>室内电脑板-CEM-3</v>
          </cell>
        </row>
        <row r="747">
          <cell r="A747" t="str">
            <v>0011800490C</v>
          </cell>
          <cell r="B747" t="str">
            <v>室内电脑板-CEM-1</v>
          </cell>
        </row>
        <row r="748">
          <cell r="A748" t="str">
            <v>0011800491</v>
          </cell>
          <cell r="B748" t="str">
            <v>室内电脑板-CEM-1</v>
          </cell>
        </row>
        <row r="749">
          <cell r="A749" t="str">
            <v>0011800491A</v>
          </cell>
          <cell r="B749" t="str">
            <v>室内电脑板-CEM-1---</v>
          </cell>
        </row>
        <row r="750">
          <cell r="A750" t="str">
            <v>0011800491B</v>
          </cell>
          <cell r="B750" t="str">
            <v>室内电脑板-CEM-1</v>
          </cell>
        </row>
        <row r="751">
          <cell r="A751" t="str">
            <v>0011800491C</v>
          </cell>
          <cell r="B751" t="str">
            <v>室内电脑板-CEM-1</v>
          </cell>
        </row>
        <row r="752">
          <cell r="A752" t="str">
            <v>0011800491D</v>
          </cell>
          <cell r="B752" t="str">
            <v>室内电脑板-CEM-1</v>
          </cell>
        </row>
        <row r="753">
          <cell r="A753" t="str">
            <v>0011800491F</v>
          </cell>
          <cell r="B753" t="str">
            <v>室内电脑板-CEM-1</v>
          </cell>
        </row>
        <row r="754">
          <cell r="A754" t="str">
            <v>0011800491H</v>
          </cell>
          <cell r="B754" t="str">
            <v>室内电脑板-CEM-1</v>
          </cell>
        </row>
        <row r="755">
          <cell r="A755" t="str">
            <v>0011800491J</v>
          </cell>
          <cell r="B755" t="str">
            <v>室内电脑板-CEM-1</v>
          </cell>
        </row>
        <row r="756">
          <cell r="A756" t="str">
            <v>0011800491K</v>
          </cell>
          <cell r="B756" t="str">
            <v>室内电脑板-CEM-1</v>
          </cell>
        </row>
        <row r="757">
          <cell r="A757" t="str">
            <v>0011800491M</v>
          </cell>
          <cell r="B757" t="str">
            <v>室内电脑板-CEM-1</v>
          </cell>
        </row>
        <row r="758">
          <cell r="A758" t="str">
            <v>0011800491N</v>
          </cell>
          <cell r="B758" t="str">
            <v>室内电脑板-CEM-1</v>
          </cell>
        </row>
        <row r="759">
          <cell r="A759" t="str">
            <v>0011800491P</v>
          </cell>
          <cell r="B759" t="str">
            <v>室内电脑板-CEM-1</v>
          </cell>
        </row>
        <row r="760">
          <cell r="A760" t="str">
            <v>0011800491Q</v>
          </cell>
          <cell r="B760" t="str">
            <v>室内电脑板-CEM-1</v>
          </cell>
        </row>
        <row r="761">
          <cell r="A761" t="str">
            <v>0011800491R</v>
          </cell>
          <cell r="B761" t="str">
            <v>室内电脑板-CEM-1</v>
          </cell>
        </row>
        <row r="762">
          <cell r="A762" t="str">
            <v>0011800491R</v>
          </cell>
          <cell r="B762" t="str">
            <v>室内电脑板-CEM-1</v>
          </cell>
        </row>
        <row r="763">
          <cell r="A763" t="str">
            <v>0011800491S</v>
          </cell>
          <cell r="B763" t="str">
            <v>室内电脑板-CEM-1</v>
          </cell>
        </row>
        <row r="764">
          <cell r="A764" t="str">
            <v>0011800492</v>
          </cell>
          <cell r="B764" t="str">
            <v>室内电脑板-CEM-1</v>
          </cell>
        </row>
        <row r="765">
          <cell r="A765" t="str">
            <v>0011800492B</v>
          </cell>
          <cell r="B765" t="str">
            <v>室内电脑板-CEM-3</v>
          </cell>
        </row>
        <row r="766">
          <cell r="A766" t="str">
            <v>0011800492C</v>
          </cell>
          <cell r="B766" t="str">
            <v>室内电脑板-CEM-1</v>
          </cell>
        </row>
        <row r="767">
          <cell r="A767" t="str">
            <v>0011800492D</v>
          </cell>
          <cell r="B767" t="str">
            <v>室内电脑板-CEM-1</v>
          </cell>
        </row>
        <row r="768">
          <cell r="A768" t="str">
            <v>0011800498</v>
          </cell>
          <cell r="B768" t="str">
            <v>显示面板-CEM-1</v>
          </cell>
        </row>
        <row r="769">
          <cell r="A769" t="str">
            <v>0011800498A</v>
          </cell>
          <cell r="B769" t="str">
            <v>显示面板-CEM-1</v>
          </cell>
        </row>
        <row r="770">
          <cell r="A770" t="str">
            <v>0011800498B</v>
          </cell>
          <cell r="B770" t="str">
            <v>显示面板-CEM-1</v>
          </cell>
        </row>
        <row r="771">
          <cell r="A771" t="str">
            <v>0011800510A</v>
          </cell>
          <cell r="B771" t="str">
            <v>室外电脑板-/低待机,dred,209尺寸低待机,dr</v>
          </cell>
        </row>
        <row r="772">
          <cell r="A772" t="str">
            <v>0011800510C</v>
          </cell>
          <cell r="B772" t="str">
            <v>室外电脑板-CEM-3</v>
          </cell>
        </row>
        <row r="773">
          <cell r="A773" t="str">
            <v>0011800510CA</v>
          </cell>
          <cell r="B773" t="str">
            <v>室外电脑板-CEM-3---</v>
          </cell>
        </row>
        <row r="774">
          <cell r="A774" t="str">
            <v>0011800510D</v>
          </cell>
          <cell r="B774" t="str">
            <v>室外电脑板-CEM-3</v>
          </cell>
        </row>
        <row r="775">
          <cell r="A775" t="str">
            <v>0011800510F</v>
          </cell>
          <cell r="B775" t="str">
            <v>室外电脑板-CEM-3</v>
          </cell>
        </row>
        <row r="776">
          <cell r="A776" t="str">
            <v>0011800510FA</v>
          </cell>
          <cell r="B776" t="str">
            <v>室外电脑板-CEM-3---</v>
          </cell>
        </row>
        <row r="777">
          <cell r="A777" t="str">
            <v>0011800511A</v>
          </cell>
          <cell r="B777" t="str">
            <v>室内电脑板-CEM-3---</v>
          </cell>
        </row>
        <row r="778">
          <cell r="A778" t="str">
            <v>0011800511C</v>
          </cell>
          <cell r="B778" t="str">
            <v>室内电脑板-CEM-3</v>
          </cell>
        </row>
        <row r="779">
          <cell r="A779" t="str">
            <v>0011800514A</v>
          </cell>
          <cell r="B779" t="str">
            <v>室内电脑板-CEM-1</v>
          </cell>
        </row>
        <row r="780">
          <cell r="A780" t="str">
            <v>0011800514C</v>
          </cell>
          <cell r="B780" t="str">
            <v>室内电脑板-CEM-1</v>
          </cell>
        </row>
        <row r="781">
          <cell r="A781" t="str">
            <v>0011800515A</v>
          </cell>
          <cell r="B781" t="str">
            <v>室内电脑板-CEM-1</v>
          </cell>
        </row>
        <row r="782">
          <cell r="A782" t="str">
            <v>0011800524</v>
          </cell>
          <cell r="B782" t="str">
            <v>室外电脑板-CEM-3</v>
          </cell>
        </row>
        <row r="783">
          <cell r="A783" t="str">
            <v>0011800524A</v>
          </cell>
          <cell r="B783" t="str">
            <v>室外电脑板-CEM-3</v>
          </cell>
        </row>
        <row r="784">
          <cell r="A784" t="str">
            <v>0011800537</v>
          </cell>
          <cell r="B784" t="str">
            <v>室内电脑板-CEM-1</v>
          </cell>
        </row>
        <row r="785">
          <cell r="A785" t="str">
            <v>0011800537</v>
          </cell>
          <cell r="B785" t="str">
            <v>室内电脑板-CEM-1</v>
          </cell>
        </row>
        <row r="786">
          <cell r="A786" t="str">
            <v>0011800537A</v>
          </cell>
          <cell r="B786" t="str">
            <v>室内电脑板-CEM-1</v>
          </cell>
        </row>
        <row r="787">
          <cell r="A787" t="str">
            <v>0011800537A</v>
          </cell>
          <cell r="B787" t="str">
            <v>室内电脑板-CEM-1</v>
          </cell>
        </row>
        <row r="788">
          <cell r="A788" t="str">
            <v>0011800537B</v>
          </cell>
          <cell r="B788" t="str">
            <v>室内电脑板-CEM-1</v>
          </cell>
        </row>
        <row r="789">
          <cell r="A789" t="str">
            <v>0011800537B</v>
          </cell>
          <cell r="B789" t="str">
            <v>室内电脑板-CEM-1</v>
          </cell>
        </row>
        <row r="790">
          <cell r="A790" t="str">
            <v>0011800537C</v>
          </cell>
          <cell r="B790" t="str">
            <v>室内电脑板-CEM-1</v>
          </cell>
        </row>
        <row r="791">
          <cell r="A791" t="str">
            <v>0011800537C</v>
          </cell>
          <cell r="B791" t="str">
            <v>室内电脑板-CEM-1</v>
          </cell>
        </row>
        <row r="792">
          <cell r="A792" t="str">
            <v>0011800537E</v>
          </cell>
          <cell r="B792" t="str">
            <v>室内电脑板-CEM-1</v>
          </cell>
        </row>
        <row r="793">
          <cell r="A793" t="str">
            <v>0011800537E</v>
          </cell>
          <cell r="B793" t="str">
            <v>室内电脑板-CEM-1</v>
          </cell>
        </row>
        <row r="794">
          <cell r="A794" t="str">
            <v>0011800537F</v>
          </cell>
          <cell r="B794" t="str">
            <v>室内电脑板-CEM-1</v>
          </cell>
        </row>
        <row r="795">
          <cell r="A795" t="str">
            <v>0011800537F</v>
          </cell>
          <cell r="B795" t="str">
            <v>室内电脑板-CEM-1</v>
          </cell>
        </row>
        <row r="796">
          <cell r="A796" t="str">
            <v>0011800537H</v>
          </cell>
          <cell r="B796" t="str">
            <v>室内电脑板-CEM-1</v>
          </cell>
        </row>
        <row r="797">
          <cell r="A797" t="str">
            <v>0011800537H</v>
          </cell>
          <cell r="B797" t="str">
            <v>室内电脑板-CEM-1</v>
          </cell>
        </row>
        <row r="798">
          <cell r="A798" t="str">
            <v>0011800537J</v>
          </cell>
          <cell r="B798" t="str">
            <v>室内电脑板-CEM-1</v>
          </cell>
        </row>
        <row r="799">
          <cell r="A799" t="str">
            <v>0011800537J</v>
          </cell>
          <cell r="B799" t="str">
            <v>室内电脑板-CEM-1</v>
          </cell>
        </row>
        <row r="800">
          <cell r="A800" t="str">
            <v>0011800537K</v>
          </cell>
          <cell r="B800" t="str">
            <v>室内电脑板-CEM-1</v>
          </cell>
        </row>
        <row r="801">
          <cell r="A801" t="str">
            <v>0011800537K</v>
          </cell>
          <cell r="B801" t="str">
            <v>室内电脑板-CEM-1</v>
          </cell>
        </row>
        <row r="802">
          <cell r="A802" t="str">
            <v>0011800539</v>
          </cell>
          <cell r="B802" t="str">
            <v>室外模块驱动板-FR-4</v>
          </cell>
        </row>
        <row r="803">
          <cell r="A803" t="str">
            <v>0011800540</v>
          </cell>
          <cell r="B803" t="str">
            <v>室外模块驱动板-FR-430A售后通用模块板</v>
          </cell>
        </row>
        <row r="804">
          <cell r="A804" t="str">
            <v>0011800540</v>
          </cell>
          <cell r="B804" t="str">
            <v>室外模块驱动板-FR-430A售后通用模块板</v>
          </cell>
        </row>
        <row r="805">
          <cell r="A805" t="str">
            <v>0011800543</v>
          </cell>
          <cell r="B805" t="str">
            <v>室内电脑板-CEM-1</v>
          </cell>
        </row>
        <row r="806">
          <cell r="A806" t="str">
            <v>0011800543A</v>
          </cell>
          <cell r="B806" t="str">
            <v>室内电脑板-/---</v>
          </cell>
        </row>
        <row r="807">
          <cell r="A807" t="str">
            <v>0011800560</v>
          </cell>
          <cell r="B807" t="str">
            <v>室内电脑板-CEM-1</v>
          </cell>
        </row>
        <row r="808">
          <cell r="A808" t="str">
            <v>0011800562</v>
          </cell>
          <cell r="B808" t="str">
            <v>室内电脑板-CEM-1</v>
          </cell>
        </row>
        <row r="809">
          <cell r="A809" t="str">
            <v>0011800562C</v>
          </cell>
          <cell r="B809" t="str">
            <v>室内电脑板-/</v>
          </cell>
        </row>
        <row r="810">
          <cell r="A810" t="str">
            <v>0011800562F</v>
          </cell>
          <cell r="B810" t="str">
            <v>室内电脑板-CEM-1</v>
          </cell>
        </row>
        <row r="811">
          <cell r="A811" t="str">
            <v>0011800562FL</v>
          </cell>
          <cell r="B811" t="str">
            <v>室内电脑板-CEM-1CEM-1&lt;CEM-1&gt;</v>
          </cell>
        </row>
        <row r="812">
          <cell r="A812" t="str">
            <v>0011800562K</v>
          </cell>
          <cell r="B812" t="str">
            <v>室内电脑板-/室内电脑板</v>
          </cell>
        </row>
        <row r="813">
          <cell r="A813" t="str">
            <v>0011800562K</v>
          </cell>
          <cell r="B813" t="str">
            <v>室内电脑板-/室内电脑板</v>
          </cell>
        </row>
        <row r="814">
          <cell r="A814" t="str">
            <v>0011800562L</v>
          </cell>
          <cell r="B814" t="str">
            <v>室内电脑板-CEM-1CEM-1&lt;CEM-1&gt;</v>
          </cell>
        </row>
        <row r="815">
          <cell r="A815" t="str">
            <v>0011800562L</v>
          </cell>
          <cell r="B815" t="str">
            <v>室内电脑板-CEM-1CEM-1&lt;CEM-1&gt;</v>
          </cell>
        </row>
        <row r="816">
          <cell r="A816" t="str">
            <v>0011800569</v>
          </cell>
          <cell r="B816" t="str">
            <v>室外模块驱动板-FR-4</v>
          </cell>
        </row>
        <row r="817">
          <cell r="A817" t="str">
            <v>0011800571TL</v>
          </cell>
          <cell r="B817" t="str">
            <v>语音模块</v>
          </cell>
        </row>
        <row r="818">
          <cell r="A818" t="str">
            <v>0011800571TM</v>
          </cell>
          <cell r="B818" t="str">
            <v>语音模块</v>
          </cell>
        </row>
        <row r="819">
          <cell r="A819" t="str">
            <v>0011800571TN</v>
          </cell>
          <cell r="B819" t="str">
            <v>语音模块</v>
          </cell>
        </row>
        <row r="820">
          <cell r="A820" t="str">
            <v>0011800575</v>
          </cell>
          <cell r="B820" t="str">
            <v>室内电脑板-CEM-1</v>
          </cell>
        </row>
        <row r="821">
          <cell r="A821" t="str">
            <v>0011800575A</v>
          </cell>
          <cell r="B821" t="str">
            <v>室内电脑板-CEM-1</v>
          </cell>
        </row>
        <row r="822">
          <cell r="A822" t="str">
            <v>0011800575B</v>
          </cell>
          <cell r="B822" t="str">
            <v>室内电脑板-CEM-1</v>
          </cell>
        </row>
        <row r="823">
          <cell r="A823" t="str">
            <v>0011800576</v>
          </cell>
          <cell r="B823" t="str">
            <v>室内电脑板-/</v>
          </cell>
        </row>
        <row r="824">
          <cell r="A824" t="str">
            <v>0011800576A</v>
          </cell>
          <cell r="B824" t="str">
            <v>室内电脑板-CEM-1</v>
          </cell>
        </row>
        <row r="825">
          <cell r="A825" t="str">
            <v>0011800576B</v>
          </cell>
          <cell r="B825" t="str">
            <v>室内电脑板-CEM-1</v>
          </cell>
        </row>
        <row r="826">
          <cell r="A826" t="str">
            <v>0011800577</v>
          </cell>
          <cell r="B826" t="str">
            <v>室内电脑板-/</v>
          </cell>
        </row>
        <row r="827">
          <cell r="A827" t="str">
            <v>0011800577A</v>
          </cell>
          <cell r="B827" t="str">
            <v>室内电脑板-CEM-1</v>
          </cell>
        </row>
        <row r="828">
          <cell r="A828" t="str">
            <v>0011800578</v>
          </cell>
          <cell r="B828" t="str">
            <v>室内电脑板-CEM-1</v>
          </cell>
        </row>
        <row r="829">
          <cell r="A829" t="str">
            <v>0011800578A</v>
          </cell>
          <cell r="B829" t="str">
            <v>室内电脑板-CEM-1</v>
          </cell>
        </row>
        <row r="830">
          <cell r="A830" t="str">
            <v>0011800578B</v>
          </cell>
          <cell r="B830" t="str">
            <v>室内电脑板-CEM-1</v>
          </cell>
        </row>
        <row r="831">
          <cell r="A831" t="str">
            <v>0011800580</v>
          </cell>
          <cell r="B831" t="str">
            <v>室内电脑板-CEM-1</v>
          </cell>
        </row>
        <row r="832">
          <cell r="A832" t="str">
            <v>0011800580B</v>
          </cell>
          <cell r="B832" t="str">
            <v>室内电脑板-CEM-1</v>
          </cell>
        </row>
        <row r="833">
          <cell r="A833" t="str">
            <v>0011800587</v>
          </cell>
          <cell r="B833" t="str">
            <v>室内电脑板-CEM-1</v>
          </cell>
        </row>
        <row r="834">
          <cell r="A834" t="str">
            <v>0011800587A</v>
          </cell>
          <cell r="B834" t="str">
            <v>室内电脑板-CEM-1</v>
          </cell>
        </row>
        <row r="835">
          <cell r="A835" t="str">
            <v>0011800587B</v>
          </cell>
          <cell r="B835" t="str">
            <v>室内电脑板-/---</v>
          </cell>
        </row>
        <row r="836">
          <cell r="A836" t="str">
            <v>0011800587E</v>
          </cell>
          <cell r="B836" t="str">
            <v>室内电脑板-CEM-1---</v>
          </cell>
        </row>
        <row r="837">
          <cell r="A837" t="str">
            <v>0011800587F</v>
          </cell>
          <cell r="B837" t="str">
            <v>室内电脑板-CEM-1</v>
          </cell>
        </row>
        <row r="838">
          <cell r="A838" t="str">
            <v>0011800587G</v>
          </cell>
          <cell r="B838" t="str">
            <v>室内电脑板-CEM-1</v>
          </cell>
        </row>
        <row r="839">
          <cell r="A839" t="str">
            <v>0011800587H</v>
          </cell>
          <cell r="B839" t="str">
            <v>室内电脑板-CEM-1室内定频电脑板105mm*208mm开关电源-</v>
          </cell>
        </row>
        <row r="840">
          <cell r="A840" t="str">
            <v>0011800589C</v>
          </cell>
          <cell r="B840" t="str">
            <v>室外模块驱动板-/</v>
          </cell>
        </row>
        <row r="841">
          <cell r="A841" t="str">
            <v>0011800589F</v>
          </cell>
          <cell r="B841" t="str">
            <v>室外模块驱动板-FR-4</v>
          </cell>
        </row>
        <row r="842">
          <cell r="A842" t="str">
            <v>0011800589FL</v>
          </cell>
          <cell r="B842" t="str">
            <v>室外模块驱动板-//</v>
          </cell>
        </row>
        <row r="843">
          <cell r="A843" t="str">
            <v>0011800590</v>
          </cell>
          <cell r="B843" t="str">
            <v>室外电脑板-/</v>
          </cell>
        </row>
        <row r="844">
          <cell r="A844" t="str">
            <v>0011800590A</v>
          </cell>
          <cell r="B844" t="str">
            <v>室外电脑板-/</v>
          </cell>
        </row>
        <row r="845">
          <cell r="A845" t="str">
            <v>0011800590B</v>
          </cell>
          <cell r="B845" t="str">
            <v>室外电脑板-CEM-1---</v>
          </cell>
        </row>
        <row r="846">
          <cell r="A846" t="str">
            <v>0011800593</v>
          </cell>
          <cell r="B846" t="str">
            <v>室内电脑板-CEM-3F系列新开海外项目室内电脑板</v>
          </cell>
        </row>
        <row r="847">
          <cell r="A847" t="str">
            <v>0011800593A</v>
          </cell>
          <cell r="B847" t="str">
            <v>室内电脑板-CEM-3F系列新开海外项目室内电脑板</v>
          </cell>
        </row>
        <row r="848">
          <cell r="A848" t="str">
            <v>0011800593B</v>
          </cell>
          <cell r="B848" t="str">
            <v>室内电脑板-FR-4</v>
          </cell>
        </row>
        <row r="849">
          <cell r="A849" t="str">
            <v>0011800593D</v>
          </cell>
          <cell r="B849" t="str">
            <v>室内电脑板-CEM-3F系列新开海外项目室内电脑板</v>
          </cell>
        </row>
        <row r="850">
          <cell r="A850" t="str">
            <v>0011800594</v>
          </cell>
          <cell r="B850" t="str">
            <v>室内电脑板-FR-4165*136</v>
          </cell>
        </row>
        <row r="851">
          <cell r="A851" t="str">
            <v>0011800594C</v>
          </cell>
          <cell r="B851" t="str">
            <v>室内电脑板-CEM-1</v>
          </cell>
        </row>
        <row r="852">
          <cell r="A852" t="str">
            <v>0011800594E</v>
          </cell>
          <cell r="B852" t="str">
            <v>室内电脑板-FR-4165*136</v>
          </cell>
        </row>
        <row r="853">
          <cell r="A853" t="str">
            <v>0011800594G</v>
          </cell>
          <cell r="B853" t="str">
            <v>室内电脑板-FR-4</v>
          </cell>
        </row>
        <row r="854">
          <cell r="A854" t="str">
            <v>0011800594G</v>
          </cell>
          <cell r="B854" t="str">
            <v>室内电脑板-FR-4</v>
          </cell>
        </row>
        <row r="855">
          <cell r="A855" t="str">
            <v>0011800601</v>
          </cell>
          <cell r="B855" t="str">
            <v>室内电脑板-CEM-1</v>
          </cell>
        </row>
        <row r="856">
          <cell r="A856" t="str">
            <v>0011800607R</v>
          </cell>
          <cell r="B856" t="str">
            <v>显示板-LED/</v>
          </cell>
        </row>
        <row r="857">
          <cell r="A857" t="str">
            <v>0011800610</v>
          </cell>
          <cell r="B857" t="str">
            <v>室内电脑板-CEM-3</v>
          </cell>
        </row>
        <row r="858">
          <cell r="A858" t="str">
            <v>0011800610B</v>
          </cell>
          <cell r="B858" t="str">
            <v>室内电脑板-CEM-3电脑板</v>
          </cell>
        </row>
        <row r="859">
          <cell r="A859" t="str">
            <v>0011800610C</v>
          </cell>
          <cell r="B859" t="str">
            <v>室内电脑板-CEM-1电脑板</v>
          </cell>
        </row>
        <row r="860">
          <cell r="A860" t="str">
            <v>0011800612</v>
          </cell>
          <cell r="B860" t="str">
            <v>室内电脑板-CEM-1</v>
          </cell>
        </row>
        <row r="861">
          <cell r="A861" t="str">
            <v>0011800612A</v>
          </cell>
          <cell r="B861" t="str">
            <v>室内电脑板-CEM-1---</v>
          </cell>
        </row>
        <row r="862">
          <cell r="A862" t="str">
            <v>0011800612AA</v>
          </cell>
          <cell r="B862" t="str">
            <v>室内电脑板-CEM-1/</v>
          </cell>
        </row>
        <row r="863">
          <cell r="A863" t="str">
            <v>0011800612AB</v>
          </cell>
          <cell r="B863" t="str">
            <v>室内电脑板-CEM-1\\</v>
          </cell>
        </row>
        <row r="864">
          <cell r="A864" t="str">
            <v>0011800612AB</v>
          </cell>
          <cell r="B864" t="str">
            <v>室内电脑板-CEM-1\\</v>
          </cell>
        </row>
        <row r="865">
          <cell r="A865" t="str">
            <v>0011800612AC</v>
          </cell>
          <cell r="B865" t="str">
            <v>室内电脑板-CEM-1\</v>
          </cell>
        </row>
        <row r="866">
          <cell r="A866" t="str">
            <v>0011800612B</v>
          </cell>
          <cell r="B866" t="str">
            <v>室内电脑板-CEM-1</v>
          </cell>
        </row>
        <row r="867">
          <cell r="A867" t="str">
            <v>0011800612C</v>
          </cell>
          <cell r="B867" t="str">
            <v>室内电脑板-CEM-1</v>
          </cell>
        </row>
        <row r="868">
          <cell r="A868" t="str">
            <v>0011800612C</v>
          </cell>
          <cell r="B868" t="str">
            <v>室内电脑板-CEM-1</v>
          </cell>
        </row>
        <row r="869">
          <cell r="A869" t="str">
            <v>0011800612D</v>
          </cell>
          <cell r="B869" t="str">
            <v>室内电脑板-CEM-1</v>
          </cell>
        </row>
        <row r="870">
          <cell r="A870" t="str">
            <v>0011800612D</v>
          </cell>
          <cell r="B870" t="str">
            <v>室内电脑板-CEM-1</v>
          </cell>
        </row>
        <row r="871">
          <cell r="A871" t="str">
            <v>0011800612E</v>
          </cell>
          <cell r="B871" t="str">
            <v>室内电脑板-CEM-1</v>
          </cell>
        </row>
        <row r="872">
          <cell r="A872" t="str">
            <v>0011800612E</v>
          </cell>
          <cell r="B872" t="str">
            <v>室内电脑板-CEM-1</v>
          </cell>
        </row>
        <row r="873">
          <cell r="A873" t="str">
            <v>0011800612F</v>
          </cell>
          <cell r="B873" t="str">
            <v>室内电脑板-CEM-1</v>
          </cell>
        </row>
        <row r="874">
          <cell r="A874" t="str">
            <v>0011800612F</v>
          </cell>
          <cell r="B874" t="str">
            <v>室内电脑板-CEM-1</v>
          </cell>
        </row>
        <row r="875">
          <cell r="A875" t="str">
            <v>0011800612H</v>
          </cell>
          <cell r="B875" t="str">
            <v>室内电脑板-/---</v>
          </cell>
        </row>
        <row r="876">
          <cell r="A876" t="str">
            <v>0011800612H</v>
          </cell>
          <cell r="B876" t="str">
            <v>室内电脑板-/---</v>
          </cell>
        </row>
        <row r="877">
          <cell r="A877" t="str">
            <v>0011800612K</v>
          </cell>
          <cell r="B877" t="str">
            <v>电脑板-CEM-1\0011800612K共享空调-</v>
          </cell>
        </row>
        <row r="878">
          <cell r="A878" t="str">
            <v>0011800612L</v>
          </cell>
          <cell r="B878" t="str">
            <v>室内电脑板-CEM-1\</v>
          </cell>
        </row>
        <row r="879">
          <cell r="A879" t="str">
            <v>0011800612M</v>
          </cell>
          <cell r="B879" t="str">
            <v>室内电脑板-CEM-1</v>
          </cell>
        </row>
        <row r="880">
          <cell r="A880" t="str">
            <v>0011800612P</v>
          </cell>
          <cell r="B880" t="str">
            <v>室内电脑板-CEM-1---</v>
          </cell>
        </row>
        <row r="881">
          <cell r="A881" t="str">
            <v>0011800612P</v>
          </cell>
          <cell r="B881" t="str">
            <v>室内电脑板-CEM-1---</v>
          </cell>
        </row>
        <row r="882">
          <cell r="A882" t="str">
            <v>0011800612Q</v>
          </cell>
          <cell r="B882" t="str">
            <v>室内电脑板-CEM-1</v>
          </cell>
        </row>
        <row r="883">
          <cell r="A883" t="str">
            <v>0011800612Q</v>
          </cell>
          <cell r="B883" t="str">
            <v>室内电脑板-CEM-1</v>
          </cell>
        </row>
        <row r="884">
          <cell r="A884" t="str">
            <v>0011800612R</v>
          </cell>
          <cell r="B884" t="str">
            <v>室内电脑板-/---</v>
          </cell>
        </row>
        <row r="885">
          <cell r="A885" t="str">
            <v>0011800612S</v>
          </cell>
          <cell r="B885" t="str">
            <v>室内电脑板-CEM-1</v>
          </cell>
        </row>
        <row r="886">
          <cell r="A886" t="str">
            <v>0011800612T</v>
          </cell>
          <cell r="B886" t="str">
            <v>室内电脑板-CEM-1</v>
          </cell>
        </row>
        <row r="887">
          <cell r="A887" t="str">
            <v>0011800612T</v>
          </cell>
          <cell r="B887" t="str">
            <v>室内电脑板-CEM-1</v>
          </cell>
        </row>
        <row r="888">
          <cell r="A888" t="str">
            <v>0011800612U</v>
          </cell>
          <cell r="B888" t="str">
            <v>室内电脑板-/</v>
          </cell>
        </row>
        <row r="889">
          <cell r="A889" t="str">
            <v>0011800612V</v>
          </cell>
          <cell r="B889" t="str">
            <v>室内电脑板-/</v>
          </cell>
        </row>
        <row r="890">
          <cell r="A890" t="str">
            <v>0011800612V</v>
          </cell>
          <cell r="B890" t="str">
            <v>室内电脑板-/</v>
          </cell>
        </row>
        <row r="891">
          <cell r="A891" t="str">
            <v>0011800612W</v>
          </cell>
          <cell r="B891" t="str">
            <v>室内电脑板-CEM-1\</v>
          </cell>
        </row>
        <row r="892">
          <cell r="A892" t="str">
            <v>0011800612W</v>
          </cell>
          <cell r="B892" t="str">
            <v>室内电脑板-CEM-1\</v>
          </cell>
        </row>
        <row r="893">
          <cell r="A893" t="str">
            <v>0011800612X</v>
          </cell>
          <cell r="B893" t="str">
            <v>室内电脑板-CEM-1\\</v>
          </cell>
        </row>
        <row r="894">
          <cell r="A894" t="str">
            <v>0011800612Y</v>
          </cell>
          <cell r="B894" t="str">
            <v>室内电脑板-CEM-1\--</v>
          </cell>
        </row>
        <row r="895">
          <cell r="A895" t="str">
            <v>0011800612Y</v>
          </cell>
          <cell r="B895" t="str">
            <v>室内电脑板-CEM-1\--</v>
          </cell>
        </row>
        <row r="896">
          <cell r="A896" t="str">
            <v>0011800612Z</v>
          </cell>
          <cell r="B896" t="str">
            <v>室内电脑板-CEM-1\--</v>
          </cell>
        </row>
        <row r="897">
          <cell r="A897" t="str">
            <v>0011800612Z</v>
          </cell>
          <cell r="B897" t="str">
            <v>室内电脑板-CEM-1\--</v>
          </cell>
        </row>
        <row r="898">
          <cell r="A898" t="str">
            <v>0011800613</v>
          </cell>
          <cell r="B898" t="str">
            <v>室内电脑板-CEM-1</v>
          </cell>
        </row>
        <row r="899">
          <cell r="A899" t="str">
            <v>0011800613A</v>
          </cell>
          <cell r="B899" t="str">
            <v>室内电脑板-CEM-1</v>
          </cell>
        </row>
        <row r="900">
          <cell r="A900" t="str">
            <v>0011800613B</v>
          </cell>
          <cell r="B900" t="str">
            <v>室内电脑板-CEM-1---</v>
          </cell>
        </row>
        <row r="901">
          <cell r="A901" t="str">
            <v>0011800613C</v>
          </cell>
          <cell r="B901" t="str">
            <v>室内电脑板-CEM-1</v>
          </cell>
        </row>
        <row r="902">
          <cell r="A902" t="str">
            <v>0011800613D</v>
          </cell>
          <cell r="B902" t="str">
            <v>室内电脑板-CEM-1</v>
          </cell>
        </row>
        <row r="903">
          <cell r="A903" t="str">
            <v>0011800613E</v>
          </cell>
          <cell r="B903" t="str">
            <v>室内电脑板-CEM-1</v>
          </cell>
        </row>
        <row r="904">
          <cell r="A904" t="str">
            <v>0011800613F</v>
          </cell>
          <cell r="B904" t="str">
            <v>室内电脑板-CEM-1</v>
          </cell>
        </row>
        <row r="905">
          <cell r="A905" t="str">
            <v>0011800613H</v>
          </cell>
          <cell r="B905" t="str">
            <v>室内电脑板-CEM-1</v>
          </cell>
        </row>
        <row r="906">
          <cell r="A906" t="str">
            <v>0011800613K</v>
          </cell>
          <cell r="B906" t="str">
            <v>室内电脑板-/---</v>
          </cell>
        </row>
        <row r="907">
          <cell r="A907" t="str">
            <v>0011800613L</v>
          </cell>
          <cell r="B907" t="str">
            <v>室内电脑板-//</v>
          </cell>
        </row>
        <row r="908">
          <cell r="A908" t="str">
            <v>0011800613M</v>
          </cell>
          <cell r="B908" t="str">
            <v>室内电脑板-//</v>
          </cell>
        </row>
        <row r="909">
          <cell r="A909" t="str">
            <v>0011800613P</v>
          </cell>
          <cell r="B909" t="str">
            <v>室内电脑板-/CEM-1</v>
          </cell>
        </row>
        <row r="910">
          <cell r="A910" t="str">
            <v>0011800613R</v>
          </cell>
          <cell r="B910" t="str">
            <v>室内电脑板-/</v>
          </cell>
        </row>
        <row r="911">
          <cell r="A911" t="str">
            <v>0011800613S</v>
          </cell>
          <cell r="B911" t="str">
            <v>室内电脑板-/</v>
          </cell>
        </row>
        <row r="912">
          <cell r="A912" t="str">
            <v>0011800613T</v>
          </cell>
          <cell r="B912" t="str">
            <v>室内电脑板-/</v>
          </cell>
        </row>
        <row r="913">
          <cell r="A913" t="str">
            <v>0011800613U</v>
          </cell>
          <cell r="B913" t="str">
            <v>室内电脑板-CEM-1CEM-1泰国共享项目</v>
          </cell>
        </row>
        <row r="914">
          <cell r="A914" t="str">
            <v>0011800613W</v>
          </cell>
          <cell r="B914" t="str">
            <v>室内电脑板-CEM-1</v>
          </cell>
        </row>
        <row r="915">
          <cell r="A915" t="str">
            <v>0011800613W</v>
          </cell>
          <cell r="B915" t="str">
            <v>室内电脑板-CEM-1</v>
          </cell>
        </row>
        <row r="916">
          <cell r="A916" t="str">
            <v>0011800613X</v>
          </cell>
          <cell r="B916" t="str">
            <v>室内电脑板-CEM-1</v>
          </cell>
        </row>
        <row r="917">
          <cell r="A917" t="str">
            <v>0011800613X</v>
          </cell>
          <cell r="B917" t="str">
            <v>室内电脑板-CEM-1</v>
          </cell>
        </row>
        <row r="918">
          <cell r="A918" t="str">
            <v>0011800613Y</v>
          </cell>
          <cell r="B918" t="str">
            <v>室内电脑板-CEM-1</v>
          </cell>
        </row>
        <row r="919">
          <cell r="A919" t="str">
            <v>0011800613Y</v>
          </cell>
          <cell r="B919" t="str">
            <v>室内电脑板-CEM-1</v>
          </cell>
        </row>
        <row r="920">
          <cell r="A920" t="str">
            <v>0011800614</v>
          </cell>
          <cell r="B920" t="str">
            <v>室内电脑板-CEM-1</v>
          </cell>
        </row>
        <row r="921">
          <cell r="A921" t="str">
            <v>0011800614B</v>
          </cell>
          <cell r="B921" t="str">
            <v>室内电脑板-CEM-1</v>
          </cell>
        </row>
        <row r="922">
          <cell r="A922" t="str">
            <v>0011800614C</v>
          </cell>
          <cell r="B922" t="str">
            <v>室内电脑板-CEM-1</v>
          </cell>
        </row>
        <row r="923">
          <cell r="A923" t="str">
            <v>0011800630</v>
          </cell>
          <cell r="B923" t="str">
            <v>室内电脑板-CEM-1</v>
          </cell>
        </row>
        <row r="924">
          <cell r="A924" t="str">
            <v>0011800630</v>
          </cell>
          <cell r="B924" t="str">
            <v>室内电脑板-CEM-1</v>
          </cell>
        </row>
        <row r="925">
          <cell r="A925" t="str">
            <v>0011800630A</v>
          </cell>
          <cell r="B925" t="str">
            <v>室内电脑板-CEM-1</v>
          </cell>
        </row>
        <row r="926">
          <cell r="A926" t="str">
            <v>0011800630AB</v>
          </cell>
          <cell r="B926" t="str">
            <v>室内电脑板-CEM-1室内电脑板</v>
          </cell>
        </row>
        <row r="927">
          <cell r="A927" t="str">
            <v>0011800630AC</v>
          </cell>
          <cell r="B927" t="str">
            <v>室内电脑板-CEM-1室内电脑板</v>
          </cell>
        </row>
        <row r="928">
          <cell r="A928" t="str">
            <v>0011800630B</v>
          </cell>
          <cell r="B928" t="str">
            <v>室内电脑板-CEM-1</v>
          </cell>
        </row>
        <row r="929">
          <cell r="A929" t="str">
            <v>0011800630C</v>
          </cell>
          <cell r="B929" t="str">
            <v>室内电脑板-CEM-1</v>
          </cell>
        </row>
        <row r="930">
          <cell r="A930" t="str">
            <v>0011800630D</v>
          </cell>
          <cell r="B930" t="str">
            <v>室内电脑板-CEM-1室内电脑板马来09/12室内电脑板-</v>
          </cell>
        </row>
        <row r="931">
          <cell r="A931" t="str">
            <v>0011800630E</v>
          </cell>
          <cell r="B931" t="str">
            <v>室内电脑板-CEM-1室内电脑板马来18k室内电脑板-</v>
          </cell>
        </row>
        <row r="932">
          <cell r="A932" t="str">
            <v>0011800630E</v>
          </cell>
          <cell r="B932" t="str">
            <v>室内电脑板-CEM-1室内电脑板马来18k室内电脑板-</v>
          </cell>
        </row>
        <row r="933">
          <cell r="A933" t="str">
            <v>0011800630G</v>
          </cell>
          <cell r="B933" t="str">
            <v>室内电脑板-CEM-1室内电脑板印度18T-PRO定频系列室内电脑板</v>
          </cell>
        </row>
        <row r="934">
          <cell r="A934" t="str">
            <v>0011800630H</v>
          </cell>
          <cell r="B934" t="str">
            <v>室内电脑板-CEM-1室内电脑板(压敏、保险和继电器防爆)印尼290项目室内电脑</v>
          </cell>
        </row>
        <row r="935">
          <cell r="A935" t="str">
            <v>0011800630J</v>
          </cell>
          <cell r="B935" t="str">
            <v>室内电脑板-CEM-1室内电脑板俄罗斯07/09/12P系列室内电脑板</v>
          </cell>
        </row>
        <row r="936">
          <cell r="A936" t="str">
            <v>0011800630J</v>
          </cell>
          <cell r="B936" t="str">
            <v>室内电脑板-CEM-1室内电脑板俄罗斯07/09/12P系列室内电脑板</v>
          </cell>
        </row>
        <row r="937">
          <cell r="A937" t="str">
            <v>0011800630K</v>
          </cell>
          <cell r="B937" t="str">
            <v>室内电脑板-CEM-1室内电脑板</v>
          </cell>
        </row>
        <row r="938">
          <cell r="A938" t="str">
            <v>0011800630K</v>
          </cell>
          <cell r="B938" t="str">
            <v>室内电脑板-CEM-1室内电脑板</v>
          </cell>
        </row>
        <row r="939">
          <cell r="A939" t="str">
            <v>0011800630L</v>
          </cell>
          <cell r="B939" t="str">
            <v>室内电脑板-CEM-1室内电脑板泰国09/12P系列定频室内电脑板</v>
          </cell>
        </row>
        <row r="940">
          <cell r="A940" t="str">
            <v>0011800630L</v>
          </cell>
          <cell r="B940" t="str">
            <v>室内电脑板-CEM-1室内电脑板泰国09/12P系列定频室内电脑板</v>
          </cell>
        </row>
        <row r="941">
          <cell r="A941" t="str">
            <v>0011800630M</v>
          </cell>
          <cell r="B941" t="str">
            <v>室内电脑板-CEM-1室内电脑板俄罗斯07/09/12P系列室内电脑板</v>
          </cell>
        </row>
        <row r="942">
          <cell r="A942" t="str">
            <v>0011800630M</v>
          </cell>
          <cell r="B942" t="str">
            <v>室内电脑板-CEM-1室内电脑板俄罗斯07/09/12P系列室内电脑板</v>
          </cell>
        </row>
        <row r="943">
          <cell r="A943" t="str">
            <v>0011800630N</v>
          </cell>
          <cell r="B943" t="str">
            <v>室内电脑板-CEM-1室内电脑板俄罗斯07/09/12P系列室内电脑板</v>
          </cell>
        </row>
        <row r="944">
          <cell r="A944" t="str">
            <v>0011800630P</v>
          </cell>
          <cell r="B944" t="str">
            <v>室内电脑板-CEM-1室内电脑板(压敏、保险和继电器防爆)印尼290项目室内电脑</v>
          </cell>
        </row>
        <row r="945">
          <cell r="A945" t="str">
            <v>0011800630P</v>
          </cell>
          <cell r="B945" t="str">
            <v>室内电脑板-CEM-1室内电脑板(压敏、保险和继电器防爆)印尼290项目室内电脑</v>
          </cell>
        </row>
        <row r="946">
          <cell r="A946" t="str">
            <v>0011800630R</v>
          </cell>
          <cell r="B946" t="str">
            <v>室内电脑板-/</v>
          </cell>
        </row>
        <row r="947">
          <cell r="A947" t="str">
            <v>0011800630R</v>
          </cell>
          <cell r="B947" t="str">
            <v>室内电脑板-/</v>
          </cell>
        </row>
        <row r="948">
          <cell r="A948" t="str">
            <v>0011800630S</v>
          </cell>
          <cell r="B948" t="str">
            <v>室内电脑板-/</v>
          </cell>
        </row>
        <row r="949">
          <cell r="A949" t="str">
            <v>0011800630S</v>
          </cell>
          <cell r="B949" t="str">
            <v>室内电脑板-/</v>
          </cell>
        </row>
        <row r="950">
          <cell r="A950" t="str">
            <v>0011800630T</v>
          </cell>
          <cell r="B950" t="str">
            <v>室内电脑板-CEM-1室内电脑板</v>
          </cell>
        </row>
        <row r="951">
          <cell r="A951" t="str">
            <v>0011800630W</v>
          </cell>
          <cell r="B951" t="str">
            <v>室内电脑板-/室内电脑板</v>
          </cell>
        </row>
        <row r="952">
          <cell r="A952" t="str">
            <v>0011800630X</v>
          </cell>
          <cell r="B952" t="str">
            <v>室内电脑板-/室内电脑板</v>
          </cell>
        </row>
        <row r="953">
          <cell r="A953" t="str">
            <v>0011800630Y</v>
          </cell>
          <cell r="B953" t="str">
            <v>室内电脑板-CEM-3室内电脑板巴基斯坦09/12室内电脑板</v>
          </cell>
        </row>
        <row r="954">
          <cell r="A954" t="str">
            <v>0011800630Y</v>
          </cell>
          <cell r="B954" t="str">
            <v>室内电脑板-CEM-3室内电脑板巴基斯坦09/12室内电脑板</v>
          </cell>
        </row>
        <row r="955">
          <cell r="A955" t="str">
            <v>0011800630Z</v>
          </cell>
          <cell r="B955" t="str">
            <v>室内电脑板-CEM-3室内电脑板马来09/12室内电脑板</v>
          </cell>
        </row>
        <row r="956">
          <cell r="A956" t="str">
            <v>0011800630Z</v>
          </cell>
          <cell r="B956" t="str">
            <v>室内电脑板-CEM-3室内电脑板马来09/12室内电脑板</v>
          </cell>
        </row>
        <row r="957">
          <cell r="A957" t="str">
            <v>0011800635</v>
          </cell>
          <cell r="B957" t="str">
            <v>室内电脑板-CEM-1---</v>
          </cell>
        </row>
        <row r="958">
          <cell r="A958" t="str">
            <v>0011800646</v>
          </cell>
          <cell r="B958" t="str">
            <v>室内电脑板-FR-4</v>
          </cell>
        </row>
        <row r="959">
          <cell r="A959" t="str">
            <v>0011800646</v>
          </cell>
          <cell r="B959" t="str">
            <v>室内电脑板-FR-4</v>
          </cell>
        </row>
        <row r="960">
          <cell r="A960" t="str">
            <v>0011800646A</v>
          </cell>
          <cell r="B960" t="str">
            <v>室内电脑板-FR-4</v>
          </cell>
        </row>
        <row r="961">
          <cell r="A961" t="str">
            <v>0011800646A</v>
          </cell>
          <cell r="B961" t="str">
            <v>室内电脑板-FR-4</v>
          </cell>
        </row>
        <row r="962">
          <cell r="A962" t="str">
            <v>0011800646B</v>
          </cell>
          <cell r="B962" t="str">
            <v>室内电脑板-FR-4</v>
          </cell>
        </row>
        <row r="963">
          <cell r="A963" t="str">
            <v>0011800646B</v>
          </cell>
          <cell r="B963" t="str">
            <v>室内电脑板-FR-4</v>
          </cell>
        </row>
        <row r="964">
          <cell r="A964" t="str">
            <v>0011800646C</v>
          </cell>
          <cell r="B964" t="str">
            <v>室内电脑板-FR-4</v>
          </cell>
        </row>
        <row r="965">
          <cell r="A965" t="str">
            <v>0011800646C</v>
          </cell>
          <cell r="B965" t="str">
            <v>室内电脑板-FR-4</v>
          </cell>
        </row>
        <row r="966">
          <cell r="A966" t="str">
            <v>0011800646D</v>
          </cell>
          <cell r="B966" t="str">
            <v>室内电脑板-FR-4---</v>
          </cell>
        </row>
        <row r="967">
          <cell r="A967" t="str">
            <v>0011800646D</v>
          </cell>
          <cell r="B967" t="str">
            <v>室内电脑板-FR-4---</v>
          </cell>
        </row>
        <row r="968">
          <cell r="A968" t="str">
            <v>0011800646E</v>
          </cell>
          <cell r="B968" t="str">
            <v>室内电脑板-FR-4</v>
          </cell>
        </row>
        <row r="969">
          <cell r="A969" t="str">
            <v>0011800646F</v>
          </cell>
          <cell r="B969" t="str">
            <v>室内电脑板-FR-4</v>
          </cell>
        </row>
        <row r="970">
          <cell r="A970" t="str">
            <v>0011800646F</v>
          </cell>
          <cell r="B970" t="str">
            <v>室内电脑板-FR-4</v>
          </cell>
        </row>
        <row r="971">
          <cell r="A971" t="str">
            <v>0011800646G</v>
          </cell>
          <cell r="B971" t="str">
            <v>室内电脑板-FR-4---</v>
          </cell>
        </row>
        <row r="972">
          <cell r="A972" t="str">
            <v>0011800646G</v>
          </cell>
          <cell r="B972" t="str">
            <v>室内电脑板-FR-4---</v>
          </cell>
        </row>
        <row r="973">
          <cell r="A973" t="str">
            <v>0011800646J</v>
          </cell>
          <cell r="B973" t="str">
            <v>室内电脑板-FR-4</v>
          </cell>
        </row>
        <row r="974">
          <cell r="A974" t="str">
            <v>0011800646J</v>
          </cell>
          <cell r="B974" t="str">
            <v>室内电脑板-FR-4</v>
          </cell>
        </row>
        <row r="975">
          <cell r="A975" t="str">
            <v>0011800646K</v>
          </cell>
          <cell r="B975" t="str">
            <v>室内电脑板-FR-4208*105</v>
          </cell>
        </row>
        <row r="976">
          <cell r="A976" t="str">
            <v>0011800646K</v>
          </cell>
          <cell r="B976" t="str">
            <v>室内电脑板-FR-4208*105</v>
          </cell>
        </row>
        <row r="977">
          <cell r="A977" t="str">
            <v>0011800646L</v>
          </cell>
          <cell r="B977" t="str">
            <v>室内电脑板-FR-4/</v>
          </cell>
        </row>
        <row r="978">
          <cell r="A978" t="str">
            <v>0011800646L</v>
          </cell>
          <cell r="B978" t="str">
            <v>室内电脑板-FR-4/</v>
          </cell>
        </row>
        <row r="979">
          <cell r="A979" t="str">
            <v>0011800646M</v>
          </cell>
          <cell r="B979" t="str">
            <v>室内电脑板-FR-4/</v>
          </cell>
        </row>
        <row r="980">
          <cell r="A980" t="str">
            <v>0011800646M</v>
          </cell>
          <cell r="B980" t="str">
            <v>室内电脑板-FR-4/</v>
          </cell>
        </row>
        <row r="981">
          <cell r="A981" t="str">
            <v>0011800648</v>
          </cell>
          <cell r="B981" t="str">
            <v>室外模块驱动板-FR-4</v>
          </cell>
        </row>
        <row r="982">
          <cell r="A982" t="str">
            <v>0011800648A</v>
          </cell>
          <cell r="B982" t="str">
            <v>室外模块驱动板-FR-4---</v>
          </cell>
        </row>
        <row r="983">
          <cell r="A983" t="str">
            <v>0011800648B</v>
          </cell>
          <cell r="B983" t="str">
            <v>室外模块驱动板-FR-4</v>
          </cell>
        </row>
        <row r="984">
          <cell r="A984" t="str">
            <v>0011800648C</v>
          </cell>
          <cell r="B984" t="str">
            <v>室外模块驱动板-FR-4</v>
          </cell>
        </row>
        <row r="985">
          <cell r="A985" t="str">
            <v>0011800648D</v>
          </cell>
          <cell r="B985" t="str">
            <v>室外电脑板-FR-4</v>
          </cell>
        </row>
        <row r="986">
          <cell r="A986" t="str">
            <v>0011800653</v>
          </cell>
          <cell r="B986" t="str">
            <v>室外模块驱动板-FR-1</v>
          </cell>
        </row>
        <row r="987">
          <cell r="A987" t="str">
            <v>0011800653A</v>
          </cell>
          <cell r="B987" t="str">
            <v>室外电脑板-FR-1</v>
          </cell>
        </row>
        <row r="988">
          <cell r="A988" t="str">
            <v>0011800653B</v>
          </cell>
          <cell r="B988" t="str">
            <v>室外电脑板-FR-1</v>
          </cell>
        </row>
        <row r="989">
          <cell r="A989" t="str">
            <v>0011800653C</v>
          </cell>
          <cell r="B989" t="str">
            <v>室外电脑板-FR-1</v>
          </cell>
        </row>
        <row r="990">
          <cell r="A990" t="str">
            <v>0011800653F</v>
          </cell>
          <cell r="B990" t="str">
            <v>室外电脑板-FR-1---</v>
          </cell>
        </row>
        <row r="991">
          <cell r="A991" t="str">
            <v>0011800653G</v>
          </cell>
          <cell r="B991" t="str">
            <v>室外电脑板-FR-1---</v>
          </cell>
        </row>
        <row r="992">
          <cell r="A992" t="str">
            <v>0011800653H</v>
          </cell>
          <cell r="B992" t="str">
            <v>室外模块驱动板-FR-1---</v>
          </cell>
        </row>
        <row r="993">
          <cell r="A993" t="str">
            <v>0011800653L</v>
          </cell>
          <cell r="B993" t="str">
            <v>室外模块驱动板-FR-1---</v>
          </cell>
        </row>
        <row r="994">
          <cell r="A994" t="str">
            <v>0011800653P</v>
          </cell>
          <cell r="B994" t="str">
            <v>室外电脑板-FR-1---</v>
          </cell>
        </row>
        <row r="995">
          <cell r="A995" t="str">
            <v>0011800653Q</v>
          </cell>
          <cell r="B995" t="str">
            <v>室外电脑板-FR-1---</v>
          </cell>
        </row>
        <row r="996">
          <cell r="A996" t="str">
            <v>0011800656C</v>
          </cell>
          <cell r="B996" t="str">
            <v>室内电脑板-CEM-1---</v>
          </cell>
        </row>
        <row r="997">
          <cell r="A997" t="str">
            <v>0011800681</v>
          </cell>
          <cell r="B997" t="str">
            <v>室内电脑板-CEM-1---</v>
          </cell>
        </row>
        <row r="998">
          <cell r="A998" t="str">
            <v>0011800681A</v>
          </cell>
          <cell r="B998" t="str">
            <v>室内电脑板-FR-4</v>
          </cell>
        </row>
        <row r="999">
          <cell r="A999" t="str">
            <v>0011800681B</v>
          </cell>
          <cell r="B999" t="str">
            <v>室内电脑板-CEM-1---</v>
          </cell>
        </row>
        <row r="1000">
          <cell r="A1000" t="str">
            <v>0011800682</v>
          </cell>
          <cell r="B1000" t="str">
            <v>室内电脑板-CEM-3---</v>
          </cell>
        </row>
        <row r="1001">
          <cell r="A1001" t="str">
            <v>0011800682A</v>
          </cell>
          <cell r="B1001" t="str">
            <v>室内电脑板-CEM-3---</v>
          </cell>
        </row>
        <row r="1002">
          <cell r="A1002" t="str">
            <v>0011800682AC</v>
          </cell>
          <cell r="B1002" t="str">
            <v>室内电脑板-CEM-1165*136</v>
          </cell>
        </row>
        <row r="1003">
          <cell r="A1003" t="str">
            <v>0011800682AD</v>
          </cell>
          <cell r="B1003" t="str">
            <v>室内电脑板-CEM-1165*136</v>
          </cell>
        </row>
        <row r="1004">
          <cell r="A1004" t="str">
            <v>0011800682AE</v>
          </cell>
          <cell r="B1004" t="str">
            <v>室内电脑板-CEM-1165*136</v>
          </cell>
        </row>
        <row r="1005">
          <cell r="A1005" t="str">
            <v>0011800682AJ</v>
          </cell>
          <cell r="B1005" t="str">
            <v>室内电脑板-CEM-1165*136</v>
          </cell>
        </row>
        <row r="1006">
          <cell r="A1006" t="str">
            <v>0011800682AR</v>
          </cell>
          <cell r="B1006" t="str">
            <v>室内电脑板-CEM-1165*136</v>
          </cell>
        </row>
        <row r="1007">
          <cell r="A1007" t="str">
            <v>0011800682AT</v>
          </cell>
          <cell r="B1007" t="str">
            <v>室内电脑板-CEM-1</v>
          </cell>
        </row>
        <row r="1008">
          <cell r="A1008" t="str">
            <v>0011800682AU</v>
          </cell>
          <cell r="B1008" t="str">
            <v>室内电脑板-CEM-1</v>
          </cell>
        </row>
        <row r="1009">
          <cell r="A1009" t="str">
            <v>0011800682AU</v>
          </cell>
          <cell r="B1009" t="str">
            <v>室内电脑板-CEM-1</v>
          </cell>
        </row>
        <row r="1010">
          <cell r="A1010" t="str">
            <v>0011800682AV</v>
          </cell>
          <cell r="B1010" t="str">
            <v>室内电脑板-CEM-1</v>
          </cell>
        </row>
        <row r="1011">
          <cell r="A1011" t="str">
            <v>0011800682AV</v>
          </cell>
          <cell r="B1011" t="str">
            <v>室内电脑板-CEM-1</v>
          </cell>
        </row>
        <row r="1012">
          <cell r="A1012" t="str">
            <v>0011800682B</v>
          </cell>
          <cell r="B1012" t="str">
            <v>室内电脑板-CEM-3</v>
          </cell>
        </row>
        <row r="1013">
          <cell r="A1013" t="str">
            <v>0011800682C</v>
          </cell>
          <cell r="B1013" t="str">
            <v>室内电脑板-CEM-3---</v>
          </cell>
        </row>
        <row r="1014">
          <cell r="A1014" t="str">
            <v>0011800682G</v>
          </cell>
          <cell r="B1014" t="str">
            <v>室内电脑板-CEM-1---</v>
          </cell>
        </row>
        <row r="1015">
          <cell r="A1015" t="str">
            <v>0011800682H</v>
          </cell>
          <cell r="B1015" t="str">
            <v>室内电脑板-CEM-1165*136</v>
          </cell>
        </row>
        <row r="1016">
          <cell r="A1016" t="str">
            <v>0011800682J</v>
          </cell>
          <cell r="B1016" t="str">
            <v>室内电脑板-CEM-1165*136</v>
          </cell>
        </row>
        <row r="1017">
          <cell r="A1017" t="str">
            <v>0011800682K</v>
          </cell>
          <cell r="B1017" t="str">
            <v>室内电脑板-//--</v>
          </cell>
        </row>
        <row r="1018">
          <cell r="A1018" t="str">
            <v>0011800682L</v>
          </cell>
          <cell r="B1018" t="str">
            <v>室内电脑板-CEM-1165*136</v>
          </cell>
        </row>
        <row r="1019">
          <cell r="A1019" t="str">
            <v>0011800682M</v>
          </cell>
          <cell r="B1019" t="str">
            <v>室内电脑板-CEM-1马来18/24内电脑板变频</v>
          </cell>
        </row>
        <row r="1020">
          <cell r="A1020" t="str">
            <v>0011800682P</v>
          </cell>
          <cell r="B1020" t="str">
            <v>室内电脑板-//</v>
          </cell>
        </row>
        <row r="1021">
          <cell r="A1021" t="str">
            <v>0011800682Q</v>
          </cell>
          <cell r="B1021" t="str">
            <v>室内电脑板-CEM-1165*136</v>
          </cell>
        </row>
        <row r="1022">
          <cell r="A1022" t="str">
            <v>0011800682R</v>
          </cell>
          <cell r="B1022" t="str">
            <v>室内电脑板-CEM-1165*136</v>
          </cell>
        </row>
        <row r="1023">
          <cell r="A1023" t="str">
            <v>0011800682RA</v>
          </cell>
          <cell r="B1023" t="str">
            <v>室内电脑板-CEM-1165*136</v>
          </cell>
        </row>
        <row r="1024">
          <cell r="A1024" t="str">
            <v>0011800682S</v>
          </cell>
          <cell r="B1024" t="str">
            <v>室内电脑板-CEM-1165*136</v>
          </cell>
        </row>
        <row r="1025">
          <cell r="A1025" t="str">
            <v>0011800682T</v>
          </cell>
          <cell r="B1025" t="str">
            <v>室内电脑板-CEM-1165*136</v>
          </cell>
        </row>
        <row r="1026">
          <cell r="A1026" t="str">
            <v>0011800682U</v>
          </cell>
          <cell r="B1026" t="str">
            <v>室内电脑板-CEM-1165*136</v>
          </cell>
        </row>
        <row r="1027">
          <cell r="A1027" t="str">
            <v>0011800690</v>
          </cell>
          <cell r="B1027" t="str">
            <v>室外电脑板-/</v>
          </cell>
        </row>
        <row r="1028">
          <cell r="A1028" t="str">
            <v>0011800690A</v>
          </cell>
          <cell r="B1028" t="str">
            <v>室外电脑板-FR-4</v>
          </cell>
        </row>
        <row r="1029">
          <cell r="A1029" t="str">
            <v>0011800690AG</v>
          </cell>
          <cell r="B1029" t="str">
            <v>室外电脑板-FR-4</v>
          </cell>
        </row>
        <row r="1030">
          <cell r="A1030" t="str">
            <v>0011800690AH</v>
          </cell>
          <cell r="B1030" t="str">
            <v>室外电脑板-FR-4</v>
          </cell>
        </row>
        <row r="1031">
          <cell r="A1031" t="str">
            <v>0011800690AH</v>
          </cell>
          <cell r="B1031" t="str">
            <v>室外电脑板-FR-4</v>
          </cell>
        </row>
        <row r="1032">
          <cell r="A1032" t="str">
            <v>0011800690AM</v>
          </cell>
          <cell r="B1032" t="str">
            <v>电脑板-FR-4</v>
          </cell>
        </row>
        <row r="1033">
          <cell r="A1033" t="str">
            <v>0011800690AN</v>
          </cell>
          <cell r="B1033" t="str">
            <v>室外电脑板-FR-4</v>
          </cell>
        </row>
        <row r="1034">
          <cell r="A1034" t="str">
            <v>0011800690AP</v>
          </cell>
          <cell r="B1034" t="str">
            <v>室外电脑板-FR-4</v>
          </cell>
        </row>
        <row r="1035">
          <cell r="A1035" t="str">
            <v>0011800690AQ</v>
          </cell>
          <cell r="B1035" t="str">
            <v>室外电脑板-/---</v>
          </cell>
        </row>
        <row r="1036">
          <cell r="A1036" t="str">
            <v>0011800690AQ</v>
          </cell>
          <cell r="B1036" t="str">
            <v>室外电脑板-/---</v>
          </cell>
        </row>
        <row r="1037">
          <cell r="A1037" t="str">
            <v>0011800690AR</v>
          </cell>
          <cell r="B1037" t="str">
            <v>室外电脑板-/---</v>
          </cell>
        </row>
        <row r="1038">
          <cell r="A1038" t="str">
            <v>0011800690AX</v>
          </cell>
          <cell r="B1038" t="str">
            <v>室外模块驱动板-FR-4280mm*157mm</v>
          </cell>
        </row>
        <row r="1039">
          <cell r="A1039" t="str">
            <v>0011800690B</v>
          </cell>
          <cell r="B1039" t="str">
            <v>室外电脑板-FR-4</v>
          </cell>
        </row>
        <row r="1040">
          <cell r="A1040" t="str">
            <v>0011800690BC</v>
          </cell>
          <cell r="B1040" t="str">
            <v>变频外电脑板-FR-4泰国15K单冷变频</v>
          </cell>
        </row>
        <row r="1041">
          <cell r="A1041" t="str">
            <v>0011800690BD</v>
          </cell>
          <cell r="B1041" t="str">
            <v>室外电脑板-FR-4280mm×157mm</v>
          </cell>
        </row>
        <row r="1042">
          <cell r="A1042" t="str">
            <v>0011800690BE</v>
          </cell>
          <cell r="B1042" t="str">
            <v>室外模块驱动板-FR-4280mm*157mm--</v>
          </cell>
        </row>
        <row r="1043">
          <cell r="A1043" t="str">
            <v>0011800690C</v>
          </cell>
          <cell r="B1043" t="str">
            <v>室外电脑板-FR-4</v>
          </cell>
        </row>
        <row r="1044">
          <cell r="A1044" t="str">
            <v>0011800690D</v>
          </cell>
          <cell r="B1044" t="str">
            <v>一体机电脑板-/---</v>
          </cell>
        </row>
        <row r="1045">
          <cell r="A1045" t="str">
            <v>0011800690E</v>
          </cell>
          <cell r="B1045" t="str">
            <v>一体机电脑板-/---</v>
          </cell>
        </row>
        <row r="1046">
          <cell r="A1046" t="str">
            <v>0011800690FL</v>
          </cell>
          <cell r="B1046" t="str">
            <v>室外模块驱动板-/FR-4</v>
          </cell>
        </row>
        <row r="1047">
          <cell r="A1047" t="str">
            <v>0011800690G</v>
          </cell>
          <cell r="B1047" t="str">
            <v>室外电脑板-/</v>
          </cell>
        </row>
        <row r="1048">
          <cell r="A1048" t="str">
            <v>0011800690ZA</v>
          </cell>
          <cell r="B1048" t="str">
            <v>室外电脑板-FR-4---</v>
          </cell>
        </row>
        <row r="1049">
          <cell r="A1049" t="str">
            <v>0011800690ZA</v>
          </cell>
          <cell r="B1049" t="str">
            <v>室外电脑板-FR-4---</v>
          </cell>
        </row>
        <row r="1050">
          <cell r="A1050" t="str">
            <v>0011800691AN</v>
          </cell>
          <cell r="B1050" t="str">
            <v>室内电脑板-/162mm*130mm</v>
          </cell>
        </row>
        <row r="1051">
          <cell r="A1051" t="str">
            <v>0011800691AN</v>
          </cell>
          <cell r="B1051" t="str">
            <v>室内电脑板-/162mm*130mm</v>
          </cell>
        </row>
        <row r="1052">
          <cell r="A1052" t="str">
            <v>0011800691AR</v>
          </cell>
          <cell r="B1052" t="str">
            <v>室内电脑板-/</v>
          </cell>
        </row>
        <row r="1053">
          <cell r="A1053" t="str">
            <v>0011800691AS</v>
          </cell>
          <cell r="B1053" t="str">
            <v>室内电脑板-/</v>
          </cell>
        </row>
        <row r="1054">
          <cell r="A1054" t="str">
            <v>0011800691D</v>
          </cell>
          <cell r="B1054" t="str">
            <v>室内电脑板-/</v>
          </cell>
        </row>
        <row r="1055">
          <cell r="A1055" t="str">
            <v>0011800691FL</v>
          </cell>
          <cell r="B1055" t="str">
            <v>室内电脑板-//</v>
          </cell>
        </row>
        <row r="1056">
          <cell r="A1056" t="str">
            <v>0011800691V</v>
          </cell>
          <cell r="B1056" t="str">
            <v>室内电脑板-/室内电脑板</v>
          </cell>
        </row>
        <row r="1057">
          <cell r="A1057" t="str">
            <v>0011800691X</v>
          </cell>
          <cell r="B1057" t="str">
            <v>室内电脑板-/162mm*130mm--</v>
          </cell>
        </row>
        <row r="1058">
          <cell r="A1058" t="str">
            <v>0011800691X</v>
          </cell>
          <cell r="B1058" t="str">
            <v>室内电脑板-/162mm*130mm--</v>
          </cell>
        </row>
        <row r="1059">
          <cell r="A1059" t="str">
            <v>0011800697</v>
          </cell>
          <cell r="B1059" t="str">
            <v>室内电脑板-CEM-1</v>
          </cell>
        </row>
        <row r="1060">
          <cell r="A1060" t="str">
            <v>0011800697AA</v>
          </cell>
          <cell r="B1060" t="str">
            <v>室内电脑板-CEM-1室内电脑板50P平台18K室内电脑板</v>
          </cell>
        </row>
        <row r="1061">
          <cell r="A1061" t="str">
            <v>0011800697AA</v>
          </cell>
          <cell r="B1061" t="str">
            <v>室内电脑板-CEM-1室内电脑板50P平台18K室内电脑板</v>
          </cell>
        </row>
        <row r="1062">
          <cell r="A1062" t="str">
            <v>0011800697AB</v>
          </cell>
          <cell r="B1062" t="str">
            <v>室内电脑板-CEM-1室内电脑板70P平台24K室内电脑板</v>
          </cell>
        </row>
        <row r="1063">
          <cell r="A1063" t="str">
            <v>0011800697AB</v>
          </cell>
          <cell r="B1063" t="str">
            <v>室内电脑板-CEM-1室内电脑板70P平台24K室内电脑板</v>
          </cell>
        </row>
        <row r="1064">
          <cell r="A1064" t="str">
            <v>0011800697AC</v>
          </cell>
          <cell r="B1064" t="str">
            <v>室内电脑板-CEM-1</v>
          </cell>
        </row>
        <row r="1065">
          <cell r="A1065" t="str">
            <v>0011800697AC</v>
          </cell>
          <cell r="B1065" t="str">
            <v>室内电脑板-CEM-1</v>
          </cell>
        </row>
        <row r="1066">
          <cell r="A1066" t="str">
            <v>0011800697AL</v>
          </cell>
          <cell r="B1066" t="str">
            <v>室内电脑板-CEM-1室内电脑板70P/50P平台18/24k室内电脑板</v>
          </cell>
        </row>
        <row r="1067">
          <cell r="A1067" t="str">
            <v>0011800697AL</v>
          </cell>
          <cell r="B1067" t="str">
            <v>室内电脑板-CEM-1室内电脑板70P/50P平台18/24k室内电脑板</v>
          </cell>
        </row>
        <row r="1068">
          <cell r="A1068" t="str">
            <v>0011800697B</v>
          </cell>
          <cell r="B1068" t="str">
            <v>室内电脑板-CEM-1</v>
          </cell>
        </row>
        <row r="1069">
          <cell r="A1069" t="str">
            <v>0011800697C</v>
          </cell>
          <cell r="B1069" t="str">
            <v>室内电脑板-CEM-1</v>
          </cell>
        </row>
        <row r="1070">
          <cell r="A1070" t="str">
            <v>0011800697D</v>
          </cell>
          <cell r="B1070" t="str">
            <v>室内电脑板-CEM-1</v>
          </cell>
        </row>
        <row r="1071">
          <cell r="A1071" t="str">
            <v>0011800697E</v>
          </cell>
          <cell r="B1071" t="str">
            <v>室内电脑板-CEM-1---</v>
          </cell>
        </row>
        <row r="1072">
          <cell r="A1072" t="str">
            <v>0011800697F</v>
          </cell>
          <cell r="B1072" t="str">
            <v>室内电脑板-CEM-1室内电脑板马来24k室内电脑板-</v>
          </cell>
        </row>
        <row r="1073">
          <cell r="A1073" t="str">
            <v>0011800697G</v>
          </cell>
          <cell r="B1073" t="str">
            <v>室内电脑板-CEM-1</v>
          </cell>
        </row>
        <row r="1074">
          <cell r="A1074" t="str">
            <v>0011800697H</v>
          </cell>
          <cell r="B1074" t="str">
            <v>室内电脑板-CEM-1室内电脑板泰国凤凰P平台18k室内电脑板</v>
          </cell>
        </row>
        <row r="1075">
          <cell r="A1075" t="str">
            <v>0011800697J</v>
          </cell>
          <cell r="B1075" t="str">
            <v>室内电脑板-CEM-1室内电脑板马来24k室内电脑板</v>
          </cell>
        </row>
        <row r="1076">
          <cell r="A1076" t="str">
            <v>0011800697K</v>
          </cell>
          <cell r="B1076" t="str">
            <v>室内电脑板-CEM-1室内电脑板50P平台18/24k室内电脑板</v>
          </cell>
        </row>
        <row r="1077">
          <cell r="A1077" t="str">
            <v>0011800697L</v>
          </cell>
          <cell r="B1077" t="str">
            <v>室内电脑板-CEM-1</v>
          </cell>
        </row>
        <row r="1078">
          <cell r="A1078" t="str">
            <v>0011800697M</v>
          </cell>
          <cell r="B1078" t="str">
            <v>室内电脑板-CEM-1</v>
          </cell>
        </row>
        <row r="1079">
          <cell r="A1079" t="str">
            <v>0011800697N</v>
          </cell>
          <cell r="B1079" t="str">
            <v>室内电脑板-CEM-1室内电脑板70P/50P平台18/24k室内电脑板</v>
          </cell>
        </row>
        <row r="1080">
          <cell r="A1080" t="str">
            <v>0011800697P</v>
          </cell>
          <cell r="B1080" t="str">
            <v>室内电脑板-CEM-1室内电脑板70P/50P平台18/24k室内电脑板</v>
          </cell>
        </row>
        <row r="1081">
          <cell r="A1081" t="str">
            <v>0011800697S</v>
          </cell>
          <cell r="B1081" t="str">
            <v>室内电脑板-CEM-1室内电脑板70P/50P平台18/24k室内电脑板</v>
          </cell>
        </row>
        <row r="1082">
          <cell r="A1082" t="str">
            <v>0011800697S</v>
          </cell>
          <cell r="B1082" t="str">
            <v>室内电脑板-CEM-1室内电脑板70P/50P平台18/24k室内电脑板</v>
          </cell>
        </row>
        <row r="1083">
          <cell r="A1083" t="str">
            <v>0011800697T</v>
          </cell>
          <cell r="B1083" t="str">
            <v>室内电脑板-CEM-1</v>
          </cell>
        </row>
        <row r="1084">
          <cell r="A1084" t="str">
            <v>0011800697X</v>
          </cell>
          <cell r="B1084" t="str">
            <v>室内电脑板-CEM-1室内电脑板35P平台09/12k室内电脑板</v>
          </cell>
        </row>
        <row r="1085">
          <cell r="A1085" t="str">
            <v>0011800697Y</v>
          </cell>
          <cell r="B1085" t="str">
            <v>室内电脑板-CEM-1室内电脑板35P平台09/12k室内电脑板</v>
          </cell>
        </row>
        <row r="1086">
          <cell r="A1086" t="str">
            <v>0011800697Z</v>
          </cell>
          <cell r="B1086" t="str">
            <v>室内电脑板-CEM-1室内电脑板</v>
          </cell>
        </row>
        <row r="1087">
          <cell r="A1087" t="str">
            <v>0011800697Z</v>
          </cell>
          <cell r="B1087" t="str">
            <v>室内电脑板-CEM-1室内电脑板</v>
          </cell>
        </row>
        <row r="1088">
          <cell r="A1088" t="str">
            <v>0011800700B</v>
          </cell>
          <cell r="B1088" t="str">
            <v>室外电脑板-FR-4---</v>
          </cell>
        </row>
        <row r="1089">
          <cell r="A1089" t="str">
            <v>0011800712</v>
          </cell>
          <cell r="B1089" t="str">
            <v>室外电脑板-CEM-3</v>
          </cell>
        </row>
        <row r="1090">
          <cell r="A1090" t="str">
            <v>0011800722</v>
          </cell>
          <cell r="B1090" t="str">
            <v>室内电脑板-CEM-1---</v>
          </cell>
        </row>
        <row r="1091">
          <cell r="A1091" t="str">
            <v>0011800722A</v>
          </cell>
          <cell r="B1091" t="str">
            <v>室内电脑板-CEM-1</v>
          </cell>
        </row>
        <row r="1092">
          <cell r="A1092" t="str">
            <v>0011800722C</v>
          </cell>
          <cell r="B1092" t="str">
            <v>室内电脑板-CEM-1\</v>
          </cell>
        </row>
        <row r="1093">
          <cell r="A1093" t="str">
            <v>0011800722E</v>
          </cell>
          <cell r="B1093" t="str">
            <v>室内电脑板-CEM-1\</v>
          </cell>
        </row>
        <row r="1094">
          <cell r="A1094" t="str">
            <v>0011800722F</v>
          </cell>
          <cell r="B1094" t="str">
            <v>室内电脑板-CEM-1\</v>
          </cell>
        </row>
        <row r="1095">
          <cell r="A1095" t="str">
            <v>0011800722GCH</v>
          </cell>
          <cell r="B1095" t="str">
            <v>室内电脑板-CEM-1</v>
          </cell>
        </row>
        <row r="1096">
          <cell r="A1096" t="str">
            <v>0011800722GCH</v>
          </cell>
          <cell r="B1096" t="str">
            <v>室内电脑板-CEM-1</v>
          </cell>
        </row>
        <row r="1097">
          <cell r="A1097" t="str">
            <v>0011800722GCHA</v>
          </cell>
          <cell r="B1097" t="str">
            <v>室内电脑板-CEM-1</v>
          </cell>
        </row>
        <row r="1098">
          <cell r="A1098" t="str">
            <v>0011800722GCHA</v>
          </cell>
          <cell r="B1098" t="str">
            <v>室内电脑板-CEM-1</v>
          </cell>
        </row>
        <row r="1099">
          <cell r="A1099" t="str">
            <v>0011800722GCHB</v>
          </cell>
          <cell r="B1099" t="str">
            <v>室内电脑板-CEM-1</v>
          </cell>
        </row>
        <row r="1100">
          <cell r="A1100" t="str">
            <v>0011800722GCHB</v>
          </cell>
          <cell r="B1100" t="str">
            <v>室内电脑板-CEM-1</v>
          </cell>
        </row>
        <row r="1101">
          <cell r="A1101" t="str">
            <v>0011800722GCHE</v>
          </cell>
          <cell r="B1101" t="str">
            <v>室内电脑板-CEM-1</v>
          </cell>
        </row>
        <row r="1102">
          <cell r="A1102" t="str">
            <v>0011800722GCHE</v>
          </cell>
          <cell r="B1102" t="str">
            <v>室内电脑板-CEM-1</v>
          </cell>
        </row>
        <row r="1103">
          <cell r="A1103" t="str">
            <v>0011800722H</v>
          </cell>
          <cell r="B1103" t="str">
            <v>室内电脑板-CEM-1\</v>
          </cell>
        </row>
        <row r="1104">
          <cell r="A1104" t="str">
            <v>0011800722H</v>
          </cell>
          <cell r="B1104" t="str">
            <v>室内电脑板-CEM-1\</v>
          </cell>
        </row>
        <row r="1105">
          <cell r="A1105" t="str">
            <v>0011800722J</v>
          </cell>
          <cell r="B1105" t="str">
            <v>室内电脑板-CEM-1\</v>
          </cell>
        </row>
        <row r="1106">
          <cell r="A1106" t="str">
            <v>0011800722J</v>
          </cell>
          <cell r="B1106" t="str">
            <v>室内电脑板-CEM-1\</v>
          </cell>
        </row>
        <row r="1107">
          <cell r="A1107" t="str">
            <v>0011800723</v>
          </cell>
          <cell r="B1107" t="str">
            <v>室外电脑板-FR-4---</v>
          </cell>
        </row>
        <row r="1108">
          <cell r="A1108" t="str">
            <v>0011800733</v>
          </cell>
          <cell r="B1108" t="str">
            <v>室内电脑板-/巴基斯坦D系列内板内销通讯；感人</v>
          </cell>
        </row>
        <row r="1109">
          <cell r="A1109" t="str">
            <v>0011800733A</v>
          </cell>
          <cell r="B1109" t="str">
            <v>室内电脑板-/巴基斯坦D系列内板内销通讯；感人</v>
          </cell>
        </row>
        <row r="1110">
          <cell r="A1110" t="str">
            <v>0011800741</v>
          </cell>
          <cell r="B1110" t="str">
            <v>室内电脑板-CEM-1</v>
          </cell>
        </row>
        <row r="1111">
          <cell r="A1111" t="str">
            <v>0011800741A</v>
          </cell>
          <cell r="B1111" t="str">
            <v>室内电脑板-CEM-1</v>
          </cell>
        </row>
        <row r="1112">
          <cell r="A1112" t="str">
            <v>0011800741B</v>
          </cell>
          <cell r="B1112" t="str">
            <v>室内电脑板-CEM-1---</v>
          </cell>
        </row>
        <row r="1113">
          <cell r="A1113" t="str">
            <v>0011800741C</v>
          </cell>
          <cell r="B1113" t="str">
            <v>室内电脑板-CEM-1</v>
          </cell>
        </row>
        <row r="1114">
          <cell r="A1114" t="str">
            <v>0011800742</v>
          </cell>
          <cell r="B1114" t="str">
            <v>室内电脑板-CEM-1</v>
          </cell>
        </row>
        <row r="1115">
          <cell r="A1115" t="str">
            <v>0011800742A</v>
          </cell>
          <cell r="B1115" t="str">
            <v>室内电脑板-CEM-1</v>
          </cell>
        </row>
        <row r="1116">
          <cell r="A1116" t="str">
            <v>0011800743A</v>
          </cell>
          <cell r="B1116" t="str">
            <v>室内电脑板-CEM-1</v>
          </cell>
        </row>
        <row r="1117">
          <cell r="A1117" t="str">
            <v>0011800743B</v>
          </cell>
          <cell r="B1117" t="str">
            <v>室内电脑板-CEM-1</v>
          </cell>
        </row>
        <row r="1118">
          <cell r="A1118" t="str">
            <v>0011800743C</v>
          </cell>
          <cell r="B1118" t="str">
            <v>室内电脑板-CEM-1</v>
          </cell>
        </row>
        <row r="1119">
          <cell r="A1119" t="str">
            <v>0011800744</v>
          </cell>
          <cell r="B1119" t="str">
            <v>室内电脑板-CEM-1</v>
          </cell>
        </row>
        <row r="1120">
          <cell r="A1120" t="str">
            <v>0011800744A</v>
          </cell>
          <cell r="B1120" t="str">
            <v>室内电脑板-CEM-1</v>
          </cell>
        </row>
        <row r="1121">
          <cell r="A1121" t="str">
            <v>0011800776A</v>
          </cell>
          <cell r="B1121" t="str">
            <v>室内电脑板-CEM-1---</v>
          </cell>
        </row>
        <row r="1122">
          <cell r="A1122" t="str">
            <v>0011800776G</v>
          </cell>
          <cell r="B1122" t="str">
            <v>室内电脑板-CEM-1</v>
          </cell>
        </row>
        <row r="1123">
          <cell r="A1123" t="str">
            <v>0011800780AK</v>
          </cell>
          <cell r="B1123" t="str">
            <v>室外电脑板-/---</v>
          </cell>
        </row>
        <row r="1124">
          <cell r="A1124" t="str">
            <v>0011800780AL</v>
          </cell>
          <cell r="B1124" t="str">
            <v>室外电脑板-/---</v>
          </cell>
        </row>
        <row r="1125">
          <cell r="A1125" t="str">
            <v>0011800780AR</v>
          </cell>
          <cell r="B1125" t="str">
            <v>室外电脑板-/---</v>
          </cell>
        </row>
        <row r="1126">
          <cell r="A1126" t="str">
            <v>0011800780AS</v>
          </cell>
          <cell r="B1126" t="str">
            <v>室外电脑板-/---</v>
          </cell>
        </row>
        <row r="1127">
          <cell r="A1127" t="str">
            <v>0011800780BA</v>
          </cell>
          <cell r="B1127" t="str">
            <v>室外电脑板-/---</v>
          </cell>
        </row>
        <row r="1128">
          <cell r="A1128" t="str">
            <v>0011800780BB</v>
          </cell>
          <cell r="B1128" t="str">
            <v>室外电脑板-/---</v>
          </cell>
        </row>
        <row r="1129">
          <cell r="A1129" t="str">
            <v>0011800780BJ</v>
          </cell>
          <cell r="B1129" t="str">
            <v>室外电脑板-/</v>
          </cell>
        </row>
        <row r="1130">
          <cell r="A1130" t="str">
            <v>0011800780BJ</v>
          </cell>
          <cell r="B1130" t="str">
            <v>室外电脑板-/</v>
          </cell>
        </row>
        <row r="1131">
          <cell r="A1131" t="str">
            <v>0011800780BS</v>
          </cell>
          <cell r="B1131" t="str">
            <v>室外电脑板-/---</v>
          </cell>
        </row>
        <row r="1132">
          <cell r="A1132" t="str">
            <v>0011800780CC</v>
          </cell>
          <cell r="B1132" t="str">
            <v>变频外电脑板-//--</v>
          </cell>
        </row>
        <row r="1133">
          <cell r="A1133" t="str">
            <v>0011800783</v>
          </cell>
          <cell r="B1133" t="str">
            <v>室内电脑板-CEM-1</v>
          </cell>
        </row>
        <row r="1134">
          <cell r="A1134" t="str">
            <v>0011800783A</v>
          </cell>
          <cell r="B1134" t="str">
            <v>室内电脑板-CEM-1</v>
          </cell>
        </row>
        <row r="1135">
          <cell r="A1135" t="str">
            <v>0011800783C</v>
          </cell>
          <cell r="B1135" t="str">
            <v>室内电脑板-CEM-1</v>
          </cell>
        </row>
        <row r="1136">
          <cell r="A1136" t="str">
            <v>0011800789A</v>
          </cell>
          <cell r="B1136" t="str">
            <v>室内电脑板-/</v>
          </cell>
        </row>
        <row r="1137">
          <cell r="A1137" t="str">
            <v>0011800789C</v>
          </cell>
          <cell r="B1137" t="str">
            <v>电脑板-/电脑板</v>
          </cell>
        </row>
        <row r="1138">
          <cell r="A1138" t="str">
            <v>0011800789C</v>
          </cell>
          <cell r="B1138" t="str">
            <v>电脑板-/电脑板</v>
          </cell>
        </row>
        <row r="1139">
          <cell r="A1139" t="str">
            <v>0011800791</v>
          </cell>
          <cell r="B1139" t="str">
            <v>室内电脑板-CEM-1</v>
          </cell>
        </row>
        <row r="1140">
          <cell r="A1140" t="str">
            <v>0011800795A</v>
          </cell>
          <cell r="B1140" t="str">
            <v>室外电脑板-/---</v>
          </cell>
        </row>
        <row r="1141">
          <cell r="A1141" t="str">
            <v>0011800795A</v>
          </cell>
          <cell r="B1141" t="str">
            <v>室外电脑板-/---</v>
          </cell>
        </row>
        <row r="1142">
          <cell r="A1142" t="str">
            <v>0011800798</v>
          </cell>
          <cell r="B1142" t="str">
            <v>显示面板-CEM-1</v>
          </cell>
        </row>
        <row r="1143">
          <cell r="A1143" t="str">
            <v>0011800801</v>
          </cell>
          <cell r="B1143" t="str">
            <v>室外电脑板-FR-4</v>
          </cell>
        </row>
        <row r="1144">
          <cell r="A1144" t="str">
            <v>0011800801A</v>
          </cell>
          <cell r="B1144" t="str">
            <v>一体机电脑板-FR-4</v>
          </cell>
        </row>
        <row r="1145">
          <cell r="A1145" t="str">
            <v>0011800801B</v>
          </cell>
          <cell r="B1145" t="str">
            <v>变频外电脑板-FR-4229mm×157mm单冷无PFC单电解交流风机毛细管</v>
          </cell>
        </row>
        <row r="1146">
          <cell r="A1146" t="str">
            <v>0011800801C</v>
          </cell>
          <cell r="B1146" t="str">
            <v>变频外电脑板-FR-4229mm×157mm单冷无PFC单电解交流风机毛细管</v>
          </cell>
        </row>
        <row r="1147">
          <cell r="A1147" t="str">
            <v>0011800801D</v>
          </cell>
          <cell r="B1147" t="str">
            <v>变频外电脑板-FR-4泰国9K单冷变频</v>
          </cell>
        </row>
        <row r="1148">
          <cell r="A1148" t="str">
            <v>0011800807</v>
          </cell>
          <cell r="B1148" t="str">
            <v>室内电脑板-FR-4</v>
          </cell>
        </row>
        <row r="1149">
          <cell r="A1149" t="str">
            <v>0011800807</v>
          </cell>
          <cell r="B1149" t="str">
            <v>室内电脑板-FR-4</v>
          </cell>
        </row>
        <row r="1150">
          <cell r="A1150" t="str">
            <v>0011800812</v>
          </cell>
          <cell r="B1150" t="str">
            <v>智能检测器-FR-4</v>
          </cell>
        </row>
        <row r="1151">
          <cell r="A1151" t="str">
            <v>0011800814AD</v>
          </cell>
          <cell r="B1151" t="str">
            <v>变频外电脑板-CEM-3</v>
          </cell>
        </row>
        <row r="1152">
          <cell r="A1152" t="str">
            <v>0011800814AE</v>
          </cell>
          <cell r="B1152" t="str">
            <v>室外电脑板-CEM-3</v>
          </cell>
        </row>
        <row r="1153">
          <cell r="A1153" t="str">
            <v>0011800814AW</v>
          </cell>
          <cell r="B1153" t="str">
            <v>变频外电脑板-FR-4/--</v>
          </cell>
        </row>
        <row r="1154">
          <cell r="A1154" t="str">
            <v>0011800814Q</v>
          </cell>
          <cell r="B1154" t="str">
            <v>室外电脑板-CEM-3---</v>
          </cell>
        </row>
        <row r="1155">
          <cell r="A1155" t="str">
            <v>0011800814X</v>
          </cell>
          <cell r="B1155" t="str">
            <v>室外电脑板-FR-4---</v>
          </cell>
        </row>
        <row r="1156">
          <cell r="A1156" t="str">
            <v>0011800819A</v>
          </cell>
          <cell r="B1156" t="str">
            <v>室外模块驱动板-FR-4---</v>
          </cell>
        </row>
        <row r="1157">
          <cell r="A1157" t="str">
            <v>0011800826</v>
          </cell>
          <cell r="B1157" t="str">
            <v>室内电脑板-CEM-1</v>
          </cell>
        </row>
        <row r="1158">
          <cell r="A1158" t="str">
            <v>0011800827</v>
          </cell>
          <cell r="B1158" t="str">
            <v>室外模块驱动板-FR-4---</v>
          </cell>
        </row>
        <row r="1159">
          <cell r="A1159" t="str">
            <v>0011800827A</v>
          </cell>
          <cell r="B1159" t="str">
            <v>变频外电脑板-/---</v>
          </cell>
        </row>
        <row r="1160">
          <cell r="A1160" t="str">
            <v>0011800827B</v>
          </cell>
          <cell r="B1160" t="str">
            <v>室外电脑板-FR-4</v>
          </cell>
        </row>
        <row r="1161">
          <cell r="A1161" t="str">
            <v>0011800827C</v>
          </cell>
          <cell r="B1161" t="str">
            <v>变频外电脑板-FR-4---</v>
          </cell>
        </row>
        <row r="1162">
          <cell r="A1162" t="str">
            <v>0011800827D</v>
          </cell>
          <cell r="B1162" t="str">
            <v>室外电脑板-/---</v>
          </cell>
        </row>
        <row r="1163">
          <cell r="A1163" t="str">
            <v>0011800827E</v>
          </cell>
          <cell r="B1163" t="str">
            <v>室外电脑板-/---</v>
          </cell>
        </row>
        <row r="1164">
          <cell r="A1164" t="str">
            <v>0011800827F</v>
          </cell>
          <cell r="B1164" t="str">
            <v>变频外电脑板-/</v>
          </cell>
        </row>
        <row r="1165">
          <cell r="A1165" t="str">
            <v>0011800827G</v>
          </cell>
          <cell r="B1165" t="str">
            <v>电脑板-/293mm×181mm</v>
          </cell>
        </row>
        <row r="1166">
          <cell r="A1166" t="str">
            <v>0011800827H</v>
          </cell>
          <cell r="B1166" t="str">
            <v>室外电脑板-FR-4293×181--</v>
          </cell>
        </row>
        <row r="1167">
          <cell r="A1167" t="str">
            <v>0011800827K</v>
          </cell>
          <cell r="B1167" t="str">
            <v>室外电脑板-FR-4293×181</v>
          </cell>
        </row>
        <row r="1168">
          <cell r="A1168" t="str">
            <v>0011800827N</v>
          </cell>
          <cell r="B1168" t="str">
            <v>室外电脑板-FR-4293×181</v>
          </cell>
        </row>
        <row r="1169">
          <cell r="A1169" t="str">
            <v>0011800827P</v>
          </cell>
          <cell r="B1169" t="str">
            <v>电脑板-/293mm×181mm</v>
          </cell>
        </row>
        <row r="1170">
          <cell r="A1170" t="str">
            <v>0011800827S</v>
          </cell>
          <cell r="B1170" t="str">
            <v>电脑板-/293mm×181mm</v>
          </cell>
        </row>
        <row r="1171">
          <cell r="A1171" t="str">
            <v>0011800827T</v>
          </cell>
          <cell r="B1171" t="str">
            <v>电脑板-/293mm×181mm</v>
          </cell>
        </row>
        <row r="1172">
          <cell r="A1172" t="str">
            <v>0011800827W</v>
          </cell>
          <cell r="B1172" t="str">
            <v>变频外电脑板-/293mm×181mm</v>
          </cell>
        </row>
        <row r="1173">
          <cell r="A1173" t="str">
            <v>0011800827X</v>
          </cell>
          <cell r="B1173" t="str">
            <v>变频外电脑板-/293mm×181mm</v>
          </cell>
        </row>
        <row r="1174">
          <cell r="A1174" t="str">
            <v>0011800827Y</v>
          </cell>
          <cell r="B1174" t="str">
            <v>变频外电脑板-FR-4</v>
          </cell>
        </row>
        <row r="1175">
          <cell r="A1175" t="str">
            <v>0011800827Z</v>
          </cell>
          <cell r="B1175" t="str">
            <v>变频外电脑板-/293mm×181mm</v>
          </cell>
        </row>
        <row r="1176">
          <cell r="A1176" t="str">
            <v>0011800828</v>
          </cell>
          <cell r="B1176" t="str">
            <v>室内电脑板-/---</v>
          </cell>
        </row>
        <row r="1177">
          <cell r="A1177" t="str">
            <v>0011800828A</v>
          </cell>
          <cell r="B1177" t="str">
            <v>室内电脑板-/</v>
          </cell>
        </row>
        <row r="1178">
          <cell r="A1178" t="str">
            <v>0011800828B</v>
          </cell>
          <cell r="B1178" t="str">
            <v>室内电脑板-FR-4/</v>
          </cell>
        </row>
        <row r="1179">
          <cell r="A1179" t="str">
            <v>0011800828C</v>
          </cell>
          <cell r="B1179" t="str">
            <v>室内电脑板-//</v>
          </cell>
        </row>
        <row r="1180">
          <cell r="A1180" t="str">
            <v>0011800828D</v>
          </cell>
          <cell r="B1180" t="str">
            <v>室内电脑板-/</v>
          </cell>
        </row>
        <row r="1181">
          <cell r="A1181" t="str">
            <v>0011800828E</v>
          </cell>
          <cell r="B1181" t="str">
            <v>室内电脑板-/</v>
          </cell>
        </row>
        <row r="1182">
          <cell r="A1182" t="str">
            <v>0011800828F</v>
          </cell>
          <cell r="B1182" t="str">
            <v>室内电脑板-/</v>
          </cell>
        </row>
        <row r="1183">
          <cell r="A1183" t="str">
            <v>0011800828G</v>
          </cell>
          <cell r="B1183" t="str">
            <v>室内电脑板-//</v>
          </cell>
        </row>
        <row r="1184">
          <cell r="A1184" t="str">
            <v>0011800828H</v>
          </cell>
          <cell r="B1184" t="str">
            <v>室内电脑板-/</v>
          </cell>
        </row>
        <row r="1185">
          <cell r="A1185" t="str">
            <v>0011800828H</v>
          </cell>
          <cell r="B1185" t="str">
            <v>室内电脑板-/</v>
          </cell>
        </row>
        <row r="1186">
          <cell r="A1186" t="str">
            <v>0011800832</v>
          </cell>
          <cell r="B1186" t="str">
            <v>室内电脑板-CEM-3</v>
          </cell>
        </row>
        <row r="1187">
          <cell r="A1187" t="str">
            <v>0011800832B</v>
          </cell>
          <cell r="B1187" t="str">
            <v>室内电脑板-/---</v>
          </cell>
        </row>
        <row r="1188">
          <cell r="A1188" t="str">
            <v>0011800832C</v>
          </cell>
          <cell r="B1188" t="str">
            <v>室内电脑板-CEM-1//</v>
          </cell>
        </row>
        <row r="1189">
          <cell r="A1189" t="str">
            <v>0011800832F</v>
          </cell>
          <cell r="B1189" t="str">
            <v>室内电脑板-/室内电脑板</v>
          </cell>
        </row>
        <row r="1190">
          <cell r="A1190" t="str">
            <v>0011800832FL</v>
          </cell>
          <cell r="B1190" t="str">
            <v>室内电脑板-CEM-3CEM-3&lt;CEM-3&gt;</v>
          </cell>
        </row>
        <row r="1191">
          <cell r="A1191" t="str">
            <v>0011800832H</v>
          </cell>
          <cell r="B1191" t="str">
            <v>室内电脑板-CEM-3CEM-3&lt;CEM-3&gt;</v>
          </cell>
        </row>
        <row r="1192">
          <cell r="A1192" t="str">
            <v>0011800832H</v>
          </cell>
          <cell r="B1192" t="str">
            <v>室内电脑板-CEM-3CEM-3&lt;CEM-3&gt;</v>
          </cell>
        </row>
        <row r="1193">
          <cell r="A1193" t="str">
            <v>0011800832L</v>
          </cell>
          <cell r="B1193" t="str">
            <v>室内电脑板-CEM-1//</v>
          </cell>
        </row>
        <row r="1194">
          <cell r="A1194" t="str">
            <v>0011800832N</v>
          </cell>
          <cell r="B1194" t="str">
            <v>室内电脑板-CEM-1//</v>
          </cell>
        </row>
        <row r="1195">
          <cell r="A1195" t="str">
            <v>0011800832Q</v>
          </cell>
          <cell r="B1195" t="str">
            <v>室内电脑板-/室内电脑板</v>
          </cell>
        </row>
        <row r="1196">
          <cell r="A1196" t="str">
            <v>0011800832Q</v>
          </cell>
          <cell r="B1196" t="str">
            <v>室内电脑板-/室内电脑板</v>
          </cell>
        </row>
        <row r="1197">
          <cell r="A1197" t="str">
            <v>0011800832Y</v>
          </cell>
          <cell r="B1197" t="str">
            <v>室内电脑板-/室内电脑板</v>
          </cell>
        </row>
        <row r="1198">
          <cell r="A1198" t="str">
            <v>0011800832Z</v>
          </cell>
          <cell r="B1198" t="str">
            <v>室内电脑板-/室内电脑板</v>
          </cell>
        </row>
        <row r="1199">
          <cell r="A1199" t="str">
            <v>0011800834A</v>
          </cell>
          <cell r="B1199" t="str">
            <v>显示板-CEM-3</v>
          </cell>
        </row>
        <row r="1200">
          <cell r="A1200" t="str">
            <v>0011800834E</v>
          </cell>
          <cell r="B1200" t="str">
            <v>显示板-LED</v>
          </cell>
        </row>
        <row r="1201">
          <cell r="A1201" t="str">
            <v>0011800835</v>
          </cell>
          <cell r="B1201" t="str">
            <v>室内电脑板-CEM-1---</v>
          </cell>
        </row>
        <row r="1202">
          <cell r="A1202" t="str">
            <v>0011800835A</v>
          </cell>
          <cell r="B1202" t="str">
            <v>室内电脑板-CEM-1</v>
          </cell>
        </row>
        <row r="1203">
          <cell r="A1203" t="str">
            <v>0011800835F</v>
          </cell>
          <cell r="B1203" t="str">
            <v>室内电脑板-CEM-1/</v>
          </cell>
        </row>
        <row r="1204">
          <cell r="A1204" t="str">
            <v>0011800847</v>
          </cell>
          <cell r="B1204" t="str">
            <v>室外电脑板-/</v>
          </cell>
        </row>
        <row r="1205">
          <cell r="A1205" t="str">
            <v>0011800850</v>
          </cell>
          <cell r="B1205" t="str">
            <v>室外电脑板-FR-4</v>
          </cell>
        </row>
        <row r="1206">
          <cell r="A1206" t="str">
            <v>0011800850</v>
          </cell>
          <cell r="B1206" t="str">
            <v>室外电脑板-FR-4</v>
          </cell>
        </row>
        <row r="1207">
          <cell r="A1207" t="str">
            <v>0011800851A</v>
          </cell>
          <cell r="B1207" t="str">
            <v>室外电脑板-CEM-3---</v>
          </cell>
        </row>
        <row r="1208">
          <cell r="A1208" t="str">
            <v>0011800865A</v>
          </cell>
          <cell r="B1208" t="str">
            <v>室外模块驱动板-FR-4</v>
          </cell>
        </row>
        <row r="1209">
          <cell r="A1209" t="str">
            <v>0011800865B</v>
          </cell>
          <cell r="B1209" t="str">
            <v>室外模块驱动板-FR-4</v>
          </cell>
        </row>
        <row r="1210">
          <cell r="A1210" t="str">
            <v>0011800865C</v>
          </cell>
          <cell r="B1210" t="str">
            <v>室外模块驱动板-FR-4</v>
          </cell>
        </row>
        <row r="1211">
          <cell r="A1211" t="str">
            <v>0011800865D</v>
          </cell>
          <cell r="B1211" t="str">
            <v>室外模块驱动板-FR-4</v>
          </cell>
        </row>
        <row r="1212">
          <cell r="A1212" t="str">
            <v>0011800865L</v>
          </cell>
          <cell r="B1212" t="str">
            <v>功率驱动板-FR-4/</v>
          </cell>
        </row>
        <row r="1213">
          <cell r="A1213" t="str">
            <v>0011800865M</v>
          </cell>
          <cell r="B1213" t="str">
            <v>功率驱动板-FR-4/</v>
          </cell>
        </row>
        <row r="1214">
          <cell r="A1214" t="str">
            <v>0011800865N</v>
          </cell>
          <cell r="B1214" t="str">
            <v>功率驱动板-FR-4/</v>
          </cell>
        </row>
        <row r="1215">
          <cell r="A1215" t="str">
            <v>0011800879</v>
          </cell>
          <cell r="B1215" t="str">
            <v>变频外电脑板-FR-4</v>
          </cell>
        </row>
        <row r="1216">
          <cell r="A1216" t="str">
            <v>0011800879A</v>
          </cell>
          <cell r="B1216" t="str">
            <v>室外电脑板-FR-4---</v>
          </cell>
        </row>
        <row r="1217">
          <cell r="A1217" t="str">
            <v>0011800879B</v>
          </cell>
          <cell r="B1217" t="str">
            <v>室外电脑板-FR-4---</v>
          </cell>
        </row>
        <row r="1218">
          <cell r="A1218" t="str">
            <v>0011800879C</v>
          </cell>
          <cell r="B1218" t="str">
            <v>室外电脑板-FR-4280*157</v>
          </cell>
        </row>
        <row r="1219">
          <cell r="A1219" t="str">
            <v>0011800879D</v>
          </cell>
          <cell r="B1219" t="str">
            <v>室外电脑板-FR-4280*157</v>
          </cell>
        </row>
        <row r="1220">
          <cell r="A1220" t="str">
            <v>0011800879E</v>
          </cell>
          <cell r="B1220" t="str">
            <v>室外电脑板-FR-4/--</v>
          </cell>
        </row>
        <row r="1221">
          <cell r="A1221" t="str">
            <v>0011800879F</v>
          </cell>
          <cell r="B1221" t="str">
            <v>室外电脑板-FR-4/--</v>
          </cell>
        </row>
        <row r="1222">
          <cell r="A1222" t="str">
            <v>0011800879G</v>
          </cell>
          <cell r="B1222" t="str">
            <v>室外电脑板-FR-4室外电脑板</v>
          </cell>
        </row>
        <row r="1223">
          <cell r="A1223" t="str">
            <v>0011800879H</v>
          </cell>
          <cell r="B1223" t="str">
            <v>室外电脑板-FR-4室外电脑板</v>
          </cell>
        </row>
        <row r="1224">
          <cell r="A1224" t="str">
            <v>0011800879J</v>
          </cell>
          <cell r="B1224" t="str">
            <v>室外电脑板-FR-4室外电脑板</v>
          </cell>
        </row>
        <row r="1225">
          <cell r="A1225" t="str">
            <v>0011800879L</v>
          </cell>
          <cell r="B1225" t="str">
            <v>室外电脑板-FR-4室外电脑板</v>
          </cell>
        </row>
        <row r="1226">
          <cell r="A1226" t="str">
            <v>0011800879N</v>
          </cell>
          <cell r="B1226" t="str">
            <v>变频外电脑板-FR-4室外电脑板</v>
          </cell>
        </row>
        <row r="1227">
          <cell r="A1227" t="str">
            <v>0011800879P</v>
          </cell>
          <cell r="B1227" t="str">
            <v>变频外电脑板-FR-4室外电脑板</v>
          </cell>
        </row>
        <row r="1228">
          <cell r="A1228" t="str">
            <v>0011800882</v>
          </cell>
          <cell r="B1228" t="str">
            <v>室内电脑板-CEM-1---</v>
          </cell>
        </row>
        <row r="1229">
          <cell r="A1229" t="str">
            <v>0011800888</v>
          </cell>
          <cell r="B1229" t="str">
            <v>室内电脑板-FR-4---</v>
          </cell>
        </row>
        <row r="1230">
          <cell r="A1230" t="str">
            <v>0011800909</v>
          </cell>
          <cell r="B1230" t="str">
            <v>室内电脑板-CEM-3---</v>
          </cell>
        </row>
        <row r="1231">
          <cell r="A1231" t="str">
            <v>0011800909B</v>
          </cell>
          <cell r="B1231" t="str">
            <v>室内电脑板-CEM-3</v>
          </cell>
        </row>
        <row r="1232">
          <cell r="A1232" t="str">
            <v>0011800909E</v>
          </cell>
          <cell r="B1232" t="str">
            <v>室内电脑板-CEM-3</v>
          </cell>
        </row>
        <row r="1233">
          <cell r="A1233" t="str">
            <v>0011800909F</v>
          </cell>
          <cell r="B1233" t="str">
            <v>室内电脑板-CEM-3</v>
          </cell>
        </row>
        <row r="1234">
          <cell r="A1234" t="str">
            <v>0011800909G</v>
          </cell>
          <cell r="B1234" t="str">
            <v>室内电脑板-CEM-3</v>
          </cell>
        </row>
        <row r="1235">
          <cell r="A1235" t="str">
            <v>0011800922</v>
          </cell>
          <cell r="B1235" t="str">
            <v>室外模块驱动板-通用---</v>
          </cell>
        </row>
        <row r="1236">
          <cell r="A1236" t="str">
            <v>0011800922</v>
          </cell>
          <cell r="B1236" t="str">
            <v>室外模块驱动板-通用---</v>
          </cell>
        </row>
        <row r="1237">
          <cell r="A1237" t="str">
            <v>0011800923</v>
          </cell>
          <cell r="B1237" t="str">
            <v>室内电脑板-CEM-1---</v>
          </cell>
        </row>
        <row r="1238">
          <cell r="A1238" t="str">
            <v>0011800923A</v>
          </cell>
          <cell r="B1238" t="str">
            <v>室内电脑板-CEM-1/</v>
          </cell>
        </row>
        <row r="1239">
          <cell r="A1239" t="str">
            <v>0011800923A</v>
          </cell>
          <cell r="B1239" t="str">
            <v>室内电脑板-CEM-1/</v>
          </cell>
        </row>
        <row r="1240">
          <cell r="A1240" t="str">
            <v>0011800923B</v>
          </cell>
          <cell r="B1240" t="str">
            <v>室内电脑板-CEM-1电脑板尺寸为105*208</v>
          </cell>
        </row>
        <row r="1241">
          <cell r="A1241" t="str">
            <v>0011800923B</v>
          </cell>
          <cell r="B1241" t="str">
            <v>室内电脑板-CEM-1电脑板尺寸为105*208</v>
          </cell>
        </row>
        <row r="1242">
          <cell r="A1242" t="str">
            <v>0011800923C</v>
          </cell>
          <cell r="B1242" t="str">
            <v>室内电脑板-CEM-1电脑板尺寸为105*208</v>
          </cell>
        </row>
        <row r="1243">
          <cell r="A1243" t="str">
            <v>0011800923D</v>
          </cell>
          <cell r="B1243" t="str">
            <v>室内电脑板-CEM-1电脑板尺寸为105*208</v>
          </cell>
        </row>
        <row r="1244">
          <cell r="A1244" t="str">
            <v>0011800923F</v>
          </cell>
          <cell r="B1244" t="str">
            <v>室内电脑板-CEM-1电脑板尺寸为105*208</v>
          </cell>
        </row>
        <row r="1245">
          <cell r="A1245" t="str">
            <v>0011800923G</v>
          </cell>
          <cell r="B1245" t="str">
            <v>室内电脑板-CEM-1电脑板尺寸为105*208</v>
          </cell>
        </row>
        <row r="1246">
          <cell r="A1246" t="str">
            <v>0011800930</v>
          </cell>
          <cell r="B1246" t="str">
            <v>室外电脑板-CEM-3---</v>
          </cell>
        </row>
        <row r="1247">
          <cell r="A1247" t="str">
            <v>0011800930A</v>
          </cell>
          <cell r="B1247" t="str">
            <v>室外电脑板-CEM-3</v>
          </cell>
        </row>
        <row r="1248">
          <cell r="A1248" t="str">
            <v>0011800930B</v>
          </cell>
          <cell r="B1248" t="str">
            <v>室外电脑板-CEM-3---</v>
          </cell>
        </row>
        <row r="1249">
          <cell r="A1249" t="str">
            <v>0011800930G</v>
          </cell>
          <cell r="B1249" t="str">
            <v>室外电脑板-CEM-3/--</v>
          </cell>
        </row>
        <row r="1250">
          <cell r="A1250" t="str">
            <v>0011800930H</v>
          </cell>
          <cell r="B1250" t="str">
            <v>室外电脑板-CEM-3/--</v>
          </cell>
        </row>
        <row r="1251">
          <cell r="A1251" t="str">
            <v>0011800930J</v>
          </cell>
          <cell r="B1251" t="str">
            <v>室外电脑板-CEM-3\</v>
          </cell>
        </row>
        <row r="1252">
          <cell r="A1252" t="str">
            <v>0011800932A</v>
          </cell>
          <cell r="B1252" t="str">
            <v>变频外电脑板-FR-4270*180</v>
          </cell>
        </row>
        <row r="1253">
          <cell r="A1253" t="str">
            <v>0011800932A</v>
          </cell>
          <cell r="B1253" t="str">
            <v>变频外电脑板-FR-4270*180</v>
          </cell>
        </row>
        <row r="1254">
          <cell r="A1254" t="str">
            <v>0011800932AG</v>
          </cell>
          <cell r="B1254" t="str">
            <v>变频外电脑板-FR-4270*180</v>
          </cell>
        </row>
        <row r="1255">
          <cell r="A1255" t="str">
            <v>0011800932AG</v>
          </cell>
          <cell r="B1255" t="str">
            <v>变频外电脑板-FR-4270*180</v>
          </cell>
        </row>
        <row r="1256">
          <cell r="A1256" t="str">
            <v>0011800932D</v>
          </cell>
          <cell r="B1256" t="str">
            <v>变频外电脑板-FR-4270*180</v>
          </cell>
        </row>
        <row r="1257">
          <cell r="A1257" t="str">
            <v>0011800932W</v>
          </cell>
          <cell r="B1257" t="str">
            <v>室外电脑板-/270*180</v>
          </cell>
        </row>
        <row r="1258">
          <cell r="A1258" t="str">
            <v>0011800932W</v>
          </cell>
          <cell r="B1258" t="str">
            <v>室外电脑板-/270*180</v>
          </cell>
        </row>
        <row r="1259">
          <cell r="A1259" t="str">
            <v>0011800932Y</v>
          </cell>
          <cell r="B1259" t="str">
            <v>变频外电脑板-FR-4/</v>
          </cell>
        </row>
        <row r="1260">
          <cell r="A1260" t="str">
            <v>0011800932Y</v>
          </cell>
          <cell r="B1260" t="str">
            <v>变频外电脑板-FR-4/</v>
          </cell>
        </row>
        <row r="1261">
          <cell r="A1261" t="str">
            <v>0011800933F</v>
          </cell>
          <cell r="B1261" t="str">
            <v>变频外电脑板-FR-4215mm*157mm</v>
          </cell>
        </row>
        <row r="1262">
          <cell r="A1262" t="str">
            <v>0011800933S</v>
          </cell>
          <cell r="B1262" t="str">
            <v>变频外电脑板-FR-4215mm*157mm</v>
          </cell>
        </row>
        <row r="1263">
          <cell r="A1263" t="str">
            <v>0011800933Y</v>
          </cell>
          <cell r="B1263" t="str">
            <v>变频外电脑板-FR-4215mm*157mm</v>
          </cell>
        </row>
        <row r="1264">
          <cell r="A1264" t="str">
            <v>0011800950B</v>
          </cell>
          <cell r="B1264" t="str">
            <v>显示板-/</v>
          </cell>
        </row>
        <row r="1265">
          <cell r="A1265" t="str">
            <v>0011800950H</v>
          </cell>
          <cell r="B1265" t="str">
            <v>显示板-CEM-1</v>
          </cell>
        </row>
        <row r="1266">
          <cell r="A1266" t="str">
            <v>0011800950H</v>
          </cell>
          <cell r="B1266" t="str">
            <v>显示板-CEM-1</v>
          </cell>
        </row>
        <row r="1267">
          <cell r="A1267" t="str">
            <v>0011800951</v>
          </cell>
          <cell r="B1267" t="str">
            <v>一体机电脑板-CEM-1---</v>
          </cell>
        </row>
        <row r="1268">
          <cell r="A1268" t="str">
            <v>0011800951D</v>
          </cell>
          <cell r="B1268" t="str">
            <v>一体机电脑板-CEM-1</v>
          </cell>
        </row>
        <row r="1269">
          <cell r="A1269" t="str">
            <v>0011800966A</v>
          </cell>
          <cell r="B1269" t="str">
            <v>室外电脑板-FR-1---</v>
          </cell>
        </row>
        <row r="1270">
          <cell r="A1270" t="str">
            <v>0011800967</v>
          </cell>
          <cell r="B1270" t="str">
            <v>弱电板-FR-4</v>
          </cell>
        </row>
        <row r="1271">
          <cell r="A1271" t="str">
            <v>0011800967A</v>
          </cell>
          <cell r="B1271" t="str">
            <v>弱电板-FR-4/</v>
          </cell>
        </row>
        <row r="1272">
          <cell r="A1272" t="str">
            <v>0011800967B</v>
          </cell>
          <cell r="B1272" t="str">
            <v>室内电脑板-FR-4/</v>
          </cell>
        </row>
        <row r="1273">
          <cell r="A1273" t="str">
            <v>0011800967C</v>
          </cell>
          <cell r="B1273" t="str">
            <v>室内电脑板-FR-4/</v>
          </cell>
        </row>
        <row r="1274">
          <cell r="A1274" t="str">
            <v>0011800970</v>
          </cell>
          <cell r="B1274" t="str">
            <v>变频外电脑板-通用23T直流变频--</v>
          </cell>
        </row>
        <row r="1275">
          <cell r="A1275" t="str">
            <v>0011800970AG</v>
          </cell>
          <cell r="B1275" t="str">
            <v>变频外电脑板-FR-423T直流变频</v>
          </cell>
        </row>
        <row r="1276">
          <cell r="A1276" t="str">
            <v>0011800970AG</v>
          </cell>
          <cell r="B1276" t="str">
            <v>变频外电脑板-FR-423T直流变频</v>
          </cell>
        </row>
        <row r="1277">
          <cell r="A1277" t="str">
            <v>0011800970N</v>
          </cell>
          <cell r="B1277" t="str">
            <v>变频外电脑板-通用23T直流变频</v>
          </cell>
        </row>
        <row r="1278">
          <cell r="A1278" t="str">
            <v>0011800970N</v>
          </cell>
          <cell r="B1278" t="str">
            <v>变频外电脑板-通用23T直流变频</v>
          </cell>
        </row>
        <row r="1279">
          <cell r="A1279" t="str">
            <v>0011800970P</v>
          </cell>
          <cell r="B1279" t="str">
            <v>变频外电脑板-通用23T直流变频</v>
          </cell>
        </row>
        <row r="1280">
          <cell r="A1280" t="str">
            <v>0011800970P</v>
          </cell>
          <cell r="B1280" t="str">
            <v>变频外电脑板-通用23T直流变频</v>
          </cell>
        </row>
        <row r="1281">
          <cell r="A1281" t="str">
            <v>0011800970SLA</v>
          </cell>
          <cell r="B1281" t="str">
            <v>变频外电脑板-FR-423T直流变频</v>
          </cell>
        </row>
        <row r="1282">
          <cell r="A1282" t="str">
            <v>0011800970SLA</v>
          </cell>
          <cell r="B1282" t="str">
            <v>变频外电脑板-FR-423T直流变频</v>
          </cell>
        </row>
        <row r="1283">
          <cell r="A1283" t="str">
            <v>0011800977</v>
          </cell>
          <cell r="B1283" t="str">
            <v>室内电脑板-CEM-1/</v>
          </cell>
        </row>
        <row r="1284">
          <cell r="A1284" t="str">
            <v>0011800977</v>
          </cell>
          <cell r="B1284" t="str">
            <v>室内电脑板-CEM-1/</v>
          </cell>
        </row>
        <row r="1285">
          <cell r="A1285" t="str">
            <v>0011800977A</v>
          </cell>
          <cell r="B1285" t="str">
            <v>电脑板-CEM-1/</v>
          </cell>
        </row>
        <row r="1286">
          <cell r="A1286" t="str">
            <v>0011800977AA</v>
          </cell>
          <cell r="B1286" t="str">
            <v>室内电脑板-FR-4</v>
          </cell>
        </row>
        <row r="1287">
          <cell r="A1287" t="str">
            <v>0011800977AA</v>
          </cell>
          <cell r="B1287" t="str">
            <v>室内电脑板-FR-4</v>
          </cell>
        </row>
        <row r="1288">
          <cell r="A1288" t="str">
            <v>0011800977B</v>
          </cell>
          <cell r="B1288" t="str">
            <v>室内电脑板-CEM-1/</v>
          </cell>
        </row>
        <row r="1289">
          <cell r="A1289" t="str">
            <v>0011800977C</v>
          </cell>
          <cell r="B1289" t="str">
            <v>室内电脑板-CEM-1/</v>
          </cell>
        </row>
        <row r="1290">
          <cell r="A1290" t="str">
            <v>0011800977H</v>
          </cell>
          <cell r="B1290" t="str">
            <v>室内电脑板-CEM-1/</v>
          </cell>
        </row>
        <row r="1291">
          <cell r="A1291" t="str">
            <v>0011800977J</v>
          </cell>
          <cell r="B1291" t="str">
            <v>室内电脑板-CEM-1/</v>
          </cell>
        </row>
        <row r="1292">
          <cell r="A1292" t="str">
            <v>0011800977K</v>
          </cell>
          <cell r="B1292" t="str">
            <v>室内电脑板-CEM-1/</v>
          </cell>
        </row>
        <row r="1293">
          <cell r="A1293" t="str">
            <v>0011800977P</v>
          </cell>
          <cell r="B1293" t="str">
            <v>室内电脑板-CEM-1/</v>
          </cell>
        </row>
        <row r="1294">
          <cell r="A1294" t="str">
            <v>0011800977R</v>
          </cell>
          <cell r="B1294" t="str">
            <v>室内电脑板-CEM-1/</v>
          </cell>
        </row>
        <row r="1295">
          <cell r="A1295" t="str">
            <v>0011800977S</v>
          </cell>
          <cell r="B1295" t="str">
            <v>室内电脑板-CEM-1/</v>
          </cell>
        </row>
        <row r="1296">
          <cell r="A1296" t="str">
            <v>0011800977T</v>
          </cell>
          <cell r="B1296" t="str">
            <v>室内电脑板-CEM-1/</v>
          </cell>
        </row>
        <row r="1297">
          <cell r="A1297" t="str">
            <v>0011800977W</v>
          </cell>
          <cell r="B1297" t="str">
            <v>室内电脑板-CEM-1/</v>
          </cell>
        </row>
        <row r="1298">
          <cell r="A1298" t="str">
            <v>0011800977W</v>
          </cell>
          <cell r="B1298" t="str">
            <v>室内电脑板-CEM-1/</v>
          </cell>
        </row>
        <row r="1299">
          <cell r="A1299" t="str">
            <v>0011800977X</v>
          </cell>
          <cell r="B1299" t="str">
            <v>室内电脑板-CEM-1/</v>
          </cell>
        </row>
        <row r="1300">
          <cell r="A1300" t="str">
            <v>0011800977X</v>
          </cell>
          <cell r="B1300" t="str">
            <v>室内电脑板-CEM-1/</v>
          </cell>
        </row>
        <row r="1301">
          <cell r="A1301" t="str">
            <v>0011800978</v>
          </cell>
          <cell r="B1301" t="str">
            <v>室内电脑板-CEM-3165*136mm--</v>
          </cell>
        </row>
        <row r="1302">
          <cell r="A1302" t="str">
            <v>0011800978A</v>
          </cell>
          <cell r="B1302" t="str">
            <v>室内电脑板-CEM-3165*136mm</v>
          </cell>
        </row>
        <row r="1303">
          <cell r="A1303" t="str">
            <v>0011800980</v>
          </cell>
          <cell r="B1303" t="str">
            <v>室内电脑板-FR-4136*165--</v>
          </cell>
        </row>
        <row r="1304">
          <cell r="A1304" t="str">
            <v>0011800980A</v>
          </cell>
          <cell r="B1304" t="str">
            <v>室内电脑板-FR-4F平台内机板</v>
          </cell>
        </row>
        <row r="1305">
          <cell r="A1305" t="str">
            <v>0011800980B</v>
          </cell>
          <cell r="B1305" t="str">
            <v>室内电脑板-FR-4F平台内机板</v>
          </cell>
        </row>
        <row r="1306">
          <cell r="A1306" t="str">
            <v>0011800980C</v>
          </cell>
          <cell r="B1306" t="str">
            <v>室内电脑板-FR-4F平台内机板</v>
          </cell>
        </row>
        <row r="1307">
          <cell r="A1307" t="str">
            <v>0011800980D</v>
          </cell>
          <cell r="B1307" t="str">
            <v>室内电脑板-FR-4136*165</v>
          </cell>
        </row>
        <row r="1308">
          <cell r="A1308" t="str">
            <v>0011800980E</v>
          </cell>
          <cell r="B1308" t="str">
            <v>室内电脑板-FR-4P平台内机板</v>
          </cell>
        </row>
        <row r="1309">
          <cell r="A1309" t="str">
            <v>0011800980E</v>
          </cell>
          <cell r="B1309" t="str">
            <v>室内电脑板-FR-4P平台内机板</v>
          </cell>
        </row>
        <row r="1310">
          <cell r="A1310" t="str">
            <v>0011800980F</v>
          </cell>
          <cell r="B1310" t="str">
            <v>室内电脑板-FR-4P平台内机板</v>
          </cell>
        </row>
        <row r="1311">
          <cell r="A1311" t="str">
            <v>0011800980F</v>
          </cell>
          <cell r="B1311" t="str">
            <v>室内电脑板-FR-4P平台内机板</v>
          </cell>
        </row>
        <row r="1312">
          <cell r="A1312" t="str">
            <v>0011800980G</v>
          </cell>
          <cell r="B1312" t="str">
            <v>室内电脑板-FR-4P平台内机板</v>
          </cell>
        </row>
        <row r="1313">
          <cell r="A1313" t="str">
            <v>0011800980G</v>
          </cell>
          <cell r="B1313" t="str">
            <v>室内电脑板-FR-4P平台内机板</v>
          </cell>
        </row>
        <row r="1314">
          <cell r="A1314" t="str">
            <v>0011800980H</v>
          </cell>
          <cell r="B1314" t="str">
            <v>室内电脑板-/</v>
          </cell>
        </row>
        <row r="1315">
          <cell r="A1315" t="str">
            <v>0011800980J</v>
          </cell>
          <cell r="B1315" t="str">
            <v>室内电脑板-FR-4P平台内机板</v>
          </cell>
        </row>
        <row r="1316">
          <cell r="A1316" t="str">
            <v>0011800980K</v>
          </cell>
          <cell r="B1316" t="str">
            <v>室内电脑板-FR-4P平台内机板</v>
          </cell>
        </row>
        <row r="1317">
          <cell r="A1317" t="str">
            <v>0011800980M</v>
          </cell>
          <cell r="B1317" t="str">
            <v>室内电脑板-FR-4P平台内机板</v>
          </cell>
        </row>
        <row r="1318">
          <cell r="A1318" t="str">
            <v>0011800980M</v>
          </cell>
          <cell r="B1318" t="str">
            <v>室内电脑板-FR-4P平台内机板</v>
          </cell>
        </row>
        <row r="1319">
          <cell r="A1319" t="str">
            <v>0011800980P</v>
          </cell>
          <cell r="B1319" t="str">
            <v>室内电脑板-FR-4P平台内机板</v>
          </cell>
        </row>
        <row r="1320">
          <cell r="A1320" t="str">
            <v>0011800980P</v>
          </cell>
          <cell r="B1320" t="str">
            <v>室内电脑板-FR-4P平台内机板</v>
          </cell>
        </row>
        <row r="1321">
          <cell r="A1321" t="str">
            <v>0011800981</v>
          </cell>
          <cell r="B1321" t="str">
            <v>变频外电脑板-FR-4230*196</v>
          </cell>
        </row>
        <row r="1322">
          <cell r="A1322" t="str">
            <v>0011800981A</v>
          </cell>
          <cell r="B1322" t="str">
            <v>室外电脑板-CEM-3272.5*181mm</v>
          </cell>
        </row>
        <row r="1323">
          <cell r="A1323" t="str">
            <v>0011800981B</v>
          </cell>
          <cell r="B1323" t="str">
            <v>变频外电脑板-FR-4230*196</v>
          </cell>
        </row>
        <row r="1324">
          <cell r="A1324" t="str">
            <v>0011800981C</v>
          </cell>
          <cell r="B1324" t="str">
            <v>变频外电脑板-FR-4230*196</v>
          </cell>
        </row>
        <row r="1325">
          <cell r="A1325" t="str">
            <v>0011800981D</v>
          </cell>
          <cell r="B1325" t="str">
            <v>变频外电脑板-FR-4230*196</v>
          </cell>
        </row>
        <row r="1326">
          <cell r="A1326" t="str">
            <v>0011800981E</v>
          </cell>
          <cell r="B1326" t="str">
            <v>变频外电脑板-FR-4230*196</v>
          </cell>
        </row>
        <row r="1327">
          <cell r="A1327" t="str">
            <v>0011800981H</v>
          </cell>
          <cell r="B1327" t="str">
            <v>变频外电脑板-FR-4230*196</v>
          </cell>
        </row>
        <row r="1328">
          <cell r="A1328" t="str">
            <v>0011800989</v>
          </cell>
          <cell r="B1328" t="str">
            <v>显示板-FR-456*100--</v>
          </cell>
        </row>
        <row r="1329">
          <cell r="A1329" t="str">
            <v>0011800989</v>
          </cell>
          <cell r="B1329" t="str">
            <v>显示板-FR-456*100--</v>
          </cell>
        </row>
        <row r="1330">
          <cell r="A1330" t="str">
            <v>0011800989</v>
          </cell>
          <cell r="B1330" t="str">
            <v>显示板-FR-456*100--</v>
          </cell>
        </row>
        <row r="1331">
          <cell r="A1331" t="str">
            <v>0011800989A</v>
          </cell>
          <cell r="B1331" t="str">
            <v>电脑板-FR-456*100--</v>
          </cell>
        </row>
        <row r="1332">
          <cell r="A1332" t="str">
            <v>0011800989C</v>
          </cell>
          <cell r="B1332" t="str">
            <v>显示板-FR-4</v>
          </cell>
        </row>
        <row r="1333">
          <cell r="A1333" t="str">
            <v>0011800989C</v>
          </cell>
          <cell r="B1333" t="str">
            <v>显示板-FR-4</v>
          </cell>
        </row>
        <row r="1334">
          <cell r="A1334" t="str">
            <v>0011800997A</v>
          </cell>
          <cell r="B1334" t="str">
            <v>室外电脑板-FR-4变频室外马达双驱动+高频PFC方案用电脑板</v>
          </cell>
        </row>
        <row r="1335">
          <cell r="A1335" t="str">
            <v>0011800997A</v>
          </cell>
          <cell r="B1335" t="str">
            <v>室外电脑板-FR-4变频室外马达双驱动+高频PFC方案用电脑板</v>
          </cell>
        </row>
        <row r="1336">
          <cell r="A1336" t="str">
            <v>0011800997AK</v>
          </cell>
          <cell r="B1336" t="str">
            <v>变频外电脑板-/</v>
          </cell>
        </row>
        <row r="1337">
          <cell r="A1337" t="str">
            <v>0011800997AK</v>
          </cell>
          <cell r="B1337" t="str">
            <v>变频外电脑板-/</v>
          </cell>
        </row>
        <row r="1338">
          <cell r="A1338" t="str">
            <v>0011800997AM</v>
          </cell>
          <cell r="B1338" t="str">
            <v>变频外电脑板-FR-4变频室外马达双驱动+高频PFC方案用电脑板</v>
          </cell>
        </row>
        <row r="1339">
          <cell r="A1339" t="str">
            <v>0011800997AM</v>
          </cell>
          <cell r="B1339" t="str">
            <v>变频外电脑板-FR-4变频室外马达双驱动+高频PFC方案用电脑板</v>
          </cell>
        </row>
        <row r="1340">
          <cell r="A1340" t="str">
            <v>0011800997BL</v>
          </cell>
          <cell r="B1340" t="str">
            <v>变频外电脑板-FR-4变频室外马达双驱动+高频PFC方案用电脑板</v>
          </cell>
        </row>
        <row r="1341">
          <cell r="A1341" t="str">
            <v>0011800997BL</v>
          </cell>
          <cell r="B1341" t="str">
            <v>变频外电脑板-FR-4变频室外马达双驱动+高频PFC方案用电脑板</v>
          </cell>
        </row>
        <row r="1342">
          <cell r="A1342" t="str">
            <v>0011800997BN</v>
          </cell>
          <cell r="B1342" t="str">
            <v>变频外电脑板-FR-4变频室外马达双驱动+高频PFC方案用电脑板</v>
          </cell>
        </row>
        <row r="1343">
          <cell r="A1343" t="str">
            <v>0011800997BR</v>
          </cell>
          <cell r="B1343" t="str">
            <v>变频外电脑板-FR-4230mm*157mm</v>
          </cell>
        </row>
        <row r="1344">
          <cell r="A1344" t="str">
            <v>0011800997BR</v>
          </cell>
          <cell r="B1344" t="str">
            <v>变频外电脑板-FR-4230mm*157mm</v>
          </cell>
        </row>
        <row r="1345">
          <cell r="A1345" t="str">
            <v>0011800997BS</v>
          </cell>
          <cell r="B1345" t="str">
            <v>变频外电脑板-FR-4</v>
          </cell>
        </row>
        <row r="1346">
          <cell r="A1346" t="str">
            <v>0011800997BS</v>
          </cell>
          <cell r="B1346" t="str">
            <v>变频外电脑板-FR-4</v>
          </cell>
        </row>
        <row r="1347">
          <cell r="A1347" t="str">
            <v>0011800997CC</v>
          </cell>
          <cell r="B1347" t="str">
            <v>变频外电脑板-FR-4</v>
          </cell>
        </row>
        <row r="1348">
          <cell r="A1348" t="str">
            <v>0011800997CC</v>
          </cell>
          <cell r="B1348" t="str">
            <v>变频外电脑板-FR-4</v>
          </cell>
        </row>
        <row r="1349">
          <cell r="A1349" t="str">
            <v>0011800997CD</v>
          </cell>
          <cell r="B1349" t="str">
            <v>变频外电脑板-FR-4</v>
          </cell>
        </row>
        <row r="1350">
          <cell r="A1350" t="str">
            <v>0011800997CD</v>
          </cell>
          <cell r="B1350" t="str">
            <v>变频外电脑板-FR-4</v>
          </cell>
        </row>
        <row r="1351">
          <cell r="A1351" t="str">
            <v>0011800997D</v>
          </cell>
          <cell r="B1351" t="str">
            <v>变频外电脑板-/</v>
          </cell>
        </row>
        <row r="1352">
          <cell r="A1352" t="str">
            <v>0011800997D</v>
          </cell>
          <cell r="B1352" t="str">
            <v>变频外电脑板-/</v>
          </cell>
        </row>
        <row r="1353">
          <cell r="A1353" t="str">
            <v>0011800997E</v>
          </cell>
          <cell r="B1353" t="str">
            <v>变频外电脑板-FR-4变频室外马达双驱动+高频PFC方案用电脑板</v>
          </cell>
        </row>
        <row r="1354">
          <cell r="A1354" t="str">
            <v>0011800997K</v>
          </cell>
          <cell r="B1354" t="str">
            <v>变频外电脑板-FR-4变频室外马达双驱动+高频PFC方案用电脑板</v>
          </cell>
        </row>
        <row r="1355">
          <cell r="A1355" t="str">
            <v>0011800997K</v>
          </cell>
          <cell r="B1355" t="str">
            <v>变频外电脑板-FR-4变频室外马达双驱动+高频PFC方案用电脑板</v>
          </cell>
        </row>
        <row r="1356">
          <cell r="A1356" t="str">
            <v>0011801001</v>
          </cell>
          <cell r="B1356" t="str">
            <v>电脑板-FR-4室外电脑板293mm*181mm室外电脑板(开关电源)</v>
          </cell>
        </row>
        <row r="1357">
          <cell r="A1357" t="str">
            <v>0011801001A</v>
          </cell>
          <cell r="B1357" t="str">
            <v>变频外电脑板-FR-4马来18K室外电脑板293mm*181mm室外电脑板(开关</v>
          </cell>
        </row>
        <row r="1358">
          <cell r="A1358" t="str">
            <v>0011801001C</v>
          </cell>
          <cell r="B1358" t="str">
            <v>变频外电脑板-FR-4室外电脑板293mm*181mm室外电脑板(开关电源)</v>
          </cell>
        </row>
        <row r="1359">
          <cell r="A1359" t="str">
            <v>0011801007</v>
          </cell>
          <cell r="B1359" t="str">
            <v>室外电脑板-FR-4250*157mm--</v>
          </cell>
        </row>
        <row r="1360">
          <cell r="A1360" t="str">
            <v>0011801007A</v>
          </cell>
          <cell r="B1360" t="str">
            <v>室外电脑板-FR-4250*157mm马来09K变频电脑板-</v>
          </cell>
        </row>
        <row r="1361">
          <cell r="A1361" t="str">
            <v>0011801007B</v>
          </cell>
          <cell r="B1361" t="str">
            <v>室外电脑板-FR-4250*157mm马来12K变频外电脑板-</v>
          </cell>
        </row>
        <row r="1362">
          <cell r="A1362" t="str">
            <v>0011801007C</v>
          </cell>
          <cell r="B1362" t="str">
            <v>室外电脑板-FR-4280*157mm马来12K变频外电脑板</v>
          </cell>
        </row>
        <row r="1363">
          <cell r="A1363" t="str">
            <v>0011801008</v>
          </cell>
          <cell r="B1363" t="str">
            <v>变频外电脑板-CEM-3272.5*181mm</v>
          </cell>
        </row>
        <row r="1364">
          <cell r="A1364" t="str">
            <v>0011801011</v>
          </cell>
          <cell r="B1364" t="str">
            <v>显示板-//--</v>
          </cell>
        </row>
        <row r="1365">
          <cell r="A1365" t="str">
            <v>0011801036</v>
          </cell>
          <cell r="B1365" t="str">
            <v>一体机电脑板-FR-4强电板</v>
          </cell>
        </row>
        <row r="1366">
          <cell r="A1366" t="str">
            <v>0011801039</v>
          </cell>
          <cell r="B1366" t="str">
            <v>变频外电脑板-FR-4/</v>
          </cell>
        </row>
        <row r="1367">
          <cell r="A1367" t="str">
            <v>0011801039A</v>
          </cell>
          <cell r="B1367" t="str">
            <v>变频外电脑板-FR-4/</v>
          </cell>
        </row>
        <row r="1368">
          <cell r="A1368" t="str">
            <v>0011801039AA</v>
          </cell>
          <cell r="B1368" t="str">
            <v>变频外电脑板-FR-4/</v>
          </cell>
        </row>
        <row r="1369">
          <cell r="A1369" t="str">
            <v>0011801039AB</v>
          </cell>
          <cell r="B1369" t="str">
            <v>变频外电脑板-FR-4/</v>
          </cell>
        </row>
        <row r="1370">
          <cell r="A1370" t="str">
            <v>0011801039AC</v>
          </cell>
          <cell r="B1370" t="str">
            <v>变频外电脑板-FR-4/</v>
          </cell>
        </row>
        <row r="1371">
          <cell r="A1371" t="str">
            <v>0011801039AD</v>
          </cell>
          <cell r="B1371" t="str">
            <v>变频外电脑板-FR-4/</v>
          </cell>
        </row>
        <row r="1372">
          <cell r="A1372" t="str">
            <v>0011801039AE</v>
          </cell>
          <cell r="B1372" t="str">
            <v>变频外电脑板-FR-4/</v>
          </cell>
        </row>
        <row r="1373">
          <cell r="A1373" t="str">
            <v>0011801039AF</v>
          </cell>
          <cell r="B1373" t="str">
            <v>变频外电脑板-FR-4/</v>
          </cell>
        </row>
        <row r="1374">
          <cell r="A1374" t="str">
            <v>0011801039AJ</v>
          </cell>
          <cell r="B1374" t="str">
            <v>变频外电脑板-FR-4/</v>
          </cell>
        </row>
        <row r="1375">
          <cell r="A1375" t="str">
            <v>0011801039AJ</v>
          </cell>
          <cell r="B1375" t="str">
            <v>变频外电脑板-FR-4/</v>
          </cell>
        </row>
        <row r="1376">
          <cell r="A1376" t="str">
            <v>0011801039AM</v>
          </cell>
          <cell r="B1376" t="str">
            <v>变频外电脑板-FR-4/</v>
          </cell>
        </row>
        <row r="1377">
          <cell r="A1377" t="str">
            <v>0011801039AM</v>
          </cell>
          <cell r="B1377" t="str">
            <v>变频外电脑板-FR-4/</v>
          </cell>
        </row>
        <row r="1378">
          <cell r="A1378" t="str">
            <v>0011801039AN</v>
          </cell>
          <cell r="B1378" t="str">
            <v>变频外电脑板-FR-4/</v>
          </cell>
        </row>
        <row r="1379">
          <cell r="A1379" t="str">
            <v>0011801039AN</v>
          </cell>
          <cell r="B1379" t="str">
            <v>变频外电脑板-FR-4/</v>
          </cell>
        </row>
        <row r="1380">
          <cell r="A1380" t="str">
            <v>0011801039AP</v>
          </cell>
          <cell r="B1380" t="str">
            <v>变频外电脑板-FR-4/</v>
          </cell>
        </row>
        <row r="1381">
          <cell r="A1381" t="str">
            <v>0011801039AP</v>
          </cell>
          <cell r="B1381" t="str">
            <v>变频外电脑板-FR-4/</v>
          </cell>
        </row>
        <row r="1382">
          <cell r="A1382" t="str">
            <v>0011801039AU</v>
          </cell>
          <cell r="B1382" t="str">
            <v>变频外电脑板-FR-4</v>
          </cell>
        </row>
        <row r="1383">
          <cell r="A1383" t="str">
            <v>0011801039AU</v>
          </cell>
          <cell r="B1383" t="str">
            <v>变频外电脑板-FR-4</v>
          </cell>
        </row>
        <row r="1384">
          <cell r="A1384" t="str">
            <v>0011801039AV</v>
          </cell>
          <cell r="B1384" t="str">
            <v>变频外电脑板-FR-4</v>
          </cell>
        </row>
        <row r="1385">
          <cell r="A1385" t="str">
            <v>0011801039AV</v>
          </cell>
          <cell r="B1385" t="str">
            <v>变频外电脑板-FR-4</v>
          </cell>
        </row>
        <row r="1386">
          <cell r="A1386" t="str">
            <v>0011801039B</v>
          </cell>
          <cell r="B1386" t="str">
            <v>变频外电脑板-FR-4/</v>
          </cell>
        </row>
        <row r="1387">
          <cell r="A1387" t="str">
            <v>0011801039C</v>
          </cell>
          <cell r="B1387" t="str">
            <v>变频外电脑板-FR-4/</v>
          </cell>
        </row>
        <row r="1388">
          <cell r="A1388" t="str">
            <v>0011801039D</v>
          </cell>
          <cell r="B1388" t="str">
            <v>变频外电脑板-FR-4/</v>
          </cell>
        </row>
        <row r="1389">
          <cell r="A1389" t="str">
            <v>0011801039E</v>
          </cell>
          <cell r="B1389" t="str">
            <v>变频外电脑板-FR-4/</v>
          </cell>
        </row>
        <row r="1390">
          <cell r="A1390" t="str">
            <v>0011801039F</v>
          </cell>
          <cell r="B1390" t="str">
            <v>变频外电脑板-FR-4/</v>
          </cell>
        </row>
        <row r="1391">
          <cell r="A1391" t="str">
            <v>0011801039G</v>
          </cell>
          <cell r="B1391" t="str">
            <v>变频外电脑板-FR-4/</v>
          </cell>
        </row>
        <row r="1392">
          <cell r="A1392" t="str">
            <v>0011801039H</v>
          </cell>
          <cell r="B1392" t="str">
            <v>变频外电脑板-FR-4/</v>
          </cell>
        </row>
        <row r="1393">
          <cell r="A1393" t="str">
            <v>0011801039J</v>
          </cell>
          <cell r="B1393" t="str">
            <v>变频外电脑板-FR-4/</v>
          </cell>
        </row>
        <row r="1394">
          <cell r="A1394" t="str">
            <v>0011801039RD</v>
          </cell>
          <cell r="B1394" t="str">
            <v>电脑板-/</v>
          </cell>
        </row>
        <row r="1395">
          <cell r="A1395" t="str">
            <v>0011801039RE</v>
          </cell>
          <cell r="B1395" t="str">
            <v>电脑板-/</v>
          </cell>
        </row>
        <row r="1396">
          <cell r="A1396" t="str">
            <v>0011801039S</v>
          </cell>
          <cell r="B1396" t="str">
            <v>电脑板-FR-4一体板风机驱动外置单相4匹</v>
          </cell>
        </row>
        <row r="1397">
          <cell r="A1397" t="str">
            <v>0011801039SG</v>
          </cell>
          <cell r="B1397" t="str">
            <v>电脑板-/</v>
          </cell>
        </row>
        <row r="1398">
          <cell r="A1398" t="str">
            <v>0011801039SH</v>
          </cell>
          <cell r="B1398" t="str">
            <v>电脑板-/</v>
          </cell>
        </row>
        <row r="1399">
          <cell r="A1399" t="str">
            <v>0011801039SJ</v>
          </cell>
          <cell r="B1399" t="str">
            <v>电脑板-/</v>
          </cell>
        </row>
        <row r="1400">
          <cell r="A1400" t="str">
            <v>0011801039SK</v>
          </cell>
          <cell r="B1400" t="str">
            <v>电脑板-/</v>
          </cell>
        </row>
        <row r="1401">
          <cell r="A1401" t="str">
            <v>0011801039V</v>
          </cell>
          <cell r="B1401" t="str">
            <v>变频外电脑板-FR-4/</v>
          </cell>
        </row>
        <row r="1402">
          <cell r="A1402" t="str">
            <v>0011801039W</v>
          </cell>
          <cell r="B1402" t="str">
            <v>变频外电脑板-FR-4/</v>
          </cell>
        </row>
        <row r="1403">
          <cell r="A1403" t="str">
            <v>0011801039X</v>
          </cell>
          <cell r="B1403" t="str">
            <v>变频外电脑板-FR-4/</v>
          </cell>
        </row>
        <row r="1404">
          <cell r="A1404" t="str">
            <v>0011801039Y</v>
          </cell>
          <cell r="B1404" t="str">
            <v>变频外电脑板-FR-4/</v>
          </cell>
        </row>
        <row r="1405">
          <cell r="A1405" t="str">
            <v>0011801039Z</v>
          </cell>
          <cell r="B1405" t="str">
            <v>变频外电脑板-FR-4/</v>
          </cell>
        </row>
        <row r="1406">
          <cell r="A1406" t="str">
            <v>0011801040</v>
          </cell>
          <cell r="B1406" t="str">
            <v>变频外电脑板-FR-4205*157</v>
          </cell>
        </row>
        <row r="1407">
          <cell r="A1407" t="str">
            <v>0011801040A</v>
          </cell>
          <cell r="B1407" t="str">
            <v>变频外电脑板-FR-4205*157</v>
          </cell>
        </row>
        <row r="1408">
          <cell r="A1408" t="str">
            <v>0011801040B</v>
          </cell>
          <cell r="B1408" t="str">
            <v>变频外电脑板-FR-4205*157</v>
          </cell>
        </row>
        <row r="1409">
          <cell r="A1409" t="str">
            <v>0011801040C</v>
          </cell>
          <cell r="B1409" t="str">
            <v>变频外电脑板-FR-4205*157</v>
          </cell>
        </row>
        <row r="1410">
          <cell r="A1410" t="str">
            <v>0011801040D</v>
          </cell>
          <cell r="B1410" t="str">
            <v>变频外电脑板-FR-4205*157</v>
          </cell>
        </row>
        <row r="1411">
          <cell r="A1411" t="str">
            <v>0011801045</v>
          </cell>
          <cell r="B1411" t="str">
            <v>显示板-FR-460*50--</v>
          </cell>
        </row>
        <row r="1412">
          <cell r="A1412" t="str">
            <v>0011801045</v>
          </cell>
          <cell r="B1412" t="str">
            <v>显示板-FR-460*50--</v>
          </cell>
        </row>
        <row r="1413">
          <cell r="A1413" t="str">
            <v>0011801045</v>
          </cell>
          <cell r="B1413" t="str">
            <v>显示板-FR-460*50--</v>
          </cell>
        </row>
        <row r="1414">
          <cell r="A1414" t="str">
            <v>0011801045A</v>
          </cell>
          <cell r="B1414" t="str">
            <v>显示板-LED60*50</v>
          </cell>
        </row>
        <row r="1415">
          <cell r="A1415" t="str">
            <v>0011801045A</v>
          </cell>
          <cell r="B1415" t="str">
            <v>显示板-LED60*50</v>
          </cell>
        </row>
        <row r="1416">
          <cell r="A1416" t="str">
            <v>0011801045D</v>
          </cell>
          <cell r="B1416" t="str">
            <v>显示板-FR-4</v>
          </cell>
        </row>
        <row r="1417">
          <cell r="A1417" t="str">
            <v>0011801045D</v>
          </cell>
          <cell r="B1417" t="str">
            <v>显示板-FR-4</v>
          </cell>
        </row>
        <row r="1418">
          <cell r="A1418" t="str">
            <v>0011801046</v>
          </cell>
          <cell r="B1418" t="str">
            <v>转接板-FR-4FR-4</v>
          </cell>
        </row>
        <row r="1419">
          <cell r="A1419" t="str">
            <v>0011801047</v>
          </cell>
          <cell r="B1419" t="str">
            <v>变频外电脑板-FR-4类比0011800933外电脑板(电解电容使用470uF/</v>
          </cell>
        </row>
        <row r="1420">
          <cell r="A1420" t="str">
            <v>0011801047A</v>
          </cell>
          <cell r="B1420" t="str">
            <v>变频外电脑板-FR-4硬件电路同母本0011801047一致,程序和EE不同</v>
          </cell>
        </row>
        <row r="1421">
          <cell r="A1421" t="str">
            <v>0011801047A</v>
          </cell>
          <cell r="B1421" t="str">
            <v>变频外电脑板-FR-4硬件电路同母本0011801047一致,程序和EE不同</v>
          </cell>
        </row>
        <row r="1422">
          <cell r="A1422" t="str">
            <v>0011801047B</v>
          </cell>
          <cell r="B1422" t="str">
            <v>变频外电脑板-FR-4硬件电路同母本0011801047一致,程序和EE不同</v>
          </cell>
        </row>
        <row r="1423">
          <cell r="A1423" t="str">
            <v>0011801047B</v>
          </cell>
          <cell r="B1423" t="str">
            <v>变频外电脑板-FR-4硬件电路同母本0011801047一致,程序和EE不同</v>
          </cell>
        </row>
        <row r="1424">
          <cell r="A1424" t="str">
            <v>0011801048</v>
          </cell>
          <cell r="B1424" t="str">
            <v>室外电脑板-FR-4/</v>
          </cell>
        </row>
        <row r="1425">
          <cell r="A1425" t="str">
            <v>0011801048A</v>
          </cell>
          <cell r="B1425" t="str">
            <v>变频外电脑板-FR-4/</v>
          </cell>
        </row>
        <row r="1426">
          <cell r="A1426" t="str">
            <v>0011801048AA</v>
          </cell>
          <cell r="B1426" t="str">
            <v>变频外电脑板-FR-4/</v>
          </cell>
        </row>
        <row r="1427">
          <cell r="A1427" t="str">
            <v>0011801048AB</v>
          </cell>
          <cell r="B1427" t="str">
            <v>变频外电脑板-FR-4/</v>
          </cell>
        </row>
        <row r="1428">
          <cell r="A1428" t="str">
            <v>0011801048AC</v>
          </cell>
          <cell r="B1428" t="str">
            <v>变频外电脑板-FR-4/</v>
          </cell>
        </row>
        <row r="1429">
          <cell r="A1429" t="str">
            <v>0011801048AD</v>
          </cell>
          <cell r="B1429" t="str">
            <v>变频外电脑板-FR-4/</v>
          </cell>
        </row>
        <row r="1430">
          <cell r="A1430" t="str">
            <v>0011801048AE</v>
          </cell>
          <cell r="B1430" t="str">
            <v>变频外电脑板-FR-4/</v>
          </cell>
        </row>
        <row r="1431">
          <cell r="A1431" t="str">
            <v>0011801048AE</v>
          </cell>
          <cell r="B1431" t="str">
            <v>变频外电脑板-FR-4/</v>
          </cell>
        </row>
        <row r="1432">
          <cell r="A1432" t="str">
            <v>0011801048AF</v>
          </cell>
          <cell r="B1432" t="str">
            <v>变频外电脑板-FR-4/</v>
          </cell>
        </row>
        <row r="1433">
          <cell r="A1433" t="str">
            <v>0011801048AF</v>
          </cell>
          <cell r="B1433" t="str">
            <v>变频外电脑板-FR-4/</v>
          </cell>
        </row>
        <row r="1434">
          <cell r="A1434" t="str">
            <v>0011801048AG</v>
          </cell>
          <cell r="B1434" t="str">
            <v>变频外电脑板-FR-4/</v>
          </cell>
        </row>
        <row r="1435">
          <cell r="A1435" t="str">
            <v>0011801048AG</v>
          </cell>
          <cell r="B1435" t="str">
            <v>变频外电脑板-FR-4/</v>
          </cell>
        </row>
        <row r="1436">
          <cell r="A1436" t="str">
            <v>0011801048AH</v>
          </cell>
          <cell r="B1436" t="str">
            <v>变频外电脑板-FR-4/</v>
          </cell>
        </row>
        <row r="1437">
          <cell r="A1437" t="str">
            <v>0011801048AH</v>
          </cell>
          <cell r="B1437" t="str">
            <v>变频外电脑板-FR-4/</v>
          </cell>
        </row>
        <row r="1438">
          <cell r="A1438" t="str">
            <v>0011801048AJ</v>
          </cell>
          <cell r="B1438" t="str">
            <v>变频外电脑板-FR-4/</v>
          </cell>
        </row>
        <row r="1439">
          <cell r="A1439" t="str">
            <v>0011801048AJ</v>
          </cell>
          <cell r="B1439" t="str">
            <v>变频外电脑板-FR-4/</v>
          </cell>
        </row>
        <row r="1440">
          <cell r="A1440" t="str">
            <v>0011801048AK</v>
          </cell>
          <cell r="B1440" t="str">
            <v>变频外电脑板-FR-4/</v>
          </cell>
        </row>
        <row r="1441">
          <cell r="A1441" t="str">
            <v>0011801048AK</v>
          </cell>
          <cell r="B1441" t="str">
            <v>变频外电脑板-FR-4/</v>
          </cell>
        </row>
        <row r="1442">
          <cell r="A1442" t="str">
            <v>0011801048AL</v>
          </cell>
          <cell r="B1442" t="str">
            <v>变频外电脑板-FR-4/</v>
          </cell>
        </row>
        <row r="1443">
          <cell r="A1443" t="str">
            <v>0011801048AL</v>
          </cell>
          <cell r="B1443" t="str">
            <v>变频外电脑板-FR-4/</v>
          </cell>
        </row>
        <row r="1444">
          <cell r="A1444" t="str">
            <v>0011801048AM</v>
          </cell>
          <cell r="B1444" t="str">
            <v>变频外电脑板-FR-4</v>
          </cell>
        </row>
        <row r="1445">
          <cell r="A1445" t="str">
            <v>0011801048AM</v>
          </cell>
          <cell r="B1445" t="str">
            <v>变频外电脑板-FR-4</v>
          </cell>
        </row>
        <row r="1446">
          <cell r="A1446" t="str">
            <v>0011801048AN</v>
          </cell>
          <cell r="B1446" t="str">
            <v>变频外电脑板-FR-4</v>
          </cell>
        </row>
        <row r="1447">
          <cell r="A1447" t="str">
            <v>0011801048AN</v>
          </cell>
          <cell r="B1447" t="str">
            <v>变频外电脑板-FR-4</v>
          </cell>
        </row>
        <row r="1448">
          <cell r="A1448" t="str">
            <v>0011801048B</v>
          </cell>
          <cell r="B1448" t="str">
            <v>变频外电脑板-FR-4/</v>
          </cell>
        </row>
        <row r="1449">
          <cell r="A1449" t="str">
            <v>0011801048C</v>
          </cell>
          <cell r="B1449" t="str">
            <v>变频外电脑板-FR-4/</v>
          </cell>
        </row>
        <row r="1450">
          <cell r="A1450" t="str">
            <v>0011801048D</v>
          </cell>
          <cell r="B1450" t="str">
            <v>变频外电脑板-FR-4/</v>
          </cell>
        </row>
        <row r="1451">
          <cell r="A1451" t="str">
            <v>0011801048E</v>
          </cell>
          <cell r="B1451" t="str">
            <v>变频外电脑板-FR-4/</v>
          </cell>
        </row>
        <row r="1452">
          <cell r="A1452" t="str">
            <v>0011801048F</v>
          </cell>
          <cell r="B1452" t="str">
            <v>变频外电脑板-FR-4/</v>
          </cell>
        </row>
        <row r="1453">
          <cell r="A1453" t="str">
            <v>0011801048G</v>
          </cell>
          <cell r="B1453" t="str">
            <v>变频外电脑板-FR-4/</v>
          </cell>
        </row>
        <row r="1454">
          <cell r="A1454" t="str">
            <v>0011801048H</v>
          </cell>
          <cell r="B1454" t="str">
            <v>变频外电脑板-FR-4/</v>
          </cell>
        </row>
        <row r="1455">
          <cell r="A1455" t="str">
            <v>0011801048J</v>
          </cell>
          <cell r="B1455" t="str">
            <v>变频外电脑板-FR-4/</v>
          </cell>
        </row>
        <row r="1456">
          <cell r="A1456" t="str">
            <v>0011801048K</v>
          </cell>
          <cell r="B1456" t="str">
            <v>变频外电脑板-FR-4/</v>
          </cell>
        </row>
        <row r="1457">
          <cell r="A1457" t="str">
            <v>0011801048L</v>
          </cell>
          <cell r="B1457" t="str">
            <v>变频外电脑板-FR-4/</v>
          </cell>
        </row>
        <row r="1458">
          <cell r="A1458" t="str">
            <v>0011801048M</v>
          </cell>
          <cell r="B1458" t="str">
            <v>变频外电脑板-FR-4/</v>
          </cell>
        </row>
        <row r="1459">
          <cell r="A1459" t="str">
            <v>0011801048N</v>
          </cell>
          <cell r="B1459" t="str">
            <v>变频外电脑板-FR-4/</v>
          </cell>
        </row>
        <row r="1460">
          <cell r="A1460" t="str">
            <v>0011801048P</v>
          </cell>
          <cell r="B1460" t="str">
            <v>变频外电脑板-FR-4/</v>
          </cell>
        </row>
        <row r="1461">
          <cell r="A1461" t="str">
            <v>0011801048Q</v>
          </cell>
          <cell r="B1461" t="str">
            <v>变频外电脑板-FR-4/</v>
          </cell>
        </row>
        <row r="1462">
          <cell r="A1462" t="str">
            <v>0011801048R</v>
          </cell>
          <cell r="B1462" t="str">
            <v>变频外电脑板-FR-4/</v>
          </cell>
        </row>
        <row r="1463">
          <cell r="A1463" t="str">
            <v>0011801048U</v>
          </cell>
          <cell r="B1463" t="str">
            <v>变频外电脑板-FR-4/</v>
          </cell>
        </row>
        <row r="1464">
          <cell r="A1464" t="str">
            <v>0011801048V</v>
          </cell>
          <cell r="B1464" t="str">
            <v>变频外电脑板-FR-4/</v>
          </cell>
        </row>
        <row r="1465">
          <cell r="A1465" t="str">
            <v>0011801048W</v>
          </cell>
          <cell r="B1465" t="str">
            <v>变频外电脑板-FR-4/</v>
          </cell>
        </row>
        <row r="1466">
          <cell r="A1466" t="str">
            <v>0011801048X</v>
          </cell>
          <cell r="B1466" t="str">
            <v>变频外电脑板-FR-4/</v>
          </cell>
        </row>
        <row r="1467">
          <cell r="A1467" t="str">
            <v>0011801048Y</v>
          </cell>
          <cell r="B1467" t="str">
            <v>变频外电脑板-FR-4/</v>
          </cell>
        </row>
        <row r="1468">
          <cell r="A1468" t="str">
            <v>0011801050</v>
          </cell>
          <cell r="B1468" t="str">
            <v>变频外电脑板-/电脑板</v>
          </cell>
        </row>
        <row r="1469">
          <cell r="A1469" t="str">
            <v>0011801053</v>
          </cell>
          <cell r="B1469" t="str">
            <v>电脑板-FR-490*70mm</v>
          </cell>
        </row>
        <row r="1470">
          <cell r="A1470" t="str">
            <v>0011801065</v>
          </cell>
          <cell r="B1470" t="str">
            <v>智能检测器-FR-4第三代</v>
          </cell>
        </row>
        <row r="1471">
          <cell r="A1471" t="str">
            <v>0011801067</v>
          </cell>
          <cell r="B1471" t="str">
            <v>室内电脑板-FR-4100*150</v>
          </cell>
        </row>
        <row r="1472">
          <cell r="A1472" t="str">
            <v>0011801071</v>
          </cell>
          <cell r="B1472" t="str">
            <v>电脑板-CEM-1162mm*130mm</v>
          </cell>
        </row>
        <row r="1473">
          <cell r="A1473" t="str">
            <v>0011801071</v>
          </cell>
          <cell r="B1473" t="str">
            <v>电脑板-CEM-1162mm*130mm</v>
          </cell>
        </row>
        <row r="1474">
          <cell r="A1474" t="str">
            <v>0011801071B</v>
          </cell>
          <cell r="B1474" t="str">
            <v>室内电脑板-CEM-1162mm*130mm</v>
          </cell>
        </row>
        <row r="1475">
          <cell r="A1475" t="str">
            <v>0011801071B</v>
          </cell>
          <cell r="B1475" t="str">
            <v>室内电脑板-CEM-1162mm*130mm</v>
          </cell>
        </row>
        <row r="1476">
          <cell r="A1476" t="str">
            <v>0011801071E</v>
          </cell>
          <cell r="B1476" t="str">
            <v>室内电脑板-CEM-1162mm*130mm</v>
          </cell>
        </row>
        <row r="1477">
          <cell r="A1477" t="str">
            <v>0011801071E</v>
          </cell>
          <cell r="B1477" t="str">
            <v>室内电脑板-CEM-1162mm*130mm</v>
          </cell>
        </row>
        <row r="1478">
          <cell r="A1478" t="str">
            <v>0011801100</v>
          </cell>
          <cell r="B1478" t="str">
            <v>显示板-/50*92</v>
          </cell>
        </row>
        <row r="1479">
          <cell r="A1479" t="str">
            <v>0011801100</v>
          </cell>
          <cell r="B1479" t="str">
            <v>显示板-/50*92</v>
          </cell>
        </row>
        <row r="1480">
          <cell r="A1480" t="str">
            <v>0011801118</v>
          </cell>
          <cell r="B1480" t="str">
            <v>变频外电脑板-FR-4240*180</v>
          </cell>
        </row>
        <row r="1481">
          <cell r="A1481" t="str">
            <v>0011801118A</v>
          </cell>
          <cell r="B1481" t="str">
            <v>变频外电脑板-FR-4240*180</v>
          </cell>
        </row>
        <row r="1482">
          <cell r="A1482" t="str">
            <v>0011801118AD</v>
          </cell>
          <cell r="B1482" t="str">
            <v>变频外电脑板-FR-4240*180</v>
          </cell>
        </row>
        <row r="1483">
          <cell r="A1483" t="str">
            <v>0011801118AE</v>
          </cell>
          <cell r="B1483" t="str">
            <v>变频外电脑板-FR-4240*180</v>
          </cell>
        </row>
        <row r="1484">
          <cell r="A1484" t="str">
            <v>0011801118AG</v>
          </cell>
          <cell r="B1484" t="str">
            <v>变频外电脑板-FR-4240*180</v>
          </cell>
        </row>
        <row r="1485">
          <cell r="A1485" t="str">
            <v>0011801118AH</v>
          </cell>
          <cell r="B1485" t="str">
            <v>变频外电脑板-FR-4240*180</v>
          </cell>
        </row>
        <row r="1486">
          <cell r="A1486" t="str">
            <v>0011801118AJ</v>
          </cell>
          <cell r="B1486" t="str">
            <v>变频外电脑板-FR-4240*180</v>
          </cell>
        </row>
        <row r="1487">
          <cell r="A1487" t="str">
            <v>0011801118AY</v>
          </cell>
          <cell r="B1487" t="str">
            <v>变频外电脑板-/</v>
          </cell>
        </row>
        <row r="1488">
          <cell r="A1488" t="str">
            <v>0011801118AZ</v>
          </cell>
          <cell r="B1488" t="str">
            <v>变频外电脑板-/</v>
          </cell>
        </row>
        <row r="1489">
          <cell r="A1489" t="str">
            <v>0011801118BA</v>
          </cell>
          <cell r="B1489" t="str">
            <v>变频外电脑板-/</v>
          </cell>
        </row>
        <row r="1490">
          <cell r="A1490" t="str">
            <v>0011801118BA</v>
          </cell>
          <cell r="B1490" t="str">
            <v>变频外电脑板-/</v>
          </cell>
        </row>
        <row r="1491">
          <cell r="A1491" t="str">
            <v>0011801118BB</v>
          </cell>
          <cell r="B1491" t="str">
            <v>变频外电脑板-/</v>
          </cell>
        </row>
        <row r="1492">
          <cell r="A1492" t="str">
            <v>0011801118BF</v>
          </cell>
          <cell r="B1492" t="str">
            <v>变频外电脑板-/</v>
          </cell>
        </row>
        <row r="1493">
          <cell r="A1493" t="str">
            <v>0011801118BF</v>
          </cell>
          <cell r="B1493" t="str">
            <v>变频外电脑板-/</v>
          </cell>
        </row>
        <row r="1494">
          <cell r="A1494" t="str">
            <v>0011801118BG</v>
          </cell>
          <cell r="B1494" t="str">
            <v>变频外电脑板-/</v>
          </cell>
        </row>
        <row r="1495">
          <cell r="A1495" t="str">
            <v>0011801118BG</v>
          </cell>
          <cell r="B1495" t="str">
            <v>变频外电脑板-/</v>
          </cell>
        </row>
        <row r="1496">
          <cell r="A1496" t="str">
            <v>0011801118BH</v>
          </cell>
          <cell r="B1496" t="str">
            <v>变频外电脑板-FR-4240*180</v>
          </cell>
        </row>
        <row r="1497">
          <cell r="A1497" t="str">
            <v>0011801118BK</v>
          </cell>
          <cell r="B1497" t="str">
            <v>变频外电脑板-FR-4240*180</v>
          </cell>
        </row>
        <row r="1498">
          <cell r="A1498" t="str">
            <v>0011801118BL</v>
          </cell>
          <cell r="B1498" t="str">
            <v>变频外电脑板-FR-4240*180</v>
          </cell>
        </row>
        <row r="1499">
          <cell r="A1499" t="str">
            <v>0011801118BM</v>
          </cell>
          <cell r="B1499" t="str">
            <v>变频外电脑板-FR-4240*180</v>
          </cell>
        </row>
        <row r="1500">
          <cell r="A1500" t="str">
            <v>0011801118BN</v>
          </cell>
          <cell r="B1500" t="str">
            <v>变频外电脑板-FR-4240*180</v>
          </cell>
        </row>
        <row r="1501">
          <cell r="A1501" t="str">
            <v>0011801118BT</v>
          </cell>
          <cell r="B1501" t="str">
            <v>变频外电脑板-FR-4240*180</v>
          </cell>
        </row>
        <row r="1502">
          <cell r="A1502" t="str">
            <v>0011801118BV</v>
          </cell>
          <cell r="B1502" t="str">
            <v>变频外电脑板-FR-4240*180</v>
          </cell>
        </row>
        <row r="1503">
          <cell r="A1503" t="str">
            <v>0011801118BW</v>
          </cell>
          <cell r="B1503" t="str">
            <v>变频外电脑板-FR-4240*180</v>
          </cell>
        </row>
        <row r="1504">
          <cell r="A1504" t="str">
            <v>0011801118CA</v>
          </cell>
          <cell r="B1504" t="str">
            <v>变频外电脑板-FR-4</v>
          </cell>
        </row>
        <row r="1505">
          <cell r="A1505" t="str">
            <v>0011801118CB</v>
          </cell>
          <cell r="B1505" t="str">
            <v>变频外电脑板-/</v>
          </cell>
        </row>
        <row r="1506">
          <cell r="A1506" t="str">
            <v>0011801118CC</v>
          </cell>
          <cell r="B1506" t="str">
            <v>变频外电脑板-/</v>
          </cell>
        </row>
        <row r="1507">
          <cell r="A1507" t="str">
            <v>0011801118CC</v>
          </cell>
          <cell r="B1507" t="str">
            <v>变频外电脑板-/</v>
          </cell>
        </row>
        <row r="1508">
          <cell r="A1508" t="str">
            <v>0011801118CE</v>
          </cell>
          <cell r="B1508" t="str">
            <v>变频外电脑板-/</v>
          </cell>
        </row>
        <row r="1509">
          <cell r="A1509" t="str">
            <v>0011801118CL</v>
          </cell>
          <cell r="B1509" t="str">
            <v>变频外电脑板-FR-4240*180</v>
          </cell>
        </row>
        <row r="1510">
          <cell r="A1510" t="str">
            <v>0011801118CM</v>
          </cell>
          <cell r="B1510" t="str">
            <v>变频外电脑板-FR-4</v>
          </cell>
        </row>
        <row r="1511">
          <cell r="A1511" t="str">
            <v>0011801118CN</v>
          </cell>
          <cell r="B1511" t="str">
            <v>变频外电脑板-FR-4</v>
          </cell>
        </row>
        <row r="1512">
          <cell r="A1512" t="str">
            <v>0011801118CP</v>
          </cell>
          <cell r="B1512" t="str">
            <v>变频外电脑板-/</v>
          </cell>
        </row>
        <row r="1513">
          <cell r="A1513" t="str">
            <v>0011801118CP</v>
          </cell>
          <cell r="B1513" t="str">
            <v>变频外电脑板-/</v>
          </cell>
        </row>
        <row r="1514">
          <cell r="A1514" t="str">
            <v>0011801118CQ</v>
          </cell>
          <cell r="B1514" t="str">
            <v>变频外电脑板-FR-4240*180</v>
          </cell>
        </row>
        <row r="1515">
          <cell r="A1515" t="str">
            <v>0011801118CR</v>
          </cell>
          <cell r="B1515" t="str">
            <v>变频外电脑板-FR-4</v>
          </cell>
        </row>
        <row r="1516">
          <cell r="A1516" t="str">
            <v>0011801118CS</v>
          </cell>
          <cell r="B1516" t="str">
            <v>变频外电脑板-FR-4</v>
          </cell>
        </row>
        <row r="1517">
          <cell r="A1517" t="str">
            <v>0011801118CS</v>
          </cell>
          <cell r="B1517" t="str">
            <v>变频外电脑板-FR-4</v>
          </cell>
        </row>
        <row r="1518">
          <cell r="A1518" t="str">
            <v>0011801118CT</v>
          </cell>
          <cell r="B1518" t="str">
            <v>变频外电脑板-FR-4</v>
          </cell>
        </row>
        <row r="1519">
          <cell r="A1519" t="str">
            <v>0011801118CT</v>
          </cell>
          <cell r="B1519" t="str">
            <v>变频外电脑板-FR-4</v>
          </cell>
        </row>
        <row r="1520">
          <cell r="A1520" t="str">
            <v>0011801118R</v>
          </cell>
          <cell r="B1520" t="str">
            <v>变频外电脑板-FR-4240*180</v>
          </cell>
        </row>
        <row r="1521">
          <cell r="A1521" t="str">
            <v>0011801118S</v>
          </cell>
          <cell r="B1521" t="str">
            <v>变频外电脑板-FR-4240*180</v>
          </cell>
        </row>
        <row r="1522">
          <cell r="A1522" t="str">
            <v>0011801118Z</v>
          </cell>
          <cell r="B1522" t="str">
            <v>变频外电脑板-FR-4240*180</v>
          </cell>
        </row>
        <row r="1523">
          <cell r="A1523" t="str">
            <v>0011801118ZA</v>
          </cell>
          <cell r="B1523" t="str">
            <v>变频外电脑板-FR-4240*180</v>
          </cell>
        </row>
        <row r="1524">
          <cell r="A1524" t="str">
            <v>0011801119A</v>
          </cell>
          <cell r="B1524" t="str">
            <v>变频外电脑板-FR-4215mm*157mm</v>
          </cell>
        </row>
        <row r="1525">
          <cell r="A1525" t="str">
            <v>0011801119A</v>
          </cell>
          <cell r="B1525" t="str">
            <v>变频外电脑板-FR-4215mm*157mm</v>
          </cell>
        </row>
        <row r="1526">
          <cell r="A1526" t="str">
            <v>0011801119A</v>
          </cell>
          <cell r="B1526" t="str">
            <v>变频外电脑板-FR-4215mm*157mm</v>
          </cell>
        </row>
        <row r="1527">
          <cell r="A1527" t="str">
            <v>0011801119F</v>
          </cell>
          <cell r="B1527" t="str">
            <v>变频外电脑板-FR-4215mm*157mm</v>
          </cell>
        </row>
        <row r="1528">
          <cell r="A1528" t="str">
            <v>0011801119F</v>
          </cell>
          <cell r="B1528" t="str">
            <v>变频外电脑板-FR-4215mm*157mm</v>
          </cell>
        </row>
        <row r="1529">
          <cell r="A1529" t="str">
            <v>0011801119N</v>
          </cell>
          <cell r="B1529" t="str">
            <v>变频外电脑板-FR-4215mm*157mm</v>
          </cell>
        </row>
        <row r="1530">
          <cell r="A1530" t="str">
            <v>0011801119N</v>
          </cell>
          <cell r="B1530" t="str">
            <v>变频外电脑板-FR-4215mm*157mm</v>
          </cell>
        </row>
        <row r="1531">
          <cell r="A1531" t="str">
            <v>0011801119P</v>
          </cell>
          <cell r="B1531" t="str">
            <v>变频外电脑板-FR-4215mm*157mm</v>
          </cell>
        </row>
        <row r="1532">
          <cell r="A1532" t="str">
            <v>0011801119P</v>
          </cell>
          <cell r="B1532" t="str">
            <v>变频外电脑板-FR-4215mm*157mm</v>
          </cell>
        </row>
        <row r="1533">
          <cell r="A1533" t="str">
            <v>0011801119Q</v>
          </cell>
          <cell r="B1533" t="str">
            <v>变频外电脑板-FR-4215mm*157mm</v>
          </cell>
        </row>
        <row r="1534">
          <cell r="A1534" t="str">
            <v>0011801119Q</v>
          </cell>
          <cell r="B1534" t="str">
            <v>变频外电脑板-FR-4215mm*157mm</v>
          </cell>
        </row>
        <row r="1535">
          <cell r="A1535" t="str">
            <v>0011801121</v>
          </cell>
          <cell r="B1535" t="str">
            <v>室内电脑板-FR-4136*165</v>
          </cell>
        </row>
        <row r="1536">
          <cell r="A1536" t="str">
            <v>0011801123</v>
          </cell>
          <cell r="B1536" t="str">
            <v>室内电脑板-FR-4室内电脑板F系列新开海外项目室内电脑板</v>
          </cell>
        </row>
        <row r="1537">
          <cell r="A1537" t="str">
            <v>0011801123A</v>
          </cell>
          <cell r="B1537" t="str">
            <v>室内电脑板-FR-4136*165</v>
          </cell>
        </row>
        <row r="1538">
          <cell r="A1538" t="str">
            <v>0011801123B</v>
          </cell>
          <cell r="B1538" t="str">
            <v>室内电脑板-FR-4136*165</v>
          </cell>
        </row>
        <row r="1539">
          <cell r="A1539" t="str">
            <v>0011801123C</v>
          </cell>
          <cell r="B1539" t="str">
            <v>室内电脑板-FR-4136*165</v>
          </cell>
        </row>
        <row r="1540">
          <cell r="A1540" t="str">
            <v>0011801123D</v>
          </cell>
          <cell r="B1540" t="str">
            <v>室内电脑板-FR-4136*165</v>
          </cell>
        </row>
        <row r="1541">
          <cell r="A1541" t="str">
            <v>0011801123E</v>
          </cell>
          <cell r="B1541" t="str">
            <v>室内电脑板-FR-4136*155</v>
          </cell>
        </row>
        <row r="1542">
          <cell r="A1542" t="str">
            <v>0011801123F</v>
          </cell>
          <cell r="B1542" t="str">
            <v>室内电脑板-FR-4136*165</v>
          </cell>
        </row>
        <row r="1543">
          <cell r="A1543" t="str">
            <v>0011801123G</v>
          </cell>
          <cell r="B1543" t="str">
            <v>室内电脑板-FR-4136*165</v>
          </cell>
        </row>
        <row r="1544">
          <cell r="A1544" t="str">
            <v>0011801123H</v>
          </cell>
          <cell r="B1544" t="str">
            <v>室内电脑板-FR-4136*165</v>
          </cell>
        </row>
        <row r="1545">
          <cell r="A1545" t="str">
            <v>0011801123J</v>
          </cell>
          <cell r="B1545" t="str">
            <v>室内电脑板-FR-4136*165</v>
          </cell>
        </row>
        <row r="1546">
          <cell r="A1546" t="str">
            <v>0011801123K</v>
          </cell>
          <cell r="B1546" t="str">
            <v>室内电脑板-FR-4136*165</v>
          </cell>
        </row>
        <row r="1547">
          <cell r="A1547" t="str">
            <v>0011801123K</v>
          </cell>
          <cell r="B1547" t="str">
            <v>室内电脑板-FR-4136*165</v>
          </cell>
        </row>
        <row r="1548">
          <cell r="A1548" t="str">
            <v>0011801123R</v>
          </cell>
          <cell r="B1548" t="str">
            <v>室内电脑板-FR-4136*165</v>
          </cell>
        </row>
        <row r="1549">
          <cell r="A1549" t="str">
            <v>0011801123R</v>
          </cell>
          <cell r="B1549" t="str">
            <v>室内电脑板-FR-4136*165</v>
          </cell>
        </row>
        <row r="1550">
          <cell r="A1550" t="str">
            <v>0011801123U</v>
          </cell>
          <cell r="B1550" t="str">
            <v>室内电脑板-FR-4</v>
          </cell>
        </row>
        <row r="1551">
          <cell r="A1551" t="str">
            <v>0011801123U</v>
          </cell>
          <cell r="B1551" t="str">
            <v>室内电脑板-FR-4</v>
          </cell>
        </row>
        <row r="1552">
          <cell r="A1552" t="str">
            <v>0011801125</v>
          </cell>
          <cell r="B1552" t="str">
            <v>显示板-/53*95</v>
          </cell>
        </row>
        <row r="1553">
          <cell r="A1553" t="str">
            <v>0011801125</v>
          </cell>
          <cell r="B1553" t="str">
            <v>显示板-/53*95</v>
          </cell>
        </row>
        <row r="1554">
          <cell r="A1554" t="str">
            <v>0011801143</v>
          </cell>
          <cell r="B1554" t="str">
            <v>室外电脑板-FR-4/</v>
          </cell>
        </row>
        <row r="1555">
          <cell r="A1555" t="str">
            <v>0011801143C</v>
          </cell>
          <cell r="B1555" t="str">
            <v>变频外电脑板-FR-4/</v>
          </cell>
        </row>
        <row r="1556">
          <cell r="A1556" t="str">
            <v>0011801143D</v>
          </cell>
          <cell r="B1556" t="str">
            <v>变频外电脑板-FR-4/</v>
          </cell>
        </row>
        <row r="1557">
          <cell r="A1557" t="str">
            <v>0011801143G</v>
          </cell>
          <cell r="B1557" t="str">
            <v>变频外电脑板-FR-4/</v>
          </cell>
        </row>
        <row r="1558">
          <cell r="A1558" t="str">
            <v>0011801143H</v>
          </cell>
          <cell r="B1558" t="str">
            <v>变频外电脑板-FR-4/</v>
          </cell>
        </row>
        <row r="1559">
          <cell r="A1559" t="str">
            <v>0011801143J</v>
          </cell>
          <cell r="B1559" t="str">
            <v>变频外电脑板-FR-4/</v>
          </cell>
        </row>
        <row r="1560">
          <cell r="A1560" t="str">
            <v>0011801143K</v>
          </cell>
          <cell r="B1560" t="str">
            <v>变频外电脑板-FR-4/</v>
          </cell>
        </row>
        <row r="1561">
          <cell r="A1561" t="str">
            <v>0011801143L</v>
          </cell>
          <cell r="B1561" t="str">
            <v>变频外电脑板-FR-4/</v>
          </cell>
        </row>
        <row r="1562">
          <cell r="A1562" t="str">
            <v>0011801143T</v>
          </cell>
          <cell r="B1562" t="str">
            <v>变频外电脑板-FR-4/</v>
          </cell>
        </row>
        <row r="1563">
          <cell r="A1563" t="str">
            <v>0011801143U</v>
          </cell>
          <cell r="B1563" t="str">
            <v>变频外电脑板-FR-4/</v>
          </cell>
        </row>
        <row r="1564">
          <cell r="A1564" t="str">
            <v>0011801143V</v>
          </cell>
          <cell r="B1564" t="str">
            <v>变频外电脑板-FR-4/</v>
          </cell>
        </row>
        <row r="1565">
          <cell r="A1565" t="str">
            <v>0011801143W</v>
          </cell>
          <cell r="B1565" t="str">
            <v>变频外电脑板-FR-4/</v>
          </cell>
        </row>
        <row r="1566">
          <cell r="A1566" t="str">
            <v>0011801150</v>
          </cell>
          <cell r="B1566" t="str">
            <v>变频外电脑板-FR-4230mm*157mm</v>
          </cell>
        </row>
        <row r="1567">
          <cell r="A1567" t="str">
            <v>0011801150A</v>
          </cell>
          <cell r="B1567" t="str">
            <v>变频外电脑板-FR-4</v>
          </cell>
        </row>
        <row r="1568">
          <cell r="A1568" t="str">
            <v>0011801150AA</v>
          </cell>
          <cell r="B1568" t="str">
            <v>变频外电脑板-FR-4230mm*157mm</v>
          </cell>
        </row>
        <row r="1569">
          <cell r="A1569" t="str">
            <v>0011801150AB</v>
          </cell>
          <cell r="B1569" t="str">
            <v>变频外电脑板-FR-4230mm*157mm</v>
          </cell>
        </row>
        <row r="1570">
          <cell r="A1570" t="str">
            <v>0011801150AC</v>
          </cell>
          <cell r="B1570" t="str">
            <v>变频外电脑板-FR-4230mm*157mm</v>
          </cell>
        </row>
        <row r="1571">
          <cell r="A1571" t="str">
            <v>0011801150AD</v>
          </cell>
          <cell r="B1571" t="str">
            <v>变频外电脑板-FR-4230mm*157mm</v>
          </cell>
        </row>
        <row r="1572">
          <cell r="A1572" t="str">
            <v>0011801150B</v>
          </cell>
          <cell r="B1572" t="str">
            <v>变频外电脑板-FR-4230mm*157mm</v>
          </cell>
        </row>
        <row r="1573">
          <cell r="A1573" t="str">
            <v>0011801150C</v>
          </cell>
          <cell r="B1573" t="str">
            <v>变频外电脑板-FR-4230mm*157mm</v>
          </cell>
        </row>
        <row r="1574">
          <cell r="A1574" t="str">
            <v>0011801150D</v>
          </cell>
          <cell r="B1574" t="str">
            <v>变频外电脑板-FR-4230mm*157mm</v>
          </cell>
        </row>
        <row r="1575">
          <cell r="A1575" t="str">
            <v>0011801150E</v>
          </cell>
          <cell r="B1575" t="str">
            <v>变频外电脑板-FR-4230mm*157mm</v>
          </cell>
        </row>
        <row r="1576">
          <cell r="A1576" t="str">
            <v>0011801150G</v>
          </cell>
          <cell r="B1576" t="str">
            <v>变频外电脑板-FR-4230mm*157mm</v>
          </cell>
        </row>
        <row r="1577">
          <cell r="A1577" t="str">
            <v>0011801150J</v>
          </cell>
          <cell r="B1577" t="str">
            <v>变频外电脑板-FR-4230mm*157mm</v>
          </cell>
        </row>
        <row r="1578">
          <cell r="A1578" t="str">
            <v>0011801150M</v>
          </cell>
          <cell r="B1578" t="str">
            <v>变频外电脑板-FR-4</v>
          </cell>
        </row>
        <row r="1579">
          <cell r="A1579" t="str">
            <v>0011801150R</v>
          </cell>
          <cell r="B1579" t="str">
            <v>变频外电脑板-FR-4230mm*157mm</v>
          </cell>
        </row>
        <row r="1580">
          <cell r="A1580" t="str">
            <v>0011801150S</v>
          </cell>
          <cell r="B1580" t="str">
            <v>变频外电脑板-FR-4230mm*157mm</v>
          </cell>
        </row>
        <row r="1581">
          <cell r="A1581" t="str">
            <v>0011801150V</v>
          </cell>
          <cell r="B1581" t="str">
            <v>变频外电脑板-FR-4</v>
          </cell>
        </row>
        <row r="1582">
          <cell r="A1582" t="str">
            <v>0011801150X</v>
          </cell>
          <cell r="B1582" t="str">
            <v>变频外电脑板-FR-4</v>
          </cell>
        </row>
        <row r="1583">
          <cell r="A1583" t="str">
            <v>0011801150Y</v>
          </cell>
          <cell r="B1583" t="str">
            <v>变频外电脑板-FR-4</v>
          </cell>
        </row>
        <row r="1584">
          <cell r="A1584" t="str">
            <v>0011801172</v>
          </cell>
          <cell r="B1584" t="str">
            <v>变频外电脑板-FR-4240*180</v>
          </cell>
        </row>
        <row r="1585">
          <cell r="A1585" t="str">
            <v>0011801172AB</v>
          </cell>
          <cell r="B1585" t="str">
            <v>变频外电脑板-FR-4240*180</v>
          </cell>
        </row>
        <row r="1586">
          <cell r="A1586" t="str">
            <v>0011801172AC</v>
          </cell>
          <cell r="B1586" t="str">
            <v>变频外电脑板-FR-4240*180</v>
          </cell>
        </row>
        <row r="1587">
          <cell r="A1587" t="str">
            <v>0011801172AD</v>
          </cell>
          <cell r="B1587" t="str">
            <v>变频外电脑板-FR-4240*180</v>
          </cell>
        </row>
        <row r="1588">
          <cell r="A1588" t="str">
            <v>0011801172AG</v>
          </cell>
          <cell r="B1588" t="str">
            <v>变频外电脑板-FR-4240*180</v>
          </cell>
        </row>
        <row r="1589">
          <cell r="A1589" t="str">
            <v>0011801172AH</v>
          </cell>
          <cell r="B1589" t="str">
            <v>变频外电脑板-FR-4240*180</v>
          </cell>
        </row>
        <row r="1590">
          <cell r="A1590" t="str">
            <v>0011801172AJ</v>
          </cell>
          <cell r="B1590" t="str">
            <v>变频外电脑板-FR-4240*180</v>
          </cell>
        </row>
        <row r="1591">
          <cell r="A1591" t="str">
            <v>0011801172AK</v>
          </cell>
          <cell r="B1591" t="str">
            <v>变频外电脑板-FR-4240*180</v>
          </cell>
        </row>
        <row r="1592">
          <cell r="A1592" t="str">
            <v>0011801172AP</v>
          </cell>
          <cell r="B1592" t="str">
            <v>变频外电脑板-FR-4240*180</v>
          </cell>
        </row>
        <row r="1593">
          <cell r="A1593" t="str">
            <v>0011801172AR</v>
          </cell>
          <cell r="B1593" t="str">
            <v>变频外电脑板-FR-4240*180</v>
          </cell>
        </row>
        <row r="1594">
          <cell r="A1594" t="str">
            <v>0011801172AV</v>
          </cell>
          <cell r="B1594" t="str">
            <v>变频外电脑板-FR-4240*180</v>
          </cell>
        </row>
        <row r="1595">
          <cell r="A1595" t="str">
            <v>0011801172BA</v>
          </cell>
          <cell r="B1595" t="str">
            <v>变频外电脑板-FR-4240*180</v>
          </cell>
        </row>
        <row r="1596">
          <cell r="A1596" t="str">
            <v>0011801172BC</v>
          </cell>
          <cell r="B1596" t="str">
            <v>变频外电脑板-FR-4240*180</v>
          </cell>
        </row>
        <row r="1597">
          <cell r="A1597" t="str">
            <v>0011801172BC</v>
          </cell>
          <cell r="B1597" t="str">
            <v>变频外电脑板-FR-4240*180</v>
          </cell>
        </row>
        <row r="1598">
          <cell r="A1598" t="str">
            <v>0011801172BD</v>
          </cell>
          <cell r="B1598" t="str">
            <v>变频外电脑板-FR-4240*180</v>
          </cell>
        </row>
        <row r="1599">
          <cell r="A1599" t="str">
            <v>0011801172BD</v>
          </cell>
          <cell r="B1599" t="str">
            <v>变频外电脑板-FR-4240*180</v>
          </cell>
        </row>
        <row r="1600">
          <cell r="A1600" t="str">
            <v>0011801172BG</v>
          </cell>
          <cell r="B1600" t="str">
            <v>变频外电脑板-FR-4240*180</v>
          </cell>
        </row>
        <row r="1601">
          <cell r="A1601" t="str">
            <v>0011801172BH</v>
          </cell>
          <cell r="B1601" t="str">
            <v>变频外电脑板-FR-4240*180FR-4</v>
          </cell>
        </row>
        <row r="1602">
          <cell r="A1602" t="str">
            <v>0011801172BK</v>
          </cell>
          <cell r="B1602" t="str">
            <v>变频外电脑板-FR-4</v>
          </cell>
        </row>
        <row r="1603">
          <cell r="A1603" t="str">
            <v>0011801172BR</v>
          </cell>
          <cell r="B1603" t="str">
            <v>变频外电脑板-FR-4240*180</v>
          </cell>
        </row>
        <row r="1604">
          <cell r="A1604" t="str">
            <v>0011801172BT</v>
          </cell>
          <cell r="B1604" t="str">
            <v>变频外电脑板-FR-4</v>
          </cell>
        </row>
        <row r="1605">
          <cell r="A1605" t="str">
            <v>0011801172BU</v>
          </cell>
          <cell r="B1605" t="str">
            <v>变频外电脑板-FR-4240mm*180mm</v>
          </cell>
        </row>
        <row r="1606">
          <cell r="A1606" t="str">
            <v>0011801172BY</v>
          </cell>
          <cell r="B1606" t="str">
            <v>变频外电脑板-FR-4240*180</v>
          </cell>
        </row>
        <row r="1607">
          <cell r="A1607" t="str">
            <v>0011801172C</v>
          </cell>
          <cell r="B1607" t="str">
            <v>变频外电脑板-FR-4</v>
          </cell>
        </row>
        <row r="1608">
          <cell r="A1608" t="str">
            <v>0011801172CA</v>
          </cell>
          <cell r="B1608" t="str">
            <v>变频外电脑板-FR-4</v>
          </cell>
        </row>
        <row r="1609">
          <cell r="A1609" t="str">
            <v>0011801172CE</v>
          </cell>
          <cell r="B1609" t="str">
            <v>变频外电脑板-FR-4240*180</v>
          </cell>
        </row>
        <row r="1610">
          <cell r="A1610" t="str">
            <v>0011801172CF</v>
          </cell>
          <cell r="B1610" t="str">
            <v>变频外电脑板-FR-4240*180</v>
          </cell>
        </row>
        <row r="1611">
          <cell r="A1611" t="str">
            <v>0011801172CH</v>
          </cell>
          <cell r="B1611" t="str">
            <v>变频外电脑板-FR-4240*180</v>
          </cell>
        </row>
        <row r="1612">
          <cell r="A1612" t="str">
            <v>0011801172CJ</v>
          </cell>
          <cell r="B1612" t="str">
            <v>变频外电脑板-FR-4240*180</v>
          </cell>
        </row>
        <row r="1613">
          <cell r="A1613" t="str">
            <v>0011801172CK</v>
          </cell>
          <cell r="B1613" t="str">
            <v>变频外电脑板-FR-4240*180FR-4</v>
          </cell>
        </row>
        <row r="1614">
          <cell r="A1614" t="str">
            <v>0011801172CL</v>
          </cell>
          <cell r="B1614" t="str">
            <v>变频外电脑板-FR-4240*180</v>
          </cell>
        </row>
        <row r="1615">
          <cell r="A1615" t="str">
            <v>0011801172CM</v>
          </cell>
          <cell r="B1615" t="str">
            <v>变频外电脑板-FR-4</v>
          </cell>
        </row>
        <row r="1616">
          <cell r="A1616" t="str">
            <v>0011801172CP</v>
          </cell>
          <cell r="B1616" t="str">
            <v>变频外电脑板-FR-4240*180</v>
          </cell>
        </row>
        <row r="1617">
          <cell r="A1617" t="str">
            <v>0011801172CR</v>
          </cell>
          <cell r="B1617" t="str">
            <v>变频外电脑板-FR-4240*180</v>
          </cell>
        </row>
        <row r="1618">
          <cell r="A1618" t="str">
            <v>0011801172CT</v>
          </cell>
          <cell r="B1618" t="str">
            <v>变频外电脑板-FR-4240*180</v>
          </cell>
        </row>
        <row r="1619">
          <cell r="A1619" t="str">
            <v>0011801172CT</v>
          </cell>
          <cell r="B1619" t="str">
            <v>变频外电脑板-FR-4240*180</v>
          </cell>
        </row>
        <row r="1620">
          <cell r="A1620" t="str">
            <v>0011801172CU</v>
          </cell>
          <cell r="B1620" t="str">
            <v>变频外电脑板-FR-4240*180</v>
          </cell>
        </row>
        <row r="1621">
          <cell r="A1621" t="str">
            <v>0011801172CU</v>
          </cell>
          <cell r="B1621" t="str">
            <v>变频外电脑板-FR-4240*180</v>
          </cell>
        </row>
        <row r="1622">
          <cell r="A1622" t="str">
            <v>0011801172CW</v>
          </cell>
          <cell r="B1622" t="str">
            <v>变频外电脑板-FR-4</v>
          </cell>
        </row>
        <row r="1623">
          <cell r="A1623" t="str">
            <v>0011801172CX</v>
          </cell>
          <cell r="B1623" t="str">
            <v>变频外电脑板-FR-4</v>
          </cell>
        </row>
        <row r="1624">
          <cell r="A1624" t="str">
            <v>0011801172D</v>
          </cell>
          <cell r="B1624" t="str">
            <v>变频外电脑板-FR-4</v>
          </cell>
        </row>
        <row r="1625">
          <cell r="A1625" t="str">
            <v>0011801172DA</v>
          </cell>
          <cell r="B1625" t="str">
            <v>变频外电脑板-FR-4</v>
          </cell>
        </row>
        <row r="1626">
          <cell r="A1626" t="str">
            <v>0011801172DA</v>
          </cell>
          <cell r="B1626" t="str">
            <v>变频外电脑板-FR-4</v>
          </cell>
        </row>
        <row r="1627">
          <cell r="A1627" t="str">
            <v>0011801172DB</v>
          </cell>
          <cell r="B1627" t="str">
            <v>变频外电脑板-FR-4240*180</v>
          </cell>
        </row>
        <row r="1628">
          <cell r="A1628" t="str">
            <v>0011801172DB</v>
          </cell>
          <cell r="B1628" t="str">
            <v>变频外电脑板-FR-4240*180</v>
          </cell>
        </row>
        <row r="1629">
          <cell r="A1629" t="str">
            <v>0011801172DC</v>
          </cell>
          <cell r="B1629" t="str">
            <v>变频外电脑板-FR-4240*180</v>
          </cell>
        </row>
        <row r="1630">
          <cell r="A1630" t="str">
            <v>0011801172DF</v>
          </cell>
          <cell r="B1630" t="str">
            <v>变频外电脑板-FR-4240*180</v>
          </cell>
        </row>
        <row r="1631">
          <cell r="A1631" t="str">
            <v>0011801172DF</v>
          </cell>
          <cell r="B1631" t="str">
            <v>变频外电脑板-FR-4240*180</v>
          </cell>
        </row>
        <row r="1632">
          <cell r="A1632" t="str">
            <v>0011801172DG</v>
          </cell>
          <cell r="B1632" t="str">
            <v>变频外电脑板-FR-4</v>
          </cell>
        </row>
        <row r="1633">
          <cell r="A1633" t="str">
            <v>0011801172DG</v>
          </cell>
          <cell r="B1633" t="str">
            <v>变频外电脑板-FR-4</v>
          </cell>
        </row>
        <row r="1634">
          <cell r="A1634" t="str">
            <v>0011801172DK</v>
          </cell>
          <cell r="B1634" t="str">
            <v>变频外电脑板-FR-4240*180</v>
          </cell>
        </row>
        <row r="1635">
          <cell r="A1635" t="str">
            <v>0011801172DK</v>
          </cell>
          <cell r="B1635" t="str">
            <v>变频外电脑板-FR-4240*180</v>
          </cell>
        </row>
        <row r="1636">
          <cell r="A1636" t="str">
            <v>0011801172DL</v>
          </cell>
          <cell r="B1636" t="str">
            <v>变频外电脑板-FR-4</v>
          </cell>
        </row>
        <row r="1637">
          <cell r="A1637" t="str">
            <v>0011801172DL</v>
          </cell>
          <cell r="B1637" t="str">
            <v>变频外电脑板-FR-4</v>
          </cell>
        </row>
        <row r="1638">
          <cell r="A1638" t="str">
            <v>0011801172DM</v>
          </cell>
          <cell r="B1638" t="str">
            <v>变频外电脑板-FR-4</v>
          </cell>
        </row>
        <row r="1639">
          <cell r="A1639" t="str">
            <v>0011801172DM</v>
          </cell>
          <cell r="B1639" t="str">
            <v>变频外电脑板-FR-4</v>
          </cell>
        </row>
        <row r="1640">
          <cell r="A1640" t="str">
            <v>0011801172DN</v>
          </cell>
          <cell r="B1640" t="str">
            <v>变频外电脑板-FR-4</v>
          </cell>
        </row>
        <row r="1641">
          <cell r="A1641" t="str">
            <v>0011801172DN</v>
          </cell>
          <cell r="B1641" t="str">
            <v>变频外电脑板-FR-4</v>
          </cell>
        </row>
        <row r="1642">
          <cell r="A1642" t="str">
            <v>0011801172DP</v>
          </cell>
          <cell r="B1642" t="str">
            <v>变频外电脑板-FR-4</v>
          </cell>
        </row>
        <row r="1643">
          <cell r="A1643" t="str">
            <v>0011801172DQ</v>
          </cell>
          <cell r="B1643" t="str">
            <v>变频外电脑板-FR-4</v>
          </cell>
        </row>
        <row r="1644">
          <cell r="A1644" t="str">
            <v>0011801172DQ</v>
          </cell>
          <cell r="B1644" t="str">
            <v>变频外电脑板-FR-4</v>
          </cell>
        </row>
        <row r="1645">
          <cell r="A1645" t="str">
            <v>0011801172DR</v>
          </cell>
          <cell r="B1645" t="str">
            <v>变频外电脑板-FR-4</v>
          </cell>
        </row>
        <row r="1646">
          <cell r="A1646" t="str">
            <v>0011801172DS</v>
          </cell>
          <cell r="B1646" t="str">
            <v>变频外电脑板-FR-4</v>
          </cell>
        </row>
        <row r="1647">
          <cell r="A1647" t="str">
            <v>0011801172DS</v>
          </cell>
          <cell r="B1647" t="str">
            <v>变频外电脑板-FR-4</v>
          </cell>
        </row>
        <row r="1648">
          <cell r="A1648" t="str">
            <v>0011801172DU</v>
          </cell>
          <cell r="B1648" t="str">
            <v>变频外电脑板-FR-4</v>
          </cell>
        </row>
        <row r="1649">
          <cell r="A1649" t="str">
            <v>0011801172DU</v>
          </cell>
          <cell r="B1649" t="str">
            <v>变频外电脑板-FR-4</v>
          </cell>
        </row>
        <row r="1650">
          <cell r="A1650" t="str">
            <v>0011801172DV</v>
          </cell>
          <cell r="B1650" t="str">
            <v>变频外电脑板-FR-4</v>
          </cell>
        </row>
        <row r="1651">
          <cell r="A1651" t="str">
            <v>0011801172DV</v>
          </cell>
          <cell r="B1651" t="str">
            <v>变频外电脑板-FR-4</v>
          </cell>
        </row>
        <row r="1652">
          <cell r="A1652" t="str">
            <v>0011801172DW</v>
          </cell>
          <cell r="B1652" t="str">
            <v>变频外电脑板</v>
          </cell>
        </row>
        <row r="1653">
          <cell r="A1653" t="str">
            <v>0011801172DW</v>
          </cell>
          <cell r="B1653" t="str">
            <v>变频外电脑板</v>
          </cell>
        </row>
        <row r="1654">
          <cell r="A1654" t="str">
            <v>0011801172E</v>
          </cell>
          <cell r="B1654" t="str">
            <v>变频外电脑板-FR-4</v>
          </cell>
        </row>
        <row r="1655">
          <cell r="A1655" t="str">
            <v>0011801172F</v>
          </cell>
          <cell r="B1655" t="str">
            <v>变频外电脑板-FR-4</v>
          </cell>
        </row>
        <row r="1656">
          <cell r="A1656" t="str">
            <v>0011801172FA</v>
          </cell>
          <cell r="B1656" t="str">
            <v>变频外电脑板-FR-4</v>
          </cell>
        </row>
        <row r="1657">
          <cell r="A1657" t="str">
            <v>0011801172FA</v>
          </cell>
          <cell r="B1657" t="str">
            <v>变频外电脑板-FR-4</v>
          </cell>
        </row>
        <row r="1658">
          <cell r="A1658" t="str">
            <v>0011801172FB</v>
          </cell>
          <cell r="B1658" t="str">
            <v>变频外电脑板-FR-4</v>
          </cell>
        </row>
        <row r="1659">
          <cell r="A1659" t="str">
            <v>0011801172FB</v>
          </cell>
          <cell r="B1659" t="str">
            <v>变频外电脑板-FR-4</v>
          </cell>
        </row>
        <row r="1660">
          <cell r="A1660" t="str">
            <v>0011801172FC</v>
          </cell>
          <cell r="B1660" t="str">
            <v>变频外电脑板-FR-4</v>
          </cell>
        </row>
        <row r="1661">
          <cell r="A1661" t="str">
            <v>0011801172FC</v>
          </cell>
          <cell r="B1661" t="str">
            <v>变频外电脑板-FR-4</v>
          </cell>
        </row>
        <row r="1662">
          <cell r="A1662" t="str">
            <v>0011801172FD</v>
          </cell>
          <cell r="B1662" t="str">
            <v>变频外电脑板-FR-4</v>
          </cell>
        </row>
        <row r="1663">
          <cell r="A1663" t="str">
            <v>0011801172FD</v>
          </cell>
          <cell r="B1663" t="str">
            <v>变频外电脑板-FR-4</v>
          </cell>
        </row>
        <row r="1664">
          <cell r="A1664" t="str">
            <v>0011801172G</v>
          </cell>
          <cell r="B1664" t="str">
            <v>变频外电脑板-FR-4</v>
          </cell>
        </row>
        <row r="1665">
          <cell r="A1665" t="str">
            <v>0011801172G</v>
          </cell>
          <cell r="B1665" t="str">
            <v>变频外电脑板-FR-4</v>
          </cell>
        </row>
        <row r="1666">
          <cell r="A1666" t="str">
            <v>0011801172H</v>
          </cell>
          <cell r="B1666" t="str">
            <v>变频外电脑板-FR-4</v>
          </cell>
        </row>
        <row r="1667">
          <cell r="A1667" t="str">
            <v>0011801172N</v>
          </cell>
          <cell r="B1667" t="str">
            <v>变频外电脑板-FR-4240*180</v>
          </cell>
        </row>
        <row r="1668">
          <cell r="A1668" t="str">
            <v>0011801172T</v>
          </cell>
          <cell r="B1668" t="str">
            <v>变频外电脑板-FR-4240*180FR-4</v>
          </cell>
        </row>
        <row r="1669">
          <cell r="A1669" t="str">
            <v>0011801172U</v>
          </cell>
          <cell r="B1669" t="str">
            <v>变频外电脑板-FR-4240*180</v>
          </cell>
        </row>
        <row r="1670">
          <cell r="A1670" t="str">
            <v>0011801172W</v>
          </cell>
          <cell r="B1670" t="str">
            <v>变频外电脑板-FR-4240*180</v>
          </cell>
        </row>
        <row r="1671">
          <cell r="A1671" t="str">
            <v>0011801172Y</v>
          </cell>
          <cell r="B1671" t="str">
            <v>变频外电脑板-FR-4240*180</v>
          </cell>
        </row>
        <row r="1672">
          <cell r="A1672" t="str">
            <v>0011801172Y</v>
          </cell>
          <cell r="B1672" t="str">
            <v>变频外电脑板-FR-4240*180</v>
          </cell>
        </row>
        <row r="1673">
          <cell r="A1673" t="str">
            <v>0011801172Z</v>
          </cell>
          <cell r="B1673" t="str">
            <v>变频外电脑板-FR-4240*180FR-4</v>
          </cell>
        </row>
        <row r="1674">
          <cell r="A1674" t="str">
            <v>0011801184</v>
          </cell>
          <cell r="B1674" t="str">
            <v>显示板-LED</v>
          </cell>
        </row>
        <row r="1675">
          <cell r="A1675" t="str">
            <v>0011801184A</v>
          </cell>
          <cell r="B1675" t="str">
            <v>显示板-LED</v>
          </cell>
        </row>
        <row r="1676">
          <cell r="A1676" t="str">
            <v>0011801184A</v>
          </cell>
          <cell r="B1676" t="str">
            <v>显示板-LED</v>
          </cell>
        </row>
        <row r="1677">
          <cell r="A1677" t="str">
            <v>0011801185</v>
          </cell>
          <cell r="B1677" t="str">
            <v>变频外电脑板-通用</v>
          </cell>
        </row>
        <row r="1678">
          <cell r="A1678" t="str">
            <v>0011801185A</v>
          </cell>
          <cell r="B1678" t="str">
            <v>变频外电脑板-通用</v>
          </cell>
        </row>
        <row r="1679">
          <cell r="A1679" t="str">
            <v>0011801185B</v>
          </cell>
          <cell r="B1679" t="str">
            <v>变频外电脑板-通用</v>
          </cell>
        </row>
        <row r="1680">
          <cell r="A1680" t="str">
            <v>0011801185C</v>
          </cell>
          <cell r="B1680" t="str">
            <v>变频外电脑板-/</v>
          </cell>
        </row>
        <row r="1681">
          <cell r="A1681" t="str">
            <v>0011801185D</v>
          </cell>
          <cell r="B1681" t="str">
            <v>变频外电脑板-通用</v>
          </cell>
        </row>
        <row r="1682">
          <cell r="A1682" t="str">
            <v>0011801185E</v>
          </cell>
          <cell r="B1682" t="str">
            <v>变频外电脑板-/</v>
          </cell>
        </row>
        <row r="1683">
          <cell r="A1683" t="str">
            <v>0011801185F</v>
          </cell>
          <cell r="B1683" t="str">
            <v>变频外电脑板-/</v>
          </cell>
        </row>
        <row r="1684">
          <cell r="A1684" t="str">
            <v>0011801185G</v>
          </cell>
          <cell r="B1684" t="str">
            <v>变频外电脑板-/</v>
          </cell>
        </row>
        <row r="1685">
          <cell r="A1685" t="str">
            <v>0011801185H</v>
          </cell>
          <cell r="B1685" t="str">
            <v>变频外电脑板-通用</v>
          </cell>
        </row>
        <row r="1686">
          <cell r="A1686" t="str">
            <v>0011801185J</v>
          </cell>
          <cell r="B1686" t="str">
            <v>变频外电脑板-/</v>
          </cell>
        </row>
        <row r="1687">
          <cell r="A1687" t="str">
            <v>0011801185K</v>
          </cell>
          <cell r="B1687" t="str">
            <v>变频外电脑板-/</v>
          </cell>
        </row>
        <row r="1688">
          <cell r="A1688" t="str">
            <v>0011801185L</v>
          </cell>
          <cell r="B1688" t="str">
            <v>变频外电脑板-/</v>
          </cell>
        </row>
        <row r="1689">
          <cell r="A1689" t="str">
            <v>0011801185M</v>
          </cell>
          <cell r="B1689" t="str">
            <v>变频外电脑板-FR-4</v>
          </cell>
        </row>
        <row r="1690">
          <cell r="A1690" t="str">
            <v>0011801185N</v>
          </cell>
          <cell r="B1690" t="str">
            <v>变频外电脑板</v>
          </cell>
        </row>
        <row r="1691">
          <cell r="A1691" t="str">
            <v>0011801185N</v>
          </cell>
          <cell r="B1691" t="str">
            <v>变频外电脑板</v>
          </cell>
        </row>
        <row r="1692">
          <cell r="A1692" t="str">
            <v>0011801185P</v>
          </cell>
          <cell r="B1692" t="str">
            <v>变频外电脑板</v>
          </cell>
        </row>
        <row r="1693">
          <cell r="A1693" t="str">
            <v>0011801185Q</v>
          </cell>
          <cell r="B1693" t="str">
            <v>变频外电脑板</v>
          </cell>
        </row>
        <row r="1694">
          <cell r="A1694" t="str">
            <v>0011801185R</v>
          </cell>
          <cell r="B1694" t="str">
            <v>变频外电脑板</v>
          </cell>
        </row>
        <row r="1695">
          <cell r="A1695" t="str">
            <v>0011801185S</v>
          </cell>
          <cell r="B1695" t="str">
            <v>变频外电脑板</v>
          </cell>
        </row>
        <row r="1696">
          <cell r="A1696" t="str">
            <v>0011801185T</v>
          </cell>
          <cell r="B1696" t="str">
            <v>变频外电脑板-通用</v>
          </cell>
        </row>
        <row r="1697">
          <cell r="A1697" t="str">
            <v>0011801185U</v>
          </cell>
          <cell r="B1697" t="str">
            <v>变频外电脑板</v>
          </cell>
        </row>
        <row r="1698">
          <cell r="A1698" t="str">
            <v>0011801185V</v>
          </cell>
          <cell r="B1698" t="str">
            <v>变频外电脑板</v>
          </cell>
        </row>
        <row r="1699">
          <cell r="A1699" t="str">
            <v>0011801194</v>
          </cell>
          <cell r="B1699" t="str">
            <v>室内电脑板-FR-4</v>
          </cell>
        </row>
        <row r="1700">
          <cell r="A1700" t="str">
            <v>0011801209A</v>
          </cell>
          <cell r="B1700" t="str">
            <v>变频外电脑板-FR-4</v>
          </cell>
        </row>
        <row r="1701">
          <cell r="A1701" t="str">
            <v>0011801209B</v>
          </cell>
          <cell r="B1701" t="str">
            <v>变频外电脑板-FR-4</v>
          </cell>
        </row>
        <row r="1702">
          <cell r="A1702" t="str">
            <v>0011801209C</v>
          </cell>
          <cell r="B1702" t="str">
            <v>变频外电脑板-FR-4</v>
          </cell>
        </row>
        <row r="1703">
          <cell r="A1703" t="str">
            <v>0011801256</v>
          </cell>
          <cell r="B1703" t="str">
            <v>室内电脑板-CEM-1</v>
          </cell>
        </row>
        <row r="1704">
          <cell r="A1704" t="str">
            <v>0011801256A</v>
          </cell>
          <cell r="B1704" t="str">
            <v>室内电脑板-CEM-1</v>
          </cell>
        </row>
        <row r="1705">
          <cell r="A1705" t="str">
            <v>0011801256B</v>
          </cell>
          <cell r="B1705" t="str">
            <v>室内电脑板-CEM-1</v>
          </cell>
        </row>
        <row r="1706">
          <cell r="A1706" t="str">
            <v>0011801256B</v>
          </cell>
          <cell r="B1706" t="str">
            <v>室内电脑板-CEM-1</v>
          </cell>
        </row>
        <row r="1707">
          <cell r="A1707" t="str">
            <v>0011801256C</v>
          </cell>
          <cell r="B1707" t="str">
            <v>室内电脑板-CEM-1</v>
          </cell>
        </row>
        <row r="1708">
          <cell r="A1708" t="str">
            <v>0011801256D</v>
          </cell>
          <cell r="B1708" t="str">
            <v>室内电脑板-CEM-1</v>
          </cell>
        </row>
        <row r="1709">
          <cell r="A1709" t="str">
            <v>0011801256J</v>
          </cell>
          <cell r="B1709" t="str">
            <v>室内电脑板-CEM-1</v>
          </cell>
        </row>
        <row r="1710">
          <cell r="A1710" t="str">
            <v>0011801256K</v>
          </cell>
          <cell r="B1710" t="str">
            <v>室内电脑板-CEM-1</v>
          </cell>
        </row>
        <row r="1711">
          <cell r="A1711" t="str">
            <v>0011801256L</v>
          </cell>
          <cell r="B1711" t="str">
            <v>室内电脑板-CEM-1</v>
          </cell>
        </row>
        <row r="1712">
          <cell r="A1712" t="str">
            <v>0011801256M</v>
          </cell>
          <cell r="B1712" t="str">
            <v>室内电脑板-CEM-1</v>
          </cell>
        </row>
        <row r="1713">
          <cell r="A1713" t="str">
            <v>0011801256R</v>
          </cell>
          <cell r="B1713" t="str">
            <v>室内电脑板-CEM-1</v>
          </cell>
        </row>
        <row r="1714">
          <cell r="A1714" t="str">
            <v>0011801256S</v>
          </cell>
          <cell r="B1714" t="str">
            <v>室内电脑板-CEM-1</v>
          </cell>
        </row>
        <row r="1715">
          <cell r="A1715" t="str">
            <v>0011801270</v>
          </cell>
          <cell r="B1715" t="str">
            <v>变频外电脑板-/</v>
          </cell>
        </row>
        <row r="1716">
          <cell r="A1716" t="str">
            <v>0011801270A</v>
          </cell>
          <cell r="B1716" t="str">
            <v>变频外电脑板-/</v>
          </cell>
        </row>
        <row r="1717">
          <cell r="A1717" t="str">
            <v>0011801302</v>
          </cell>
          <cell r="B1717" t="str">
            <v>变频外电脑板-通用/</v>
          </cell>
        </row>
        <row r="1718">
          <cell r="A1718" t="str">
            <v>0011801303</v>
          </cell>
          <cell r="B1718" t="str">
            <v>室内电脑板-FR-4</v>
          </cell>
        </row>
        <row r="1719">
          <cell r="A1719" t="str">
            <v>0011801327</v>
          </cell>
          <cell r="B1719" t="str">
            <v>变频外电脑板-FR-4</v>
          </cell>
        </row>
        <row r="1720">
          <cell r="A1720" t="str">
            <v>0011801330</v>
          </cell>
          <cell r="B1720" t="str">
            <v>室内电脑板-CEM-1</v>
          </cell>
        </row>
        <row r="1721">
          <cell r="A1721" t="str">
            <v>0011801330A</v>
          </cell>
          <cell r="B1721" t="str">
            <v>室内电脑板-CEM-1</v>
          </cell>
        </row>
        <row r="1722">
          <cell r="A1722" t="str">
            <v>0011801330AC</v>
          </cell>
          <cell r="B1722" t="str">
            <v>室内电脑板-CEM-1</v>
          </cell>
        </row>
        <row r="1723">
          <cell r="A1723" t="str">
            <v>0011801330AC</v>
          </cell>
          <cell r="B1723" t="str">
            <v>室内电脑板-CEM-1</v>
          </cell>
        </row>
        <row r="1724">
          <cell r="A1724" t="str">
            <v>0011801330AE</v>
          </cell>
          <cell r="B1724" t="str">
            <v>室内电脑板-CEM-1</v>
          </cell>
        </row>
        <row r="1725">
          <cell r="A1725" t="str">
            <v>0011801330AF</v>
          </cell>
          <cell r="B1725" t="str">
            <v>室内电脑板-CEM-1</v>
          </cell>
        </row>
        <row r="1726">
          <cell r="A1726" t="str">
            <v>0011801330AG</v>
          </cell>
          <cell r="B1726" t="str">
            <v>室内电脑板-CEM-1/</v>
          </cell>
        </row>
        <row r="1727">
          <cell r="A1727" t="str">
            <v>0011801330AJ</v>
          </cell>
          <cell r="B1727" t="str">
            <v>室内电脑板-CEM-1</v>
          </cell>
        </row>
        <row r="1728">
          <cell r="A1728" t="str">
            <v>0011801330AJ</v>
          </cell>
          <cell r="B1728" t="str">
            <v>室内电脑板-CEM-1</v>
          </cell>
        </row>
        <row r="1729">
          <cell r="A1729" t="str">
            <v>0011801330AK</v>
          </cell>
          <cell r="B1729" t="str">
            <v>室内电脑板-CEM-1</v>
          </cell>
        </row>
        <row r="1730">
          <cell r="A1730" t="str">
            <v>0011801330AK</v>
          </cell>
          <cell r="B1730" t="str">
            <v>室内电脑板-CEM-1</v>
          </cell>
        </row>
        <row r="1731">
          <cell r="A1731" t="str">
            <v>0011801330AR</v>
          </cell>
          <cell r="B1731" t="str">
            <v>室内电脑板-CEM-1</v>
          </cell>
        </row>
        <row r="1732">
          <cell r="A1732" t="str">
            <v>0011801330AR</v>
          </cell>
          <cell r="B1732" t="str">
            <v>室内电脑板-CEM-1</v>
          </cell>
        </row>
        <row r="1733">
          <cell r="A1733" t="str">
            <v>0011801330AU</v>
          </cell>
          <cell r="B1733" t="str">
            <v>室内电脑板-CEM-1</v>
          </cell>
        </row>
        <row r="1734">
          <cell r="A1734" t="str">
            <v>0011801330AU</v>
          </cell>
          <cell r="B1734" t="str">
            <v>室内电脑板-CEM-1</v>
          </cell>
        </row>
        <row r="1735">
          <cell r="A1735" t="str">
            <v>0011801330C</v>
          </cell>
          <cell r="B1735" t="str">
            <v>室内电脑板-CEM-1</v>
          </cell>
        </row>
        <row r="1736">
          <cell r="A1736" t="str">
            <v>0011801330C</v>
          </cell>
          <cell r="B1736" t="str">
            <v>室内电脑板-CEM-1</v>
          </cell>
        </row>
        <row r="1737">
          <cell r="A1737" t="str">
            <v>0011801330G</v>
          </cell>
          <cell r="B1737" t="str">
            <v>室内电脑板-CEM-1</v>
          </cell>
        </row>
        <row r="1738">
          <cell r="A1738" t="str">
            <v>0011801330G</v>
          </cell>
          <cell r="B1738" t="str">
            <v>室内电脑板-CEM-1</v>
          </cell>
        </row>
        <row r="1739">
          <cell r="A1739" t="str">
            <v>0011801330GCH</v>
          </cell>
          <cell r="B1739" t="str">
            <v>室内电脑板-CEM-1</v>
          </cell>
        </row>
        <row r="1740">
          <cell r="A1740" t="str">
            <v>0011801330GCH</v>
          </cell>
          <cell r="B1740" t="str">
            <v>室内电脑板-CEM-1</v>
          </cell>
        </row>
        <row r="1741">
          <cell r="A1741" t="str">
            <v>0011801330H</v>
          </cell>
          <cell r="B1741" t="str">
            <v>室内电脑板-CEM-1</v>
          </cell>
        </row>
        <row r="1742">
          <cell r="A1742" t="str">
            <v>0011801330H</v>
          </cell>
          <cell r="B1742" t="str">
            <v>室内电脑板-CEM-1</v>
          </cell>
        </row>
        <row r="1743">
          <cell r="A1743" t="str">
            <v>0011801330J</v>
          </cell>
          <cell r="B1743" t="str">
            <v>室内电脑板-CEM-1</v>
          </cell>
        </row>
        <row r="1744">
          <cell r="A1744" t="str">
            <v>0011801330J</v>
          </cell>
          <cell r="B1744" t="str">
            <v>室内电脑板-CEM-1</v>
          </cell>
        </row>
        <row r="1745">
          <cell r="A1745" t="str">
            <v>0011801330K</v>
          </cell>
          <cell r="B1745" t="str">
            <v>室内电脑板-CEM-1</v>
          </cell>
        </row>
        <row r="1746">
          <cell r="A1746" t="str">
            <v>0011801330K</v>
          </cell>
          <cell r="B1746" t="str">
            <v>室内电脑板-CEM-1</v>
          </cell>
        </row>
        <row r="1747">
          <cell r="A1747" t="str">
            <v>0011801330L</v>
          </cell>
          <cell r="B1747" t="str">
            <v>室内电脑板-CEM-1/</v>
          </cell>
        </row>
        <row r="1748">
          <cell r="A1748" t="str">
            <v>0011801330M</v>
          </cell>
          <cell r="B1748" t="str">
            <v>室内电脑板-CEM-1</v>
          </cell>
        </row>
        <row r="1749">
          <cell r="A1749" t="str">
            <v>0011801330M</v>
          </cell>
          <cell r="B1749" t="str">
            <v>室内电脑板-CEM-1</v>
          </cell>
        </row>
        <row r="1750">
          <cell r="A1750" t="str">
            <v>0011801330N</v>
          </cell>
          <cell r="B1750" t="str">
            <v>室内电脑板-CEM-1</v>
          </cell>
        </row>
        <row r="1751">
          <cell r="A1751" t="str">
            <v>0011801330N</v>
          </cell>
          <cell r="B1751" t="str">
            <v>室内电脑板-CEM-1</v>
          </cell>
        </row>
        <row r="1752">
          <cell r="A1752" t="str">
            <v>0011801330P</v>
          </cell>
          <cell r="B1752" t="str">
            <v>室内电脑板-CEM-1</v>
          </cell>
        </row>
        <row r="1753">
          <cell r="A1753" t="str">
            <v>0011801330P</v>
          </cell>
          <cell r="B1753" t="str">
            <v>室内电脑板-CEM-1</v>
          </cell>
        </row>
        <row r="1754">
          <cell r="A1754" t="str">
            <v>0011801330Q</v>
          </cell>
          <cell r="B1754" t="str">
            <v>室内电脑板-CEM-1</v>
          </cell>
        </row>
        <row r="1755">
          <cell r="A1755" t="str">
            <v>0011801330Q</v>
          </cell>
          <cell r="B1755" t="str">
            <v>室内电脑板-CEM-1</v>
          </cell>
        </row>
        <row r="1756">
          <cell r="A1756" t="str">
            <v>0011801330S</v>
          </cell>
          <cell r="B1756" t="str">
            <v>室内电脑板-CEM-1</v>
          </cell>
        </row>
        <row r="1757">
          <cell r="A1757" t="str">
            <v>0011801330S</v>
          </cell>
          <cell r="B1757" t="str">
            <v>室内电脑板-CEM-1</v>
          </cell>
        </row>
        <row r="1758">
          <cell r="A1758" t="str">
            <v>0011801330V</v>
          </cell>
          <cell r="B1758" t="str">
            <v>室内电脑板-CEM-1</v>
          </cell>
        </row>
        <row r="1759">
          <cell r="A1759" t="str">
            <v>0011801330V</v>
          </cell>
          <cell r="B1759" t="str">
            <v>室内电脑板-CEM-1</v>
          </cell>
        </row>
        <row r="1760">
          <cell r="A1760" t="str">
            <v>0011801330W</v>
          </cell>
          <cell r="B1760" t="str">
            <v>室内电脑板-CEM-1</v>
          </cell>
        </row>
        <row r="1761">
          <cell r="A1761" t="str">
            <v>0011801330W</v>
          </cell>
          <cell r="B1761" t="str">
            <v>室内电脑板-CEM-1</v>
          </cell>
        </row>
        <row r="1762">
          <cell r="A1762" t="str">
            <v>0011801330X</v>
          </cell>
          <cell r="B1762" t="str">
            <v>室内电脑板-CEM-1</v>
          </cell>
        </row>
        <row r="1763">
          <cell r="A1763" t="str">
            <v>0011801330X</v>
          </cell>
          <cell r="B1763" t="str">
            <v>室内电脑板-CEM-1</v>
          </cell>
        </row>
        <row r="1764">
          <cell r="A1764" t="str">
            <v>0011801372</v>
          </cell>
          <cell r="B1764" t="str">
            <v>变频外电脑板-FR-4205mm*157mm</v>
          </cell>
        </row>
        <row r="1765">
          <cell r="A1765" t="str">
            <v>0011801372A</v>
          </cell>
          <cell r="B1765" t="str">
            <v>变频外电脑板-FR-4205mm*157mm</v>
          </cell>
        </row>
        <row r="1766">
          <cell r="A1766" t="str">
            <v>0011801372B</v>
          </cell>
          <cell r="B1766" t="str">
            <v>变频外电脑板-FR-4205mm*157mm</v>
          </cell>
        </row>
        <row r="1767">
          <cell r="A1767" t="str">
            <v>0011801372C</v>
          </cell>
          <cell r="B1767" t="str">
            <v>变频外电脑板-FR-4205mm*157mm</v>
          </cell>
        </row>
        <row r="1768">
          <cell r="A1768" t="str">
            <v>0011801372D</v>
          </cell>
          <cell r="B1768" t="str">
            <v>变频外电脑板-FR-4205mm*157mm</v>
          </cell>
        </row>
        <row r="1769">
          <cell r="A1769" t="str">
            <v>0011801372F</v>
          </cell>
          <cell r="B1769" t="str">
            <v>变频外电脑板-FR-4205mm*157mm</v>
          </cell>
        </row>
        <row r="1770">
          <cell r="A1770" t="str">
            <v>0011801372G</v>
          </cell>
          <cell r="B1770" t="str">
            <v>变频外电脑板-FR-4205mm*157mm</v>
          </cell>
        </row>
        <row r="1771">
          <cell r="A1771" t="str">
            <v>0011801372H</v>
          </cell>
          <cell r="B1771" t="str">
            <v>变频外电脑板-FR-4205mm*157mm</v>
          </cell>
        </row>
        <row r="1772">
          <cell r="A1772" t="str">
            <v>0011801372J</v>
          </cell>
          <cell r="B1772" t="str">
            <v>变频外电脑板-FR-4205mm*157mm</v>
          </cell>
        </row>
        <row r="1773">
          <cell r="A1773" t="str">
            <v>0011801372M</v>
          </cell>
          <cell r="B1773" t="str">
            <v>变频外电脑板-FR-4205mm*157mm</v>
          </cell>
        </row>
        <row r="1774">
          <cell r="A1774" t="str">
            <v>0011801423L</v>
          </cell>
          <cell r="B1774" t="str">
            <v>变频外电脑板-FR-4240*180</v>
          </cell>
        </row>
        <row r="1775">
          <cell r="A1775" t="str">
            <v>0011801423L</v>
          </cell>
          <cell r="B1775" t="str">
            <v>变频外电脑板-FR-4240*180</v>
          </cell>
        </row>
        <row r="1776">
          <cell r="A1776" t="str">
            <v>0011801424</v>
          </cell>
          <cell r="B1776" t="str">
            <v>变频外电脑板-FR-4/</v>
          </cell>
        </row>
        <row r="1777">
          <cell r="A1777" t="str">
            <v>0011801424A</v>
          </cell>
          <cell r="B1777" t="str">
            <v>变频外电脑板-FR-4/</v>
          </cell>
        </row>
        <row r="1778">
          <cell r="A1778" t="str">
            <v>0011801424AA</v>
          </cell>
          <cell r="B1778" t="str">
            <v>变频外电脑板-FR-4/</v>
          </cell>
        </row>
        <row r="1779">
          <cell r="A1779" t="str">
            <v>0011801424AB</v>
          </cell>
          <cell r="B1779" t="str">
            <v>变频外电脑板-FR-4/</v>
          </cell>
        </row>
        <row r="1780">
          <cell r="A1780" t="str">
            <v>0011801424AE</v>
          </cell>
          <cell r="B1780" t="str">
            <v>变频外电脑板-FR-4/</v>
          </cell>
        </row>
        <row r="1781">
          <cell r="A1781" t="str">
            <v>0011801424AE</v>
          </cell>
          <cell r="B1781" t="str">
            <v>变频外电脑板-FR-4/</v>
          </cell>
        </row>
        <row r="1782">
          <cell r="A1782" t="str">
            <v>0011801424AF</v>
          </cell>
          <cell r="B1782" t="str">
            <v>变频外电脑板-FR-4/</v>
          </cell>
        </row>
        <row r="1783">
          <cell r="A1783" t="str">
            <v>0011801424AF</v>
          </cell>
          <cell r="B1783" t="str">
            <v>变频外电脑板-FR-4/</v>
          </cell>
        </row>
        <row r="1784">
          <cell r="A1784" t="str">
            <v>0011801424AK</v>
          </cell>
          <cell r="B1784" t="str">
            <v>变频外电脑板-FR-4</v>
          </cell>
        </row>
        <row r="1785">
          <cell r="A1785" t="str">
            <v>0011801424AL</v>
          </cell>
          <cell r="B1785" t="str">
            <v>变频外电脑板-FR-4/</v>
          </cell>
        </row>
        <row r="1786">
          <cell r="A1786" t="str">
            <v>0011801424AM</v>
          </cell>
          <cell r="B1786" t="str">
            <v>变频外电脑板-FR-4</v>
          </cell>
        </row>
        <row r="1787">
          <cell r="A1787" t="str">
            <v>0011801424AN</v>
          </cell>
          <cell r="B1787" t="str">
            <v>变频外电脑板-FR-4</v>
          </cell>
        </row>
        <row r="1788">
          <cell r="A1788" t="str">
            <v>0011801424AP</v>
          </cell>
          <cell r="B1788" t="str">
            <v>变频外电脑板-FR-4/</v>
          </cell>
        </row>
        <row r="1789">
          <cell r="A1789" t="str">
            <v>0011801424AP</v>
          </cell>
          <cell r="B1789" t="str">
            <v>变频外电脑板-FR-4/</v>
          </cell>
        </row>
        <row r="1790">
          <cell r="A1790" t="str">
            <v>0011801424AQ</v>
          </cell>
          <cell r="B1790" t="str">
            <v>变频外电脑板-FR-4/</v>
          </cell>
        </row>
        <row r="1791">
          <cell r="A1791" t="str">
            <v>0011801424AS</v>
          </cell>
          <cell r="B1791" t="str">
            <v>变频外电脑板-FR-4/</v>
          </cell>
        </row>
        <row r="1792">
          <cell r="A1792" t="str">
            <v>0011801424AT</v>
          </cell>
          <cell r="B1792" t="str">
            <v>变频外电脑板-FR-4/</v>
          </cell>
        </row>
        <row r="1793">
          <cell r="A1793" t="str">
            <v>0011801424AV</v>
          </cell>
          <cell r="B1793" t="str">
            <v>变频外电脑板-FR-4</v>
          </cell>
        </row>
        <row r="1794">
          <cell r="A1794" t="str">
            <v>0011801424AV</v>
          </cell>
          <cell r="B1794" t="str">
            <v>变频外电脑板-FR-4</v>
          </cell>
        </row>
        <row r="1795">
          <cell r="A1795" t="str">
            <v>0011801424AW</v>
          </cell>
          <cell r="B1795" t="str">
            <v>变频外电脑板-FR-4/</v>
          </cell>
        </row>
        <row r="1796">
          <cell r="A1796" t="str">
            <v>0011801424AW</v>
          </cell>
          <cell r="B1796" t="str">
            <v>变频外电脑板-FR-4/</v>
          </cell>
        </row>
        <row r="1797">
          <cell r="A1797" t="str">
            <v>0011801424AX</v>
          </cell>
          <cell r="B1797" t="str">
            <v>变频外电脑板-FR-4/</v>
          </cell>
        </row>
        <row r="1798">
          <cell r="A1798" t="str">
            <v>0011801424AX</v>
          </cell>
          <cell r="B1798" t="str">
            <v>变频外电脑板-FR-4/</v>
          </cell>
        </row>
        <row r="1799">
          <cell r="A1799" t="str">
            <v>0011801424AY</v>
          </cell>
          <cell r="B1799" t="str">
            <v>变频外电脑板-FR-4</v>
          </cell>
        </row>
        <row r="1800">
          <cell r="A1800" t="str">
            <v>0011801424AY</v>
          </cell>
          <cell r="B1800" t="str">
            <v>变频外电脑板-FR-4</v>
          </cell>
        </row>
        <row r="1801">
          <cell r="A1801" t="str">
            <v>0011801424AZ</v>
          </cell>
          <cell r="B1801" t="str">
            <v>变频外电脑板-FR-4/</v>
          </cell>
        </row>
        <row r="1802">
          <cell r="A1802" t="str">
            <v>0011801424AZ</v>
          </cell>
          <cell r="B1802" t="str">
            <v>变频外电脑板-FR-4/</v>
          </cell>
        </row>
        <row r="1803">
          <cell r="A1803" t="str">
            <v>0011801424B</v>
          </cell>
          <cell r="B1803" t="str">
            <v>变频外电脑板-FR-4/</v>
          </cell>
        </row>
        <row r="1804">
          <cell r="A1804" t="str">
            <v>0011801424BA</v>
          </cell>
          <cell r="B1804" t="str">
            <v>变频外电脑板-FR-4/</v>
          </cell>
        </row>
        <row r="1805">
          <cell r="A1805" t="str">
            <v>0011801424BA</v>
          </cell>
          <cell r="B1805" t="str">
            <v>变频外电脑板-FR-4/</v>
          </cell>
        </row>
        <row r="1806">
          <cell r="A1806" t="str">
            <v>0011801424BD</v>
          </cell>
          <cell r="B1806" t="str">
            <v>变频外电脑板-FR-4</v>
          </cell>
        </row>
        <row r="1807">
          <cell r="A1807" t="str">
            <v>0011801424BD</v>
          </cell>
          <cell r="B1807" t="str">
            <v>变频外电脑板-FR-4</v>
          </cell>
        </row>
        <row r="1808">
          <cell r="A1808" t="str">
            <v>0011801424BG</v>
          </cell>
          <cell r="B1808" t="str">
            <v>变频外电脑板-FR-4</v>
          </cell>
        </row>
        <row r="1809">
          <cell r="A1809" t="str">
            <v>0011801424BG</v>
          </cell>
          <cell r="B1809" t="str">
            <v>变频外电脑板-FR-4</v>
          </cell>
        </row>
        <row r="1810">
          <cell r="A1810" t="str">
            <v>0011801424BK</v>
          </cell>
          <cell r="B1810" t="str">
            <v>变频外电脑板-FR-4/</v>
          </cell>
        </row>
        <row r="1811">
          <cell r="A1811" t="str">
            <v>0011801424BK</v>
          </cell>
          <cell r="B1811" t="str">
            <v>变频外电脑板-FR-4/</v>
          </cell>
        </row>
        <row r="1812">
          <cell r="A1812" t="str">
            <v>0011801424BL</v>
          </cell>
          <cell r="B1812" t="str">
            <v>变频外电脑板-FR-4/</v>
          </cell>
        </row>
        <row r="1813">
          <cell r="A1813" t="str">
            <v>0011801424BL</v>
          </cell>
          <cell r="B1813" t="str">
            <v>变频外电脑板-FR-4/</v>
          </cell>
        </row>
        <row r="1814">
          <cell r="A1814" t="str">
            <v>0011801424BM</v>
          </cell>
          <cell r="B1814" t="str">
            <v>变频外电脑板-FR-4</v>
          </cell>
        </row>
        <row r="1815">
          <cell r="A1815" t="str">
            <v>0011801424BM</v>
          </cell>
          <cell r="B1815" t="str">
            <v>变频外电脑板-FR-4</v>
          </cell>
        </row>
        <row r="1816">
          <cell r="A1816" t="str">
            <v>0011801424BN</v>
          </cell>
          <cell r="B1816" t="str">
            <v>变频外电脑板-FR-4/</v>
          </cell>
        </row>
        <row r="1817">
          <cell r="A1817" t="str">
            <v>0011801424BP</v>
          </cell>
          <cell r="B1817" t="str">
            <v>变频外电脑板-FR-4/</v>
          </cell>
        </row>
        <row r="1818">
          <cell r="A1818" t="str">
            <v>0011801424BP</v>
          </cell>
          <cell r="B1818" t="str">
            <v>变频外电脑板-FR-4/</v>
          </cell>
        </row>
        <row r="1819">
          <cell r="A1819" t="str">
            <v>0011801424BQ</v>
          </cell>
          <cell r="B1819" t="str">
            <v>变频外电脑板-FR-4/</v>
          </cell>
        </row>
        <row r="1820">
          <cell r="A1820" t="str">
            <v>0011801424BQ</v>
          </cell>
          <cell r="B1820" t="str">
            <v>变频外电脑板-FR-4/</v>
          </cell>
        </row>
        <row r="1821">
          <cell r="A1821" t="str">
            <v>0011801424C</v>
          </cell>
          <cell r="B1821" t="str">
            <v>变频外电脑板-FR-4/</v>
          </cell>
        </row>
        <row r="1822">
          <cell r="A1822" t="str">
            <v>0011801424D</v>
          </cell>
          <cell r="B1822" t="str">
            <v>变频外电脑板-FR-4/</v>
          </cell>
        </row>
        <row r="1823">
          <cell r="A1823" t="str">
            <v>0011801424E</v>
          </cell>
          <cell r="B1823" t="str">
            <v>变频外电脑板-FR-4/</v>
          </cell>
        </row>
        <row r="1824">
          <cell r="A1824" t="str">
            <v>0011801424F</v>
          </cell>
          <cell r="B1824" t="str">
            <v>变频外电脑板-FR-4/</v>
          </cell>
        </row>
        <row r="1825">
          <cell r="A1825" t="str">
            <v>0011801424G</v>
          </cell>
          <cell r="B1825" t="str">
            <v>变频外电脑板-FR-4/</v>
          </cell>
        </row>
        <row r="1826">
          <cell r="A1826" t="str">
            <v>0011801424H</v>
          </cell>
          <cell r="B1826" t="str">
            <v>变频外电脑板-FR-4/</v>
          </cell>
        </row>
        <row r="1827">
          <cell r="A1827" t="str">
            <v>0011801424J</v>
          </cell>
          <cell r="B1827" t="str">
            <v>变频外电脑板-FR-4/</v>
          </cell>
        </row>
        <row r="1828">
          <cell r="A1828" t="str">
            <v>0011801424K</v>
          </cell>
          <cell r="B1828" t="str">
            <v>变频外电脑板-FR-4/</v>
          </cell>
        </row>
        <row r="1829">
          <cell r="A1829" t="str">
            <v>0011801424L</v>
          </cell>
          <cell r="B1829" t="str">
            <v>变频外电脑板-FR-4/</v>
          </cell>
        </row>
        <row r="1830">
          <cell r="A1830" t="str">
            <v>0011801424M</v>
          </cell>
          <cell r="B1830" t="str">
            <v>变频外电脑板-FR-4/</v>
          </cell>
        </row>
        <row r="1831">
          <cell r="A1831" t="str">
            <v>0011801424N</v>
          </cell>
          <cell r="B1831" t="str">
            <v>变频外电脑板-FR-4/</v>
          </cell>
        </row>
        <row r="1832">
          <cell r="A1832" t="str">
            <v>0011801424P</v>
          </cell>
          <cell r="B1832" t="str">
            <v>变频外电脑板-FR-4/</v>
          </cell>
        </row>
        <row r="1833">
          <cell r="A1833" t="str">
            <v>0011801424Q</v>
          </cell>
          <cell r="B1833" t="str">
            <v>变频外电脑板-FR-4/</v>
          </cell>
        </row>
        <row r="1834">
          <cell r="A1834" t="str">
            <v>0011801424R</v>
          </cell>
          <cell r="B1834" t="str">
            <v>变频外电脑板-FR-4</v>
          </cell>
        </row>
        <row r="1835">
          <cell r="A1835" t="str">
            <v>0011801424T</v>
          </cell>
          <cell r="B1835" t="str">
            <v>变频外电脑板-FR-4</v>
          </cell>
        </row>
        <row r="1836">
          <cell r="A1836" t="str">
            <v>0011801424V</v>
          </cell>
          <cell r="B1836" t="str">
            <v>变频外电脑板-FR-4/</v>
          </cell>
        </row>
        <row r="1837">
          <cell r="A1837" t="str">
            <v>0011801424W</v>
          </cell>
          <cell r="B1837" t="str">
            <v>变频外电脑板-FR-4/</v>
          </cell>
        </row>
        <row r="1838">
          <cell r="A1838" t="str">
            <v>0011801424X</v>
          </cell>
          <cell r="B1838" t="str">
            <v>变频外电脑板-FR-4/</v>
          </cell>
        </row>
        <row r="1839">
          <cell r="A1839" t="str">
            <v>0011801424Y</v>
          </cell>
          <cell r="B1839" t="str">
            <v>变频外电脑板-FR-4/</v>
          </cell>
        </row>
        <row r="1840">
          <cell r="A1840" t="str">
            <v>0011801424Z</v>
          </cell>
          <cell r="B1840" t="str">
            <v>变频外电脑板-FR-4/</v>
          </cell>
        </row>
        <row r="1841">
          <cell r="A1841" t="str">
            <v>0011801425</v>
          </cell>
          <cell r="B1841" t="str">
            <v>变频外电脑板-FR-4</v>
          </cell>
        </row>
        <row r="1842">
          <cell r="A1842" t="str">
            <v>0011801425A</v>
          </cell>
          <cell r="B1842" t="str">
            <v>变频外电脑板-FR-4</v>
          </cell>
        </row>
        <row r="1843">
          <cell r="A1843" t="str">
            <v>0011801425AA</v>
          </cell>
          <cell r="B1843" t="str">
            <v>变频外电脑板-FR-4</v>
          </cell>
        </row>
        <row r="1844">
          <cell r="A1844" t="str">
            <v>0011801425AA</v>
          </cell>
          <cell r="B1844" t="str">
            <v>变频外电脑板-FR-4</v>
          </cell>
        </row>
        <row r="1845">
          <cell r="A1845" t="str">
            <v>0011801425AF</v>
          </cell>
          <cell r="B1845" t="str">
            <v>变频外电脑板-FR-4</v>
          </cell>
        </row>
        <row r="1846">
          <cell r="A1846" t="str">
            <v>0011801425AF</v>
          </cell>
          <cell r="B1846" t="str">
            <v>变频外电脑板-FR-4</v>
          </cell>
        </row>
        <row r="1847">
          <cell r="A1847" t="str">
            <v>0011801425AG</v>
          </cell>
          <cell r="B1847" t="str">
            <v>变频外电脑板-FR-4</v>
          </cell>
        </row>
        <row r="1848">
          <cell r="A1848" t="str">
            <v>0011801425AG</v>
          </cell>
          <cell r="B1848" t="str">
            <v>变频外电脑板-FR-4</v>
          </cell>
        </row>
        <row r="1849">
          <cell r="A1849" t="str">
            <v>0011801425B</v>
          </cell>
          <cell r="B1849" t="str">
            <v>变频外电脑板-FR-4</v>
          </cell>
        </row>
        <row r="1850">
          <cell r="A1850" t="str">
            <v>0011801425C</v>
          </cell>
          <cell r="B1850" t="str">
            <v>变频外电脑板-FR-4</v>
          </cell>
        </row>
        <row r="1851">
          <cell r="A1851" t="str">
            <v>0011801425D</v>
          </cell>
          <cell r="B1851" t="str">
            <v>变频外电脑板-FR-4</v>
          </cell>
        </row>
        <row r="1852">
          <cell r="A1852" t="str">
            <v>0011801425E</v>
          </cell>
          <cell r="B1852" t="str">
            <v>变频外电脑板-FR-4</v>
          </cell>
        </row>
        <row r="1853">
          <cell r="A1853" t="str">
            <v>0011801425F</v>
          </cell>
          <cell r="B1853" t="str">
            <v>变频外电脑板-FR-4</v>
          </cell>
        </row>
        <row r="1854">
          <cell r="A1854" t="str">
            <v>0011801425G</v>
          </cell>
          <cell r="B1854" t="str">
            <v>变频外电脑板-FR-4</v>
          </cell>
        </row>
        <row r="1855">
          <cell r="A1855" t="str">
            <v>0011801425H</v>
          </cell>
          <cell r="B1855" t="str">
            <v>变频外电脑板-FR-4</v>
          </cell>
        </row>
        <row r="1856">
          <cell r="A1856" t="str">
            <v>0011801425J</v>
          </cell>
          <cell r="B1856" t="str">
            <v>变频外电脑板-FR-4</v>
          </cell>
        </row>
        <row r="1857">
          <cell r="A1857" t="str">
            <v>0011801425K</v>
          </cell>
          <cell r="B1857" t="str">
            <v>变频外电脑板-FR-4</v>
          </cell>
        </row>
        <row r="1858">
          <cell r="A1858" t="str">
            <v>0011801425L</v>
          </cell>
          <cell r="B1858" t="str">
            <v>变频外电脑板-FR-4</v>
          </cell>
        </row>
        <row r="1859">
          <cell r="A1859" t="str">
            <v>0011801425M</v>
          </cell>
          <cell r="B1859" t="str">
            <v>变频外电脑板-FR-4</v>
          </cell>
        </row>
        <row r="1860">
          <cell r="A1860" t="str">
            <v>0011801425N</v>
          </cell>
          <cell r="B1860" t="str">
            <v>变频外电脑板-FR-4</v>
          </cell>
        </row>
        <row r="1861">
          <cell r="A1861" t="str">
            <v>0011801425P</v>
          </cell>
          <cell r="B1861" t="str">
            <v>变频外电脑板-FR-4</v>
          </cell>
        </row>
        <row r="1862">
          <cell r="A1862" t="str">
            <v>0011801425Q</v>
          </cell>
          <cell r="B1862" t="str">
            <v>变频外电脑板-FR-4</v>
          </cell>
        </row>
        <row r="1863">
          <cell r="A1863" t="str">
            <v>0011801425T</v>
          </cell>
          <cell r="B1863" t="str">
            <v>变频外电脑板-FR-4</v>
          </cell>
        </row>
        <row r="1864">
          <cell r="A1864" t="str">
            <v>0011801425W</v>
          </cell>
          <cell r="B1864" t="str">
            <v>变频外电脑板-FR-4</v>
          </cell>
        </row>
        <row r="1865">
          <cell r="A1865" t="str">
            <v>0011801425X</v>
          </cell>
          <cell r="B1865" t="str">
            <v>变频外电脑板-FR-4</v>
          </cell>
        </row>
        <row r="1866">
          <cell r="A1866" t="str">
            <v>0011801425Y</v>
          </cell>
          <cell r="B1866" t="str">
            <v>变频外电脑板-FR-4</v>
          </cell>
        </row>
        <row r="1867">
          <cell r="A1867" t="str">
            <v>0011801425Z</v>
          </cell>
          <cell r="B1867" t="str">
            <v>变频外电脑板-FR-4</v>
          </cell>
        </row>
        <row r="1868">
          <cell r="A1868" t="str">
            <v>0011801427B</v>
          </cell>
          <cell r="B1868" t="str">
            <v>变频外电脑板-FR-4/</v>
          </cell>
        </row>
        <row r="1869">
          <cell r="A1869" t="str">
            <v>0011801427C</v>
          </cell>
          <cell r="B1869" t="str">
            <v>变频外电脑板-FR-4</v>
          </cell>
        </row>
        <row r="1870">
          <cell r="A1870" t="str">
            <v>0011801427E</v>
          </cell>
          <cell r="B1870" t="str">
            <v>变频外电脑板-FR-4/</v>
          </cell>
        </row>
        <row r="1871">
          <cell r="A1871" t="str">
            <v>0011801427F</v>
          </cell>
          <cell r="B1871" t="str">
            <v>变频外电脑板-FR-4</v>
          </cell>
        </row>
        <row r="1872">
          <cell r="A1872" t="str">
            <v>0011801427G</v>
          </cell>
          <cell r="B1872" t="str">
            <v>变频外电脑板-FR-4/</v>
          </cell>
        </row>
        <row r="1873">
          <cell r="A1873" t="str">
            <v>0011801453</v>
          </cell>
          <cell r="B1873" t="str">
            <v>变频外电脑板-FR-4</v>
          </cell>
        </row>
        <row r="1874">
          <cell r="A1874" t="str">
            <v>0011801482</v>
          </cell>
          <cell r="B1874" t="str">
            <v>室内电脑板-CEM-1</v>
          </cell>
        </row>
        <row r="1875">
          <cell r="A1875" t="str">
            <v>0011801482</v>
          </cell>
          <cell r="B1875" t="str">
            <v>室内电脑板-CEM-1</v>
          </cell>
        </row>
        <row r="1876">
          <cell r="A1876" t="str">
            <v>0011801482A</v>
          </cell>
          <cell r="B1876" t="str">
            <v>室内电脑板-CEM-1</v>
          </cell>
        </row>
        <row r="1877">
          <cell r="A1877" t="str">
            <v>0011801482A</v>
          </cell>
          <cell r="B1877" t="str">
            <v>室内电脑板-CEM-1</v>
          </cell>
        </row>
        <row r="1878">
          <cell r="A1878" t="str">
            <v>0011801482E</v>
          </cell>
          <cell r="B1878" t="str">
            <v>室内电脑板-CEM-1</v>
          </cell>
        </row>
        <row r="1879">
          <cell r="A1879" t="str">
            <v>0011801482F</v>
          </cell>
          <cell r="B1879" t="str">
            <v>室内电脑板-CEM-1</v>
          </cell>
        </row>
        <row r="1880">
          <cell r="A1880" t="str">
            <v>0011801482F</v>
          </cell>
          <cell r="B1880" t="str">
            <v>室内电脑板-CEM-1</v>
          </cell>
        </row>
        <row r="1881">
          <cell r="A1881" t="str">
            <v>0011801482L</v>
          </cell>
          <cell r="B1881" t="str">
            <v>室内电脑板-CEM-1</v>
          </cell>
        </row>
        <row r="1882">
          <cell r="A1882" t="str">
            <v>0011801482L</v>
          </cell>
          <cell r="B1882" t="str">
            <v>室内电脑板-CEM-1</v>
          </cell>
        </row>
        <row r="1883">
          <cell r="A1883" t="str">
            <v>0011801482M</v>
          </cell>
          <cell r="B1883" t="str">
            <v>室内电脑板-CEM-1</v>
          </cell>
        </row>
        <row r="1884">
          <cell r="A1884" t="str">
            <v>0011801482M</v>
          </cell>
          <cell r="B1884" t="str">
            <v>室内电脑板-CEM-1</v>
          </cell>
        </row>
        <row r="1885">
          <cell r="A1885" t="str">
            <v>0011801490AG</v>
          </cell>
          <cell r="B1885" t="str">
            <v>变频外电脑板-FR-4</v>
          </cell>
        </row>
        <row r="1886">
          <cell r="A1886" t="str">
            <v>0011801490AG</v>
          </cell>
          <cell r="B1886" t="str">
            <v>变频外电脑板-FR-4</v>
          </cell>
        </row>
        <row r="1887">
          <cell r="A1887" t="str">
            <v>0011801490AH</v>
          </cell>
          <cell r="B1887" t="str">
            <v>变频外电脑板-FR-4</v>
          </cell>
        </row>
        <row r="1888">
          <cell r="A1888" t="str">
            <v>0011801490AH</v>
          </cell>
          <cell r="B1888" t="str">
            <v>变频外电脑板-FR-4</v>
          </cell>
        </row>
        <row r="1889">
          <cell r="A1889" t="str">
            <v>0011801490AN</v>
          </cell>
          <cell r="B1889" t="str">
            <v>变频外电脑板-FR-4</v>
          </cell>
        </row>
        <row r="1890">
          <cell r="A1890" t="str">
            <v>0011801490AN</v>
          </cell>
          <cell r="B1890" t="str">
            <v>变频外电脑板-FR-4</v>
          </cell>
        </row>
        <row r="1891">
          <cell r="A1891" t="str">
            <v>0011801490AP</v>
          </cell>
          <cell r="B1891" t="str">
            <v>变频外电脑板-FR-4</v>
          </cell>
        </row>
        <row r="1892">
          <cell r="A1892" t="str">
            <v>0011801490AP</v>
          </cell>
          <cell r="B1892" t="str">
            <v>变频外电脑板-FR-4</v>
          </cell>
        </row>
        <row r="1893">
          <cell r="A1893" t="str">
            <v>0011801490AU</v>
          </cell>
          <cell r="B1893" t="str">
            <v>变频外电脑板-FR-4</v>
          </cell>
        </row>
        <row r="1894">
          <cell r="A1894" t="str">
            <v>0011801490AU</v>
          </cell>
          <cell r="B1894" t="str">
            <v>变频外电脑板-FR-4</v>
          </cell>
        </row>
        <row r="1895">
          <cell r="A1895" t="str">
            <v>0011801490AX</v>
          </cell>
          <cell r="B1895" t="str">
            <v>变频外电脑板-FR-4</v>
          </cell>
        </row>
        <row r="1896">
          <cell r="A1896" t="str">
            <v>0011801490AX</v>
          </cell>
          <cell r="B1896" t="str">
            <v>变频外电脑板-FR-4</v>
          </cell>
        </row>
        <row r="1897">
          <cell r="A1897" t="str">
            <v>0011801490AY</v>
          </cell>
          <cell r="B1897" t="str">
            <v>变频外电脑板-FR-4</v>
          </cell>
        </row>
        <row r="1898">
          <cell r="A1898" t="str">
            <v>0011801490AY</v>
          </cell>
          <cell r="B1898" t="str">
            <v>变频外电脑板-FR-4</v>
          </cell>
        </row>
        <row r="1899">
          <cell r="A1899" t="str">
            <v>0011801490BA</v>
          </cell>
          <cell r="B1899" t="str">
            <v>变频外电脑板-FR-4</v>
          </cell>
        </row>
        <row r="1900">
          <cell r="A1900" t="str">
            <v>0011801490BA</v>
          </cell>
          <cell r="B1900" t="str">
            <v>变频外电脑板-FR-4</v>
          </cell>
        </row>
        <row r="1901">
          <cell r="A1901" t="str">
            <v>0011801490BB</v>
          </cell>
          <cell r="B1901" t="str">
            <v>变频外电脑板-FR-4</v>
          </cell>
        </row>
        <row r="1902">
          <cell r="A1902" t="str">
            <v>0011801490BB</v>
          </cell>
          <cell r="B1902" t="str">
            <v>变频外电脑板-FR-4</v>
          </cell>
        </row>
        <row r="1903">
          <cell r="A1903" t="str">
            <v>0011801490BF</v>
          </cell>
          <cell r="B1903" t="str">
            <v>变频外电脑板-FR-4</v>
          </cell>
        </row>
        <row r="1904">
          <cell r="A1904" t="str">
            <v>0011801490BF</v>
          </cell>
          <cell r="B1904" t="str">
            <v>变频外电脑板-FR-4</v>
          </cell>
        </row>
        <row r="1905">
          <cell r="A1905" t="str">
            <v>0011801490BM</v>
          </cell>
          <cell r="B1905" t="str">
            <v>变频外电脑板-FR-4</v>
          </cell>
        </row>
        <row r="1906">
          <cell r="A1906" t="str">
            <v>0011801490BM</v>
          </cell>
          <cell r="B1906" t="str">
            <v>变频外电脑板-FR-4</v>
          </cell>
        </row>
        <row r="1907">
          <cell r="A1907" t="str">
            <v>0011801490BN</v>
          </cell>
          <cell r="B1907" t="str">
            <v>变频外电脑板-FR-4</v>
          </cell>
        </row>
        <row r="1908">
          <cell r="A1908" t="str">
            <v>0011801490BN</v>
          </cell>
          <cell r="B1908" t="str">
            <v>变频外电脑板-FR-4</v>
          </cell>
        </row>
        <row r="1909">
          <cell r="A1909" t="str">
            <v>0011801490BS</v>
          </cell>
          <cell r="B1909" t="str">
            <v>变频外电脑板-FR-4</v>
          </cell>
        </row>
        <row r="1910">
          <cell r="A1910" t="str">
            <v>0011801490BS</v>
          </cell>
          <cell r="B1910" t="str">
            <v>变频外电脑板-FR-4</v>
          </cell>
        </row>
        <row r="1911">
          <cell r="A1911" t="str">
            <v>0011801490BT</v>
          </cell>
          <cell r="B1911" t="str">
            <v>变频外电脑板-FR-4</v>
          </cell>
        </row>
        <row r="1912">
          <cell r="A1912" t="str">
            <v>0011801490BT</v>
          </cell>
          <cell r="B1912" t="str">
            <v>变频外电脑板-FR-4</v>
          </cell>
        </row>
        <row r="1913">
          <cell r="A1913" t="str">
            <v>0011801490BW</v>
          </cell>
          <cell r="B1913" t="str">
            <v>变频外电脑板</v>
          </cell>
        </row>
        <row r="1914">
          <cell r="A1914" t="str">
            <v>0011801490BW</v>
          </cell>
          <cell r="B1914" t="str">
            <v>变频外电脑板</v>
          </cell>
        </row>
        <row r="1915">
          <cell r="A1915" t="str">
            <v>0011801490BX</v>
          </cell>
          <cell r="B1915" t="str">
            <v>变频外电脑板</v>
          </cell>
        </row>
        <row r="1916">
          <cell r="A1916" t="str">
            <v>0011801490BX</v>
          </cell>
          <cell r="B1916" t="str">
            <v>变频外电脑板</v>
          </cell>
        </row>
        <row r="1917">
          <cell r="A1917" t="str">
            <v>0011801490CA</v>
          </cell>
          <cell r="B1917" t="str">
            <v>变频外电脑板</v>
          </cell>
        </row>
        <row r="1918">
          <cell r="A1918" t="str">
            <v>0011801490CA</v>
          </cell>
          <cell r="B1918" t="str">
            <v>变频外电脑板</v>
          </cell>
        </row>
        <row r="1919">
          <cell r="A1919" t="str">
            <v>0011801490CF</v>
          </cell>
          <cell r="B1919" t="str">
            <v>变频外电脑板-FR-4</v>
          </cell>
        </row>
        <row r="1920">
          <cell r="A1920" t="str">
            <v>0011801490CF</v>
          </cell>
          <cell r="B1920" t="str">
            <v>变频外电脑板-FR-4</v>
          </cell>
        </row>
        <row r="1921">
          <cell r="A1921" t="str">
            <v>0011801490CN</v>
          </cell>
          <cell r="B1921" t="str">
            <v>变频外电脑板-FR-4</v>
          </cell>
        </row>
        <row r="1922">
          <cell r="A1922" t="str">
            <v>0011801490CN</v>
          </cell>
          <cell r="B1922" t="str">
            <v>变频外电脑板-FR-4</v>
          </cell>
        </row>
        <row r="1923">
          <cell r="A1923" t="str">
            <v>0011801490CQ</v>
          </cell>
          <cell r="B1923" t="str">
            <v>变频外电脑板</v>
          </cell>
        </row>
        <row r="1924">
          <cell r="A1924" t="str">
            <v>0011801490CQ</v>
          </cell>
          <cell r="B1924" t="str">
            <v>变频外电脑板</v>
          </cell>
        </row>
        <row r="1925">
          <cell r="A1925" t="str">
            <v>0011801490CY</v>
          </cell>
          <cell r="B1925" t="str">
            <v>变频外电脑板-FR-4</v>
          </cell>
        </row>
        <row r="1926">
          <cell r="A1926" t="str">
            <v>0011801490CY</v>
          </cell>
          <cell r="B1926" t="str">
            <v>变频外电脑板-FR-4</v>
          </cell>
        </row>
        <row r="1927">
          <cell r="A1927" t="str">
            <v>0011801490D</v>
          </cell>
          <cell r="B1927" t="str">
            <v>变频外电脑板-FR-4</v>
          </cell>
        </row>
        <row r="1928">
          <cell r="A1928" t="str">
            <v>0011801490D</v>
          </cell>
          <cell r="B1928" t="str">
            <v>变频外电脑板-FR-4</v>
          </cell>
        </row>
        <row r="1929">
          <cell r="A1929" t="str">
            <v>0011801490D</v>
          </cell>
          <cell r="B1929" t="str">
            <v>变频外电脑板-FR-4</v>
          </cell>
        </row>
        <row r="1930">
          <cell r="A1930" t="str">
            <v>0011801490DA</v>
          </cell>
          <cell r="B1930" t="str">
            <v>变频外电脑板-FR-4</v>
          </cell>
        </row>
        <row r="1931">
          <cell r="A1931" t="str">
            <v>0011801490DB</v>
          </cell>
          <cell r="B1931" t="str">
            <v>变频外电脑板-FR-4</v>
          </cell>
        </row>
        <row r="1932">
          <cell r="A1932" t="str">
            <v>0011801490E</v>
          </cell>
          <cell r="B1932" t="str">
            <v>变频外电脑板-FR-4</v>
          </cell>
        </row>
        <row r="1933">
          <cell r="A1933" t="str">
            <v>0011801490E</v>
          </cell>
          <cell r="B1933" t="str">
            <v>变频外电脑板-FR-4</v>
          </cell>
        </row>
        <row r="1934">
          <cell r="A1934" t="str">
            <v>0011801490F</v>
          </cell>
          <cell r="B1934" t="str">
            <v>变频外电脑板-FR-4</v>
          </cell>
        </row>
        <row r="1935">
          <cell r="A1935" t="str">
            <v>0011801490F</v>
          </cell>
          <cell r="B1935" t="str">
            <v>变频外电脑板-FR-4</v>
          </cell>
        </row>
        <row r="1936">
          <cell r="A1936" t="str">
            <v>0011801490M</v>
          </cell>
          <cell r="B1936" t="str">
            <v>变频外电脑板-FR-4</v>
          </cell>
        </row>
        <row r="1937">
          <cell r="A1937" t="str">
            <v>0011801490M</v>
          </cell>
          <cell r="B1937" t="str">
            <v>变频外电脑板-FR-4</v>
          </cell>
        </row>
        <row r="1938">
          <cell r="A1938" t="str">
            <v>0011801490MA</v>
          </cell>
          <cell r="B1938" t="str">
            <v>变频外电脑板-FR-4</v>
          </cell>
        </row>
        <row r="1939">
          <cell r="A1939" t="str">
            <v>0011801490MA</v>
          </cell>
          <cell r="B1939" t="str">
            <v>变频外电脑板-FR-4</v>
          </cell>
        </row>
        <row r="1940">
          <cell r="A1940" t="str">
            <v>0011801490MC</v>
          </cell>
          <cell r="B1940" t="str">
            <v>变频外电脑板-FR-4</v>
          </cell>
        </row>
        <row r="1941">
          <cell r="A1941" t="str">
            <v>0011801490MC</v>
          </cell>
          <cell r="B1941" t="str">
            <v>变频外电脑板-FR-4</v>
          </cell>
        </row>
        <row r="1942">
          <cell r="A1942" t="str">
            <v>0011801490N</v>
          </cell>
          <cell r="B1942" t="str">
            <v>变频外电脑板-FR-4</v>
          </cell>
        </row>
        <row r="1943">
          <cell r="A1943" t="str">
            <v>0011801490N</v>
          </cell>
          <cell r="B1943" t="str">
            <v>变频外电脑板-FR-4</v>
          </cell>
        </row>
        <row r="1944">
          <cell r="A1944" t="str">
            <v>0011801490R</v>
          </cell>
          <cell r="B1944" t="str">
            <v>变频外电脑板-FR-4</v>
          </cell>
        </row>
        <row r="1945">
          <cell r="A1945" t="str">
            <v>0011801490R</v>
          </cell>
          <cell r="B1945" t="str">
            <v>变频外电脑板-FR-4</v>
          </cell>
        </row>
        <row r="1946">
          <cell r="A1946" t="str">
            <v>0011801497</v>
          </cell>
          <cell r="B1946" t="str">
            <v>变频外电脑板-FR-4/</v>
          </cell>
        </row>
        <row r="1947">
          <cell r="A1947" t="str">
            <v>0011801516</v>
          </cell>
          <cell r="B1947" t="str">
            <v>变频外电脑板-FR-4300mm*180mm</v>
          </cell>
        </row>
        <row r="1948">
          <cell r="A1948" t="str">
            <v>0011801516C</v>
          </cell>
          <cell r="B1948" t="str">
            <v>变频外电脑板-FR-4</v>
          </cell>
        </row>
        <row r="1949">
          <cell r="A1949" t="str">
            <v>0011801516C</v>
          </cell>
          <cell r="B1949" t="str">
            <v>变频外电脑板-FR-4</v>
          </cell>
        </row>
        <row r="1950">
          <cell r="A1950" t="str">
            <v>0011801516D</v>
          </cell>
          <cell r="B1950" t="str">
            <v>变频外电脑板-FR-4</v>
          </cell>
        </row>
        <row r="1951">
          <cell r="A1951" t="str">
            <v>0011801516D</v>
          </cell>
          <cell r="B1951" t="str">
            <v>变频外电脑板-FR-4</v>
          </cell>
        </row>
        <row r="1952">
          <cell r="A1952" t="str">
            <v>0011801516E</v>
          </cell>
          <cell r="B1952" t="str">
            <v>变频外电脑板-FR-4</v>
          </cell>
        </row>
        <row r="1953">
          <cell r="A1953" t="str">
            <v>0011801516E</v>
          </cell>
          <cell r="B1953" t="str">
            <v>变频外电脑板-FR-4</v>
          </cell>
        </row>
        <row r="1954">
          <cell r="A1954" t="str">
            <v>0011801516F</v>
          </cell>
          <cell r="B1954" t="str">
            <v>变频外电脑板-FR-4</v>
          </cell>
        </row>
        <row r="1955">
          <cell r="A1955" t="str">
            <v>0011801516G</v>
          </cell>
          <cell r="B1955" t="str">
            <v>变频外电脑板-FR-4</v>
          </cell>
        </row>
        <row r="1956">
          <cell r="A1956" t="str">
            <v>0011801516G</v>
          </cell>
          <cell r="B1956" t="str">
            <v>变频外电脑板-FR-4</v>
          </cell>
        </row>
        <row r="1957">
          <cell r="A1957" t="str">
            <v>0011801516H</v>
          </cell>
          <cell r="B1957" t="str">
            <v>变频外电脑板-FR-4</v>
          </cell>
        </row>
        <row r="1958">
          <cell r="A1958" t="str">
            <v>0011801516H</v>
          </cell>
          <cell r="B1958" t="str">
            <v>变频外电脑板-FR-4</v>
          </cell>
        </row>
        <row r="1959">
          <cell r="A1959" t="str">
            <v>0011801516J</v>
          </cell>
          <cell r="B1959" t="str">
            <v>变频外电脑板-FR-4</v>
          </cell>
        </row>
        <row r="1960">
          <cell r="A1960" t="str">
            <v>0011801516J</v>
          </cell>
          <cell r="B1960" t="str">
            <v>变频外电脑板-FR-4</v>
          </cell>
        </row>
        <row r="1961">
          <cell r="A1961" t="str">
            <v>0011801516K</v>
          </cell>
          <cell r="B1961" t="str">
            <v>变频外电脑板-其他\FR-4-</v>
          </cell>
        </row>
        <row r="1962">
          <cell r="A1962" t="str">
            <v>0011801516K</v>
          </cell>
          <cell r="B1962" t="str">
            <v>变频外电脑板-其他\FR-4-</v>
          </cell>
        </row>
        <row r="1963">
          <cell r="A1963" t="str">
            <v>0011801522</v>
          </cell>
          <cell r="B1963" t="str">
            <v>室内电脑板-CEM-1室内电脑板俄罗斯22年DAICHI客户定频07/09P系列</v>
          </cell>
        </row>
        <row r="1964">
          <cell r="A1964" t="str">
            <v>0011801522A</v>
          </cell>
          <cell r="B1964" t="str">
            <v>室内电脑板-CEM-1室内电脑板俄罗斯22年DAICHI客户定频12P系列室内电</v>
          </cell>
        </row>
        <row r="1965">
          <cell r="A1965" t="str">
            <v>0011801522B</v>
          </cell>
          <cell r="B1965" t="str">
            <v>室内电脑板-CEM-1室内电脑板俄罗斯22年DAICHI客户定频12P系列室内电</v>
          </cell>
        </row>
        <row r="1966">
          <cell r="A1966" t="str">
            <v>0011801593</v>
          </cell>
          <cell r="B1966" t="str">
            <v>室内电脑板-FR-4136*165</v>
          </cell>
        </row>
        <row r="1967">
          <cell r="A1967" t="str">
            <v>0011801593A</v>
          </cell>
          <cell r="B1967" t="str">
            <v>室内电脑板-FR-4</v>
          </cell>
        </row>
        <row r="1968">
          <cell r="A1968" t="str">
            <v>0011801593A</v>
          </cell>
          <cell r="B1968" t="str">
            <v>室内电脑板-FR-4</v>
          </cell>
        </row>
        <row r="1969">
          <cell r="A1969" t="str">
            <v>0011801593B</v>
          </cell>
          <cell r="B1969" t="str">
            <v>室内电脑板-FR-4</v>
          </cell>
        </row>
        <row r="1970">
          <cell r="A1970" t="str">
            <v>0011801593B</v>
          </cell>
          <cell r="B1970" t="str">
            <v>室内电脑板-FR-4</v>
          </cell>
        </row>
        <row r="1971">
          <cell r="A1971" t="str">
            <v>0011801593C</v>
          </cell>
          <cell r="B1971" t="str">
            <v>室内电脑板-FR-4</v>
          </cell>
        </row>
        <row r="1972">
          <cell r="A1972" t="str">
            <v>0011801593C</v>
          </cell>
          <cell r="B1972" t="str">
            <v>室内电脑板-FR-4</v>
          </cell>
        </row>
        <row r="1973">
          <cell r="A1973" t="str">
            <v>0011801593D</v>
          </cell>
          <cell r="B1973" t="str">
            <v>室内电脑板-FR-4</v>
          </cell>
        </row>
        <row r="1974">
          <cell r="A1974" t="str">
            <v>0011801593D</v>
          </cell>
          <cell r="B1974" t="str">
            <v>室内电脑板-FR-4</v>
          </cell>
        </row>
        <row r="1975">
          <cell r="A1975" t="str">
            <v>0011801593G</v>
          </cell>
          <cell r="B1975" t="str">
            <v>室内电脑板-FR-4</v>
          </cell>
        </row>
        <row r="1976">
          <cell r="A1976" t="str">
            <v>0011801609</v>
          </cell>
          <cell r="B1976" t="str">
            <v>变频外电脑板-FR-4379mm*230mm</v>
          </cell>
        </row>
        <row r="1977">
          <cell r="A1977" t="str">
            <v>0011801609D</v>
          </cell>
          <cell r="B1977" t="str">
            <v>变频外电脑板-FR-4379mm*230mm</v>
          </cell>
        </row>
        <row r="1978">
          <cell r="A1978" t="str">
            <v>0011801609N</v>
          </cell>
          <cell r="B1978" t="str">
            <v>变频外电脑板-FR-4</v>
          </cell>
        </row>
        <row r="1979">
          <cell r="A1979" t="str">
            <v>0011801609S</v>
          </cell>
          <cell r="B1979" t="str">
            <v>变频外电脑板-FR-4379mm*230mm</v>
          </cell>
        </row>
        <row r="1980">
          <cell r="A1980" t="str">
            <v>0011801627</v>
          </cell>
          <cell r="B1980" t="str">
            <v>电源智能检测板-FR-4</v>
          </cell>
        </row>
        <row r="1981">
          <cell r="A1981" t="str">
            <v>0011801627A</v>
          </cell>
          <cell r="B1981" t="str">
            <v>电源智能检测板-FR-4</v>
          </cell>
        </row>
        <row r="1982">
          <cell r="A1982" t="str">
            <v>0011801628</v>
          </cell>
          <cell r="B1982" t="str">
            <v>电源智能检测板-FR-4</v>
          </cell>
        </row>
        <row r="1983">
          <cell r="A1983" t="str">
            <v>0011801628A</v>
          </cell>
          <cell r="B1983" t="str">
            <v>电源智能检测板-FR-4</v>
          </cell>
        </row>
        <row r="1984">
          <cell r="A1984" t="str">
            <v>0011801650</v>
          </cell>
          <cell r="B1984" t="str">
            <v>室内电脑板-FR-4155*136</v>
          </cell>
        </row>
        <row r="1985">
          <cell r="A1985" t="str">
            <v>0011801650A</v>
          </cell>
          <cell r="B1985" t="str">
            <v>室内电脑板-FR-4</v>
          </cell>
        </row>
        <row r="1986">
          <cell r="A1986" t="str">
            <v>0011801650A</v>
          </cell>
          <cell r="B1986" t="str">
            <v>室内电脑板-FR-4</v>
          </cell>
        </row>
        <row r="1987">
          <cell r="A1987" t="str">
            <v>0011801652</v>
          </cell>
          <cell r="B1987" t="str">
            <v>室内电脑板-/</v>
          </cell>
        </row>
        <row r="1988">
          <cell r="A1988" t="str">
            <v>0011801652</v>
          </cell>
          <cell r="B1988" t="str">
            <v>室内电脑板-/</v>
          </cell>
        </row>
        <row r="1989">
          <cell r="A1989" t="str">
            <v>0011801652A</v>
          </cell>
          <cell r="B1989" t="str">
            <v>室内电脑板-/</v>
          </cell>
        </row>
        <row r="1990">
          <cell r="A1990" t="str">
            <v>0011801652A</v>
          </cell>
          <cell r="B1990" t="str">
            <v>室内电脑板-/</v>
          </cell>
        </row>
        <row r="1991">
          <cell r="A1991" t="str">
            <v>0011801656</v>
          </cell>
          <cell r="B1991" t="str">
            <v>变频外电脑板-/</v>
          </cell>
        </row>
        <row r="1992">
          <cell r="A1992" t="str">
            <v>0011801656</v>
          </cell>
          <cell r="B1992" t="str">
            <v>变频外电脑板-/</v>
          </cell>
        </row>
        <row r="1993">
          <cell r="A1993" t="str">
            <v>0011801656A</v>
          </cell>
          <cell r="B1993" t="str">
            <v>变频外电脑板</v>
          </cell>
        </row>
        <row r="1994">
          <cell r="A1994" t="str">
            <v>0011801656A</v>
          </cell>
          <cell r="B1994" t="str">
            <v>变频外电脑板</v>
          </cell>
        </row>
        <row r="1995">
          <cell r="A1995" t="str">
            <v>0011801657</v>
          </cell>
          <cell r="B1995" t="str">
            <v>变频外电脑板-/</v>
          </cell>
        </row>
        <row r="1996">
          <cell r="A1996" t="str">
            <v>0011801657</v>
          </cell>
          <cell r="B1996" t="str">
            <v>变频外电脑板-/</v>
          </cell>
        </row>
        <row r="1997">
          <cell r="A1997" t="str">
            <v>0011801657A</v>
          </cell>
          <cell r="B1997" t="str">
            <v>变频外电脑板</v>
          </cell>
        </row>
        <row r="1998">
          <cell r="A1998" t="str">
            <v>0011801657A</v>
          </cell>
          <cell r="B1998" t="str">
            <v>变频外电脑板</v>
          </cell>
        </row>
        <row r="1999">
          <cell r="A1999" t="str">
            <v>0011801657AA</v>
          </cell>
          <cell r="B1999" t="str">
            <v>变频外电脑板</v>
          </cell>
        </row>
        <row r="2000">
          <cell r="A2000" t="str">
            <v>0011801657AA</v>
          </cell>
          <cell r="B2000" t="str">
            <v>变频外电脑板</v>
          </cell>
        </row>
        <row r="2001">
          <cell r="A2001" t="str">
            <v>0011801659</v>
          </cell>
          <cell r="B2001" t="str">
            <v>显示板-LED</v>
          </cell>
        </row>
        <row r="2002">
          <cell r="A2002" t="str">
            <v>0011801659</v>
          </cell>
          <cell r="B2002" t="str">
            <v>显示板-LED</v>
          </cell>
        </row>
        <row r="2003">
          <cell r="A2003" t="str">
            <v>0011801675</v>
          </cell>
          <cell r="B2003" t="str">
            <v>室内电脑板-CEM-1165*136</v>
          </cell>
        </row>
        <row r="2004">
          <cell r="A2004" t="str">
            <v>0011801675A</v>
          </cell>
          <cell r="B2004" t="str">
            <v>室内电脑板-CEM-1165*136</v>
          </cell>
        </row>
        <row r="2005">
          <cell r="A2005" t="str">
            <v>0011801675A</v>
          </cell>
          <cell r="B2005" t="str">
            <v>室内电脑板-CEM-1165*136</v>
          </cell>
        </row>
        <row r="2006">
          <cell r="A2006" t="str">
            <v>0011801675AB</v>
          </cell>
          <cell r="B2006" t="str">
            <v>室内电脑板-CEM-1</v>
          </cell>
        </row>
        <row r="2007">
          <cell r="A2007" t="str">
            <v>0011801675AB</v>
          </cell>
          <cell r="B2007" t="str">
            <v>室内电脑板-CEM-1</v>
          </cell>
        </row>
        <row r="2008">
          <cell r="A2008" t="str">
            <v>0011801675AD</v>
          </cell>
          <cell r="B2008" t="str">
            <v>室内电脑板-CEM-1130*162</v>
          </cell>
        </row>
        <row r="2009">
          <cell r="A2009" t="str">
            <v>0011801675AD</v>
          </cell>
          <cell r="B2009" t="str">
            <v>室内电脑板-CEM-1130*162</v>
          </cell>
        </row>
        <row r="2010">
          <cell r="A2010" t="str">
            <v>0011801675AE</v>
          </cell>
          <cell r="B2010" t="str">
            <v>室内电脑板-CEM-1165*136</v>
          </cell>
        </row>
        <row r="2011">
          <cell r="A2011" t="str">
            <v>0011801675AE</v>
          </cell>
          <cell r="B2011" t="str">
            <v>室内电脑板-CEM-1165*136</v>
          </cell>
        </row>
        <row r="2012">
          <cell r="A2012" t="str">
            <v>0011801675AF</v>
          </cell>
          <cell r="B2012" t="str">
            <v>室内电脑板-CEM-1136mm*155mm</v>
          </cell>
        </row>
        <row r="2013">
          <cell r="A2013" t="str">
            <v>0011801675AF</v>
          </cell>
          <cell r="B2013" t="str">
            <v>室内电脑板-CEM-1136mm*155mm</v>
          </cell>
        </row>
        <row r="2014">
          <cell r="A2014" t="str">
            <v>0011801675AH</v>
          </cell>
          <cell r="B2014" t="str">
            <v>室内电脑板-155*136</v>
          </cell>
        </row>
        <row r="2015">
          <cell r="A2015" t="str">
            <v>0011801675AH</v>
          </cell>
          <cell r="B2015" t="str">
            <v>室内电脑板-155*136</v>
          </cell>
        </row>
        <row r="2016">
          <cell r="A2016" t="str">
            <v>0011801675AJ</v>
          </cell>
          <cell r="B2016" t="str">
            <v>室内电脑板-155*136</v>
          </cell>
        </row>
        <row r="2017">
          <cell r="A2017" t="str">
            <v>0011801675AJ</v>
          </cell>
          <cell r="B2017" t="str">
            <v>室内电脑板-155*136</v>
          </cell>
        </row>
        <row r="2018">
          <cell r="A2018" t="str">
            <v>0011801675AK</v>
          </cell>
          <cell r="B2018" t="str">
            <v>室内电脑板-155*136</v>
          </cell>
        </row>
        <row r="2019">
          <cell r="A2019" t="str">
            <v>0011801675AK</v>
          </cell>
          <cell r="B2019" t="str">
            <v>室内电脑板-155*136</v>
          </cell>
        </row>
        <row r="2020">
          <cell r="A2020" t="str">
            <v>0011801675AL</v>
          </cell>
          <cell r="B2020" t="str">
            <v>室内电脑板-FR-4</v>
          </cell>
        </row>
        <row r="2021">
          <cell r="A2021" t="str">
            <v>0011801675AL</v>
          </cell>
          <cell r="B2021" t="str">
            <v>室内电脑板-FR-4</v>
          </cell>
        </row>
        <row r="2022">
          <cell r="A2022" t="str">
            <v>0011801675AN</v>
          </cell>
          <cell r="B2022" t="str">
            <v>室内电脑板-FR-4</v>
          </cell>
        </row>
        <row r="2023">
          <cell r="A2023" t="str">
            <v>0011801675AN</v>
          </cell>
          <cell r="B2023" t="str">
            <v>室内电脑板-FR-4</v>
          </cell>
        </row>
        <row r="2024">
          <cell r="A2024" t="str">
            <v>0011801675AP</v>
          </cell>
          <cell r="B2024" t="str">
            <v>室内电脑板-CEM-1</v>
          </cell>
        </row>
        <row r="2025">
          <cell r="A2025" t="str">
            <v>0011801675AP</v>
          </cell>
          <cell r="B2025" t="str">
            <v>室内电脑板-CEM-1</v>
          </cell>
        </row>
        <row r="2026">
          <cell r="A2026" t="str">
            <v>0011801675AT</v>
          </cell>
          <cell r="B2026" t="str">
            <v>室内电脑板-CEM-1</v>
          </cell>
        </row>
        <row r="2027">
          <cell r="A2027" t="str">
            <v>0011801675AT</v>
          </cell>
          <cell r="B2027" t="str">
            <v>室内电脑板-CEM-1</v>
          </cell>
        </row>
        <row r="2028">
          <cell r="A2028" t="str">
            <v>0011801675AU</v>
          </cell>
          <cell r="B2028" t="str">
            <v>室内电脑板-CEM-1165*136</v>
          </cell>
        </row>
        <row r="2029">
          <cell r="A2029" t="str">
            <v>0011801675AU</v>
          </cell>
          <cell r="B2029" t="str">
            <v>室内电脑板-CEM-1165*136</v>
          </cell>
        </row>
        <row r="2030">
          <cell r="A2030" t="str">
            <v>0011801675AV</v>
          </cell>
          <cell r="B2030" t="str">
            <v>室内电脑板-CEM-1162mm*130mm</v>
          </cell>
        </row>
        <row r="2031">
          <cell r="A2031" t="str">
            <v>0011801675AV</v>
          </cell>
          <cell r="B2031" t="str">
            <v>室内电脑板-CEM-1162mm*130mm</v>
          </cell>
        </row>
        <row r="2032">
          <cell r="A2032" t="str">
            <v>0011801675B</v>
          </cell>
          <cell r="B2032" t="str">
            <v>室内电脑板-CEM-1155*136</v>
          </cell>
        </row>
        <row r="2033">
          <cell r="A2033" t="str">
            <v>0011801675B</v>
          </cell>
          <cell r="B2033" t="str">
            <v>室内电脑板-CEM-1155*136</v>
          </cell>
        </row>
        <row r="2034">
          <cell r="A2034" t="str">
            <v>0011801675C</v>
          </cell>
          <cell r="B2034" t="str">
            <v>室内电脑板-CEM-1165*136</v>
          </cell>
        </row>
        <row r="2035">
          <cell r="A2035" t="str">
            <v>0011801675C</v>
          </cell>
          <cell r="B2035" t="str">
            <v>室内电脑板-CEM-1165*136</v>
          </cell>
        </row>
        <row r="2036">
          <cell r="A2036" t="str">
            <v>0011801675D</v>
          </cell>
          <cell r="B2036" t="str">
            <v>室内电脑板-CEM-1165*136</v>
          </cell>
        </row>
        <row r="2037">
          <cell r="A2037" t="str">
            <v>0011801675E</v>
          </cell>
          <cell r="B2037" t="str">
            <v>室内电脑板-CEM-1165*136</v>
          </cell>
        </row>
        <row r="2038">
          <cell r="A2038" t="str">
            <v>0011801675G</v>
          </cell>
          <cell r="B2038" t="str">
            <v>室内电脑板-FR-4165*136</v>
          </cell>
        </row>
        <row r="2039">
          <cell r="A2039" t="str">
            <v>0011801675G</v>
          </cell>
          <cell r="B2039" t="str">
            <v>室内电脑板-FR-4165*136</v>
          </cell>
        </row>
        <row r="2040">
          <cell r="A2040" t="str">
            <v>0011801675H</v>
          </cell>
          <cell r="B2040" t="str">
            <v>室内电脑板-FR-4162mm*130mm</v>
          </cell>
        </row>
        <row r="2041">
          <cell r="A2041" t="str">
            <v>0011801675H</v>
          </cell>
          <cell r="B2041" t="str">
            <v>室内电脑板-FR-4162mm*130mm</v>
          </cell>
        </row>
        <row r="2042">
          <cell r="A2042" t="str">
            <v>0011801675J</v>
          </cell>
          <cell r="B2042" t="str">
            <v>室内电脑板-FR-4165*136</v>
          </cell>
        </row>
        <row r="2043">
          <cell r="A2043" t="str">
            <v>0011801675J</v>
          </cell>
          <cell r="B2043" t="str">
            <v>室内电脑板-FR-4165*136</v>
          </cell>
        </row>
        <row r="2044">
          <cell r="A2044" t="str">
            <v>0011801675K</v>
          </cell>
          <cell r="B2044" t="str">
            <v>室内电脑板-FR-4165*136</v>
          </cell>
        </row>
        <row r="2045">
          <cell r="A2045" t="str">
            <v>0011801675K</v>
          </cell>
          <cell r="B2045" t="str">
            <v>室内电脑板-FR-4165*136</v>
          </cell>
        </row>
        <row r="2046">
          <cell r="A2046" t="str">
            <v>0011801675L</v>
          </cell>
          <cell r="B2046" t="str">
            <v>室内电脑板-CEM-1165*136</v>
          </cell>
        </row>
        <row r="2047">
          <cell r="A2047" t="str">
            <v>0011801675L</v>
          </cell>
          <cell r="B2047" t="str">
            <v>室内电脑板-CEM-1165*136</v>
          </cell>
        </row>
        <row r="2048">
          <cell r="A2048" t="str">
            <v>0011801675M</v>
          </cell>
          <cell r="B2048" t="str">
            <v>室内电脑板-CEM-1165*136</v>
          </cell>
        </row>
        <row r="2049">
          <cell r="A2049" t="str">
            <v>0011801676</v>
          </cell>
          <cell r="B2049" t="str">
            <v>室内电脑板-FR-4155*136</v>
          </cell>
        </row>
        <row r="2050">
          <cell r="A2050" t="str">
            <v>0011801676</v>
          </cell>
          <cell r="B2050" t="str">
            <v>室内电脑板-FR-4155*136</v>
          </cell>
        </row>
        <row r="2051">
          <cell r="A2051" t="str">
            <v>0011801676A</v>
          </cell>
          <cell r="B2051" t="str">
            <v>室内电脑板-FR-4165*136</v>
          </cell>
        </row>
        <row r="2052">
          <cell r="A2052" t="str">
            <v>0011801676A</v>
          </cell>
          <cell r="B2052" t="str">
            <v>室内电脑板-FR-4165*136</v>
          </cell>
        </row>
        <row r="2053">
          <cell r="A2053" t="str">
            <v>0011801676B</v>
          </cell>
          <cell r="B2053" t="str">
            <v>室内电脑板-FR-4165*136</v>
          </cell>
        </row>
        <row r="2054">
          <cell r="A2054" t="str">
            <v>0011801676B</v>
          </cell>
          <cell r="B2054" t="str">
            <v>室内电脑板-FR-4165*136</v>
          </cell>
        </row>
        <row r="2055">
          <cell r="A2055" t="str">
            <v>0011801677</v>
          </cell>
          <cell r="B2055" t="str">
            <v>室内电脑板-FR-4/</v>
          </cell>
        </row>
        <row r="2056">
          <cell r="A2056" t="str">
            <v>0011801677</v>
          </cell>
          <cell r="B2056" t="str">
            <v>室内电脑板-FR-4/</v>
          </cell>
        </row>
        <row r="2057">
          <cell r="A2057" t="str">
            <v>0011801677A</v>
          </cell>
          <cell r="B2057" t="str">
            <v>室内电脑板-FR-4/</v>
          </cell>
        </row>
        <row r="2058">
          <cell r="A2058" t="str">
            <v>0011801677A</v>
          </cell>
          <cell r="B2058" t="str">
            <v>室内电脑板-FR-4/</v>
          </cell>
        </row>
        <row r="2059">
          <cell r="A2059" t="str">
            <v>0011801677F</v>
          </cell>
          <cell r="B2059" t="str">
            <v>室内电脑板-FR-4/</v>
          </cell>
        </row>
        <row r="2060">
          <cell r="A2060" t="str">
            <v>0011801677F</v>
          </cell>
          <cell r="B2060" t="str">
            <v>室内电脑板-FR-4/</v>
          </cell>
        </row>
        <row r="2061">
          <cell r="A2061" t="str">
            <v>0011801678</v>
          </cell>
          <cell r="B2061" t="str">
            <v>变频外电脑板-FR-4/</v>
          </cell>
        </row>
        <row r="2062">
          <cell r="A2062" t="str">
            <v>0011801678A</v>
          </cell>
          <cell r="B2062" t="str">
            <v>变频外电脑板-FR-4/</v>
          </cell>
        </row>
        <row r="2063">
          <cell r="A2063" t="str">
            <v>0011801678AB</v>
          </cell>
          <cell r="B2063" t="str">
            <v>变频外电脑板-FR-4</v>
          </cell>
        </row>
        <row r="2064">
          <cell r="A2064" t="str">
            <v>0011801678AF</v>
          </cell>
          <cell r="B2064" t="str">
            <v>变频外电脑板-FR-4</v>
          </cell>
        </row>
        <row r="2065">
          <cell r="A2065" t="str">
            <v>0011801678AG</v>
          </cell>
          <cell r="B2065" t="str">
            <v>变频外电脑板-FR-4</v>
          </cell>
        </row>
        <row r="2066">
          <cell r="A2066" t="str">
            <v>0011801678AH</v>
          </cell>
          <cell r="B2066" t="str">
            <v>变频外电脑板-FR-4</v>
          </cell>
        </row>
        <row r="2067">
          <cell r="A2067" t="str">
            <v>0011801678AJ</v>
          </cell>
          <cell r="B2067" t="str">
            <v>变频外电脑板-FR-4</v>
          </cell>
        </row>
        <row r="2068">
          <cell r="A2068" t="str">
            <v>0011801678AR</v>
          </cell>
          <cell r="B2068" t="str">
            <v>变频外电脑板-FR-4/</v>
          </cell>
        </row>
        <row r="2069">
          <cell r="A2069" t="str">
            <v>0011801678AU</v>
          </cell>
          <cell r="B2069" t="str">
            <v>变频外电脑板</v>
          </cell>
        </row>
        <row r="2070">
          <cell r="A2070" t="str">
            <v>0011801678AW</v>
          </cell>
          <cell r="B2070" t="str">
            <v>变频外电脑板</v>
          </cell>
        </row>
        <row r="2071">
          <cell r="A2071" t="str">
            <v>0011801678AX</v>
          </cell>
          <cell r="B2071" t="str">
            <v>变频外电脑板-FR-4</v>
          </cell>
        </row>
        <row r="2072">
          <cell r="A2072" t="str">
            <v>0011801678B</v>
          </cell>
          <cell r="B2072" t="str">
            <v>变频外电脑板-FR-4/</v>
          </cell>
        </row>
        <row r="2073">
          <cell r="A2073" t="str">
            <v>0011801678C</v>
          </cell>
          <cell r="B2073" t="str">
            <v>变频外电脑板-FR-4/</v>
          </cell>
        </row>
        <row r="2074">
          <cell r="A2074" t="str">
            <v>0011801678D</v>
          </cell>
          <cell r="B2074" t="str">
            <v>变频外电脑板-FR-4/</v>
          </cell>
        </row>
        <row r="2075">
          <cell r="A2075" t="str">
            <v>0011801678E</v>
          </cell>
          <cell r="B2075" t="str">
            <v>变频外电脑板-FR-4/</v>
          </cell>
        </row>
        <row r="2076">
          <cell r="A2076" t="str">
            <v>0011801678F</v>
          </cell>
          <cell r="B2076" t="str">
            <v>变频外电脑板-FR-4/</v>
          </cell>
        </row>
        <row r="2077">
          <cell r="A2077" t="str">
            <v>0011801678K</v>
          </cell>
          <cell r="B2077" t="str">
            <v>变频外电脑板-FR-4/</v>
          </cell>
        </row>
        <row r="2078">
          <cell r="A2078" t="str">
            <v>0011801678L</v>
          </cell>
          <cell r="B2078" t="str">
            <v>变频外电脑板-FR-4/</v>
          </cell>
        </row>
        <row r="2079">
          <cell r="A2079" t="str">
            <v>0011801678N</v>
          </cell>
          <cell r="B2079" t="str">
            <v>变频外电脑板-FR-4/</v>
          </cell>
        </row>
        <row r="2080">
          <cell r="A2080" t="str">
            <v>0011801678P</v>
          </cell>
          <cell r="B2080" t="str">
            <v>变频外电脑板-FR-4/</v>
          </cell>
        </row>
        <row r="2081">
          <cell r="A2081" t="str">
            <v>0011801678Q</v>
          </cell>
          <cell r="B2081" t="str">
            <v>变频外电脑板-FR-4/</v>
          </cell>
        </row>
        <row r="2082">
          <cell r="A2082" t="str">
            <v>0011801678R</v>
          </cell>
          <cell r="B2082" t="str">
            <v>变频外电脑板-FR-4/</v>
          </cell>
        </row>
        <row r="2083">
          <cell r="A2083" t="str">
            <v>0011801678T</v>
          </cell>
          <cell r="B2083" t="str">
            <v>变频外电脑板-FR-4/</v>
          </cell>
        </row>
        <row r="2084">
          <cell r="A2084" t="str">
            <v>0011801678U</v>
          </cell>
          <cell r="B2084" t="str">
            <v>变频外电脑板-FR-4/</v>
          </cell>
        </row>
        <row r="2085">
          <cell r="A2085" t="str">
            <v>0011801683</v>
          </cell>
          <cell r="B2085" t="str">
            <v>变频外电脑板-FR-4</v>
          </cell>
        </row>
        <row r="2086">
          <cell r="A2086" t="str">
            <v>0011801683A</v>
          </cell>
          <cell r="B2086" t="str">
            <v>变频外电脑板</v>
          </cell>
        </row>
        <row r="2087">
          <cell r="A2087" t="str">
            <v>0011801683A</v>
          </cell>
          <cell r="B2087" t="str">
            <v>变频外电脑板</v>
          </cell>
        </row>
        <row r="2088">
          <cell r="A2088" t="str">
            <v>0011801685</v>
          </cell>
          <cell r="B2088" t="str">
            <v>显示板-LED</v>
          </cell>
        </row>
        <row r="2089">
          <cell r="A2089" t="str">
            <v>0011801685</v>
          </cell>
          <cell r="B2089" t="str">
            <v>显示板-LED</v>
          </cell>
        </row>
        <row r="2090">
          <cell r="A2090" t="str">
            <v>0011801713</v>
          </cell>
          <cell r="B2090" t="str">
            <v>显示板-LED</v>
          </cell>
        </row>
        <row r="2091">
          <cell r="A2091" t="str">
            <v>0011801713A</v>
          </cell>
          <cell r="B2091" t="str">
            <v>显示板</v>
          </cell>
        </row>
        <row r="2092">
          <cell r="A2092" t="str">
            <v>0011801713A</v>
          </cell>
          <cell r="B2092" t="str">
            <v>显示板</v>
          </cell>
        </row>
        <row r="2093">
          <cell r="A2093" t="str">
            <v>0011801716B</v>
          </cell>
          <cell r="B2093" t="str">
            <v>显示板</v>
          </cell>
        </row>
        <row r="2094">
          <cell r="A2094" t="str">
            <v>0011801717</v>
          </cell>
          <cell r="B2094" t="str">
            <v>变频外电脑板-FR-4</v>
          </cell>
        </row>
        <row r="2095">
          <cell r="A2095" t="str">
            <v>0011801717</v>
          </cell>
          <cell r="B2095" t="str">
            <v>变频外电脑板-FR-4</v>
          </cell>
        </row>
        <row r="2096">
          <cell r="A2096" t="str">
            <v>0011801717B</v>
          </cell>
          <cell r="B2096" t="str">
            <v>变频外电脑板-FR-4</v>
          </cell>
        </row>
        <row r="2097">
          <cell r="A2097" t="str">
            <v>0011801717B</v>
          </cell>
          <cell r="B2097" t="str">
            <v>变频外电脑板-FR-4</v>
          </cell>
        </row>
        <row r="2098">
          <cell r="A2098" t="str">
            <v>0011801717E</v>
          </cell>
          <cell r="B2098" t="str">
            <v>变频外电脑板-FR-4</v>
          </cell>
        </row>
        <row r="2099">
          <cell r="A2099" t="str">
            <v>0011801717E</v>
          </cell>
          <cell r="B2099" t="str">
            <v>变频外电脑板-FR-4</v>
          </cell>
        </row>
        <row r="2100">
          <cell r="A2100" t="str">
            <v>0011801717F</v>
          </cell>
          <cell r="B2100" t="str">
            <v>变频外电脑板-FR-4</v>
          </cell>
        </row>
        <row r="2101">
          <cell r="A2101" t="str">
            <v>0011801717F</v>
          </cell>
          <cell r="B2101" t="str">
            <v>变频外电脑板-FR-4</v>
          </cell>
        </row>
        <row r="2102">
          <cell r="A2102" t="str">
            <v>0011801717G</v>
          </cell>
          <cell r="B2102" t="str">
            <v>变频外电脑板-FR-4</v>
          </cell>
        </row>
        <row r="2103">
          <cell r="A2103" t="str">
            <v>0011801717G</v>
          </cell>
          <cell r="B2103" t="str">
            <v>变频外电脑板-FR-4</v>
          </cell>
        </row>
        <row r="2104">
          <cell r="A2104" t="str">
            <v>0011801727</v>
          </cell>
          <cell r="B2104" t="str">
            <v>一体机电脑板-CEM-3</v>
          </cell>
        </row>
        <row r="2105">
          <cell r="A2105" t="str">
            <v>0011801739A</v>
          </cell>
          <cell r="B2105" t="str">
            <v>显示板-FR-4</v>
          </cell>
        </row>
        <row r="2106">
          <cell r="A2106" t="str">
            <v>0011801766A</v>
          </cell>
          <cell r="B2106" t="str">
            <v>变频外电脑板-FR-4</v>
          </cell>
        </row>
        <row r="2107">
          <cell r="A2107" t="str">
            <v>0011801766C</v>
          </cell>
          <cell r="B2107" t="str">
            <v>变频外电脑板-FR-4</v>
          </cell>
        </row>
        <row r="2108">
          <cell r="A2108" t="str">
            <v>0011801766D</v>
          </cell>
          <cell r="B2108" t="str">
            <v>变频外电脑板-FR-4</v>
          </cell>
        </row>
        <row r="2109">
          <cell r="A2109" t="str">
            <v>0011801766E</v>
          </cell>
          <cell r="B2109" t="str">
            <v>变频外电脑板-FR-4</v>
          </cell>
        </row>
        <row r="2110">
          <cell r="A2110" t="str">
            <v>0011801766F</v>
          </cell>
          <cell r="B2110" t="str">
            <v>变频外电脑板-FR-4</v>
          </cell>
        </row>
        <row r="2111">
          <cell r="A2111" t="str">
            <v>0011801766H</v>
          </cell>
          <cell r="B2111" t="str">
            <v>变频外电脑板-FR-4-</v>
          </cell>
        </row>
        <row r="2112">
          <cell r="A2112" t="str">
            <v>0011801766P</v>
          </cell>
          <cell r="B2112" t="str">
            <v>变频外电脑板-FR-4</v>
          </cell>
        </row>
        <row r="2113">
          <cell r="A2113" t="str">
            <v>0011801766Q</v>
          </cell>
          <cell r="B2113" t="str">
            <v>变频外电脑板-FR-4</v>
          </cell>
        </row>
        <row r="2114">
          <cell r="A2114" t="str">
            <v>0011801766R</v>
          </cell>
          <cell r="B2114" t="str">
            <v>变频外电脑板-FR-4</v>
          </cell>
        </row>
        <row r="2115">
          <cell r="A2115" t="str">
            <v>0011801766T</v>
          </cell>
          <cell r="B2115" t="str">
            <v>变频外电脑板-FR-4</v>
          </cell>
        </row>
        <row r="2116">
          <cell r="A2116" t="str">
            <v>0011801766U</v>
          </cell>
          <cell r="B2116" t="str">
            <v>变频外电脑板-FR-4</v>
          </cell>
        </row>
        <row r="2117">
          <cell r="A2117" t="str">
            <v>0011801766W</v>
          </cell>
          <cell r="B2117" t="str">
            <v>变频外电脑板-其他\FR-4-</v>
          </cell>
        </row>
        <row r="2118">
          <cell r="A2118" t="str">
            <v>0011801766X</v>
          </cell>
          <cell r="B2118" t="str">
            <v>变频外电脑板-FR-4</v>
          </cell>
        </row>
        <row r="2119">
          <cell r="A2119" t="str">
            <v>0011801774</v>
          </cell>
          <cell r="B2119" t="str">
            <v>室内电脑板-CEM-3</v>
          </cell>
        </row>
        <row r="2120">
          <cell r="A2120" t="str">
            <v>0011801774</v>
          </cell>
          <cell r="B2120" t="str">
            <v>室内电脑板-CEM-3</v>
          </cell>
        </row>
        <row r="2121">
          <cell r="A2121" t="str">
            <v>0011801774A</v>
          </cell>
          <cell r="B2121" t="str">
            <v>室内电脑板-CEM-3</v>
          </cell>
        </row>
        <row r="2122">
          <cell r="A2122" t="str">
            <v>0011801774A</v>
          </cell>
          <cell r="B2122" t="str">
            <v>室内电脑板-CEM-3</v>
          </cell>
        </row>
        <row r="2123">
          <cell r="A2123" t="str">
            <v>0011801808</v>
          </cell>
          <cell r="B2123" t="str">
            <v>室内电脑板-FR-4136*165</v>
          </cell>
        </row>
        <row r="2124">
          <cell r="A2124" t="str">
            <v>0011801808A</v>
          </cell>
          <cell r="B2124" t="str">
            <v>室内电脑板-FR-4</v>
          </cell>
        </row>
        <row r="2125">
          <cell r="A2125" t="str">
            <v>0011801808A</v>
          </cell>
          <cell r="B2125" t="str">
            <v>室内电脑板-FR-4</v>
          </cell>
        </row>
        <row r="2126">
          <cell r="A2126" t="str">
            <v>0011801809</v>
          </cell>
          <cell r="B2126" t="str">
            <v>变频外电脑板-FR-4270mm*180mm</v>
          </cell>
        </row>
        <row r="2127">
          <cell r="A2127" t="str">
            <v>0011801814A</v>
          </cell>
          <cell r="B2127" t="str">
            <v>室内电脑板-FR-4</v>
          </cell>
        </row>
        <row r="2128">
          <cell r="A2128" t="str">
            <v>0011801824E</v>
          </cell>
          <cell r="B2128" t="str">
            <v>室内电脑板</v>
          </cell>
        </row>
        <row r="2129">
          <cell r="A2129" t="str">
            <v>0011801824E</v>
          </cell>
          <cell r="B2129" t="str">
            <v>室内电脑板</v>
          </cell>
        </row>
        <row r="2130">
          <cell r="A2130" t="str">
            <v>0011801824F</v>
          </cell>
          <cell r="B2130" t="str">
            <v>室内电脑板-CEM-1</v>
          </cell>
        </row>
        <row r="2131">
          <cell r="A2131" t="str">
            <v>0011801824F</v>
          </cell>
          <cell r="B2131" t="str">
            <v>室内电脑板-CEM-1</v>
          </cell>
        </row>
        <row r="2132">
          <cell r="A2132" t="str">
            <v>0011801824N</v>
          </cell>
          <cell r="B2132" t="str">
            <v>室内电脑板</v>
          </cell>
        </row>
        <row r="2133">
          <cell r="A2133" t="str">
            <v>0011801825</v>
          </cell>
          <cell r="B2133" t="str">
            <v>室内电脑板-CEM-1</v>
          </cell>
        </row>
        <row r="2134">
          <cell r="A2134" t="str">
            <v>0011801825</v>
          </cell>
          <cell r="B2134" t="str">
            <v>室内电脑板-CEM-1</v>
          </cell>
        </row>
        <row r="2135">
          <cell r="A2135" t="str">
            <v>0011801826</v>
          </cell>
          <cell r="B2135" t="str">
            <v>室内电脑板-FR-4136*165</v>
          </cell>
        </row>
        <row r="2136">
          <cell r="A2136" t="str">
            <v>0011801826</v>
          </cell>
          <cell r="B2136" t="str">
            <v>室内电脑板-FR-4136*165</v>
          </cell>
        </row>
        <row r="2137">
          <cell r="A2137" t="str">
            <v>0011801843</v>
          </cell>
          <cell r="B2137" t="str">
            <v>变频外电脑板-FR-4</v>
          </cell>
        </row>
        <row r="2138">
          <cell r="A2138" t="str">
            <v>0011801843</v>
          </cell>
          <cell r="B2138" t="str">
            <v>变频外电脑板-FR-4</v>
          </cell>
        </row>
        <row r="2139">
          <cell r="A2139" t="str">
            <v>0011801843A</v>
          </cell>
          <cell r="B2139" t="str">
            <v>变频外电脑板-FR-4</v>
          </cell>
        </row>
        <row r="2140">
          <cell r="A2140" t="str">
            <v>0011801843A</v>
          </cell>
          <cell r="B2140" t="str">
            <v>变频外电脑板-FR-4</v>
          </cell>
        </row>
        <row r="2141">
          <cell r="A2141" t="str">
            <v>0011801843AA</v>
          </cell>
          <cell r="B2141" t="str">
            <v>变频外电脑板-FR-4</v>
          </cell>
        </row>
        <row r="2142">
          <cell r="A2142" t="str">
            <v>0011801843AA</v>
          </cell>
          <cell r="B2142" t="str">
            <v>变频外电脑板-FR-4</v>
          </cell>
        </row>
        <row r="2143">
          <cell r="A2143" t="str">
            <v>0011801843AB</v>
          </cell>
          <cell r="B2143" t="str">
            <v>变频外电脑板-FR-4</v>
          </cell>
        </row>
        <row r="2144">
          <cell r="A2144" t="str">
            <v>0011801843AB</v>
          </cell>
          <cell r="B2144" t="str">
            <v>变频外电脑板-FR-4</v>
          </cell>
        </row>
        <row r="2145">
          <cell r="A2145" t="str">
            <v>0011801843AJ</v>
          </cell>
          <cell r="B2145" t="str">
            <v>变频外电脑板-FR-4</v>
          </cell>
        </row>
        <row r="2146">
          <cell r="A2146" t="str">
            <v>0011801843AJ</v>
          </cell>
          <cell r="B2146" t="str">
            <v>变频外电脑板-FR-4</v>
          </cell>
        </row>
        <row r="2147">
          <cell r="A2147" t="str">
            <v>0011801843AK</v>
          </cell>
          <cell r="B2147" t="str">
            <v>变频外电脑板-FR-4</v>
          </cell>
        </row>
        <row r="2148">
          <cell r="A2148" t="str">
            <v>0011801843AK</v>
          </cell>
          <cell r="B2148" t="str">
            <v>变频外电脑板-FR-4</v>
          </cell>
        </row>
        <row r="2149">
          <cell r="A2149" t="str">
            <v>0011801843AN</v>
          </cell>
          <cell r="B2149" t="str">
            <v>变频外电脑板-FR-4</v>
          </cell>
        </row>
        <row r="2150">
          <cell r="A2150" t="str">
            <v>0011801843AN</v>
          </cell>
          <cell r="B2150" t="str">
            <v>变频外电脑板-FR-4</v>
          </cell>
        </row>
        <row r="2151">
          <cell r="A2151" t="str">
            <v>0011801843AQ</v>
          </cell>
          <cell r="B2151" t="str">
            <v>变频外电脑板-FR-4</v>
          </cell>
        </row>
        <row r="2152">
          <cell r="A2152" t="str">
            <v>0011801843AQ</v>
          </cell>
          <cell r="B2152" t="str">
            <v>变频外电脑板-FR-4</v>
          </cell>
        </row>
        <row r="2153">
          <cell r="A2153" t="str">
            <v>0011801843B</v>
          </cell>
          <cell r="B2153" t="str">
            <v>变频外电脑板-FR-4</v>
          </cell>
        </row>
        <row r="2154">
          <cell r="A2154" t="str">
            <v>0011801843BB</v>
          </cell>
          <cell r="B2154" t="str">
            <v>变频外电脑板-FR-4</v>
          </cell>
        </row>
        <row r="2155">
          <cell r="A2155" t="str">
            <v>0011801843BB</v>
          </cell>
          <cell r="B2155" t="str">
            <v>变频外电脑板-FR-4</v>
          </cell>
        </row>
        <row r="2156">
          <cell r="A2156" t="str">
            <v>0011801843BG</v>
          </cell>
          <cell r="B2156" t="str">
            <v>变频外电脑板-FR-4</v>
          </cell>
        </row>
        <row r="2157">
          <cell r="A2157" t="str">
            <v>0011801843BG</v>
          </cell>
          <cell r="B2157" t="str">
            <v>变频外电脑板-FR-4</v>
          </cell>
        </row>
        <row r="2158">
          <cell r="A2158" t="str">
            <v>0011801843BXCKD</v>
          </cell>
          <cell r="B2158" t="str">
            <v>变频外电脑板-FR-4</v>
          </cell>
        </row>
        <row r="2159">
          <cell r="A2159" t="str">
            <v>0011801843BXCKDA</v>
          </cell>
          <cell r="B2159" t="str">
            <v>变频外电脑板-FR-4</v>
          </cell>
        </row>
        <row r="2160">
          <cell r="A2160" t="str">
            <v>0011801843D</v>
          </cell>
          <cell r="B2160" t="str">
            <v>变频外电脑板-FR-4</v>
          </cell>
        </row>
        <row r="2161">
          <cell r="A2161" t="str">
            <v>0011801843D</v>
          </cell>
          <cell r="B2161" t="str">
            <v>变频外电脑板-FR-4</v>
          </cell>
        </row>
        <row r="2162">
          <cell r="A2162" t="str">
            <v>0011801843E</v>
          </cell>
          <cell r="B2162" t="str">
            <v>变频外电脑板-FR-4</v>
          </cell>
        </row>
        <row r="2163">
          <cell r="A2163" t="str">
            <v>0011801843E</v>
          </cell>
          <cell r="B2163" t="str">
            <v>变频外电脑板-FR-4</v>
          </cell>
        </row>
        <row r="2164">
          <cell r="A2164" t="str">
            <v>0011801843F</v>
          </cell>
          <cell r="B2164" t="str">
            <v>变频外电脑板-FR-4</v>
          </cell>
        </row>
        <row r="2165">
          <cell r="A2165" t="str">
            <v>0011801843F</v>
          </cell>
          <cell r="B2165" t="str">
            <v>变频外电脑板-FR-4</v>
          </cell>
        </row>
        <row r="2166">
          <cell r="A2166" t="str">
            <v>0011801843G</v>
          </cell>
          <cell r="B2166" t="str">
            <v>变频外电脑板-FR-4</v>
          </cell>
        </row>
        <row r="2167">
          <cell r="A2167" t="str">
            <v>0011801843H</v>
          </cell>
          <cell r="B2167" t="str">
            <v>变频外电脑板-FR-4</v>
          </cell>
        </row>
        <row r="2168">
          <cell r="A2168" t="str">
            <v>0011801843J</v>
          </cell>
          <cell r="B2168" t="str">
            <v>变频外电脑板-FR-4</v>
          </cell>
        </row>
        <row r="2169">
          <cell r="A2169" t="str">
            <v>0011801843K</v>
          </cell>
          <cell r="B2169" t="str">
            <v>变频外电脑板-FR-4</v>
          </cell>
        </row>
        <row r="2170">
          <cell r="A2170" t="str">
            <v>0011801843L</v>
          </cell>
          <cell r="B2170" t="str">
            <v>变频外电脑板-FR-4</v>
          </cell>
        </row>
        <row r="2171">
          <cell r="A2171" t="str">
            <v>0011801843L</v>
          </cell>
          <cell r="B2171" t="str">
            <v>变频外电脑板-FR-4</v>
          </cell>
        </row>
        <row r="2172">
          <cell r="A2172" t="str">
            <v>0011801843N</v>
          </cell>
          <cell r="B2172" t="str">
            <v>变频外电脑板-FR-4</v>
          </cell>
        </row>
        <row r="2173">
          <cell r="A2173" t="str">
            <v>0011801843N</v>
          </cell>
          <cell r="B2173" t="str">
            <v>变频外电脑板-FR-4</v>
          </cell>
        </row>
        <row r="2174">
          <cell r="A2174" t="str">
            <v>0011801843P</v>
          </cell>
          <cell r="B2174" t="str">
            <v>变频外电脑板-FR-4</v>
          </cell>
        </row>
        <row r="2175">
          <cell r="A2175" t="str">
            <v>0011801843P</v>
          </cell>
          <cell r="B2175" t="str">
            <v>变频外电脑板-FR-4</v>
          </cell>
        </row>
        <row r="2176">
          <cell r="A2176" t="str">
            <v>0011801843Q</v>
          </cell>
          <cell r="B2176" t="str">
            <v>变频外电脑板-FR-4</v>
          </cell>
        </row>
        <row r="2177">
          <cell r="A2177" t="str">
            <v>0011801843Q</v>
          </cell>
          <cell r="B2177" t="str">
            <v>变频外电脑板-FR-4</v>
          </cell>
        </row>
        <row r="2178">
          <cell r="A2178" t="str">
            <v>0011801843R</v>
          </cell>
          <cell r="B2178" t="str">
            <v>变频外电脑板-FR-4</v>
          </cell>
        </row>
        <row r="2179">
          <cell r="A2179" t="str">
            <v>0011801843R</v>
          </cell>
          <cell r="B2179" t="str">
            <v>变频外电脑板-FR-4</v>
          </cell>
        </row>
        <row r="2180">
          <cell r="A2180" t="str">
            <v>0011801843W</v>
          </cell>
          <cell r="B2180" t="str">
            <v>变频外电脑板-FR-4</v>
          </cell>
        </row>
        <row r="2181">
          <cell r="A2181" t="str">
            <v>0011801843W</v>
          </cell>
          <cell r="B2181" t="str">
            <v>变频外电脑板-FR-4</v>
          </cell>
        </row>
        <row r="2182">
          <cell r="A2182" t="str">
            <v>0011801843X</v>
          </cell>
          <cell r="B2182" t="str">
            <v>变频外电脑板-FR-4</v>
          </cell>
        </row>
        <row r="2183">
          <cell r="A2183" t="str">
            <v>0011801843X</v>
          </cell>
          <cell r="B2183" t="str">
            <v>变频外电脑板-FR-4</v>
          </cell>
        </row>
        <row r="2184">
          <cell r="A2184" t="str">
            <v>0011801843Y</v>
          </cell>
          <cell r="B2184" t="str">
            <v>变频外电脑板-FR-4</v>
          </cell>
        </row>
        <row r="2185">
          <cell r="A2185" t="str">
            <v>0011801843Y</v>
          </cell>
          <cell r="B2185" t="str">
            <v>变频外电脑板-FR-4</v>
          </cell>
        </row>
        <row r="2186">
          <cell r="A2186" t="str">
            <v>0011801850</v>
          </cell>
          <cell r="B2186" t="str">
            <v>室内电脑板</v>
          </cell>
        </row>
        <row r="2187">
          <cell r="A2187" t="str">
            <v>0011801850</v>
          </cell>
          <cell r="B2187" t="str">
            <v>室内电脑板</v>
          </cell>
        </row>
        <row r="2188">
          <cell r="A2188" t="str">
            <v>0011801850A</v>
          </cell>
          <cell r="B2188" t="str">
            <v>室内电脑板</v>
          </cell>
        </row>
        <row r="2189">
          <cell r="A2189" t="str">
            <v>0011801850A</v>
          </cell>
          <cell r="B2189" t="str">
            <v>室内电脑板</v>
          </cell>
        </row>
        <row r="2190">
          <cell r="A2190" t="str">
            <v>0011801850AA</v>
          </cell>
          <cell r="B2190" t="str">
            <v>室内电脑板-FR-4</v>
          </cell>
        </row>
        <row r="2191">
          <cell r="A2191" t="str">
            <v>0011801850AA</v>
          </cell>
          <cell r="B2191" t="str">
            <v>室内电脑板-FR-4</v>
          </cell>
        </row>
        <row r="2192">
          <cell r="A2192" t="str">
            <v>0011801850B</v>
          </cell>
          <cell r="B2192" t="str">
            <v>室内电脑板-FR-4</v>
          </cell>
        </row>
        <row r="2193">
          <cell r="A2193" t="str">
            <v>0011801850B</v>
          </cell>
          <cell r="B2193" t="str">
            <v>室内电脑板-FR-4</v>
          </cell>
        </row>
        <row r="2194">
          <cell r="A2194" t="str">
            <v>0011801851</v>
          </cell>
          <cell r="B2194" t="str">
            <v>变频外电脑板-115V/60Hz</v>
          </cell>
        </row>
        <row r="2195">
          <cell r="A2195" t="str">
            <v>0011801876</v>
          </cell>
          <cell r="B2195" t="str">
            <v>变频外电脑板-FR-4/</v>
          </cell>
        </row>
        <row r="2196">
          <cell r="A2196" t="str">
            <v>0011801876AA</v>
          </cell>
          <cell r="B2196" t="str">
            <v>变频外电脑板-FR-4/</v>
          </cell>
        </row>
        <row r="2197">
          <cell r="A2197" t="str">
            <v>0011801876AB</v>
          </cell>
          <cell r="B2197" t="str">
            <v>变频外电脑板-FR-4/</v>
          </cell>
        </row>
        <row r="2198">
          <cell r="A2198" t="str">
            <v>0011801876AC</v>
          </cell>
          <cell r="B2198" t="str">
            <v>变频外电脑板-FR-4/</v>
          </cell>
        </row>
        <row r="2199">
          <cell r="A2199" t="str">
            <v>0011801876AE</v>
          </cell>
          <cell r="B2199" t="str">
            <v>变频外电脑板-FR-4</v>
          </cell>
        </row>
        <row r="2200">
          <cell r="A2200" t="str">
            <v>0011801876AF</v>
          </cell>
          <cell r="B2200" t="str">
            <v>变频外电脑板-FR-4/</v>
          </cell>
        </row>
        <row r="2201">
          <cell r="A2201" t="str">
            <v>0011801876AG</v>
          </cell>
          <cell r="B2201" t="str">
            <v>变频外电脑板-FR-4</v>
          </cell>
        </row>
        <row r="2202">
          <cell r="A2202" t="str">
            <v>0011801876AH</v>
          </cell>
          <cell r="B2202" t="str">
            <v>变频外电脑板-FR-4240mm*180mm</v>
          </cell>
        </row>
        <row r="2203">
          <cell r="A2203" t="str">
            <v>0011801876AJ</v>
          </cell>
          <cell r="B2203" t="str">
            <v>变频外电脑板-FR-4240mm*180mm</v>
          </cell>
        </row>
        <row r="2204">
          <cell r="A2204" t="str">
            <v>0011801876AK</v>
          </cell>
          <cell r="B2204" t="str">
            <v>变频外电脑板-FR-4</v>
          </cell>
        </row>
        <row r="2205">
          <cell r="A2205" t="str">
            <v>0011801876AL</v>
          </cell>
          <cell r="B2205" t="str">
            <v>变频外电脑板-FR-4</v>
          </cell>
        </row>
        <row r="2206">
          <cell r="A2206" t="str">
            <v>0011801876AM</v>
          </cell>
          <cell r="B2206" t="str">
            <v>变频外电脑板-FR-4</v>
          </cell>
        </row>
        <row r="2207">
          <cell r="A2207" t="str">
            <v>0011801876AN</v>
          </cell>
          <cell r="B2207" t="str">
            <v>变频外电脑板-FR-4</v>
          </cell>
        </row>
        <row r="2208">
          <cell r="A2208" t="str">
            <v>0011801876AP</v>
          </cell>
          <cell r="B2208" t="str">
            <v>变频外电脑板-FR-4</v>
          </cell>
        </row>
        <row r="2209">
          <cell r="A2209" t="str">
            <v>0011801876AS</v>
          </cell>
          <cell r="B2209" t="str">
            <v>变频外电脑板-FR-4240mm*180mm</v>
          </cell>
        </row>
        <row r="2210">
          <cell r="A2210" t="str">
            <v>0011801876B</v>
          </cell>
          <cell r="B2210" t="str">
            <v>变频外电脑板-FR-4/</v>
          </cell>
        </row>
        <row r="2211">
          <cell r="A2211" t="str">
            <v>0011801876BXCKD</v>
          </cell>
          <cell r="B2211" t="str">
            <v>变频外电脑板-FR-4</v>
          </cell>
        </row>
        <row r="2212">
          <cell r="A2212" t="str">
            <v>0011801876C</v>
          </cell>
          <cell r="B2212" t="str">
            <v>变频外电脑板-FR-4/</v>
          </cell>
        </row>
        <row r="2213">
          <cell r="A2213" t="str">
            <v>0011801876D</v>
          </cell>
          <cell r="B2213" t="str">
            <v>变频外电脑板-FR-4240mm*180mm</v>
          </cell>
        </row>
        <row r="2214">
          <cell r="A2214" t="str">
            <v>0011801876DA</v>
          </cell>
          <cell r="B2214" t="str">
            <v>变频外电脑板</v>
          </cell>
        </row>
        <row r="2215">
          <cell r="A2215" t="str">
            <v>0011801876M</v>
          </cell>
          <cell r="B2215" t="str">
            <v>变频外电脑板-FR-4</v>
          </cell>
        </row>
        <row r="2216">
          <cell r="A2216" t="str">
            <v>0011801876N</v>
          </cell>
          <cell r="B2216" t="str">
            <v>变频外电脑板-FR-4</v>
          </cell>
        </row>
        <row r="2217">
          <cell r="A2217" t="str">
            <v>0011801876P</v>
          </cell>
          <cell r="B2217" t="str">
            <v>变频外电脑板-FR-4</v>
          </cell>
        </row>
        <row r="2218">
          <cell r="A2218" t="str">
            <v>0011801876Q</v>
          </cell>
          <cell r="B2218" t="str">
            <v>变频外电脑板-FR-4</v>
          </cell>
        </row>
        <row r="2219">
          <cell r="A2219" t="str">
            <v>0011801876T</v>
          </cell>
          <cell r="B2219" t="str">
            <v>变频外电脑板-FR-4</v>
          </cell>
        </row>
        <row r="2220">
          <cell r="A2220" t="str">
            <v>0011801876U</v>
          </cell>
          <cell r="B2220" t="str">
            <v>变频外电脑板-FR-4</v>
          </cell>
        </row>
        <row r="2221">
          <cell r="A2221" t="str">
            <v>0011801876V</v>
          </cell>
          <cell r="B2221" t="str">
            <v>变频外电脑板-FR-4</v>
          </cell>
        </row>
        <row r="2222">
          <cell r="A2222" t="str">
            <v>0011801876X</v>
          </cell>
          <cell r="B2222" t="str">
            <v>变频外电脑板-FR-4</v>
          </cell>
        </row>
        <row r="2223">
          <cell r="A2223" t="str">
            <v>0011801876Z</v>
          </cell>
          <cell r="B2223" t="str">
            <v>变频外电脑板-FR-4/</v>
          </cell>
        </row>
        <row r="2224">
          <cell r="A2224" t="str">
            <v>0011801888</v>
          </cell>
          <cell r="B2224" t="str">
            <v>变频外电脑板-FR-4/</v>
          </cell>
        </row>
        <row r="2225">
          <cell r="A2225" t="str">
            <v>0011801888A</v>
          </cell>
          <cell r="B2225" t="str">
            <v>变频外电脑板-FR-4/</v>
          </cell>
        </row>
        <row r="2226">
          <cell r="A2226" t="str">
            <v>0011801888B</v>
          </cell>
          <cell r="B2226" t="str">
            <v>变频外电脑板-FR-4/</v>
          </cell>
        </row>
        <row r="2227">
          <cell r="A2227" t="str">
            <v>0011801888C</v>
          </cell>
          <cell r="B2227" t="str">
            <v>变频外电脑板-FR-4/</v>
          </cell>
        </row>
        <row r="2228">
          <cell r="A2228" t="str">
            <v>0011801888D</v>
          </cell>
          <cell r="B2228" t="str">
            <v>变频外电脑板-FR-4/</v>
          </cell>
        </row>
        <row r="2229">
          <cell r="A2229" t="str">
            <v>0011801888F</v>
          </cell>
          <cell r="B2229" t="str">
            <v>变频外电脑板-FR-4</v>
          </cell>
        </row>
        <row r="2230">
          <cell r="A2230" t="str">
            <v>0011801888G</v>
          </cell>
          <cell r="B2230" t="str">
            <v>变频外电脑板-FR-4</v>
          </cell>
        </row>
        <row r="2231">
          <cell r="A2231" t="str">
            <v>0011801890</v>
          </cell>
          <cell r="B2231" t="str">
            <v>室内电脑板-CEM-1</v>
          </cell>
        </row>
        <row r="2232">
          <cell r="A2232" t="str">
            <v>0011801890</v>
          </cell>
          <cell r="B2232" t="str">
            <v>室内电脑板-CEM-1</v>
          </cell>
        </row>
        <row r="2233">
          <cell r="A2233" t="str">
            <v>0011801890C</v>
          </cell>
          <cell r="B2233" t="str">
            <v>室内电脑板-CEM-1</v>
          </cell>
        </row>
        <row r="2234">
          <cell r="A2234" t="str">
            <v>0011801890C</v>
          </cell>
          <cell r="B2234" t="str">
            <v>室内电脑板-CEM-1</v>
          </cell>
        </row>
        <row r="2235">
          <cell r="A2235" t="str">
            <v>0011801890D</v>
          </cell>
          <cell r="B2235" t="str">
            <v>室内电脑板</v>
          </cell>
        </row>
        <row r="2236">
          <cell r="A2236" t="str">
            <v>0011801890D</v>
          </cell>
          <cell r="B2236" t="str">
            <v>室内电脑板</v>
          </cell>
        </row>
        <row r="2237">
          <cell r="A2237" t="str">
            <v>0011801891</v>
          </cell>
          <cell r="B2237" t="str">
            <v>一体机电脑板-CEM-1</v>
          </cell>
        </row>
        <row r="2238">
          <cell r="A2238" t="str">
            <v>0011801891</v>
          </cell>
          <cell r="B2238" t="str">
            <v>一体机电脑板-CEM-1</v>
          </cell>
        </row>
        <row r="2239">
          <cell r="A2239" t="str">
            <v>0011801899</v>
          </cell>
          <cell r="B2239" t="str">
            <v>一体机电脑板-FR-4</v>
          </cell>
        </row>
        <row r="2240">
          <cell r="A2240" t="str">
            <v>0011801899</v>
          </cell>
          <cell r="B2240" t="str">
            <v>一体机电脑板-FR-4</v>
          </cell>
        </row>
        <row r="2241">
          <cell r="A2241" t="str">
            <v>0011801907</v>
          </cell>
          <cell r="B2241" t="str">
            <v>一体机电脑板-CEM-1</v>
          </cell>
        </row>
        <row r="2242">
          <cell r="A2242" t="str">
            <v>0011801907</v>
          </cell>
          <cell r="B2242" t="str">
            <v>一体机电脑板-CEM-1</v>
          </cell>
        </row>
        <row r="2243">
          <cell r="A2243" t="str">
            <v>0011801910</v>
          </cell>
          <cell r="B2243" t="str">
            <v>显示板-LED</v>
          </cell>
        </row>
        <row r="2244">
          <cell r="A2244" t="str">
            <v>0011801910</v>
          </cell>
          <cell r="B2244" t="str">
            <v>显示板-LED</v>
          </cell>
        </row>
        <row r="2245">
          <cell r="A2245" t="str">
            <v>0011801922</v>
          </cell>
          <cell r="B2245" t="str">
            <v>室内电脑板-CEM-1</v>
          </cell>
        </row>
        <row r="2246">
          <cell r="A2246" t="str">
            <v>0011801922</v>
          </cell>
          <cell r="B2246" t="str">
            <v>室内电脑板-CEM-1</v>
          </cell>
        </row>
        <row r="2247">
          <cell r="A2247" t="str">
            <v>0011801922A</v>
          </cell>
          <cell r="B2247" t="str">
            <v>室内电脑板-CEM-1</v>
          </cell>
        </row>
        <row r="2248">
          <cell r="A2248" t="str">
            <v>0011801922A</v>
          </cell>
          <cell r="B2248" t="str">
            <v>室内电脑板-CEM-1</v>
          </cell>
        </row>
        <row r="2249">
          <cell r="A2249" t="str">
            <v>0011801922C</v>
          </cell>
          <cell r="B2249" t="str">
            <v>室内电脑板-CEM-1</v>
          </cell>
        </row>
        <row r="2250">
          <cell r="A2250" t="str">
            <v>0011801922C</v>
          </cell>
          <cell r="B2250" t="str">
            <v>室内电脑板-CEM-1</v>
          </cell>
        </row>
        <row r="2251">
          <cell r="A2251" t="str">
            <v>0011801922F</v>
          </cell>
          <cell r="B2251" t="str">
            <v>室内电脑板-CEM-1</v>
          </cell>
        </row>
        <row r="2252">
          <cell r="A2252" t="str">
            <v>0011801922F</v>
          </cell>
          <cell r="B2252" t="str">
            <v>室内电脑板-CEM-1</v>
          </cell>
        </row>
        <row r="2253">
          <cell r="A2253" t="str">
            <v>0011801922G</v>
          </cell>
          <cell r="B2253" t="str">
            <v>室内电脑板-CEM-1</v>
          </cell>
        </row>
        <row r="2254">
          <cell r="A2254" t="str">
            <v>0011801922G</v>
          </cell>
          <cell r="B2254" t="str">
            <v>室内电脑板-CEM-1</v>
          </cell>
        </row>
        <row r="2255">
          <cell r="A2255" t="str">
            <v>0011801922H</v>
          </cell>
          <cell r="B2255" t="str">
            <v>室内电脑板-CEM-1</v>
          </cell>
        </row>
        <row r="2256">
          <cell r="A2256" t="str">
            <v>0011801922H</v>
          </cell>
          <cell r="B2256" t="str">
            <v>室内电脑板-CEM-1</v>
          </cell>
        </row>
        <row r="2257">
          <cell r="A2257" t="str">
            <v>0011801922J</v>
          </cell>
          <cell r="B2257" t="str">
            <v>室内电脑板-CEM-1</v>
          </cell>
        </row>
        <row r="2258">
          <cell r="A2258" t="str">
            <v>0011801922J</v>
          </cell>
          <cell r="B2258" t="str">
            <v>室内电脑板-CEM-1</v>
          </cell>
        </row>
        <row r="2259">
          <cell r="A2259" t="str">
            <v>0011801926</v>
          </cell>
          <cell r="B2259" t="str">
            <v>显示板-LED</v>
          </cell>
        </row>
        <row r="2260">
          <cell r="A2260" t="str">
            <v>0011801945</v>
          </cell>
          <cell r="B2260" t="str">
            <v>显示板-FR-4/</v>
          </cell>
        </row>
        <row r="2261">
          <cell r="A2261" t="str">
            <v>0011801945</v>
          </cell>
          <cell r="B2261" t="str">
            <v>显示板-FR-4/</v>
          </cell>
        </row>
        <row r="2262">
          <cell r="A2262" t="str">
            <v>0011801945A</v>
          </cell>
          <cell r="B2262" t="str">
            <v>显示板-FR-4</v>
          </cell>
        </row>
        <row r="2263">
          <cell r="A2263" t="str">
            <v>0011801967</v>
          </cell>
          <cell r="B2263" t="str">
            <v>显示板-FR-4</v>
          </cell>
        </row>
        <row r="2264">
          <cell r="A2264" t="str">
            <v>0011801967</v>
          </cell>
          <cell r="B2264" t="str">
            <v>显示板-FR-4</v>
          </cell>
        </row>
        <row r="2265">
          <cell r="A2265" t="str">
            <v>0011801977</v>
          </cell>
          <cell r="B2265" t="str">
            <v>室内电脑板-CEM-1</v>
          </cell>
        </row>
        <row r="2266">
          <cell r="A2266" t="str">
            <v>0011801977</v>
          </cell>
          <cell r="B2266" t="str">
            <v>室内电脑板-CEM-1</v>
          </cell>
        </row>
        <row r="2267">
          <cell r="A2267" t="str">
            <v>0011801977A</v>
          </cell>
          <cell r="B2267" t="str">
            <v>室内电脑板-CEM-1</v>
          </cell>
        </row>
        <row r="2268">
          <cell r="A2268" t="str">
            <v>0011801977A</v>
          </cell>
          <cell r="B2268" t="str">
            <v>室内电脑板-CEM-1</v>
          </cell>
        </row>
        <row r="2269">
          <cell r="A2269" t="str">
            <v>0011801977B</v>
          </cell>
          <cell r="B2269" t="str">
            <v>室内电脑板-CEM-1</v>
          </cell>
        </row>
        <row r="2270">
          <cell r="A2270" t="str">
            <v>0011801977C</v>
          </cell>
          <cell r="B2270" t="str">
            <v>室内电脑板-CEM-1</v>
          </cell>
        </row>
        <row r="2271">
          <cell r="A2271" t="str">
            <v>0011801977D</v>
          </cell>
          <cell r="B2271" t="str">
            <v>室内电脑板-CEM-1</v>
          </cell>
        </row>
        <row r="2272">
          <cell r="A2272" t="str">
            <v>0011801977E</v>
          </cell>
          <cell r="B2272" t="str">
            <v>室内电脑板-165mm*136mm</v>
          </cell>
        </row>
        <row r="2273">
          <cell r="A2273" t="str">
            <v>0011801977E</v>
          </cell>
          <cell r="B2273" t="str">
            <v>室内电脑板-165mm*136mm</v>
          </cell>
        </row>
        <row r="2274">
          <cell r="A2274" t="str">
            <v>0011801977F</v>
          </cell>
          <cell r="B2274" t="str">
            <v>室内电脑板-165mm*136mm</v>
          </cell>
        </row>
        <row r="2275">
          <cell r="A2275" t="str">
            <v>0011801977F</v>
          </cell>
          <cell r="B2275" t="str">
            <v>室内电脑板-165mm*136mm</v>
          </cell>
        </row>
        <row r="2276">
          <cell r="A2276" t="str">
            <v>0011801977G</v>
          </cell>
          <cell r="B2276" t="str">
            <v>室内电脑板-162mm*130mm</v>
          </cell>
        </row>
        <row r="2277">
          <cell r="A2277" t="str">
            <v>0011801977G</v>
          </cell>
          <cell r="B2277" t="str">
            <v>室内电脑板-162mm*130mm</v>
          </cell>
        </row>
        <row r="2278">
          <cell r="A2278" t="str">
            <v>0011801977H</v>
          </cell>
          <cell r="B2278" t="str">
            <v>室内电脑板-165mm*136mm</v>
          </cell>
        </row>
        <row r="2279">
          <cell r="A2279" t="str">
            <v>0011801977H</v>
          </cell>
          <cell r="B2279" t="str">
            <v>室内电脑板-165mm*136mm</v>
          </cell>
        </row>
        <row r="2280">
          <cell r="A2280" t="str">
            <v>0011801981</v>
          </cell>
          <cell r="B2280" t="str">
            <v>室内电脑板-FR-4</v>
          </cell>
        </row>
        <row r="2281">
          <cell r="A2281" t="str">
            <v>0011801981</v>
          </cell>
          <cell r="B2281" t="str">
            <v>室内电脑板-FR-4</v>
          </cell>
        </row>
        <row r="2282">
          <cell r="A2282" t="str">
            <v>0011801981A</v>
          </cell>
          <cell r="B2282" t="str">
            <v>室内电脑板-FR-4</v>
          </cell>
        </row>
        <row r="2283">
          <cell r="A2283" t="str">
            <v>0011801981B</v>
          </cell>
          <cell r="B2283" t="str">
            <v>室内电脑板-FR-4</v>
          </cell>
        </row>
        <row r="2284">
          <cell r="A2284" t="str">
            <v>0011801995G</v>
          </cell>
          <cell r="B2284" t="str">
            <v>变频外电脑板-FR-4</v>
          </cell>
        </row>
        <row r="2285">
          <cell r="A2285" t="str">
            <v>0011801995G</v>
          </cell>
          <cell r="B2285" t="str">
            <v>变频外电脑板-FR-4</v>
          </cell>
        </row>
        <row r="2286">
          <cell r="A2286" t="str">
            <v>0011802004</v>
          </cell>
          <cell r="B2286" t="str">
            <v>变频外电脑板-FR-4</v>
          </cell>
        </row>
        <row r="2287">
          <cell r="A2287" t="str">
            <v>0011802004A</v>
          </cell>
          <cell r="B2287" t="str">
            <v>变频外电脑板-FR-4</v>
          </cell>
        </row>
        <row r="2288">
          <cell r="A2288" t="str">
            <v>0011802004B</v>
          </cell>
          <cell r="B2288" t="str">
            <v>变频外电脑板-FR-4</v>
          </cell>
        </row>
        <row r="2289">
          <cell r="A2289" t="str">
            <v>0011802004C</v>
          </cell>
          <cell r="B2289" t="str">
            <v>变频外电脑板-FR-4</v>
          </cell>
        </row>
        <row r="2290">
          <cell r="A2290" t="str">
            <v>0011802004F</v>
          </cell>
          <cell r="B2290" t="str">
            <v>变频外电脑板-FR-4</v>
          </cell>
        </row>
        <row r="2291">
          <cell r="A2291" t="str">
            <v>0011802015</v>
          </cell>
          <cell r="B2291" t="str">
            <v>一体机电控-FR-4//</v>
          </cell>
        </row>
        <row r="2292">
          <cell r="A2292" t="str">
            <v>0011802020</v>
          </cell>
          <cell r="B2292" t="str">
            <v>室内电脑板-CEM-1</v>
          </cell>
        </row>
        <row r="2293">
          <cell r="A2293" t="str">
            <v>0011802020</v>
          </cell>
          <cell r="B2293" t="str">
            <v>室内电脑板-CEM-1</v>
          </cell>
        </row>
        <row r="2294">
          <cell r="A2294" t="str">
            <v>0011802020A</v>
          </cell>
          <cell r="B2294" t="str">
            <v>室内电脑板-CEM-1</v>
          </cell>
        </row>
        <row r="2295">
          <cell r="A2295" t="str">
            <v>0011802020A</v>
          </cell>
          <cell r="B2295" t="str">
            <v>室内电脑板-CEM-1</v>
          </cell>
        </row>
        <row r="2296">
          <cell r="A2296" t="str">
            <v>0011802020B</v>
          </cell>
          <cell r="B2296" t="str">
            <v>室内电脑板-CEM-1</v>
          </cell>
        </row>
        <row r="2297">
          <cell r="A2297" t="str">
            <v>0011802020B</v>
          </cell>
          <cell r="B2297" t="str">
            <v>室内电脑板-CEM-1</v>
          </cell>
        </row>
        <row r="2298">
          <cell r="A2298" t="str">
            <v>0011802046D</v>
          </cell>
          <cell r="B2298" t="str">
            <v>室内电脑板-CEM-1</v>
          </cell>
        </row>
        <row r="2299">
          <cell r="A2299" t="str">
            <v>0011802046D</v>
          </cell>
          <cell r="B2299" t="str">
            <v>室内电脑板-CEM-1</v>
          </cell>
        </row>
        <row r="2300">
          <cell r="A2300" t="str">
            <v>0011802046E</v>
          </cell>
          <cell r="B2300" t="str">
            <v>室内电脑板-CEM-1</v>
          </cell>
        </row>
        <row r="2301">
          <cell r="A2301" t="str">
            <v>0011802046E</v>
          </cell>
          <cell r="B2301" t="str">
            <v>室内电脑板-CEM-1</v>
          </cell>
        </row>
        <row r="2302">
          <cell r="A2302" t="str">
            <v>0011802068</v>
          </cell>
          <cell r="B2302" t="str">
            <v>室内电脑板-CEM-1</v>
          </cell>
        </row>
        <row r="2303">
          <cell r="A2303" t="str">
            <v>0011802068</v>
          </cell>
          <cell r="B2303" t="str">
            <v>室内电脑板-CEM-1</v>
          </cell>
        </row>
        <row r="2304">
          <cell r="A2304" t="str">
            <v>0011802068A</v>
          </cell>
          <cell r="B2304" t="str">
            <v>室内电脑板-FR-4</v>
          </cell>
        </row>
        <row r="2305">
          <cell r="A2305" t="str">
            <v>0011802068A</v>
          </cell>
          <cell r="B2305" t="str">
            <v>室内电脑板-FR-4</v>
          </cell>
        </row>
        <row r="2306">
          <cell r="A2306" t="str">
            <v>0011802068C</v>
          </cell>
          <cell r="B2306" t="str">
            <v>室内电脑板-FR-4</v>
          </cell>
        </row>
        <row r="2307">
          <cell r="A2307" t="str">
            <v>0011802068C</v>
          </cell>
          <cell r="B2307" t="str">
            <v>室内电脑板-FR-4</v>
          </cell>
        </row>
        <row r="2308">
          <cell r="A2308" t="str">
            <v>0011802120U</v>
          </cell>
          <cell r="B2308" t="str">
            <v>变频外电脑板-FR-4</v>
          </cell>
        </row>
        <row r="2309">
          <cell r="A2309" t="str">
            <v>001A4000011</v>
          </cell>
          <cell r="B2309" t="str">
            <v>端子排-/</v>
          </cell>
        </row>
        <row r="2310">
          <cell r="A2310" t="str">
            <v>001A4000011</v>
          </cell>
          <cell r="B2310" t="str">
            <v>端子排-/</v>
          </cell>
        </row>
        <row r="2311">
          <cell r="A2311" t="str">
            <v>001A4000082</v>
          </cell>
          <cell r="B2311" t="str">
            <v>端子排-N/A</v>
          </cell>
        </row>
        <row r="2312">
          <cell r="A2312" t="str">
            <v>001A4000082A</v>
          </cell>
          <cell r="B2312" t="str">
            <v>端子排-/三位端子排1N2L地</v>
          </cell>
        </row>
        <row r="2313">
          <cell r="A2313" t="str">
            <v>001A4000082D</v>
          </cell>
          <cell r="B2313" t="str">
            <v>端子排-/三位端子排1N2L地-</v>
          </cell>
        </row>
        <row r="2314">
          <cell r="A2314" t="str">
            <v>001A4000092</v>
          </cell>
          <cell r="B2314" t="str">
            <v>ROHS-端子排(JXW-5 300V 30A 4MM2)-N/A</v>
          </cell>
        </row>
        <row r="2315">
          <cell r="A2315" t="str">
            <v>001A4000097</v>
          </cell>
          <cell r="B2315" t="str">
            <v>ROHS-端子排(JXW-7-H 600V 30A 4MM2)-N/A</v>
          </cell>
        </row>
        <row r="2316">
          <cell r="A2316" t="str">
            <v>001A4000097</v>
          </cell>
          <cell r="B2316" t="str">
            <v>ROHS-端子排(JXW-7-H 600V 30A 4MM2)-N/A</v>
          </cell>
        </row>
        <row r="2317">
          <cell r="A2317" t="str">
            <v>001A4000097A</v>
          </cell>
          <cell r="B2317" t="str">
            <v>端子排-/</v>
          </cell>
        </row>
        <row r="2318">
          <cell r="A2318" t="str">
            <v>001A4000098</v>
          </cell>
          <cell r="B2318" t="str">
            <v>ROHS-端子排(JXW-7-H 600V 30A 4MM2)-N/A</v>
          </cell>
        </row>
        <row r="2319">
          <cell r="A2319" t="str">
            <v>001A4000105</v>
          </cell>
          <cell r="B2319" t="str">
            <v>端子排-N/A</v>
          </cell>
        </row>
        <row r="2320">
          <cell r="A2320" t="str">
            <v>001A4000105</v>
          </cell>
          <cell r="B2320" t="str">
            <v>端子排-N/A</v>
          </cell>
        </row>
        <row r="2321">
          <cell r="A2321" t="str">
            <v>001A4000105D</v>
          </cell>
          <cell r="B2321" t="str">
            <v>端子排-/</v>
          </cell>
        </row>
        <row r="2322">
          <cell r="A2322" t="str">
            <v>001A4000107</v>
          </cell>
          <cell r="B2322" t="str">
            <v>端子排-N/A</v>
          </cell>
        </row>
        <row r="2323">
          <cell r="A2323" t="str">
            <v>001A4000107A</v>
          </cell>
          <cell r="B2323" t="str">
            <v>端子排-/</v>
          </cell>
        </row>
        <row r="2324">
          <cell r="A2324" t="str">
            <v>001A4000110</v>
          </cell>
          <cell r="B2324" t="str">
            <v>ROHS-电源接线排(JXW-3-R/600V/30A/5.5MM)</v>
          </cell>
        </row>
        <row r="2325">
          <cell r="A2325" t="str">
            <v>001A4000110</v>
          </cell>
          <cell r="B2325" t="str">
            <v>ROHS-电源接线排(JXW-3-R/600V/30A/5.5MM)</v>
          </cell>
        </row>
        <row r="2326">
          <cell r="A2326" t="str">
            <v>001A4000110B</v>
          </cell>
          <cell r="B2326" t="str">
            <v>端子排-/</v>
          </cell>
        </row>
        <row r="2327">
          <cell r="A2327" t="str">
            <v>001A4000151</v>
          </cell>
          <cell r="B2327" t="str">
            <v>ROHS-端子排(JXW-6-H/600V/30A/4MM2)-N/A</v>
          </cell>
        </row>
        <row r="2328">
          <cell r="A2328" t="str">
            <v>001A4000158</v>
          </cell>
          <cell r="B2328" t="str">
            <v>ROHS-端子排-N/A</v>
          </cell>
        </row>
        <row r="2329">
          <cell r="A2329" t="str">
            <v>001A4100010</v>
          </cell>
          <cell r="B2329" t="str">
            <v>ROHS-保险丝架(KFR-50LW/BP)-N/A</v>
          </cell>
        </row>
        <row r="2330">
          <cell r="A2330" t="str">
            <v>0021800217</v>
          </cell>
          <cell r="B2330" t="str">
            <v>电脑板-/GEAWIFIGEAWIFI</v>
          </cell>
        </row>
        <row r="2331">
          <cell r="A2331" t="str">
            <v>0064000418</v>
          </cell>
          <cell r="B2331" t="str">
            <v>磁敏开关-N/A</v>
          </cell>
        </row>
        <row r="2332">
          <cell r="A2332" t="str">
            <v>0150401567D</v>
          </cell>
          <cell r="B2332" t="str">
            <v>遥控器-/</v>
          </cell>
        </row>
        <row r="2333">
          <cell r="A2333" t="str">
            <v>0151800130B</v>
          </cell>
          <cell r="B2333" t="str">
            <v>电脑板-FR-4室内机通信模块-70*90485通讯_连接集中控制器和BMS系统</v>
          </cell>
        </row>
        <row r="2334">
          <cell r="A2334" t="str">
            <v>0151800317</v>
          </cell>
          <cell r="B2334" t="str">
            <v>电脑板-FR-4有线485监控工装</v>
          </cell>
        </row>
        <row r="2335">
          <cell r="A2335" t="str">
            <v>0151800543</v>
          </cell>
          <cell r="B2335" t="str">
            <v>电脑板-/</v>
          </cell>
        </row>
        <row r="2336">
          <cell r="A2336" t="str">
            <v>0151800604</v>
          </cell>
          <cell r="B2336" t="str">
            <v>电脑板-//</v>
          </cell>
        </row>
        <row r="2337">
          <cell r="A2337" t="str">
            <v>0151800604B</v>
          </cell>
          <cell r="B2337" t="str">
            <v>电脑板-//</v>
          </cell>
        </row>
        <row r="2338">
          <cell r="A2338" t="str">
            <v>0151801174</v>
          </cell>
          <cell r="B2338" t="str">
            <v>单相室外一体板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一级表业务"/>
      <sheetName val="二级表人员"/>
      <sheetName val="遥控器模具明细"/>
      <sheetName val="厂家配额 (新)"/>
      <sheetName val="SAP库存"/>
      <sheetName val="邮件"/>
      <sheetName val="供应商通讯录 (新)"/>
      <sheetName val="通讯汇总"/>
      <sheetName val="WIFI邮件"/>
      <sheetName val="通讯汇总 (22.06.24)"/>
      <sheetName val="采购组"/>
      <sheetName val="包装"/>
      <sheetName val="Sheet1"/>
      <sheetName val="Sheet2"/>
      <sheetName val="Sheet3"/>
    </sheetNames>
    <sheetDataSet>
      <sheetData sheetId="0"/>
      <sheetData sheetId="1"/>
      <sheetData sheetId="2"/>
      <sheetData sheetId="3">
        <row r="1">
          <cell r="A1" t="str">
            <v>物料号</v>
          </cell>
          <cell r="B1" t="str">
            <v>物料描述</v>
          </cell>
          <cell r="C1" t="str">
            <v>厂家</v>
          </cell>
        </row>
        <row r="2">
          <cell r="A2" t="str">
            <v>0010402287</v>
          </cell>
          <cell r="B2" t="str">
            <v>ROHS-室外端子排(JXW-4 600V 30A 4MM2)-/</v>
          </cell>
          <cell r="C2" t="str">
            <v>凯都</v>
          </cell>
        </row>
        <row r="3">
          <cell r="A3" t="str">
            <v>001A4000107</v>
          </cell>
          <cell r="B3" t="str">
            <v>ROHS-端子排(JXW-6-H 600V 30A 4MM2)</v>
          </cell>
          <cell r="C3" t="str">
            <v>凯都</v>
          </cell>
        </row>
        <row r="4">
          <cell r="A4" t="str">
            <v>0010401314J</v>
          </cell>
          <cell r="B4" t="str">
            <v>遥控器-塑料</v>
          </cell>
          <cell r="C4" t="str">
            <v>长虹</v>
          </cell>
        </row>
        <row r="5">
          <cell r="A5" t="str">
            <v>0010401314T</v>
          </cell>
          <cell r="B5" t="str">
            <v>遥控器-/</v>
          </cell>
          <cell r="C5" t="str">
            <v>长虹</v>
          </cell>
        </row>
        <row r="6">
          <cell r="A6" t="str">
            <v>0010401314Z</v>
          </cell>
          <cell r="B6" t="str">
            <v>遥控器-/</v>
          </cell>
          <cell r="C6" t="str">
            <v>长虹</v>
          </cell>
        </row>
        <row r="7">
          <cell r="A7" t="str">
            <v>0010401715FV</v>
          </cell>
          <cell r="B7" t="str">
            <v>遥控器-塑料</v>
          </cell>
          <cell r="C7" t="str">
            <v>合晶</v>
          </cell>
        </row>
        <row r="8">
          <cell r="A8" t="str">
            <v>0010401715HC</v>
          </cell>
          <cell r="B8" t="str">
            <v>遥控器-塑料/</v>
          </cell>
          <cell r="C8" t="str">
            <v>合晶</v>
          </cell>
        </row>
        <row r="9">
          <cell r="A9" t="str">
            <v>0010401996AC</v>
          </cell>
          <cell r="B9" t="str">
            <v>遥控器-/</v>
          </cell>
          <cell r="C9" t="str">
            <v>长虹</v>
          </cell>
        </row>
        <row r="10">
          <cell r="A10" t="str">
            <v>0010401996N</v>
          </cell>
          <cell r="B10" t="str">
            <v>遥控器-塑料</v>
          </cell>
          <cell r="C10" t="str">
            <v>长虹</v>
          </cell>
        </row>
        <row r="11">
          <cell r="A11" t="str">
            <v>0010401996U</v>
          </cell>
          <cell r="B11" t="str">
            <v>遥控器-塑料</v>
          </cell>
          <cell r="C11" t="str">
            <v>长虹</v>
          </cell>
        </row>
        <row r="12">
          <cell r="A12" t="str">
            <v>0010402647AE</v>
          </cell>
          <cell r="B12" t="str">
            <v>遥控器-塑料</v>
          </cell>
          <cell r="C12" t="str">
            <v>合晶</v>
          </cell>
        </row>
        <row r="13">
          <cell r="A13" t="str">
            <v>0010402647H</v>
          </cell>
          <cell r="B13" t="str">
            <v>遥控器-/</v>
          </cell>
          <cell r="C13" t="str">
            <v>合晶</v>
          </cell>
        </row>
        <row r="14">
          <cell r="A14" t="str">
            <v>0010402647U</v>
          </cell>
          <cell r="B14" t="str">
            <v>遥控器-塑料</v>
          </cell>
          <cell r="C14" t="str">
            <v>合晶</v>
          </cell>
        </row>
        <row r="15">
          <cell r="A15" t="str">
            <v>0010402886</v>
          </cell>
          <cell r="B15" t="str">
            <v>遥控器-/</v>
          </cell>
          <cell r="C15" t="str">
            <v>长虹</v>
          </cell>
        </row>
        <row r="16">
          <cell r="A16" t="str">
            <v>0010402886AQ</v>
          </cell>
          <cell r="B16" t="str">
            <v>遥控器-//--</v>
          </cell>
          <cell r="C16" t="str">
            <v>长虹</v>
          </cell>
        </row>
        <row r="17">
          <cell r="A17" t="str">
            <v>0010402886BB</v>
          </cell>
          <cell r="B17" t="str">
            <v>遥控器-/遥控器</v>
          </cell>
          <cell r="C17" t="str">
            <v>长虹</v>
          </cell>
        </row>
        <row r="18">
          <cell r="A18" t="str">
            <v>0010402886BD</v>
          </cell>
          <cell r="B18" t="str">
            <v>遥控器-塑料</v>
          </cell>
          <cell r="C18" t="str">
            <v>长虹</v>
          </cell>
        </row>
        <row r="19">
          <cell r="A19" t="str">
            <v>0010402886H</v>
          </cell>
          <cell r="B19" t="str">
            <v>遥控器-/</v>
          </cell>
          <cell r="C19" t="str">
            <v>长虹</v>
          </cell>
        </row>
        <row r="20">
          <cell r="A20" t="str">
            <v>0010402886P</v>
          </cell>
          <cell r="B20" t="str">
            <v>遥控器-塑料---</v>
          </cell>
          <cell r="C20" t="str">
            <v>长虹</v>
          </cell>
        </row>
        <row r="21">
          <cell r="A21" t="str">
            <v>0010402886W</v>
          </cell>
          <cell r="B21" t="str">
            <v>遥控器-塑料</v>
          </cell>
          <cell r="C21" t="str">
            <v>长虹</v>
          </cell>
        </row>
        <row r="22">
          <cell r="A22" t="str">
            <v>0010402886Y</v>
          </cell>
          <cell r="B22" t="str">
            <v>遥控器-塑料/</v>
          </cell>
          <cell r="C22" t="str">
            <v>长虹</v>
          </cell>
        </row>
        <row r="23">
          <cell r="A23" t="str">
            <v>0010404857</v>
          </cell>
          <cell r="B23" t="str">
            <v>线束-/</v>
          </cell>
          <cell r="C23" t="str">
            <v>得润/桦晟//</v>
          </cell>
        </row>
        <row r="24">
          <cell r="A24" t="str">
            <v>0010405118</v>
          </cell>
          <cell r="B24" t="str">
            <v>线束-1.25mm2---</v>
          </cell>
          <cell r="C24" t="str">
            <v>得润/桦晟//</v>
          </cell>
        </row>
        <row r="25">
          <cell r="A25" t="str">
            <v>0260402830</v>
          </cell>
          <cell r="B25" t="str">
            <v>接插线-/G-WIR-8-M-800-P-1.3-N1-2P/Y2-2P-DLX</v>
          </cell>
          <cell r="C25" t="str">
            <v>桦晟</v>
          </cell>
        </row>
        <row r="26">
          <cell r="A26" t="str">
            <v>0260402831A</v>
          </cell>
          <cell r="B26" t="str">
            <v>接插线-/G-WIR-8-M-850-P-1.3-N1-2.0P/N2-2.0P</v>
          </cell>
          <cell r="C26" t="str">
            <v>得润</v>
          </cell>
        </row>
        <row r="27">
          <cell r="A27" t="str">
            <v>0010401920</v>
          </cell>
          <cell r="B27" t="str">
            <v>ROHS-室内线束(KF-25GW/H(F))-/</v>
          </cell>
          <cell r="C27" t="str">
            <v>得润/桦晟//</v>
          </cell>
        </row>
        <row r="28">
          <cell r="A28" t="str">
            <v>0010404198</v>
          </cell>
          <cell r="B28" t="str">
            <v>ROHS-接地线(HSU-22HV03/R2(DB))-/</v>
          </cell>
          <cell r="C28" t="str">
            <v>桦晟/珠城//</v>
          </cell>
        </row>
        <row r="29">
          <cell r="A29" t="str">
            <v>0010400454</v>
          </cell>
          <cell r="B29" t="str">
            <v>ROHS-连机线(4*0.75*6000(YZW))</v>
          </cell>
          <cell r="C29" t="str">
            <v>华声</v>
          </cell>
        </row>
        <row r="30">
          <cell r="A30" t="str">
            <v>0010400694A</v>
          </cell>
          <cell r="B30" t="str">
            <v>连机线-/</v>
          </cell>
          <cell r="C30" t="str">
            <v>华声</v>
          </cell>
        </row>
        <row r="31">
          <cell r="A31" t="str">
            <v>0010400748A</v>
          </cell>
          <cell r="B31" t="str">
            <v>连机线-0.75mm2（24/0.20）4*1.0mm2*5mVDEH</v>
          </cell>
          <cell r="C31" t="str">
            <v>华声</v>
          </cell>
        </row>
        <row r="32">
          <cell r="A32" t="str">
            <v>0010400750C</v>
          </cell>
          <cell r="B32" t="str">
            <v>连机线-0.75mm2（24/0.20）VDE标准3*0.75mm2*5m</v>
          </cell>
          <cell r="C32" t="str">
            <v>华声</v>
          </cell>
        </row>
        <row r="33">
          <cell r="A33" t="str">
            <v>0010401000E</v>
          </cell>
          <cell r="B33" t="str">
            <v>ROHS-连机线(HSU-18RC03/R2)-N/A</v>
          </cell>
          <cell r="C33" t="str">
            <v>华声</v>
          </cell>
        </row>
        <row r="34">
          <cell r="A34" t="str">
            <v>0010401377C</v>
          </cell>
          <cell r="B34" t="str">
            <v>连机线-/3*2.5mm2*5mVDEH07RN-F</v>
          </cell>
          <cell r="C34" t="str">
            <v>华声</v>
          </cell>
        </row>
        <row r="35">
          <cell r="A35" t="str">
            <v>0010401789</v>
          </cell>
          <cell r="B35" t="str">
            <v>连机线-/-245IEC57(YZW)4*2.5*4000-</v>
          </cell>
          <cell r="C35" t="str">
            <v>华声</v>
          </cell>
        </row>
        <row r="36">
          <cell r="A36" t="str">
            <v>0010401789B</v>
          </cell>
          <cell r="B36" t="str">
            <v>连机线-/</v>
          </cell>
          <cell r="C36" t="str">
            <v>华声</v>
          </cell>
        </row>
        <row r="37">
          <cell r="A37" t="str">
            <v>0010402017B</v>
          </cell>
          <cell r="B37" t="str">
            <v>连机线-0.75mm2（24/0.20）VDE连机线</v>
          </cell>
          <cell r="C37" t="str">
            <v>华声</v>
          </cell>
        </row>
        <row r="38">
          <cell r="A38" t="str">
            <v>0010402990</v>
          </cell>
          <cell r="B38" t="str">
            <v>连机线-/</v>
          </cell>
          <cell r="C38" t="str">
            <v>华声</v>
          </cell>
        </row>
        <row r="39">
          <cell r="A39" t="str">
            <v>0010402990A</v>
          </cell>
          <cell r="B39" t="str">
            <v>连机线-1.5mm2VDE3*1.5*4M</v>
          </cell>
          <cell r="C39" t="str">
            <v>华声</v>
          </cell>
        </row>
        <row r="40">
          <cell r="A40" t="str">
            <v>0010403035N</v>
          </cell>
          <cell r="B40" t="str">
            <v>连机线-/---</v>
          </cell>
          <cell r="C40" t="str">
            <v>华声</v>
          </cell>
        </row>
        <row r="41">
          <cell r="A41" t="str">
            <v>0010403358C</v>
          </cell>
          <cell r="B41" t="str">
            <v>无插电源线-/</v>
          </cell>
          <cell r="C41" t="str">
            <v>华声</v>
          </cell>
        </row>
        <row r="42">
          <cell r="A42" t="str">
            <v>0010404096A</v>
          </cell>
          <cell r="B42" t="str">
            <v>连机线-/3*2.5mm2*4mVDEH07RN-F室外上电电</v>
          </cell>
          <cell r="C42" t="str">
            <v>华声</v>
          </cell>
        </row>
        <row r="43">
          <cell r="A43" t="str">
            <v>0010404438D</v>
          </cell>
          <cell r="B43" t="str">
            <v>连机线-/3*4mm2*4mVDEH07RN-F室外上电电源</v>
          </cell>
          <cell r="C43" t="str">
            <v>华声</v>
          </cell>
        </row>
        <row r="44">
          <cell r="A44" t="str">
            <v>0010404531A</v>
          </cell>
          <cell r="B44" t="str">
            <v>连机线-/4*2.5mm2*5mVDEH07RN-F</v>
          </cell>
          <cell r="C44" t="str">
            <v>日丰</v>
          </cell>
        </row>
        <row r="45">
          <cell r="A45" t="str">
            <v>0010404257</v>
          </cell>
          <cell r="B45" t="str">
            <v>ROHS-室内线束(HSU-09RC03/R2)-/</v>
          </cell>
          <cell r="C45" t="str">
            <v>得润/桦晟//</v>
          </cell>
        </row>
        <row r="46">
          <cell r="A46" t="str">
            <v>0011800932W</v>
          </cell>
          <cell r="B46" t="str">
            <v>室外电脑板-/270*180</v>
          </cell>
          <cell r="C46" t="str">
            <v>航嘉/领智//</v>
          </cell>
        </row>
        <row r="47">
          <cell r="A47" t="str">
            <v>0150400235</v>
          </cell>
          <cell r="B47" t="str">
            <v>线束</v>
          </cell>
          <cell r="C47" t="str">
            <v>得润/桦晟//</v>
          </cell>
        </row>
        <row r="48">
          <cell r="A48" t="str">
            <v>0150400240</v>
          </cell>
          <cell r="B48" t="str">
            <v>线束</v>
          </cell>
          <cell r="C48" t="str">
            <v>得润</v>
          </cell>
        </row>
        <row r="49">
          <cell r="A49" t="str">
            <v>0010401715AN</v>
          </cell>
          <cell r="B49" t="str">
            <v>遥控器-/</v>
          </cell>
          <cell r="C49" t="str">
            <v>合晶</v>
          </cell>
        </row>
        <row r="50">
          <cell r="A50" t="str">
            <v>0010401715CW</v>
          </cell>
          <cell r="B50" t="str">
            <v>遥控器-/</v>
          </cell>
          <cell r="C50" t="str">
            <v>合晶</v>
          </cell>
        </row>
        <row r="51">
          <cell r="A51" t="str">
            <v>0010401715DA</v>
          </cell>
          <cell r="B51" t="str">
            <v>遥控器-/</v>
          </cell>
          <cell r="C51" t="str">
            <v>合晶/福尼特//</v>
          </cell>
        </row>
        <row r="52">
          <cell r="A52" t="str">
            <v>0010401715DK</v>
          </cell>
          <cell r="B52" t="str">
            <v>遥控器-/</v>
          </cell>
          <cell r="C52" t="str">
            <v>合晶</v>
          </cell>
        </row>
        <row r="53">
          <cell r="A53" t="str">
            <v>0010401715DM</v>
          </cell>
          <cell r="B53" t="str">
            <v>遥控器-/母本基础PMV丝印更换为home其他不�</v>
          </cell>
          <cell r="C53" t="str">
            <v>合晶</v>
          </cell>
        </row>
        <row r="54">
          <cell r="A54" t="str">
            <v>0010401715FU</v>
          </cell>
          <cell r="B54" t="str">
            <v>遥控器-塑料</v>
          </cell>
          <cell r="C54" t="str">
            <v>合晶</v>
          </cell>
        </row>
        <row r="55">
          <cell r="A55" t="str">
            <v>0010401715FX</v>
          </cell>
          <cell r="B55" t="str">
            <v>遥控器-塑料HE系列遥控器</v>
          </cell>
          <cell r="C55" t="str">
            <v>合晶/长虹//</v>
          </cell>
        </row>
        <row r="56">
          <cell r="A56" t="str">
            <v>0010401715HL</v>
          </cell>
          <cell r="B56" t="str">
            <v>遥控器-塑料/</v>
          </cell>
          <cell r="C56" t="str">
            <v>合晶</v>
          </cell>
        </row>
        <row r="57">
          <cell r="A57" t="str">
            <v>0010401715HM</v>
          </cell>
          <cell r="B57" t="str">
            <v>遥控器-塑料</v>
          </cell>
          <cell r="C57" t="str">
            <v>合晶</v>
          </cell>
        </row>
        <row r="58">
          <cell r="A58" t="str">
            <v>0010404555B</v>
          </cell>
          <cell r="B58" t="str">
            <v>遥控器-塑料---</v>
          </cell>
          <cell r="C58" t="str">
            <v>合晶</v>
          </cell>
        </row>
        <row r="59">
          <cell r="A59" t="str">
            <v>0010404555C</v>
          </cell>
          <cell r="B59" t="str">
            <v>遥控器-塑料/</v>
          </cell>
          <cell r="C59" t="str">
            <v>合晶</v>
          </cell>
        </row>
        <row r="60">
          <cell r="A60" t="str">
            <v>0010404555F</v>
          </cell>
          <cell r="B60" t="str">
            <v>遥控器-塑料/</v>
          </cell>
          <cell r="C60" t="str">
            <v>合晶</v>
          </cell>
        </row>
        <row r="61">
          <cell r="A61" t="str">
            <v>0010404555G</v>
          </cell>
          <cell r="B61" t="str">
            <v>遥控器-塑料/</v>
          </cell>
          <cell r="C61" t="str">
            <v>合晶</v>
          </cell>
        </row>
        <row r="62">
          <cell r="A62" t="str">
            <v>0010404555H</v>
          </cell>
          <cell r="B62" t="str">
            <v>遥控器-塑料/</v>
          </cell>
          <cell r="C62" t="str">
            <v>合晶</v>
          </cell>
        </row>
        <row r="63">
          <cell r="A63" t="str">
            <v>0010404555J</v>
          </cell>
          <cell r="B63" t="str">
            <v>遥控器-塑料/</v>
          </cell>
          <cell r="C63" t="str">
            <v>合晶</v>
          </cell>
        </row>
        <row r="64">
          <cell r="A64" t="str">
            <v>0010404555T</v>
          </cell>
          <cell r="B64" t="str">
            <v>遥控器-塑料/</v>
          </cell>
          <cell r="C64" t="str">
            <v>合晶</v>
          </cell>
        </row>
        <row r="65">
          <cell r="A65" t="str">
            <v>0010404941</v>
          </cell>
          <cell r="B65" t="str">
            <v>遥控器-塑料</v>
          </cell>
          <cell r="C65" t="str">
            <v>合晶</v>
          </cell>
        </row>
        <row r="66">
          <cell r="A66" t="str">
            <v>0010404941A</v>
          </cell>
          <cell r="B66" t="str">
            <v>遥控器-塑料</v>
          </cell>
          <cell r="C66" t="str">
            <v>合晶</v>
          </cell>
        </row>
        <row r="67">
          <cell r="A67" t="str">
            <v>0010401715B</v>
          </cell>
          <cell r="B67" t="str">
            <v>遥控器-塑料</v>
          </cell>
          <cell r="C67" t="str">
            <v>合晶</v>
          </cell>
        </row>
        <row r="68">
          <cell r="A68" t="str">
            <v>0010401715DG</v>
          </cell>
          <cell r="B68" t="str">
            <v>遥控器-塑料</v>
          </cell>
          <cell r="C68" t="str">
            <v>合晶</v>
          </cell>
        </row>
        <row r="69">
          <cell r="A69" t="str">
            <v>0010401715DU</v>
          </cell>
          <cell r="B69" t="str">
            <v>遥控器-塑料</v>
          </cell>
          <cell r="C69" t="str">
            <v>合晶</v>
          </cell>
        </row>
        <row r="70">
          <cell r="A70" t="str">
            <v>0010401715P</v>
          </cell>
          <cell r="B70" t="str">
            <v>遥控器-塑料</v>
          </cell>
          <cell r="C70" t="str">
            <v>合晶</v>
          </cell>
        </row>
        <row r="71">
          <cell r="A71" t="str">
            <v>0010401715Y</v>
          </cell>
          <cell r="B71" t="str">
            <v>遥控器-塑料</v>
          </cell>
          <cell r="C71" t="str">
            <v>合晶</v>
          </cell>
        </row>
        <row r="72">
          <cell r="A72" t="str">
            <v>0010402914</v>
          </cell>
          <cell r="B72" t="str">
            <v>电源线(VDEH05VV-F3*1.5*2500)</v>
          </cell>
          <cell r="C72" t="str">
            <v>泓淋/华声//</v>
          </cell>
        </row>
        <row r="73">
          <cell r="A73" t="str">
            <v>0010400948</v>
          </cell>
          <cell r="B73" t="str">
            <v>连机线-/</v>
          </cell>
          <cell r="C73" t="str">
            <v>泓淋/华声//</v>
          </cell>
        </row>
        <row r="74">
          <cell r="A74" t="str">
            <v>0010403087D</v>
          </cell>
          <cell r="B74" t="str">
            <v>普通电源线-/</v>
          </cell>
          <cell r="C74" t="str">
            <v>泓淋/华声//</v>
          </cell>
        </row>
        <row r="75">
          <cell r="A75" t="str">
            <v>0010404096</v>
          </cell>
          <cell r="B75" t="str">
            <v>无插电源线-/</v>
          </cell>
          <cell r="C75" t="str">
            <v>泓淋/华声//</v>
          </cell>
        </row>
        <row r="76">
          <cell r="A76" t="str">
            <v>0010403035D</v>
          </cell>
          <cell r="B76" t="str">
            <v>连机线-/</v>
          </cell>
          <cell r="C76" t="str">
            <v>泓淋/日丰//</v>
          </cell>
        </row>
        <row r="77">
          <cell r="A77" t="str">
            <v>0010403035F</v>
          </cell>
          <cell r="B77" t="str">
            <v>连机线-/</v>
          </cell>
          <cell r="C77" t="str">
            <v>泓淋/华声/日丰/</v>
          </cell>
        </row>
        <row r="78">
          <cell r="A78" t="str">
            <v>0010402914A</v>
          </cell>
          <cell r="B78" t="str">
            <v>无插电源线-/-GE-DHAC1.5</v>
          </cell>
          <cell r="C78" t="str">
            <v>泓淋/华声//</v>
          </cell>
        </row>
        <row r="79">
          <cell r="A79" t="str">
            <v>0010402208C</v>
          </cell>
          <cell r="B79" t="str">
            <v>端子排-/端子排</v>
          </cell>
          <cell r="C79" t="str">
            <v>凯都/华冠//</v>
          </cell>
        </row>
        <row r="80">
          <cell r="A80" t="str">
            <v>0010403146F</v>
          </cell>
          <cell r="B80" t="str">
            <v>端子排-/</v>
          </cell>
          <cell r="C80" t="str">
            <v>凯都/华冠//</v>
          </cell>
        </row>
        <row r="81">
          <cell r="A81" t="str">
            <v>0010403863</v>
          </cell>
          <cell r="B81" t="str">
            <v>室内端子排(H2SM-(9+12)HS03/R2)-N/A---</v>
          </cell>
          <cell r="C81" t="str">
            <v>凯都/源峰/华冠//</v>
          </cell>
        </row>
        <row r="82">
          <cell r="A82" t="str">
            <v>0010401028K</v>
          </cell>
          <cell r="B82" t="str">
            <v>室内线束</v>
          </cell>
          <cell r="C82" t="str">
            <v>桦晟/得润//</v>
          </cell>
        </row>
        <row r="83">
          <cell r="A83" t="str">
            <v>0010404198C</v>
          </cell>
          <cell r="B83" t="str">
            <v>线束-金属</v>
          </cell>
          <cell r="C83" t="str">
            <v>得润/桦晟//</v>
          </cell>
        </row>
        <row r="84">
          <cell r="A84" t="str">
            <v>0010404918</v>
          </cell>
          <cell r="B84" t="str">
            <v>线束-/</v>
          </cell>
          <cell r="C84" t="str">
            <v>得润</v>
          </cell>
        </row>
        <row r="85">
          <cell r="A85" t="str">
            <v>0010405117</v>
          </cell>
          <cell r="B85" t="str">
            <v>线束-1.25mm2---</v>
          </cell>
          <cell r="C85" t="str">
            <v>得润/桦晟//</v>
          </cell>
        </row>
        <row r="86">
          <cell r="A86" t="str">
            <v>0010404006</v>
          </cell>
          <cell r="B86" t="str">
            <v>室外线束(KFRD-72LW/Z5)</v>
          </cell>
          <cell r="C86" t="str">
            <v>桦晟/得润/相变/金龙</v>
          </cell>
        </row>
        <row r="87">
          <cell r="A87" t="str">
            <v>0010401190</v>
          </cell>
          <cell r="B87" t="str">
            <v>室外线束-/</v>
          </cell>
          <cell r="C87" t="str">
            <v>桦晟/得润/悠进/</v>
          </cell>
        </row>
        <row r="88">
          <cell r="A88" t="str">
            <v>0010404198A</v>
          </cell>
          <cell r="B88" t="str">
            <v>线束-/</v>
          </cell>
          <cell r="C88" t="str">
            <v>桦晟/得润//</v>
          </cell>
        </row>
        <row r="89">
          <cell r="A89" t="str">
            <v>0010404653</v>
          </cell>
          <cell r="B89" t="str">
            <v>线束-/</v>
          </cell>
          <cell r="C89" t="str">
            <v>桦晟</v>
          </cell>
        </row>
        <row r="90">
          <cell r="A90" t="str">
            <v>0010402992</v>
          </cell>
          <cell r="B90" t="str">
            <v>线束-金属</v>
          </cell>
          <cell r="C90" t="str">
            <v>桦晟</v>
          </cell>
        </row>
        <row r="91">
          <cell r="A91" t="str">
            <v>0010402057</v>
          </cell>
          <cell r="B91" t="str">
            <v>线束-/</v>
          </cell>
          <cell r="C91" t="str">
            <v>得润</v>
          </cell>
        </row>
        <row r="92">
          <cell r="A92" t="str">
            <v>0010400851A</v>
          </cell>
          <cell r="B92" t="str">
            <v>HW-12CM03线束</v>
          </cell>
          <cell r="C92" t="str">
            <v>桦晟/悠进//</v>
          </cell>
        </row>
        <row r="93">
          <cell r="A93" t="str">
            <v>0010402854A</v>
          </cell>
          <cell r="B93" t="str">
            <v>线束-/</v>
          </cell>
          <cell r="C93" t="str">
            <v>桦晟</v>
          </cell>
        </row>
        <row r="94">
          <cell r="A94" t="str">
            <v>0010404045</v>
          </cell>
          <cell r="B94" t="str">
            <v>ROHS-室外机线束(HSU-28H03/R2)-/</v>
          </cell>
          <cell r="C94" t="str">
            <v>桦晟/相变//</v>
          </cell>
        </row>
        <row r="95">
          <cell r="A95" t="str">
            <v>0010405874A</v>
          </cell>
          <cell r="B95" t="str">
            <v>室外线束组-//</v>
          </cell>
          <cell r="C95" t="str">
            <v>桦晟/珠城//</v>
          </cell>
        </row>
        <row r="96">
          <cell r="A96" t="str">
            <v>0010400641G</v>
          </cell>
          <cell r="B96" t="str">
            <v>线束-/</v>
          </cell>
          <cell r="C96" t="str">
            <v>桦晟</v>
          </cell>
        </row>
        <row r="97">
          <cell r="A97" t="str">
            <v>0010400851D</v>
          </cell>
          <cell r="B97" t="str">
            <v>线束-1.5mm2/</v>
          </cell>
          <cell r="C97" t="str">
            <v>桦晟</v>
          </cell>
        </row>
        <row r="98">
          <cell r="A98" t="str">
            <v>0010400939B</v>
          </cell>
          <cell r="B98" t="str">
            <v>线束-0.5mm2</v>
          </cell>
          <cell r="C98" t="str">
            <v>桦晟</v>
          </cell>
        </row>
        <row r="99">
          <cell r="A99" t="str">
            <v>0010401936</v>
          </cell>
          <cell r="B99" t="str">
            <v>线束-/---</v>
          </cell>
          <cell r="C99" t="str">
            <v>桦晟</v>
          </cell>
        </row>
        <row r="100">
          <cell r="A100" t="str">
            <v>0010403747B</v>
          </cell>
          <cell r="B100" t="str">
            <v>线束-通用</v>
          </cell>
          <cell r="C100" t="str">
            <v>桦晟</v>
          </cell>
        </row>
        <row r="101">
          <cell r="A101" t="str">
            <v>0010404076C</v>
          </cell>
          <cell r="B101" t="str">
            <v>线束-//</v>
          </cell>
          <cell r="C101" t="str">
            <v>桦晟</v>
          </cell>
        </row>
        <row r="102">
          <cell r="A102" t="str">
            <v>0010404115</v>
          </cell>
          <cell r="B102" t="str">
            <v>线束(HSU-18H03/R1(B))-/</v>
          </cell>
          <cell r="C102" t="str">
            <v>桦晟</v>
          </cell>
        </row>
        <row r="103">
          <cell r="A103" t="str">
            <v>0010405121A</v>
          </cell>
          <cell r="B103" t="str">
            <v>线束-0.75mm2（24/0.20）18#</v>
          </cell>
          <cell r="C103" t="str">
            <v>相变</v>
          </cell>
        </row>
        <row r="104">
          <cell r="A104" t="str">
            <v>0010405215</v>
          </cell>
          <cell r="B104" t="str">
            <v>线束-/</v>
          </cell>
          <cell r="C104" t="str">
            <v>桦晟/珠城//</v>
          </cell>
        </row>
        <row r="105">
          <cell r="A105" t="str">
            <v>0010405216</v>
          </cell>
          <cell r="B105" t="str">
            <v>线束-/</v>
          </cell>
          <cell r="C105" t="str">
            <v>桦晟/珠城//</v>
          </cell>
        </row>
        <row r="106">
          <cell r="A106" t="str">
            <v>0010405277</v>
          </cell>
          <cell r="B106" t="str">
            <v>线束-/</v>
          </cell>
          <cell r="C106" t="str">
            <v>桦晟</v>
          </cell>
        </row>
        <row r="107">
          <cell r="A107" t="str">
            <v>0010405750</v>
          </cell>
          <cell r="B107" t="str">
            <v>室外线束组-//</v>
          </cell>
          <cell r="C107" t="str">
            <v>桦晟</v>
          </cell>
        </row>
        <row r="108">
          <cell r="A108" t="str">
            <v>0010405772</v>
          </cell>
          <cell r="B108" t="str">
            <v>线束-金属5芯WiFi线束</v>
          </cell>
          <cell r="C108" t="str">
            <v>桦晟</v>
          </cell>
        </row>
        <row r="109">
          <cell r="A109" t="str">
            <v>0010405931</v>
          </cell>
          <cell r="B109" t="str">
            <v>线束-0.75mm2（24/0.20）/</v>
          </cell>
          <cell r="C109" t="str">
            <v>桦晟</v>
          </cell>
        </row>
        <row r="110">
          <cell r="A110" t="str">
            <v>0010405970</v>
          </cell>
          <cell r="B110" t="str">
            <v>线束-/线束</v>
          </cell>
          <cell r="C110" t="str">
            <v>桦晟</v>
          </cell>
        </row>
        <row r="111">
          <cell r="A111" t="str">
            <v>0260402780</v>
          </cell>
          <cell r="B111" t="str">
            <v>接插线-/G-WIR-9-M-850-P-1.3-N1-2P/N2-2P</v>
          </cell>
          <cell r="C111" t="str">
            <v>桦晟</v>
          </cell>
        </row>
        <row r="112">
          <cell r="A112" t="str">
            <v>0260402797</v>
          </cell>
          <cell r="B112" t="str">
            <v>接插线-/G-WIR-9-M-350-P-1.3-N1-2.5H/N2-2P</v>
          </cell>
          <cell r="C112" t="str">
            <v>桦晟</v>
          </cell>
        </row>
        <row r="113">
          <cell r="A113" t="str">
            <v>0010404387C</v>
          </cell>
          <cell r="B113" t="str">
            <v>线束-/一体板压机线束,线束成本有所下降</v>
          </cell>
          <cell r="C113" t="str">
            <v>桦晟/珠城//</v>
          </cell>
        </row>
        <row r="114">
          <cell r="A114" t="str">
            <v>0010405025A</v>
          </cell>
          <cell r="B114" t="str">
            <v>线束-/一体板压机线UL3173AWG14550mm*3无磁环分体-</v>
          </cell>
          <cell r="C114" t="str">
            <v>金龙/桦晟//</v>
          </cell>
        </row>
        <row r="115">
          <cell r="A115" t="str">
            <v>0010405026</v>
          </cell>
          <cell r="B115" t="str">
            <v>线束-/一体板电抗器线UL3173AWG16300mm*2无磁环-</v>
          </cell>
          <cell r="C115" t="str">
            <v>金龙/桦晟//</v>
          </cell>
        </row>
        <row r="116">
          <cell r="A116" t="str">
            <v>0010405026A</v>
          </cell>
          <cell r="B116" t="str">
            <v>线束-/一体板电抗器线UL3173 AWG14 300mm*2 无磁环</v>
          </cell>
          <cell r="C116" t="str">
            <v>金龙/桦晟//</v>
          </cell>
        </row>
        <row r="117">
          <cell r="A117" t="str">
            <v>0010405155A</v>
          </cell>
          <cell r="B117" t="str">
            <v>线束-/一体板电源通讯线UL1015 AWG14 200*3-300mm 无磁环</v>
          </cell>
          <cell r="C117" t="str">
            <v>金龙/桦晟//</v>
          </cell>
        </row>
        <row r="118">
          <cell r="A118" t="str">
            <v>0010402854</v>
          </cell>
          <cell r="B118" t="str">
            <v>接地线-金属</v>
          </cell>
          <cell r="C118" t="str">
            <v>金龙/悠进/桦晟/</v>
          </cell>
        </row>
        <row r="119">
          <cell r="A119" t="str">
            <v>0010400641</v>
          </cell>
          <cell r="B119" t="str">
            <v>室内线束-/</v>
          </cell>
          <cell r="C119" t="str">
            <v>金龙/相变/桦晟/得润</v>
          </cell>
        </row>
        <row r="120">
          <cell r="A120" t="str">
            <v>0010400641A</v>
          </cell>
          <cell r="B120" t="str">
            <v>线束-0.75mm2（24/0.20）白色0.75单线250直</v>
          </cell>
          <cell r="C120" t="str">
            <v>悠进/相变/金龙/桦晟</v>
          </cell>
        </row>
        <row r="121">
          <cell r="A121" t="str">
            <v>0010401858</v>
          </cell>
          <cell r="B121" t="str">
            <v>ROHS-室内端子排(JXW-5-B 600V 30A 4MM2)-/---</v>
          </cell>
          <cell r="C121" t="str">
            <v>凯都/华冠//</v>
          </cell>
        </row>
        <row r="122">
          <cell r="A122" t="str">
            <v>0010401858F</v>
          </cell>
          <cell r="B122" t="str">
            <v>端子排-/</v>
          </cell>
          <cell r="C122" t="str">
            <v>凯都/华冠//</v>
          </cell>
        </row>
        <row r="123">
          <cell r="A123" t="str">
            <v>0010402208</v>
          </cell>
          <cell r="B123" t="str">
            <v>端子排-/</v>
          </cell>
          <cell r="C123" t="str">
            <v>凯都/源峰/华冠/</v>
          </cell>
        </row>
        <row r="124">
          <cell r="A124" t="str">
            <v>0010403146</v>
          </cell>
          <cell r="B124" t="str">
            <v>端子排(JXW-2-K 600V 30A 4MM2)-/---</v>
          </cell>
          <cell r="C124" t="str">
            <v>凯都/华冠//</v>
          </cell>
        </row>
        <row r="125">
          <cell r="A125" t="str">
            <v>001A4000011</v>
          </cell>
          <cell r="B125" t="str">
            <v>ROHS-接线排(JXW-2-E/600V/30A/4MM2)-/</v>
          </cell>
          <cell r="C125" t="str">
            <v>凯都/华冠//</v>
          </cell>
        </row>
        <row r="126">
          <cell r="A126" t="str">
            <v>001A4000105</v>
          </cell>
          <cell r="B126" t="str">
            <v>ROHS-端子排(JXW-4P 300V 30A 4MM2)</v>
          </cell>
          <cell r="C126" t="str">
            <v>凯都/华冠//</v>
          </cell>
        </row>
        <row r="127">
          <cell r="A127" t="str">
            <v>001A4000110</v>
          </cell>
          <cell r="B127" t="str">
            <v>ROHS-电源接线排(JXW-3-R/600V/30A/5.5MM)</v>
          </cell>
          <cell r="C127" t="str">
            <v>凯都/华冠//</v>
          </cell>
        </row>
        <row r="128">
          <cell r="A128" t="str">
            <v>0010400649</v>
          </cell>
          <cell r="B128" t="str">
            <v>室外端子排-N/A</v>
          </cell>
          <cell r="C128" t="str">
            <v>华冠</v>
          </cell>
        </row>
        <row r="129">
          <cell r="A129" t="str">
            <v>0010400649E</v>
          </cell>
          <cell r="B129" t="str">
            <v>端子排-塑料/</v>
          </cell>
          <cell r="C129" t="str">
            <v>凯都/源峰/华冠//</v>
          </cell>
        </row>
        <row r="130">
          <cell r="A130" t="str">
            <v>0010402287B</v>
          </cell>
          <cell r="B130" t="str">
            <v>端子排-/</v>
          </cell>
          <cell r="C130" t="str">
            <v>华冠</v>
          </cell>
        </row>
        <row r="131">
          <cell r="A131" t="str">
            <v>0010403363</v>
          </cell>
          <cell r="B131" t="str">
            <v>端子排-/</v>
          </cell>
          <cell r="C131" t="str">
            <v>华冠</v>
          </cell>
        </row>
        <row r="132">
          <cell r="A132" t="str">
            <v>0010403816</v>
          </cell>
          <cell r="B132" t="str">
            <v>ROHS-室内端子排(6位KFR-60GW/V(ZXF))</v>
          </cell>
          <cell r="C132" t="str">
            <v>华冠</v>
          </cell>
        </row>
        <row r="133">
          <cell r="A133" t="str">
            <v>0010403816A</v>
          </cell>
          <cell r="B133" t="str">
            <v>端子排-/</v>
          </cell>
          <cell r="C133" t="str">
            <v>华冠</v>
          </cell>
        </row>
        <row r="134">
          <cell r="A134" t="str">
            <v>0010403863H</v>
          </cell>
          <cell r="B134" t="str">
            <v>端子排-//</v>
          </cell>
          <cell r="C134" t="str">
            <v>华冠</v>
          </cell>
        </row>
        <row r="135">
          <cell r="A135" t="str">
            <v>0010405898</v>
          </cell>
          <cell r="B135" t="str">
            <v>端子排-塑料四位端子排/</v>
          </cell>
          <cell r="C135" t="str">
            <v>华冠</v>
          </cell>
        </row>
        <row r="136">
          <cell r="A136" t="str">
            <v>001A4000082</v>
          </cell>
          <cell r="B136" t="str">
            <v>ROHS-端子排(JXW-3 600V 30A 4MM2)</v>
          </cell>
          <cell r="C136" t="str">
            <v>华冠</v>
          </cell>
        </row>
        <row r="137">
          <cell r="A137" t="str">
            <v>001A4000082A</v>
          </cell>
          <cell r="B137" t="str">
            <v>端子排-/三位端子排1N2L地</v>
          </cell>
          <cell r="C137" t="str">
            <v>华冠</v>
          </cell>
        </row>
        <row r="138">
          <cell r="A138" t="str">
            <v>001A4000082D</v>
          </cell>
          <cell r="B138" t="str">
            <v>端子排-/三位端子排1N2L地-</v>
          </cell>
          <cell r="C138" t="str">
            <v>华冠</v>
          </cell>
        </row>
        <row r="139">
          <cell r="A139" t="str">
            <v>001A4000107A</v>
          </cell>
          <cell r="B139" t="str">
            <v>端子排-/</v>
          </cell>
          <cell r="C139" t="str">
            <v>华冠</v>
          </cell>
        </row>
        <row r="140">
          <cell r="A140" t="str">
            <v>001A4000110B</v>
          </cell>
          <cell r="B140" t="str">
            <v>端子排-/</v>
          </cell>
          <cell r="C140" t="str">
            <v>华冠</v>
          </cell>
        </row>
        <row r="141">
          <cell r="A141" t="str">
            <v>0010402051A</v>
          </cell>
          <cell r="B141" t="str">
            <v>线束-/</v>
          </cell>
          <cell r="C141" t="str">
            <v>得润</v>
          </cell>
        </row>
        <row r="142">
          <cell r="A142" t="str">
            <v>0010402057D</v>
          </cell>
          <cell r="B142" t="str">
            <v>线束-//</v>
          </cell>
          <cell r="C142" t="str">
            <v>桦晟/得润//</v>
          </cell>
        </row>
        <row r="143">
          <cell r="A143" t="str">
            <v>0010402992B</v>
          </cell>
          <cell r="B143" t="str">
            <v>线束-金属长度400mm,全包USB头</v>
          </cell>
          <cell r="C143" t="str">
            <v>得润</v>
          </cell>
        </row>
        <row r="144">
          <cell r="A144" t="str">
            <v>0010405121</v>
          </cell>
          <cell r="B144" t="str">
            <v>线束-0.75mm2（24/0.20）---</v>
          </cell>
          <cell r="C144" t="str">
            <v>得润/相变//</v>
          </cell>
        </row>
        <row r="145">
          <cell r="A145" t="str">
            <v>0010405122</v>
          </cell>
          <cell r="B145" t="str">
            <v>线束-0.5mm2---</v>
          </cell>
          <cell r="C145" t="str">
            <v>得润</v>
          </cell>
        </row>
        <row r="146">
          <cell r="A146" t="str">
            <v>0010405280</v>
          </cell>
          <cell r="B146" t="str">
            <v>线束-0.5mm2</v>
          </cell>
          <cell r="C146" t="str">
            <v>得润</v>
          </cell>
        </row>
        <row r="147">
          <cell r="A147" t="str">
            <v>0260402831</v>
          </cell>
          <cell r="B147" t="str">
            <v>接插线-/G-WIR-8-M-800-P-1.3-N1-2P/N2-2P-DLX</v>
          </cell>
          <cell r="C147" t="str">
            <v>桦晟/得润//</v>
          </cell>
        </row>
        <row r="148">
          <cell r="A148" t="str">
            <v>0260403128</v>
          </cell>
          <cell r="B148" t="str">
            <v>接插线-/G-WIR-2-DD-350-S-3.05-N1/N2-T125-电抗</v>
          </cell>
          <cell r="C148" t="str">
            <v>珠城</v>
          </cell>
        </row>
        <row r="149">
          <cell r="A149" t="str">
            <v>0260403171</v>
          </cell>
          <cell r="B149" t="str">
            <v>接插线-/-G-WIR-2-HW-150-S-2.75-N1-4.5W/N2-7</v>
          </cell>
          <cell r="C149" t="str">
            <v>得润</v>
          </cell>
        </row>
        <row r="150">
          <cell r="A150" t="str">
            <v>0260403172</v>
          </cell>
          <cell r="B150" t="str">
            <v>接插线-/G-WIR-2-HW-150-S-2.75-N1-4.5W/N2</v>
          </cell>
          <cell r="C150" t="str">
            <v>得润/桦晟//</v>
          </cell>
        </row>
        <row r="151">
          <cell r="A151" t="str">
            <v>0011800063M</v>
          </cell>
          <cell r="B151" t="str">
            <v>室内电脑板-CEM-1</v>
          </cell>
          <cell r="C151" t="str">
            <v>鼎新</v>
          </cell>
        </row>
        <row r="152">
          <cell r="A152" t="str">
            <v>0011800369A</v>
          </cell>
          <cell r="B152" t="str">
            <v>室内电脑板-FR-4</v>
          </cell>
          <cell r="C152" t="str">
            <v>鼎新</v>
          </cell>
        </row>
        <row r="153">
          <cell r="A153" t="str">
            <v>0064000418</v>
          </cell>
          <cell r="B153" t="str">
            <v>磁敏开关-N/A</v>
          </cell>
          <cell r="C153" t="str">
            <v>部品</v>
          </cell>
        </row>
        <row r="154">
          <cell r="A154" t="str">
            <v>0010400841</v>
          </cell>
          <cell r="B154" t="str">
            <v>无插电源线</v>
          </cell>
          <cell r="C154" t="str">
            <v>悠进</v>
          </cell>
        </row>
        <row r="155">
          <cell r="A155" t="str">
            <v>0010400924C</v>
          </cell>
          <cell r="B155" t="str">
            <v>线束-/</v>
          </cell>
          <cell r="C155" t="str">
            <v>悠进</v>
          </cell>
        </row>
        <row r="156">
          <cell r="A156" t="str">
            <v>0010401104B</v>
          </cell>
          <cell r="B156" t="str">
            <v>室外线束-/</v>
          </cell>
          <cell r="C156" t="str">
            <v>悠进</v>
          </cell>
        </row>
        <row r="157">
          <cell r="A157" t="str">
            <v>0010401972</v>
          </cell>
          <cell r="B157" t="str">
            <v>欧式电源线(VDEH05VV-F3*1.5*2500)-1mm2</v>
          </cell>
          <cell r="C157" t="str">
            <v>悠进</v>
          </cell>
        </row>
        <row r="158">
          <cell r="A158" t="str">
            <v>0010402391</v>
          </cell>
          <cell r="B158" t="str">
            <v>线束-/</v>
          </cell>
          <cell r="C158" t="str">
            <v>悠进</v>
          </cell>
        </row>
        <row r="159">
          <cell r="A159" t="str">
            <v>0010403358F</v>
          </cell>
          <cell r="B159" t="str">
            <v>线束-/</v>
          </cell>
          <cell r="C159" t="str">
            <v>泓淋</v>
          </cell>
        </row>
        <row r="160">
          <cell r="A160" t="str">
            <v>0010404653A</v>
          </cell>
          <cell r="B160" t="str">
            <v>线束-/UL317314#压机线--</v>
          </cell>
          <cell r="C160" t="str">
            <v>桦晟/珠城//</v>
          </cell>
        </row>
        <row r="161">
          <cell r="A161" t="str">
            <v>0010405092A</v>
          </cell>
          <cell r="B161" t="str">
            <v>室外线束组-/AWG14AWG14带磁环-</v>
          </cell>
          <cell r="C161" t="str">
            <v>悠进</v>
          </cell>
        </row>
        <row r="162">
          <cell r="A162" t="str">
            <v>0010405154</v>
          </cell>
          <cell r="B162" t="str">
            <v>线束-0.5mm2</v>
          </cell>
          <cell r="C162" t="str">
            <v>悠进</v>
          </cell>
        </row>
        <row r="163">
          <cell r="A163" t="str">
            <v>0150400257</v>
          </cell>
          <cell r="B163" t="str">
            <v>线束</v>
          </cell>
          <cell r="C163" t="str">
            <v>悠进</v>
          </cell>
        </row>
        <row r="164">
          <cell r="A164" t="str">
            <v>0260402516</v>
          </cell>
          <cell r="B164" t="str">
            <v>接插线-/R-WIR-4-HYRZ-300-S-1.4-N1/N2-JST</v>
          </cell>
          <cell r="C164" t="str">
            <v>桦晟/悠进/得润/</v>
          </cell>
        </row>
        <row r="165">
          <cell r="A165" t="str">
            <v>0010402990C</v>
          </cell>
          <cell r="B165" t="str">
            <v>连机线-/</v>
          </cell>
          <cell r="C165" t="str">
            <v>日丰/华声//</v>
          </cell>
        </row>
        <row r="166">
          <cell r="A166" t="str">
            <v>0011800933S</v>
          </cell>
          <cell r="B166" t="str">
            <v>变频外电脑板-FR-4215mm*157mm</v>
          </cell>
          <cell r="C166" t="str">
            <v>和而泰</v>
          </cell>
        </row>
        <row r="167">
          <cell r="A167" t="str">
            <v>0011800933Y</v>
          </cell>
          <cell r="B167" t="str">
            <v>变频外电脑板-FR-4215mm*157mm</v>
          </cell>
          <cell r="C167" t="str">
            <v>和而泰</v>
          </cell>
        </row>
        <row r="168">
          <cell r="A168" t="str">
            <v>0011800977C</v>
          </cell>
          <cell r="B168" t="str">
            <v>室内电脑板-CEM-1/</v>
          </cell>
          <cell r="C168" t="str">
            <v>和而泰</v>
          </cell>
        </row>
        <row r="169">
          <cell r="A169" t="str">
            <v>0011801150G</v>
          </cell>
          <cell r="B169" t="str">
            <v>变频外电脑板-FR-4230mm*157mm</v>
          </cell>
          <cell r="C169" t="str">
            <v>和而泰</v>
          </cell>
        </row>
        <row r="170">
          <cell r="A170" t="str">
            <v>0011800420</v>
          </cell>
          <cell r="B170" t="str">
            <v>室内电脑板-CEM-1</v>
          </cell>
          <cell r="C170" t="str">
            <v>航嘉</v>
          </cell>
        </row>
        <row r="171">
          <cell r="A171" t="str">
            <v>0010400189</v>
          </cell>
          <cell r="B171" t="str">
            <v>有插电源线-塑料</v>
          </cell>
          <cell r="C171" t="str">
            <v>泓淋</v>
          </cell>
        </row>
        <row r="172">
          <cell r="A172" t="str">
            <v>0010400189A</v>
          </cell>
          <cell r="B172" t="str">
            <v>普通电源线-/</v>
          </cell>
          <cell r="C172" t="str">
            <v>泓淋</v>
          </cell>
        </row>
        <row r="173">
          <cell r="A173" t="str">
            <v>0010400841A</v>
          </cell>
          <cell r="B173" t="str">
            <v>无插电源线-1mm2</v>
          </cell>
          <cell r="C173" t="str">
            <v>泓淋</v>
          </cell>
        </row>
        <row r="174">
          <cell r="A174" t="str">
            <v>0010401972C</v>
          </cell>
          <cell r="B174" t="str">
            <v>欧式电源线-1mm2</v>
          </cell>
          <cell r="C174" t="str">
            <v>泓淋</v>
          </cell>
        </row>
        <row r="175">
          <cell r="A175" t="str">
            <v>0010403358E</v>
          </cell>
          <cell r="B175" t="str">
            <v>ROHS-电源线(HSU-18RB03/R2)-N/A</v>
          </cell>
          <cell r="C175" t="str">
            <v>泓淋/华声//</v>
          </cell>
        </row>
        <row r="176">
          <cell r="A176" t="str">
            <v>0010405105E</v>
          </cell>
          <cell r="B176" t="str">
            <v>内销电源线-/</v>
          </cell>
          <cell r="C176" t="str">
            <v>桦晟</v>
          </cell>
        </row>
        <row r="177">
          <cell r="A177" t="str">
            <v>001A4400389E</v>
          </cell>
          <cell r="B177" t="str">
            <v>ROHS-线束组(HSU-18RC03/R2)</v>
          </cell>
          <cell r="C177" t="str">
            <v>桦晟/珠城//</v>
          </cell>
        </row>
        <row r="178">
          <cell r="A178" t="str">
            <v>0260403126</v>
          </cell>
          <cell r="B178" t="str">
            <v>接插线-/G-WIR-3-BWR-150-S-3.05-N1/N2-KET压机线</v>
          </cell>
          <cell r="C178" t="str">
            <v>相变</v>
          </cell>
        </row>
        <row r="179">
          <cell r="A179" t="str">
            <v>0260403147</v>
          </cell>
          <cell r="B179" t="str">
            <v>接插线-/G-WIR-2-DD-350-S-3.45-N1/N2-T125-电抗</v>
          </cell>
          <cell r="C179" t="str">
            <v>相变</v>
          </cell>
        </row>
        <row r="180">
          <cell r="A180" t="str">
            <v>0010404076</v>
          </cell>
          <cell r="B180" t="str">
            <v>ROHS-室外线束(KFRD-72LW/UA(F))</v>
          </cell>
          <cell r="C180" t="str">
            <v>悠进/得润//</v>
          </cell>
        </row>
        <row r="181">
          <cell r="A181" t="str">
            <v>0010400924</v>
          </cell>
          <cell r="B181" t="str">
            <v>室外线束-无</v>
          </cell>
          <cell r="C181" t="str">
            <v>悠进/得润/金龙/</v>
          </cell>
        </row>
        <row r="182">
          <cell r="A182" t="str">
            <v>0010401028L</v>
          </cell>
          <cell r="B182" t="str">
            <v>室内线束</v>
          </cell>
          <cell r="C182" t="str">
            <v>悠进/桦晟/得润/</v>
          </cell>
        </row>
        <row r="183">
          <cell r="A183" t="str">
            <v>0010403747A</v>
          </cell>
          <cell r="B183" t="str">
            <v>线束-通用</v>
          </cell>
          <cell r="C183" t="str">
            <v>悠进/桦晟/金龙/得润</v>
          </cell>
        </row>
        <row r="184">
          <cell r="A184" t="str">
            <v>0010402914D</v>
          </cell>
          <cell r="B184" t="str">
            <v>无插电源线-/</v>
          </cell>
          <cell r="C184" t="str">
            <v>泓淋/华声//</v>
          </cell>
        </row>
        <row r="185">
          <cell r="A185" t="str">
            <v>0010402208B</v>
          </cell>
          <cell r="B185" t="str">
            <v>端子排-/---</v>
          </cell>
          <cell r="C185" t="str">
            <v>凯都/源峰/华冠/</v>
          </cell>
        </row>
        <row r="186">
          <cell r="A186" t="str">
            <v>0010401715FK</v>
          </cell>
          <cell r="B186" t="str">
            <v>遥控器-/</v>
          </cell>
          <cell r="C186" t="str">
            <v>长虹/合晶//</v>
          </cell>
        </row>
        <row r="187">
          <cell r="A187" t="str">
            <v>0010402017W</v>
          </cell>
          <cell r="B187" t="str">
            <v>连机线-/</v>
          </cell>
          <cell r="C187" t="str">
            <v>珠城/桦晟//</v>
          </cell>
        </row>
        <row r="188">
          <cell r="A188" t="str">
            <v>0010405752</v>
          </cell>
          <cell r="B188" t="str">
            <v>线束-金属28AWG1000mm</v>
          </cell>
          <cell r="C188" t="str">
            <v>珠城</v>
          </cell>
        </row>
        <row r="189">
          <cell r="A189" t="str">
            <v>0010400649C</v>
          </cell>
          <cell r="B189" t="str">
            <v>端子排-塑料</v>
          </cell>
          <cell r="C189" t="str">
            <v>宏联</v>
          </cell>
        </row>
        <row r="190">
          <cell r="A190" t="str">
            <v>0011800328FA</v>
          </cell>
          <cell r="B190" t="str">
            <v>室外模块驱动板-FR-4---</v>
          </cell>
          <cell r="C190" t="str">
            <v>航嘉/领智//</v>
          </cell>
        </row>
        <row r="191">
          <cell r="A191" t="str">
            <v>0011800970C</v>
          </cell>
          <cell r="B191" t="str">
            <v>变频外电脑板-通用23T直流变频</v>
          </cell>
          <cell r="C191" t="str">
            <v>领智/中家智康//</v>
          </cell>
        </row>
        <row r="192">
          <cell r="A192" t="str">
            <v>0011800052</v>
          </cell>
          <cell r="B192" t="str">
            <v>室外电脑板-N/A</v>
          </cell>
          <cell r="C192" t="str">
            <v>领智</v>
          </cell>
        </row>
        <row r="193">
          <cell r="A193" t="str">
            <v>0011800184A</v>
          </cell>
          <cell r="B193" t="str">
            <v>显示面板</v>
          </cell>
          <cell r="C193" t="str">
            <v>领智</v>
          </cell>
        </row>
        <row r="194">
          <cell r="A194" t="str">
            <v>0011800209T</v>
          </cell>
          <cell r="B194" t="str">
            <v>室外电脑板-CEM-3</v>
          </cell>
          <cell r="C194" t="str">
            <v>领智</v>
          </cell>
        </row>
        <row r="195">
          <cell r="A195" t="str">
            <v>0011800258G</v>
          </cell>
          <cell r="B195" t="str">
            <v>室外模块驱动板-FR-4</v>
          </cell>
          <cell r="C195" t="str">
            <v>领智</v>
          </cell>
        </row>
        <row r="196">
          <cell r="A196" t="str">
            <v>0011800258H</v>
          </cell>
          <cell r="B196" t="str">
            <v>室外模块驱动板-FR-4</v>
          </cell>
          <cell r="C196" t="str">
            <v>领智</v>
          </cell>
        </row>
        <row r="197">
          <cell r="A197" t="str">
            <v>0011800281</v>
          </cell>
          <cell r="B197" t="str">
            <v>室内电脑板-CEM-1</v>
          </cell>
          <cell r="C197" t="str">
            <v>领智</v>
          </cell>
        </row>
        <row r="198">
          <cell r="A198" t="str">
            <v>0011800281C</v>
          </cell>
          <cell r="B198" t="str">
            <v>室内电脑板-/</v>
          </cell>
          <cell r="C198" t="str">
            <v>领智</v>
          </cell>
        </row>
        <row r="199">
          <cell r="A199" t="str">
            <v>0011800281CA</v>
          </cell>
          <cell r="B199" t="str">
            <v>室内电脑板-CEM-1</v>
          </cell>
          <cell r="C199" t="str">
            <v>领智</v>
          </cell>
        </row>
        <row r="200">
          <cell r="A200" t="str">
            <v>0011800281F</v>
          </cell>
          <cell r="B200" t="str">
            <v>室内电脑板-/自由组合内机板100N内板4个上</v>
          </cell>
          <cell r="C200" t="str">
            <v>领智</v>
          </cell>
        </row>
        <row r="201">
          <cell r="A201" t="str">
            <v>0011800281FA</v>
          </cell>
          <cell r="B201" t="str">
            <v>室内电脑板-CEM-1</v>
          </cell>
          <cell r="C201" t="str">
            <v>领智</v>
          </cell>
        </row>
        <row r="202">
          <cell r="A202" t="str">
            <v>0011800317B</v>
          </cell>
          <cell r="B202" t="str">
            <v>显示面板-CEM-1</v>
          </cell>
          <cell r="C202" t="str">
            <v>领智</v>
          </cell>
        </row>
        <row r="203">
          <cell r="A203" t="str">
            <v>0011800317D</v>
          </cell>
          <cell r="B203" t="str">
            <v>显示面板-/</v>
          </cell>
          <cell r="C203" t="str">
            <v>领智</v>
          </cell>
        </row>
        <row r="204">
          <cell r="A204" t="str">
            <v>0011800317E</v>
          </cell>
          <cell r="B204" t="str">
            <v>显示面板-FR-4</v>
          </cell>
          <cell r="C204" t="str">
            <v>领智</v>
          </cell>
        </row>
        <row r="205">
          <cell r="A205" t="str">
            <v>0011800317F</v>
          </cell>
          <cell r="B205" t="str">
            <v>显示面板-/</v>
          </cell>
          <cell r="C205" t="str">
            <v>领智</v>
          </cell>
        </row>
        <row r="206">
          <cell r="A206" t="str">
            <v>0011800317S</v>
          </cell>
          <cell r="B206" t="str">
            <v>显示面板-FR-4---</v>
          </cell>
          <cell r="C206" t="str">
            <v>领智</v>
          </cell>
        </row>
        <row r="207">
          <cell r="A207" t="str">
            <v>0011800323A</v>
          </cell>
          <cell r="B207" t="str">
            <v>室内电脑板-CEM-1在0011800304基础上增加左</v>
          </cell>
          <cell r="C207" t="str">
            <v>领智</v>
          </cell>
        </row>
        <row r="208">
          <cell r="A208" t="str">
            <v>0011800323AH</v>
          </cell>
          <cell r="B208" t="str">
            <v>室内电脑板-CEM-1---</v>
          </cell>
          <cell r="C208" t="str">
            <v>领智</v>
          </cell>
        </row>
        <row r="209">
          <cell r="A209" t="str">
            <v>0011800323C</v>
          </cell>
          <cell r="B209" t="str">
            <v>室内电脑板-CEM-3在0011800323A基础上改为</v>
          </cell>
          <cell r="C209" t="str">
            <v>领智</v>
          </cell>
        </row>
        <row r="210">
          <cell r="A210" t="str">
            <v>0011800323G</v>
          </cell>
          <cell r="B210" t="str">
            <v>室内电脑板-CEM-1直流风机定频在323C基础上</v>
          </cell>
          <cell r="C210" t="str">
            <v>领智</v>
          </cell>
        </row>
        <row r="211">
          <cell r="A211" t="str">
            <v>0011800323H</v>
          </cell>
          <cell r="B211" t="str">
            <v>室内电脑板-CEM-1</v>
          </cell>
          <cell r="C211" t="str">
            <v>领智</v>
          </cell>
        </row>
        <row r="212">
          <cell r="A212" t="str">
            <v>0011800323J</v>
          </cell>
          <cell r="B212" t="str">
            <v>室内电脑板-CEM-1</v>
          </cell>
          <cell r="C212" t="str">
            <v>领智</v>
          </cell>
        </row>
        <row r="213">
          <cell r="A213" t="str">
            <v>0011800323L</v>
          </cell>
          <cell r="B213" t="str">
            <v>室内电脑板-CEM-3</v>
          </cell>
          <cell r="C213" t="str">
            <v>领智</v>
          </cell>
        </row>
        <row r="214">
          <cell r="A214" t="str">
            <v>0011800324H</v>
          </cell>
          <cell r="B214" t="str">
            <v>显示面板-CEM-1</v>
          </cell>
          <cell r="C214" t="str">
            <v>恒青</v>
          </cell>
        </row>
        <row r="215">
          <cell r="A215" t="str">
            <v>0011800324N</v>
          </cell>
          <cell r="B215" t="str">
            <v>显示面板-CEM-1</v>
          </cell>
          <cell r="C215" t="str">
            <v>和而泰/领智//</v>
          </cell>
        </row>
        <row r="216">
          <cell r="A216" t="str">
            <v>0011800324T</v>
          </cell>
          <cell r="B216" t="str">
            <v>显示面板-CEM-1/--</v>
          </cell>
          <cell r="C216" t="str">
            <v>恒青/和而泰//</v>
          </cell>
        </row>
        <row r="217">
          <cell r="A217" t="str">
            <v>0011800325D</v>
          </cell>
          <cell r="B217" t="str">
            <v>显示面板-CEM-1</v>
          </cell>
          <cell r="C217" t="str">
            <v>领智</v>
          </cell>
        </row>
        <row r="218">
          <cell r="A218" t="str">
            <v>0011800325L</v>
          </cell>
          <cell r="B218" t="str">
            <v>显示面板-CEM-1</v>
          </cell>
          <cell r="C218" t="str">
            <v>领智</v>
          </cell>
        </row>
        <row r="219">
          <cell r="A219" t="str">
            <v>0011800328AM</v>
          </cell>
          <cell r="B219" t="str">
            <v>室外模块驱动板-FR-4</v>
          </cell>
          <cell r="C219" t="str">
            <v>领智</v>
          </cell>
        </row>
        <row r="220">
          <cell r="A220" t="str">
            <v>0011800328AN</v>
          </cell>
          <cell r="B220" t="str">
            <v>室外模块驱动板-FR-4</v>
          </cell>
          <cell r="C220" t="str">
            <v>领智</v>
          </cell>
        </row>
        <row r="221">
          <cell r="A221" t="str">
            <v>0011800328BH</v>
          </cell>
          <cell r="B221" t="str">
            <v>室外模块驱动板-FR-4</v>
          </cell>
          <cell r="C221" t="str">
            <v>领智</v>
          </cell>
        </row>
        <row r="222">
          <cell r="A222" t="str">
            <v>0011800328E</v>
          </cell>
          <cell r="B222" t="str">
            <v>室外模块驱动板-FR-4</v>
          </cell>
          <cell r="C222" t="str">
            <v>领智</v>
          </cell>
        </row>
        <row r="223">
          <cell r="A223" t="str">
            <v>0011800328F</v>
          </cell>
          <cell r="B223" t="str">
            <v>室外模块驱动板-FR-4</v>
          </cell>
          <cell r="C223" t="str">
            <v>领智</v>
          </cell>
        </row>
        <row r="224">
          <cell r="A224" t="str">
            <v>0011800328YA</v>
          </cell>
          <cell r="B224" t="str">
            <v>室外模块驱动板-FR-4---</v>
          </cell>
          <cell r="C224" t="str">
            <v>领智</v>
          </cell>
        </row>
        <row r="225">
          <cell r="A225" t="str">
            <v>0011800366AP</v>
          </cell>
          <cell r="B225" t="str">
            <v>一体机电脑板-FR-4</v>
          </cell>
          <cell r="C225" t="str">
            <v>领智</v>
          </cell>
        </row>
        <row r="226">
          <cell r="A226" t="str">
            <v>0011800366E</v>
          </cell>
          <cell r="B226" t="str">
            <v>室外模块驱动板-/</v>
          </cell>
          <cell r="C226" t="str">
            <v>领智</v>
          </cell>
        </row>
        <row r="227">
          <cell r="A227" t="str">
            <v>0011800376</v>
          </cell>
          <cell r="B227" t="str">
            <v>室内电脑板-CEM-1</v>
          </cell>
          <cell r="C227" t="str">
            <v>领智</v>
          </cell>
        </row>
        <row r="228">
          <cell r="A228" t="str">
            <v>0011800376AB</v>
          </cell>
          <cell r="B228" t="str">
            <v>室内电脑板-CEM-1</v>
          </cell>
          <cell r="C228" t="str">
            <v>领智/领智//</v>
          </cell>
        </row>
        <row r="229">
          <cell r="A229" t="str">
            <v>0011800376AF</v>
          </cell>
          <cell r="B229" t="str">
            <v>室内电脑板-CEM-1CEM-1&lt;CEM-1&gt;</v>
          </cell>
          <cell r="C229" t="str">
            <v>领智</v>
          </cell>
        </row>
        <row r="230">
          <cell r="A230" t="str">
            <v>0011800377</v>
          </cell>
          <cell r="B230" t="str">
            <v>室外模块驱动板-FR-4</v>
          </cell>
          <cell r="C230" t="str">
            <v>领智</v>
          </cell>
        </row>
        <row r="231">
          <cell r="A231" t="str">
            <v>0011800377A</v>
          </cell>
          <cell r="B231" t="str">
            <v>室外模块驱动板-FR-4</v>
          </cell>
          <cell r="C231" t="str">
            <v>领智</v>
          </cell>
        </row>
        <row r="232">
          <cell r="A232" t="str">
            <v>0011800387</v>
          </cell>
          <cell r="B232" t="str">
            <v>显示面板-FR-4</v>
          </cell>
          <cell r="C232" t="str">
            <v>恒青/领智//</v>
          </cell>
        </row>
        <row r="233">
          <cell r="A233" t="str">
            <v>0011800387A</v>
          </cell>
          <cell r="B233" t="str">
            <v>显示面板-FR-4</v>
          </cell>
          <cell r="C233" t="str">
            <v>和而泰/恒青//</v>
          </cell>
        </row>
        <row r="234">
          <cell r="A234" t="str">
            <v>0011800387D</v>
          </cell>
          <cell r="B234" t="str">
            <v>显示面板-FR-4</v>
          </cell>
          <cell r="C234" t="str">
            <v>恒青/和而泰/领智/</v>
          </cell>
        </row>
        <row r="235">
          <cell r="A235" t="str">
            <v>0011800387H</v>
          </cell>
          <cell r="B235" t="str">
            <v>显示面板-FR-4</v>
          </cell>
          <cell r="C235" t="str">
            <v>和而泰/恒青//</v>
          </cell>
        </row>
        <row r="236">
          <cell r="A236" t="str">
            <v>0011800410AJ</v>
          </cell>
          <cell r="B236" t="str">
            <v>室外电脑板-CEM-1</v>
          </cell>
          <cell r="C236" t="str">
            <v>领智</v>
          </cell>
        </row>
        <row r="237">
          <cell r="A237" t="str">
            <v>0011800410AK</v>
          </cell>
          <cell r="B237" t="str">
            <v>室外电脑板-CEM-1</v>
          </cell>
          <cell r="C237" t="str">
            <v>领智</v>
          </cell>
        </row>
        <row r="238">
          <cell r="A238" t="str">
            <v>0011800410AL</v>
          </cell>
          <cell r="B238" t="str">
            <v>室外电脑板-CEM-1</v>
          </cell>
          <cell r="C238" t="str">
            <v>领智</v>
          </cell>
        </row>
        <row r="239">
          <cell r="A239" t="str">
            <v>0011800410AR</v>
          </cell>
          <cell r="B239" t="str">
            <v>室外电脑板-CEM-3---</v>
          </cell>
          <cell r="C239" t="str">
            <v>领智</v>
          </cell>
        </row>
        <row r="240">
          <cell r="A240" t="str">
            <v>0011800410AS</v>
          </cell>
          <cell r="B240" t="str">
            <v>室外电脑板-CEM-3---</v>
          </cell>
          <cell r="C240" t="str">
            <v>领智</v>
          </cell>
        </row>
        <row r="241">
          <cell r="A241" t="str">
            <v>0011800410G</v>
          </cell>
          <cell r="B241" t="str">
            <v>室外电脑板-CEM-1</v>
          </cell>
          <cell r="C241" t="str">
            <v>领智</v>
          </cell>
        </row>
        <row r="242">
          <cell r="A242" t="str">
            <v>0011800410P</v>
          </cell>
          <cell r="B242" t="str">
            <v>室外电脑板-/低待机新2P低待机新2P</v>
          </cell>
          <cell r="C242" t="str">
            <v>领智</v>
          </cell>
        </row>
        <row r="243">
          <cell r="A243" t="str">
            <v>0011800417D</v>
          </cell>
          <cell r="B243" t="str">
            <v>室内电脑板-/09-12美国低待机09-12N系列美�</v>
          </cell>
          <cell r="C243" t="str">
            <v>领智</v>
          </cell>
        </row>
        <row r="244">
          <cell r="A244" t="str">
            <v>0011800417E</v>
          </cell>
          <cell r="B244" t="str">
            <v>室内电脑板-/澳洲T低待机澳洲T低待机-</v>
          </cell>
          <cell r="C244" t="str">
            <v>领智</v>
          </cell>
        </row>
        <row r="245">
          <cell r="A245" t="str">
            <v>0011800421</v>
          </cell>
          <cell r="B245" t="str">
            <v>室内电脑板-CEM-1</v>
          </cell>
          <cell r="C245" t="str">
            <v>领智</v>
          </cell>
        </row>
        <row r="246">
          <cell r="A246" t="str">
            <v>0011800421A</v>
          </cell>
          <cell r="B246" t="str">
            <v>室内电脑板-CEM-1</v>
          </cell>
          <cell r="C246" t="str">
            <v>领智/领智//</v>
          </cell>
        </row>
        <row r="247">
          <cell r="A247" t="str">
            <v>0011800491B</v>
          </cell>
          <cell r="B247" t="str">
            <v>室内电脑板-CEM-1</v>
          </cell>
          <cell r="C247" t="str">
            <v>领智</v>
          </cell>
        </row>
        <row r="248">
          <cell r="A248" t="str">
            <v>0011800491C</v>
          </cell>
          <cell r="B248" t="str">
            <v>室内电脑板-CEM-1</v>
          </cell>
          <cell r="C248" t="str">
            <v>领智</v>
          </cell>
        </row>
        <row r="249">
          <cell r="A249" t="str">
            <v>0011800491F</v>
          </cell>
          <cell r="B249" t="str">
            <v>室内电脑板-CEM-1</v>
          </cell>
          <cell r="C249" t="str">
            <v>领智</v>
          </cell>
        </row>
        <row r="250">
          <cell r="A250" t="str">
            <v>0011800491P</v>
          </cell>
          <cell r="B250" t="str">
            <v>室内电脑板-CEM-1</v>
          </cell>
          <cell r="C250" t="str">
            <v>领智</v>
          </cell>
        </row>
        <row r="251">
          <cell r="A251" t="str">
            <v>0011800498</v>
          </cell>
          <cell r="B251" t="str">
            <v>显示面板-CEM-1</v>
          </cell>
          <cell r="C251" t="str">
            <v>领智</v>
          </cell>
        </row>
        <row r="252">
          <cell r="A252" t="str">
            <v>0011800498A</v>
          </cell>
          <cell r="B252" t="str">
            <v>显示面板-CEM-1</v>
          </cell>
          <cell r="C252" t="str">
            <v>领智</v>
          </cell>
        </row>
        <row r="253">
          <cell r="A253" t="str">
            <v>0011800510CA</v>
          </cell>
          <cell r="B253" t="str">
            <v>室外电脑板-CEM-3---</v>
          </cell>
          <cell r="C253" t="str">
            <v>领智</v>
          </cell>
        </row>
        <row r="254">
          <cell r="A254" t="str">
            <v>0011800537</v>
          </cell>
          <cell r="B254" t="str">
            <v>室内电脑板-CEM-1</v>
          </cell>
          <cell r="C254" t="str">
            <v>和而泰/领智//</v>
          </cell>
        </row>
        <row r="255">
          <cell r="A255" t="str">
            <v>0011800576</v>
          </cell>
          <cell r="B255" t="str">
            <v>室内电脑板-/</v>
          </cell>
          <cell r="C255" t="str">
            <v>领智</v>
          </cell>
        </row>
        <row r="256">
          <cell r="A256" t="str">
            <v>0011800577</v>
          </cell>
          <cell r="B256" t="str">
            <v>室内电脑板-/</v>
          </cell>
          <cell r="C256" t="str">
            <v>领智</v>
          </cell>
        </row>
        <row r="257">
          <cell r="A257" t="str">
            <v>0011800589C</v>
          </cell>
          <cell r="B257" t="str">
            <v>室外模块驱动板-/</v>
          </cell>
          <cell r="C257" t="str">
            <v>领智</v>
          </cell>
        </row>
        <row r="258">
          <cell r="A258" t="str">
            <v>0011800590</v>
          </cell>
          <cell r="B258" t="str">
            <v>室外电脑板-/</v>
          </cell>
          <cell r="C258" t="str">
            <v>领智</v>
          </cell>
        </row>
        <row r="259">
          <cell r="A259" t="str">
            <v>0011800590A</v>
          </cell>
          <cell r="B259" t="str">
            <v>室外电脑板-/</v>
          </cell>
          <cell r="C259" t="str">
            <v>领智</v>
          </cell>
        </row>
        <row r="260">
          <cell r="A260" t="str">
            <v>0011800593</v>
          </cell>
          <cell r="B260" t="str">
            <v>室内电脑板-CEM-3F系列新开海外项目室内电�</v>
          </cell>
          <cell r="C260" t="str">
            <v>领智</v>
          </cell>
        </row>
        <row r="261">
          <cell r="A261" t="str">
            <v>0011800594</v>
          </cell>
          <cell r="B261" t="str">
            <v>室内电脑板-FR-4165*136</v>
          </cell>
          <cell r="C261" t="str">
            <v>领智</v>
          </cell>
        </row>
        <row r="262">
          <cell r="A262" t="str">
            <v>0011800612D</v>
          </cell>
          <cell r="B262" t="str">
            <v>室内电脑板-CEM-1</v>
          </cell>
          <cell r="C262" t="str">
            <v>和而泰/领智//</v>
          </cell>
        </row>
        <row r="263">
          <cell r="A263" t="str">
            <v>0011800612L</v>
          </cell>
          <cell r="B263" t="str">
            <v>室内电脑板-CEM-1\</v>
          </cell>
          <cell r="C263" t="str">
            <v>和而泰</v>
          </cell>
        </row>
        <row r="264">
          <cell r="A264" t="str">
            <v>0011800612R</v>
          </cell>
          <cell r="B264" t="str">
            <v>室内电脑板-/---</v>
          </cell>
          <cell r="C264" t="str">
            <v>和而泰</v>
          </cell>
        </row>
        <row r="265">
          <cell r="A265" t="str">
            <v>0011800612W</v>
          </cell>
          <cell r="B265" t="str">
            <v>电脑板-CEM-1\--</v>
          </cell>
          <cell r="C265" t="str">
            <v>和而泰/领智//</v>
          </cell>
        </row>
        <row r="266">
          <cell r="A266" t="str">
            <v>0011800612X</v>
          </cell>
          <cell r="B266" t="str">
            <v>室内电脑板-CEM-1\\</v>
          </cell>
          <cell r="C266" t="str">
            <v>和而泰</v>
          </cell>
        </row>
        <row r="267">
          <cell r="A267" t="str">
            <v>0011800612Y</v>
          </cell>
          <cell r="B267" t="str">
            <v>室内电脑板-CEM-1\--</v>
          </cell>
          <cell r="C267" t="str">
            <v>和而泰/领智//</v>
          </cell>
        </row>
        <row r="268">
          <cell r="A268" t="str">
            <v>0011800612Z</v>
          </cell>
          <cell r="B268" t="str">
            <v>室内电脑板-CEM-1\--</v>
          </cell>
          <cell r="C268" t="str">
            <v>和而泰/领智//</v>
          </cell>
        </row>
        <row r="269">
          <cell r="A269" t="str">
            <v>0011800613</v>
          </cell>
          <cell r="B269" t="str">
            <v>室内电脑板-CEM-1</v>
          </cell>
          <cell r="C269" t="str">
            <v>领智</v>
          </cell>
        </row>
        <row r="270">
          <cell r="A270" t="str">
            <v>0011800613D</v>
          </cell>
          <cell r="B270" t="str">
            <v>室内电脑板-CEM-1</v>
          </cell>
          <cell r="C270" t="str">
            <v>领智</v>
          </cell>
        </row>
        <row r="271">
          <cell r="A271" t="str">
            <v>0011800613F</v>
          </cell>
          <cell r="B271" t="str">
            <v>室内电脑板-CEM-1</v>
          </cell>
          <cell r="C271" t="str">
            <v>领智</v>
          </cell>
        </row>
        <row r="272">
          <cell r="A272" t="str">
            <v>0011800613H</v>
          </cell>
          <cell r="B272" t="str">
            <v>室内电脑板-CEM-1</v>
          </cell>
          <cell r="C272" t="str">
            <v>领智</v>
          </cell>
        </row>
        <row r="273">
          <cell r="A273" t="str">
            <v>0011800613K</v>
          </cell>
          <cell r="B273" t="str">
            <v>室内电脑板-/---</v>
          </cell>
          <cell r="C273" t="str">
            <v>领智</v>
          </cell>
        </row>
        <row r="274">
          <cell r="A274" t="str">
            <v>0011800630J</v>
          </cell>
          <cell r="B274" t="str">
            <v>室内电脑板-CEM-1室内电脑板俄罗斯07/09/12P系列室内电脑板</v>
          </cell>
          <cell r="C274" t="str">
            <v>和而泰/领智//</v>
          </cell>
        </row>
        <row r="275">
          <cell r="A275" t="str">
            <v>0011800630L</v>
          </cell>
          <cell r="B275" t="str">
            <v>室内电脑板-CEM-1室内电脑板泰国09/12P系列定频室内电脑板</v>
          </cell>
          <cell r="C275" t="str">
            <v>和而泰/领智//</v>
          </cell>
        </row>
        <row r="276">
          <cell r="A276" t="str">
            <v>0011800630M</v>
          </cell>
          <cell r="B276" t="str">
            <v>室内电脑板-CEM-1室内电脑板俄罗斯07/09/12P系列室内电脑板</v>
          </cell>
          <cell r="C276" t="str">
            <v>和而泰/领智//</v>
          </cell>
        </row>
        <row r="277">
          <cell r="A277" t="str">
            <v>0011800646</v>
          </cell>
          <cell r="B277" t="str">
            <v>室内电脑板-FR-4</v>
          </cell>
          <cell r="C277" t="str">
            <v>和而泰/领智//</v>
          </cell>
        </row>
        <row r="278">
          <cell r="A278" t="str">
            <v>0011800646A</v>
          </cell>
          <cell r="B278" t="str">
            <v>室内电脑板-FR-4---</v>
          </cell>
          <cell r="C278" t="str">
            <v>和而泰/领智//</v>
          </cell>
        </row>
        <row r="279">
          <cell r="A279" t="str">
            <v>0011800646D</v>
          </cell>
          <cell r="B279" t="str">
            <v>室内电脑板-FR-4---</v>
          </cell>
          <cell r="C279" t="str">
            <v>和而泰/领智//</v>
          </cell>
        </row>
        <row r="280">
          <cell r="A280" t="str">
            <v>0011800646F</v>
          </cell>
          <cell r="B280" t="str">
            <v>室内电脑板-FR-4---</v>
          </cell>
          <cell r="C280" t="str">
            <v>和而泰/领智//</v>
          </cell>
        </row>
        <row r="281">
          <cell r="A281" t="str">
            <v>0011800653</v>
          </cell>
          <cell r="B281" t="str">
            <v>室外模块驱动板-FR-1</v>
          </cell>
          <cell r="C281" t="str">
            <v>领智</v>
          </cell>
        </row>
        <row r="282">
          <cell r="A282" t="str">
            <v>0011800653B</v>
          </cell>
          <cell r="B282" t="str">
            <v>室外电脑板-FR-1</v>
          </cell>
          <cell r="C282" t="str">
            <v>领智</v>
          </cell>
        </row>
        <row r="283">
          <cell r="A283" t="str">
            <v>0011800653G</v>
          </cell>
          <cell r="B283" t="str">
            <v>室外电脑板-FR-1---</v>
          </cell>
          <cell r="C283" t="str">
            <v>领智</v>
          </cell>
        </row>
        <row r="284">
          <cell r="A284" t="str">
            <v>0011800653P</v>
          </cell>
          <cell r="B284" t="str">
            <v>室外电脑板-FR-1---</v>
          </cell>
          <cell r="C284" t="str">
            <v>领智</v>
          </cell>
        </row>
        <row r="285">
          <cell r="A285" t="str">
            <v>0011800653Q</v>
          </cell>
          <cell r="B285" t="str">
            <v>室外电脑板-FR-1---</v>
          </cell>
          <cell r="C285" t="str">
            <v>领智</v>
          </cell>
        </row>
        <row r="286">
          <cell r="A286" t="str">
            <v>0011800682</v>
          </cell>
          <cell r="B286" t="str">
            <v>室内电脑板-CEM-3---</v>
          </cell>
          <cell r="C286" t="str">
            <v>领智</v>
          </cell>
        </row>
        <row r="287">
          <cell r="A287" t="str">
            <v>0011800682A</v>
          </cell>
          <cell r="B287" t="str">
            <v>室内电脑板-CEM-3---</v>
          </cell>
          <cell r="C287" t="str">
            <v>领智</v>
          </cell>
        </row>
        <row r="288">
          <cell r="A288" t="str">
            <v>0011800682K</v>
          </cell>
          <cell r="B288" t="str">
            <v>室内电脑板-//--</v>
          </cell>
          <cell r="C288" t="str">
            <v>领智</v>
          </cell>
        </row>
        <row r="289">
          <cell r="A289" t="str">
            <v>0011800697L</v>
          </cell>
          <cell r="B289" t="str">
            <v>室内电脑板-CEM-1</v>
          </cell>
          <cell r="C289" t="str">
            <v>领智</v>
          </cell>
        </row>
        <row r="290">
          <cell r="A290" t="str">
            <v>0011800697M</v>
          </cell>
          <cell r="B290" t="str">
            <v>室内电脑板-CEM-1</v>
          </cell>
          <cell r="C290" t="str">
            <v>领智</v>
          </cell>
        </row>
        <row r="291">
          <cell r="A291" t="str">
            <v>0011800722A</v>
          </cell>
          <cell r="B291" t="str">
            <v>室内电脑板-CEM-1</v>
          </cell>
          <cell r="C291" t="str">
            <v>领智</v>
          </cell>
        </row>
        <row r="292">
          <cell r="A292" t="str">
            <v>0011800743A</v>
          </cell>
          <cell r="B292" t="str">
            <v>室内电脑板-CEM-1</v>
          </cell>
          <cell r="C292" t="str">
            <v>领智</v>
          </cell>
        </row>
        <row r="293">
          <cell r="A293" t="str">
            <v>0011800780AK</v>
          </cell>
          <cell r="B293" t="str">
            <v>室外电脑板-/---</v>
          </cell>
          <cell r="C293" t="str">
            <v>领智</v>
          </cell>
        </row>
        <row r="294">
          <cell r="A294" t="str">
            <v>0011800780AL</v>
          </cell>
          <cell r="B294" t="str">
            <v>室外电脑板-/---</v>
          </cell>
          <cell r="C294" t="str">
            <v>领智</v>
          </cell>
        </row>
        <row r="295">
          <cell r="A295" t="str">
            <v>0011800798</v>
          </cell>
          <cell r="B295" t="str">
            <v>显示面板-CEM-1</v>
          </cell>
          <cell r="C295" t="str">
            <v>领智</v>
          </cell>
        </row>
        <row r="296">
          <cell r="A296" t="str">
            <v>0011800801</v>
          </cell>
          <cell r="B296" t="str">
            <v>室外电脑板-FR-4</v>
          </cell>
          <cell r="C296" t="str">
            <v>领智</v>
          </cell>
        </row>
        <row r="297">
          <cell r="A297" t="str">
            <v>0011800801C</v>
          </cell>
          <cell r="B297" t="str">
            <v>变频外电脑板-FR-4229mm×157mm单冷无PFC单电解交流风机毛细管</v>
          </cell>
          <cell r="C297" t="str">
            <v>领智</v>
          </cell>
        </row>
        <row r="298">
          <cell r="A298" t="str">
            <v>0011800807</v>
          </cell>
          <cell r="B298" t="str">
            <v>室内电脑板-FR-4</v>
          </cell>
          <cell r="C298" t="str">
            <v>和而泰/领智//</v>
          </cell>
        </row>
        <row r="299">
          <cell r="A299" t="str">
            <v>0011800812</v>
          </cell>
          <cell r="B299" t="str">
            <v>智能检测器-FR-4</v>
          </cell>
          <cell r="C299" t="str">
            <v>领智</v>
          </cell>
        </row>
        <row r="300">
          <cell r="A300" t="str">
            <v>0011800814AW</v>
          </cell>
          <cell r="B300" t="str">
            <v>变频外电脑板-FR-4/--</v>
          </cell>
          <cell r="C300" t="str">
            <v>领智</v>
          </cell>
        </row>
        <row r="301">
          <cell r="A301" t="str">
            <v>0011800827A</v>
          </cell>
          <cell r="B301" t="str">
            <v>变频外电脑板-/---</v>
          </cell>
          <cell r="C301" t="str">
            <v>领智</v>
          </cell>
        </row>
        <row r="302">
          <cell r="A302" t="str">
            <v>0011800827P</v>
          </cell>
          <cell r="B302" t="str">
            <v>电脑板-/293mm×181mm</v>
          </cell>
          <cell r="C302" t="str">
            <v>领智</v>
          </cell>
        </row>
        <row r="303">
          <cell r="A303" t="str">
            <v>0011800828B</v>
          </cell>
          <cell r="B303" t="str">
            <v>室内电脑板-//</v>
          </cell>
          <cell r="C303" t="str">
            <v>领智</v>
          </cell>
        </row>
        <row r="304">
          <cell r="A304" t="str">
            <v>0011800832F</v>
          </cell>
          <cell r="B304" t="str">
            <v>室内电脑板-/室内电脑板</v>
          </cell>
          <cell r="C304" t="str">
            <v>领智</v>
          </cell>
        </row>
        <row r="305">
          <cell r="A305" t="str">
            <v>0011800865C</v>
          </cell>
          <cell r="B305" t="str">
            <v>室外模块驱动板-FR-4</v>
          </cell>
          <cell r="C305" t="str">
            <v>领智</v>
          </cell>
        </row>
        <row r="306">
          <cell r="A306" t="str">
            <v>0011800865L</v>
          </cell>
          <cell r="B306" t="str">
            <v>功率驱动板-FR-4/</v>
          </cell>
          <cell r="C306" t="str">
            <v>领智</v>
          </cell>
        </row>
        <row r="307">
          <cell r="A307" t="str">
            <v>0011800865M</v>
          </cell>
          <cell r="B307" t="str">
            <v>功率驱动板-FR-4/</v>
          </cell>
          <cell r="C307" t="str">
            <v>领智</v>
          </cell>
        </row>
        <row r="308">
          <cell r="A308" t="str">
            <v>0011800879</v>
          </cell>
          <cell r="B308" t="str">
            <v>室外电脑板-FR-4---</v>
          </cell>
          <cell r="C308" t="str">
            <v>领智</v>
          </cell>
        </row>
        <row r="309">
          <cell r="A309" t="str">
            <v>0011800879G</v>
          </cell>
          <cell r="B309" t="str">
            <v>室外电脑板-FR-4室外电脑板</v>
          </cell>
          <cell r="C309" t="str">
            <v>领智</v>
          </cell>
        </row>
        <row r="310">
          <cell r="A310" t="str">
            <v>0011800879J</v>
          </cell>
          <cell r="B310" t="str">
            <v>室外电脑板-FR-4室外电脑板</v>
          </cell>
          <cell r="C310" t="str">
            <v>领智</v>
          </cell>
        </row>
        <row r="311">
          <cell r="A311" t="str">
            <v>0011800923</v>
          </cell>
          <cell r="B311" t="str">
            <v>室内电脑板-CEM-1---</v>
          </cell>
          <cell r="C311" t="str">
            <v>领智</v>
          </cell>
        </row>
        <row r="312">
          <cell r="A312" t="str">
            <v>0011800923A</v>
          </cell>
          <cell r="B312" t="str">
            <v>室内电脑板-CEM-1/</v>
          </cell>
          <cell r="C312" t="str">
            <v>领智/领智//</v>
          </cell>
        </row>
        <row r="313">
          <cell r="A313" t="str">
            <v>0011800923B</v>
          </cell>
          <cell r="B313" t="str">
            <v>室内电脑板-CEM-1电脑板尺寸为105*208</v>
          </cell>
          <cell r="C313" t="str">
            <v>领智/领智//</v>
          </cell>
        </row>
        <row r="314">
          <cell r="A314" t="str">
            <v>0011800923C</v>
          </cell>
          <cell r="B314" t="str">
            <v>室内电脑板-CEM-1电脑板尺寸为105*208</v>
          </cell>
          <cell r="C314" t="str">
            <v>领智</v>
          </cell>
        </row>
        <row r="315">
          <cell r="A315" t="str">
            <v>0011800923D</v>
          </cell>
          <cell r="B315" t="str">
            <v>室内电脑板-CEM-1电脑板尺寸为105*208</v>
          </cell>
          <cell r="C315" t="str">
            <v>领智</v>
          </cell>
        </row>
        <row r="316">
          <cell r="A316" t="str">
            <v>0011800930</v>
          </cell>
          <cell r="B316" t="str">
            <v>室外电脑板-CEM-3---</v>
          </cell>
          <cell r="C316" t="str">
            <v>领智</v>
          </cell>
        </row>
        <row r="317">
          <cell r="A317" t="str">
            <v>0011800933F</v>
          </cell>
          <cell r="B317" t="str">
            <v>变频外电脑板-FR-4215mm*157mm</v>
          </cell>
          <cell r="C317" t="str">
            <v>领智</v>
          </cell>
        </row>
        <row r="318">
          <cell r="A318" t="str">
            <v>0011800977</v>
          </cell>
          <cell r="B318" t="str">
            <v>室内电脑板-CEM-1/</v>
          </cell>
          <cell r="C318" t="str">
            <v>领智/领智//</v>
          </cell>
        </row>
        <row r="319">
          <cell r="A319" t="str">
            <v>0011800981C</v>
          </cell>
          <cell r="B319" t="str">
            <v>变频外电脑板-FR-4230*196</v>
          </cell>
          <cell r="C319" t="str">
            <v>领智</v>
          </cell>
        </row>
        <row r="320">
          <cell r="A320" t="str">
            <v>0011800981E</v>
          </cell>
          <cell r="B320" t="str">
            <v>变频外电脑板-FR-4230*196</v>
          </cell>
          <cell r="C320" t="str">
            <v>领智</v>
          </cell>
        </row>
        <row r="321">
          <cell r="A321" t="str">
            <v>0011800989</v>
          </cell>
          <cell r="B321" t="str">
            <v>显示板-FR-456*100--</v>
          </cell>
          <cell r="C321" t="str">
            <v>领智/恒青/国冶星/</v>
          </cell>
        </row>
        <row r="322">
          <cell r="A322" t="str">
            <v>0011801008</v>
          </cell>
          <cell r="B322" t="str">
            <v>室外电脑板-CEM-3272.5*181mm--</v>
          </cell>
          <cell r="C322" t="str">
            <v>领智</v>
          </cell>
        </row>
        <row r="323">
          <cell r="A323" t="str">
            <v>0011801040A</v>
          </cell>
          <cell r="B323" t="str">
            <v>变频外电脑板-FR-4205*157</v>
          </cell>
          <cell r="C323" t="str">
            <v>领智</v>
          </cell>
        </row>
        <row r="324">
          <cell r="A324" t="str">
            <v>0011801040B</v>
          </cell>
          <cell r="B324" t="str">
            <v>变频外电脑板-FR-4205*157</v>
          </cell>
          <cell r="C324" t="str">
            <v>领智</v>
          </cell>
        </row>
        <row r="325">
          <cell r="A325" t="str">
            <v>0011801045</v>
          </cell>
          <cell r="B325" t="str">
            <v>显示板-FR-460*50--</v>
          </cell>
          <cell r="C325" t="str">
            <v>领智/恒青//</v>
          </cell>
        </row>
        <row r="326">
          <cell r="A326" t="str">
            <v>0011801123</v>
          </cell>
          <cell r="B326" t="str">
            <v>室内电脑板-FR-4室内电脑板F系列新开海外项目室内电脑板</v>
          </cell>
          <cell r="C326" t="str">
            <v>领智</v>
          </cell>
        </row>
        <row r="327">
          <cell r="A327" t="str">
            <v>0011801123A</v>
          </cell>
          <cell r="B327" t="str">
            <v>室内电脑板-FR-4136*165</v>
          </cell>
          <cell r="C327" t="str">
            <v>领智</v>
          </cell>
        </row>
        <row r="328">
          <cell r="A328" t="str">
            <v>0011801123B</v>
          </cell>
          <cell r="B328" t="str">
            <v>室内电脑板-FR-4136*165</v>
          </cell>
          <cell r="C328" t="str">
            <v>领智</v>
          </cell>
        </row>
        <row r="329">
          <cell r="A329" t="str">
            <v>0011801150</v>
          </cell>
          <cell r="B329" t="str">
            <v>变频外电脑板-FR-4230mm*157mm</v>
          </cell>
          <cell r="C329" t="str">
            <v>领智</v>
          </cell>
        </row>
        <row r="330">
          <cell r="A330" t="str">
            <v>0011801184</v>
          </cell>
          <cell r="B330" t="str">
            <v>显示板-LED</v>
          </cell>
          <cell r="C330" t="str">
            <v>领智</v>
          </cell>
        </row>
        <row r="331">
          <cell r="A331" t="str">
            <v>0011801039</v>
          </cell>
          <cell r="B331" t="str">
            <v>变频外电脑板-FR-4/</v>
          </cell>
          <cell r="C331" t="str">
            <v>中家智康</v>
          </cell>
        </row>
        <row r="332">
          <cell r="A332" t="str">
            <v>0011801048</v>
          </cell>
          <cell r="B332" t="str">
            <v>室外电脑板-FR-4/</v>
          </cell>
          <cell r="C332" t="str">
            <v>中家智康</v>
          </cell>
        </row>
        <row r="333">
          <cell r="A333" t="str">
            <v>0011801048A</v>
          </cell>
          <cell r="B333" t="str">
            <v>变频外电脑板-FR-4/</v>
          </cell>
          <cell r="C333" t="str">
            <v>中家智康</v>
          </cell>
        </row>
        <row r="334">
          <cell r="A334" t="str">
            <v>0011801118Z</v>
          </cell>
          <cell r="B334" t="str">
            <v>变频外电脑板-FR-4240*180</v>
          </cell>
          <cell r="C334" t="str">
            <v>中家智康</v>
          </cell>
        </row>
        <row r="335">
          <cell r="A335" t="str">
            <v>0010402391B</v>
          </cell>
          <cell r="B335" t="str">
            <v>线束-/</v>
          </cell>
          <cell r="C335" t="str">
            <v>金龙</v>
          </cell>
        </row>
        <row r="336">
          <cell r="A336" t="str">
            <v>0010405025</v>
          </cell>
          <cell r="B336" t="str">
            <v>线束-/一体板压机线UL3173AWG16550mm*3无磁环一体-</v>
          </cell>
          <cell r="C336" t="str">
            <v>金龙</v>
          </cell>
        </row>
        <row r="337">
          <cell r="A337" t="str">
            <v>0010405025B</v>
          </cell>
          <cell r="B337" t="str">
            <v>线束-/一体板压机线UL3173 AWG16 550mm*3 有磁环 一体</v>
          </cell>
          <cell r="C337" t="str">
            <v>珠城/悠进//</v>
          </cell>
        </row>
        <row r="338">
          <cell r="A338" t="str">
            <v>0010405155</v>
          </cell>
          <cell r="B338" t="str">
            <v>线束-/一体板电源通讯线UL1015AWG16200*3-300mm无磁环-</v>
          </cell>
          <cell r="C338" t="str">
            <v>金龙</v>
          </cell>
        </row>
        <row r="339">
          <cell r="A339" t="str">
            <v>0010405155B</v>
          </cell>
          <cell r="B339" t="str">
            <v>线束-/一体板电源通讯线UL1015 AWG16 200*3-300mm 有磁环</v>
          </cell>
          <cell r="C339" t="str">
            <v>金龙</v>
          </cell>
        </row>
        <row r="340">
          <cell r="A340" t="str">
            <v>0260401891F</v>
          </cell>
          <cell r="B340" t="str">
            <v>接插线-/G-WIR-8-M-800-P-1.3-N2-2.0P</v>
          </cell>
          <cell r="C340" t="str">
            <v>金龙</v>
          </cell>
        </row>
        <row r="341">
          <cell r="A341" t="str">
            <v>0260403129</v>
          </cell>
          <cell r="B341" t="str">
            <v>接插线-/G-WIR-2-BZ-230-S-3.05-N1/N2-LN线</v>
          </cell>
          <cell r="C341" t="str">
            <v>金龙</v>
          </cell>
        </row>
        <row r="342">
          <cell r="A342" t="str">
            <v>0260403131</v>
          </cell>
          <cell r="B342" t="str">
            <v>接插线-/G-WIR-1-R-200-S-2.75-N1/N2-通讯线</v>
          </cell>
          <cell r="C342" t="str">
            <v>金龙</v>
          </cell>
        </row>
        <row r="343">
          <cell r="A343" t="str">
            <v>0010401377</v>
          </cell>
          <cell r="B343" t="str">
            <v>连机线-无</v>
          </cell>
          <cell r="C343" t="str">
            <v>华声</v>
          </cell>
        </row>
        <row r="344">
          <cell r="A344" t="str">
            <v>0010401378</v>
          </cell>
          <cell r="B344" t="str">
            <v>连机线-0.75mm2（24/0.20）</v>
          </cell>
          <cell r="C344" t="str">
            <v>华声</v>
          </cell>
        </row>
        <row r="345">
          <cell r="A345" t="str">
            <v>0010401858K</v>
          </cell>
          <cell r="B345" t="str">
            <v>端子排-//</v>
          </cell>
          <cell r="C345" t="str">
            <v>源峰</v>
          </cell>
        </row>
        <row r="346">
          <cell r="A346" t="str">
            <v>0010402886Q</v>
          </cell>
          <cell r="B346" t="str">
            <v>遥控器-塑料---</v>
          </cell>
          <cell r="C346" t="str">
            <v>长虹</v>
          </cell>
        </row>
        <row r="347">
          <cell r="A347" t="str">
            <v>0010403035A</v>
          </cell>
          <cell r="B347" t="str">
            <v>连机线-1.5mm2</v>
          </cell>
          <cell r="C347" t="str">
            <v>华声</v>
          </cell>
        </row>
        <row r="348">
          <cell r="A348" t="str">
            <v>0010403146E</v>
          </cell>
          <cell r="B348" t="str">
            <v>端子排-//</v>
          </cell>
          <cell r="C348" t="str">
            <v>源峰</v>
          </cell>
        </row>
        <row r="349">
          <cell r="A349" t="str">
            <v>0010404530A</v>
          </cell>
          <cell r="B349" t="str">
            <v>连机线-/4*1.5mm2*6mVDEH07RN-F</v>
          </cell>
          <cell r="C349" t="str">
            <v>日丰</v>
          </cell>
        </row>
        <row r="350">
          <cell r="A350" t="str">
            <v>0010404555N</v>
          </cell>
          <cell r="B350" t="str">
            <v>遥控器-塑料/</v>
          </cell>
          <cell r="C350" t="str">
            <v>合晶</v>
          </cell>
        </row>
        <row r="351">
          <cell r="A351" t="str">
            <v>0011800377C</v>
          </cell>
          <cell r="B351" t="str">
            <v>室外模块驱动板-FR-4</v>
          </cell>
          <cell r="C351" t="str">
            <v>领智</v>
          </cell>
        </row>
        <row r="352">
          <cell r="A352" t="str">
            <v>0011800410Q</v>
          </cell>
          <cell r="B352" t="str">
            <v>室外电脑板-CEM-3</v>
          </cell>
          <cell r="C352" t="str">
            <v>领智</v>
          </cell>
        </row>
        <row r="353">
          <cell r="A353" t="str">
            <v>0011800697B</v>
          </cell>
          <cell r="B353" t="str">
            <v>室内电脑板-CEM-1</v>
          </cell>
          <cell r="C353" t="str">
            <v>领智</v>
          </cell>
        </row>
        <row r="354">
          <cell r="A354" t="str">
            <v>0011800697C</v>
          </cell>
          <cell r="B354" t="str">
            <v>室内电脑板-CEM-1</v>
          </cell>
          <cell r="C354" t="str">
            <v>领智</v>
          </cell>
        </row>
        <row r="355">
          <cell r="A355" t="str">
            <v>0011800697H</v>
          </cell>
          <cell r="B355" t="str">
            <v>室内电脑板-CEM-1室内电脑板泰国凤凰P平台18k室内电脑板</v>
          </cell>
          <cell r="C355" t="str">
            <v>领智</v>
          </cell>
        </row>
        <row r="356">
          <cell r="A356" t="str">
            <v>0011800697K</v>
          </cell>
          <cell r="B356" t="str">
            <v>室内电脑板-CEM-1室内电脑板50P平台18/24k室内电脑板</v>
          </cell>
          <cell r="C356" t="str">
            <v>领智</v>
          </cell>
        </row>
        <row r="357">
          <cell r="A357" t="str">
            <v>0010401378D</v>
          </cell>
          <cell r="B357" t="str">
            <v>连机线-0.75mm2（24/0.20）</v>
          </cell>
          <cell r="C357" t="str">
            <v>华声/日丰//</v>
          </cell>
        </row>
        <row r="358">
          <cell r="A358" t="str">
            <v>0010401715AD</v>
          </cell>
          <cell r="B358" t="str">
            <v>遥控器-/LG商标单冷带自动功能英文HE遥控器</v>
          </cell>
          <cell r="C358" t="str">
            <v>合晶</v>
          </cell>
        </row>
        <row r="359">
          <cell r="A359" t="str">
            <v>0010402574B</v>
          </cell>
          <cell r="B359" t="str">
            <v>连机线-/</v>
          </cell>
          <cell r="C359" t="str">
            <v>泓淋/日丰/华声/</v>
          </cell>
        </row>
        <row r="360">
          <cell r="A360" t="str">
            <v>0010400015</v>
          </cell>
          <cell r="B360" t="str">
            <v>室外线束-N/A</v>
          </cell>
          <cell r="C360" t="str">
            <v>得润</v>
          </cell>
        </row>
        <row r="361">
          <cell r="A361" t="str">
            <v>0010400122A</v>
          </cell>
          <cell r="B361" t="str">
            <v>美式电源线-金属</v>
          </cell>
          <cell r="C361" t="str">
            <v>华声</v>
          </cell>
        </row>
        <row r="362">
          <cell r="A362" t="str">
            <v>0010400122B</v>
          </cell>
          <cell r="B362" t="str">
            <v>美式电源线-0.75mm2（24/0.20）</v>
          </cell>
          <cell r="C362" t="str">
            <v>华声</v>
          </cell>
        </row>
        <row r="363">
          <cell r="A363" t="str">
            <v>0010400543</v>
          </cell>
          <cell r="B363" t="str">
            <v>遥控器-N/A</v>
          </cell>
          <cell r="C363" t="str">
            <v>合晶</v>
          </cell>
        </row>
        <row r="364">
          <cell r="A364" t="str">
            <v>0010400548</v>
          </cell>
          <cell r="B364" t="str">
            <v>室内线束-金属</v>
          </cell>
          <cell r="C364" t="str">
            <v>桦晟</v>
          </cell>
        </row>
        <row r="365">
          <cell r="A365" t="str">
            <v>0010400650</v>
          </cell>
          <cell r="B365" t="str">
            <v>线束(KC-25/H)</v>
          </cell>
          <cell r="C365" t="str">
            <v>得润</v>
          </cell>
        </row>
        <row r="366">
          <cell r="A366" t="str">
            <v>0010400650A</v>
          </cell>
          <cell r="B366" t="str">
            <v>线束</v>
          </cell>
          <cell r="C366" t="str">
            <v>得润</v>
          </cell>
        </row>
        <row r="367">
          <cell r="A367" t="str">
            <v>0010400748</v>
          </cell>
          <cell r="B367" t="str">
            <v>连机线(245IEC57(YZW)4*0.75*5000)</v>
          </cell>
          <cell r="C367" t="str">
            <v>华声</v>
          </cell>
        </row>
        <row r="368">
          <cell r="A368" t="str">
            <v>0010401378C</v>
          </cell>
          <cell r="B368" t="str">
            <v>连机线-0.75mm2（24/0.20）VDE标准2*0.75mm</v>
          </cell>
          <cell r="C368" t="str">
            <v>华声</v>
          </cell>
        </row>
        <row r="369">
          <cell r="A369" t="str">
            <v>0010401715DY</v>
          </cell>
          <cell r="B369" t="str">
            <v>遥控器-塑料</v>
          </cell>
          <cell r="C369" t="str">
            <v>合晶</v>
          </cell>
        </row>
        <row r="370">
          <cell r="A370" t="str">
            <v>0010401715EB</v>
          </cell>
          <cell r="B370" t="str">
            <v>遥控器-/</v>
          </cell>
          <cell r="C370" t="str">
            <v>合晶</v>
          </cell>
        </row>
        <row r="371">
          <cell r="A371" t="str">
            <v>0010401715GF</v>
          </cell>
          <cell r="B371" t="str">
            <v>遥控器-塑料81*21</v>
          </cell>
          <cell r="C371" t="str">
            <v>合晶</v>
          </cell>
        </row>
        <row r="372">
          <cell r="A372" t="str">
            <v>0010401836</v>
          </cell>
          <cell r="B372" t="str">
            <v>线束-金属</v>
          </cell>
          <cell r="C372" t="str">
            <v>得润</v>
          </cell>
        </row>
        <row r="373">
          <cell r="A373" t="str">
            <v>0010401972A</v>
          </cell>
          <cell r="B373" t="str">
            <v>欧式电源线-1.5mm2</v>
          </cell>
          <cell r="C373" t="str">
            <v>泓淋</v>
          </cell>
        </row>
        <row r="374">
          <cell r="A374" t="str">
            <v>0010401996AD</v>
          </cell>
          <cell r="B374" t="str">
            <v>遥控器-/繁体中文繁体中文</v>
          </cell>
          <cell r="C374" t="str">
            <v>长虹</v>
          </cell>
        </row>
        <row r="375">
          <cell r="A375" t="str">
            <v>0010401996P</v>
          </cell>
          <cell r="B375" t="str">
            <v>遥控器-塑料</v>
          </cell>
          <cell r="C375" t="str">
            <v>长虹</v>
          </cell>
        </row>
        <row r="376">
          <cell r="A376" t="str">
            <v>0010402017C</v>
          </cell>
          <cell r="B376" t="str">
            <v>连机线(245IEC57(YZW)2*0.75*4000)-/</v>
          </cell>
          <cell r="C376" t="str">
            <v>泓淋</v>
          </cell>
        </row>
        <row r="377">
          <cell r="A377" t="str">
            <v>0010402040</v>
          </cell>
          <cell r="B377" t="str">
            <v>端子排(HSU-18CF13(T3))-N/A</v>
          </cell>
          <cell r="C377" t="str">
            <v>华冠</v>
          </cell>
        </row>
        <row r="378">
          <cell r="A378" t="str">
            <v>0010402264E</v>
          </cell>
          <cell r="B378" t="str">
            <v>ROHS-电源线(HSU-12RD03/R1)</v>
          </cell>
          <cell r="C378" t="str">
            <v>悠进</v>
          </cell>
        </row>
        <row r="379">
          <cell r="A379" t="str">
            <v>0010402574A</v>
          </cell>
          <cell r="B379" t="str">
            <v>连机线-1.5mm2VDE3*1.5*5M</v>
          </cell>
          <cell r="C379" t="str">
            <v>华声</v>
          </cell>
        </row>
        <row r="380">
          <cell r="A380" t="str">
            <v>0010402886AE</v>
          </cell>
          <cell r="B380" t="str">
            <v>遥控器-/HQ遥控器</v>
          </cell>
          <cell r="C380" t="str">
            <v>长虹</v>
          </cell>
        </row>
        <row r="381">
          <cell r="A381" t="str">
            <v>0010402886AM</v>
          </cell>
          <cell r="B381" t="str">
            <v>遥控器-//</v>
          </cell>
          <cell r="C381" t="str">
            <v>长虹</v>
          </cell>
        </row>
        <row r="382">
          <cell r="A382" t="str">
            <v>0010402886AP</v>
          </cell>
          <cell r="B382" t="str">
            <v>遥控器-塑料</v>
          </cell>
          <cell r="C382" t="str">
            <v>长虹</v>
          </cell>
        </row>
        <row r="383">
          <cell r="A383" t="str">
            <v>0010402886V</v>
          </cell>
          <cell r="B383" t="str">
            <v>遥控器-/</v>
          </cell>
          <cell r="C383" t="str">
            <v>长虹</v>
          </cell>
        </row>
        <row r="384">
          <cell r="A384" t="str">
            <v>0010402914B</v>
          </cell>
          <cell r="B384" t="str">
            <v>普通电源线-/</v>
          </cell>
          <cell r="C384" t="str">
            <v>泓淋</v>
          </cell>
        </row>
        <row r="385">
          <cell r="A385" t="str">
            <v>0010403035</v>
          </cell>
          <cell r="B385" t="str">
            <v>连机线-/</v>
          </cell>
          <cell r="C385" t="str">
            <v>泓淋</v>
          </cell>
        </row>
        <row r="386">
          <cell r="A386" t="str">
            <v>0010403035L</v>
          </cell>
          <cell r="B386" t="str">
            <v>连机线-/</v>
          </cell>
          <cell r="C386" t="str">
            <v>华声</v>
          </cell>
        </row>
        <row r="387">
          <cell r="A387" t="str">
            <v>0010403362</v>
          </cell>
          <cell r="B387" t="str">
            <v>线束-/</v>
          </cell>
          <cell r="C387" t="str">
            <v>悠进</v>
          </cell>
        </row>
        <row r="388">
          <cell r="A388" t="str">
            <v>0010403941</v>
          </cell>
          <cell r="B388" t="str">
            <v>端子排-/</v>
          </cell>
          <cell r="C388" t="str">
            <v>凯都</v>
          </cell>
        </row>
        <row r="389">
          <cell r="A389" t="str">
            <v>0010404198D</v>
          </cell>
          <cell r="B389" t="str">
            <v>接地线-/</v>
          </cell>
          <cell r="C389" t="str">
            <v>桦晟</v>
          </cell>
        </row>
        <row r="390">
          <cell r="A390" t="str">
            <v>0010404387E</v>
          </cell>
          <cell r="B390" t="str">
            <v>线束-/PCM一体板方案,线束成本有所降低</v>
          </cell>
          <cell r="C390" t="str">
            <v>桦晟</v>
          </cell>
        </row>
        <row r="391">
          <cell r="A391" t="str">
            <v>0010404438H</v>
          </cell>
          <cell r="B391" t="str">
            <v>无插电源线-/</v>
          </cell>
          <cell r="C391" t="str">
            <v>华声</v>
          </cell>
        </row>
        <row r="392">
          <cell r="A392" t="str">
            <v>0010404530</v>
          </cell>
          <cell r="B392" t="str">
            <v>连机线-/4*1.5mm2*5mVDEH07RN-F</v>
          </cell>
          <cell r="C392" t="str">
            <v>华声</v>
          </cell>
        </row>
        <row r="393">
          <cell r="A393" t="str">
            <v>0010404555K</v>
          </cell>
          <cell r="B393" t="str">
            <v>遥控器-塑料/</v>
          </cell>
          <cell r="C393" t="str">
            <v>合晶</v>
          </cell>
        </row>
        <row r="394">
          <cell r="A394" t="str">
            <v>0010404555M</v>
          </cell>
          <cell r="B394" t="str">
            <v>遥控器-塑料HFA</v>
          </cell>
          <cell r="C394" t="str">
            <v>合晶</v>
          </cell>
        </row>
        <row r="395">
          <cell r="A395" t="str">
            <v>0010405637</v>
          </cell>
          <cell r="B395" t="str">
            <v>线束-/---</v>
          </cell>
          <cell r="C395" t="str">
            <v>得润</v>
          </cell>
        </row>
        <row r="396">
          <cell r="A396" t="str">
            <v>0010405867</v>
          </cell>
          <cell r="B396" t="str">
            <v>线束-金属26AWG500mm</v>
          </cell>
          <cell r="C396" t="str">
            <v>珠城</v>
          </cell>
        </row>
        <row r="397">
          <cell r="A397" t="str">
            <v>0010405868</v>
          </cell>
          <cell r="B397" t="str">
            <v>线束-金属26AWG1000mm</v>
          </cell>
          <cell r="C397" t="str">
            <v>桦晟</v>
          </cell>
        </row>
        <row r="398">
          <cell r="A398" t="str">
            <v>0010406063</v>
          </cell>
          <cell r="B398" t="str">
            <v>线束-/</v>
          </cell>
          <cell r="C398" t="str">
            <v>桦晟</v>
          </cell>
        </row>
        <row r="399">
          <cell r="A399" t="str">
            <v>0011800028</v>
          </cell>
          <cell r="B399" t="str">
            <v>室内电脑板-N/A</v>
          </cell>
          <cell r="C399" t="str">
            <v>领智</v>
          </cell>
        </row>
        <row r="400">
          <cell r="A400" t="str">
            <v>0011800028A</v>
          </cell>
          <cell r="B400" t="str">
            <v>一体机电脑板-CEM-1</v>
          </cell>
          <cell r="C400" t="str">
            <v>领智</v>
          </cell>
        </row>
        <row r="401">
          <cell r="A401" t="str">
            <v>0011800241M</v>
          </cell>
          <cell r="B401" t="str">
            <v>室外电脑板-/</v>
          </cell>
          <cell r="C401" t="str">
            <v>领智</v>
          </cell>
        </row>
        <row r="402">
          <cell r="A402" t="str">
            <v>0011800258J</v>
          </cell>
          <cell r="B402" t="str">
            <v>室外模块驱动板-FR-4</v>
          </cell>
          <cell r="C402" t="str">
            <v>领智</v>
          </cell>
        </row>
        <row r="403">
          <cell r="A403" t="str">
            <v>0011800281M</v>
          </cell>
          <cell r="B403" t="str">
            <v>室内电脑板-CEM-1</v>
          </cell>
          <cell r="C403" t="str">
            <v>领智</v>
          </cell>
        </row>
        <row r="404">
          <cell r="A404" t="str">
            <v>0011800311F</v>
          </cell>
          <cell r="B404" t="str">
            <v>显示面板-CEM-1</v>
          </cell>
          <cell r="C404" t="str">
            <v>鼎新</v>
          </cell>
        </row>
        <row r="405">
          <cell r="A405" t="str">
            <v>0011800311G</v>
          </cell>
          <cell r="B405" t="str">
            <v>显示面板-CEM-1</v>
          </cell>
          <cell r="C405" t="str">
            <v>鼎新</v>
          </cell>
        </row>
        <row r="406">
          <cell r="A406" t="str">
            <v>0011800323D</v>
          </cell>
          <cell r="B406" t="str">
            <v>室内电脑板-CEM-3</v>
          </cell>
          <cell r="C406" t="str">
            <v>领智</v>
          </cell>
        </row>
        <row r="407">
          <cell r="A407" t="str">
            <v>0011800323Z</v>
          </cell>
          <cell r="B407" t="str">
            <v>室内电脑板-CEM-1</v>
          </cell>
          <cell r="C407" t="str">
            <v>领智</v>
          </cell>
        </row>
        <row r="408">
          <cell r="A408" t="str">
            <v>0011800324</v>
          </cell>
          <cell r="B408" t="str">
            <v>显示面板-CEM-1</v>
          </cell>
          <cell r="C408" t="str">
            <v>和而泰</v>
          </cell>
        </row>
        <row r="409">
          <cell r="A409" t="str">
            <v>0011800339DX</v>
          </cell>
          <cell r="B409" t="str">
            <v>室外电脑板-CEM-3</v>
          </cell>
          <cell r="C409" t="str">
            <v>领智</v>
          </cell>
        </row>
        <row r="410">
          <cell r="A410" t="str">
            <v>0011800377J</v>
          </cell>
          <cell r="B410" t="str">
            <v>室外模块驱动板-FR-4</v>
          </cell>
          <cell r="C410" t="str">
            <v>领智</v>
          </cell>
        </row>
        <row r="411">
          <cell r="A411" t="str">
            <v>0011800377N</v>
          </cell>
          <cell r="B411" t="str">
            <v>室外模块驱动板-FR-4---</v>
          </cell>
          <cell r="C411" t="str">
            <v>领智</v>
          </cell>
        </row>
        <row r="412">
          <cell r="A412" t="str">
            <v>0011800390D</v>
          </cell>
          <cell r="B412" t="str">
            <v>室内电脑板-CEM-1---</v>
          </cell>
          <cell r="C412" t="str">
            <v>鼎新</v>
          </cell>
        </row>
        <row r="413">
          <cell r="A413" t="str">
            <v>0011800395C</v>
          </cell>
          <cell r="B413" t="str">
            <v>室内电脑板-CEM-1</v>
          </cell>
          <cell r="C413" t="str">
            <v>鼎新</v>
          </cell>
        </row>
        <row r="414">
          <cell r="A414" t="str">
            <v>0011800395E</v>
          </cell>
          <cell r="B414" t="str">
            <v>室内电脑板-CEM-1---</v>
          </cell>
          <cell r="C414" t="str">
            <v>鼎新</v>
          </cell>
        </row>
        <row r="415">
          <cell r="A415" t="str">
            <v>0011800410AA</v>
          </cell>
          <cell r="B415" t="str">
            <v>室外电脑板-通用N系列台湾24K410C基础上更�</v>
          </cell>
          <cell r="C415" t="str">
            <v>领智</v>
          </cell>
        </row>
        <row r="416">
          <cell r="A416" t="str">
            <v>0011800410W</v>
          </cell>
          <cell r="B416" t="str">
            <v>室外电脑板-/</v>
          </cell>
          <cell r="C416" t="str">
            <v>领智</v>
          </cell>
        </row>
        <row r="417">
          <cell r="A417" t="str">
            <v>0011800417B</v>
          </cell>
          <cell r="B417" t="str">
            <v>室内电脑板-CEM-1</v>
          </cell>
          <cell r="C417" t="str">
            <v>领智</v>
          </cell>
        </row>
        <row r="418">
          <cell r="A418" t="str">
            <v>0011800417J</v>
          </cell>
          <cell r="B418" t="str">
            <v>室内电脑板-通用台湾低待机417基础上更改参</v>
          </cell>
          <cell r="C418" t="str">
            <v>领智</v>
          </cell>
        </row>
        <row r="419">
          <cell r="A419" t="str">
            <v>0011800421C</v>
          </cell>
          <cell r="B419" t="str">
            <v>室内电脑板-CEM-1</v>
          </cell>
          <cell r="C419" t="str">
            <v>领智</v>
          </cell>
        </row>
        <row r="420">
          <cell r="A420" t="str">
            <v>0011800491</v>
          </cell>
          <cell r="B420" t="str">
            <v>室内电脑版</v>
          </cell>
          <cell r="C420" t="str">
            <v>领智</v>
          </cell>
        </row>
        <row r="421">
          <cell r="A421" t="str">
            <v>0011800491D</v>
          </cell>
          <cell r="B421" t="str">
            <v>室内电脑板-CEM-1</v>
          </cell>
          <cell r="C421" t="str">
            <v>领智</v>
          </cell>
        </row>
        <row r="422">
          <cell r="A422" t="str">
            <v>0011800492D</v>
          </cell>
          <cell r="B422" t="str">
            <v>室内电脑板-CEM-1</v>
          </cell>
          <cell r="C422" t="str">
            <v>领智</v>
          </cell>
        </row>
        <row r="423">
          <cell r="A423" t="str">
            <v>0011800537A</v>
          </cell>
          <cell r="B423" t="str">
            <v>室内电脑板-CEM-1</v>
          </cell>
          <cell r="C423" t="str">
            <v>和而泰/领智//</v>
          </cell>
        </row>
        <row r="424">
          <cell r="A424" t="str">
            <v>0011800593A</v>
          </cell>
          <cell r="B424" t="str">
            <v>室内电脑板-CEM-3F系列新开海外项目室内电�</v>
          </cell>
          <cell r="C424" t="str">
            <v>领智</v>
          </cell>
        </row>
        <row r="425">
          <cell r="A425" t="str">
            <v>0011800612F</v>
          </cell>
          <cell r="B425" t="str">
            <v>室内电脑板-CEM-1</v>
          </cell>
          <cell r="C425" t="str">
            <v>和而泰/领智//</v>
          </cell>
        </row>
        <row r="426">
          <cell r="A426" t="str">
            <v>0011800612H</v>
          </cell>
          <cell r="B426" t="str">
            <v>室内电脑板-/---</v>
          </cell>
          <cell r="C426" t="str">
            <v>和而泰/领智//</v>
          </cell>
        </row>
        <row r="427">
          <cell r="A427" t="str">
            <v>0011800630E</v>
          </cell>
          <cell r="B427" t="str">
            <v>室内电脑板-CEM-1室内电脑板马来18k室内电脑板-</v>
          </cell>
          <cell r="C427" t="str">
            <v>和而泰/领智//</v>
          </cell>
        </row>
        <row r="428">
          <cell r="A428" t="str">
            <v>0011800630K</v>
          </cell>
          <cell r="B428" t="str">
            <v>室内电脑板-CEM-1室内电脑板</v>
          </cell>
          <cell r="C428" t="str">
            <v>和而泰/领智//</v>
          </cell>
        </row>
        <row r="429">
          <cell r="A429" t="str">
            <v>0011800646M</v>
          </cell>
          <cell r="B429" t="str">
            <v>室内电脑板-FR-4/</v>
          </cell>
          <cell r="C429" t="str">
            <v>和而泰/领智//</v>
          </cell>
        </row>
        <row r="430">
          <cell r="A430" t="str">
            <v>0011800648</v>
          </cell>
          <cell r="B430" t="str">
            <v>室外模块驱动板-FR-4</v>
          </cell>
          <cell r="C430" t="str">
            <v>领智</v>
          </cell>
        </row>
        <row r="431">
          <cell r="A431" t="str">
            <v>0011800648A</v>
          </cell>
          <cell r="B431" t="str">
            <v>室外模块驱动板-FR-4---</v>
          </cell>
          <cell r="C431" t="str">
            <v>领智</v>
          </cell>
        </row>
        <row r="432">
          <cell r="A432" t="str">
            <v>0011800648B</v>
          </cell>
          <cell r="B432" t="str">
            <v>室外模块驱动板-FR-4</v>
          </cell>
          <cell r="C432" t="str">
            <v>领智</v>
          </cell>
        </row>
        <row r="433">
          <cell r="A433" t="str">
            <v>0011800690AQ</v>
          </cell>
          <cell r="B433" t="str">
            <v>室外电脑板-/---</v>
          </cell>
          <cell r="C433" t="str">
            <v>领智/尚研//</v>
          </cell>
        </row>
        <row r="434">
          <cell r="A434" t="str">
            <v>0011800690AR</v>
          </cell>
          <cell r="B434" t="str">
            <v>室外电脑板-/---</v>
          </cell>
          <cell r="C434" t="str">
            <v>领智</v>
          </cell>
        </row>
        <row r="435">
          <cell r="A435" t="str">
            <v>0011800690BC</v>
          </cell>
          <cell r="B435" t="str">
            <v>变频外电脑板-FR-4泰国15K单冷变频</v>
          </cell>
          <cell r="C435" t="str">
            <v>领智</v>
          </cell>
        </row>
        <row r="436">
          <cell r="A436" t="str">
            <v>0011800697</v>
          </cell>
          <cell r="B436" t="str">
            <v>室内电脑板-CEM-1</v>
          </cell>
          <cell r="C436" t="str">
            <v>领智</v>
          </cell>
        </row>
        <row r="437">
          <cell r="A437" t="str">
            <v>0011800744</v>
          </cell>
          <cell r="B437" t="str">
            <v>室内电脑板-CEM-1</v>
          </cell>
          <cell r="C437" t="str">
            <v>领智</v>
          </cell>
        </row>
        <row r="438">
          <cell r="A438" t="str">
            <v>0011800801A</v>
          </cell>
          <cell r="B438" t="str">
            <v>一体机电脑板-FR-4</v>
          </cell>
          <cell r="C438" t="str">
            <v>领智</v>
          </cell>
        </row>
        <row r="439">
          <cell r="A439" t="str">
            <v>0011800814X</v>
          </cell>
          <cell r="B439" t="str">
            <v>室外电脑板-FR-4---</v>
          </cell>
          <cell r="C439" t="str">
            <v>领智</v>
          </cell>
        </row>
        <row r="440">
          <cell r="A440" t="str">
            <v>0011800826</v>
          </cell>
          <cell r="B440" t="str">
            <v>室内电脑板-CEM-1</v>
          </cell>
          <cell r="C440" t="str">
            <v>领智</v>
          </cell>
        </row>
        <row r="441">
          <cell r="A441" t="str">
            <v>0011800827D</v>
          </cell>
          <cell r="B441" t="str">
            <v>室外电脑板-/---</v>
          </cell>
          <cell r="C441" t="str">
            <v>领智</v>
          </cell>
        </row>
        <row r="442">
          <cell r="A442" t="str">
            <v>0011800827E</v>
          </cell>
          <cell r="B442" t="str">
            <v>室外电脑板-/---</v>
          </cell>
          <cell r="C442" t="str">
            <v>领智</v>
          </cell>
        </row>
        <row r="443">
          <cell r="A443" t="str">
            <v>0011800827W</v>
          </cell>
          <cell r="B443" t="str">
            <v>变频外电脑板-/293mm×181mm</v>
          </cell>
          <cell r="C443" t="str">
            <v>领智</v>
          </cell>
        </row>
        <row r="444">
          <cell r="A444" t="str">
            <v>0011800827Y</v>
          </cell>
          <cell r="B444" t="str">
            <v>变频外电脑板-FR-4</v>
          </cell>
          <cell r="C444" t="str">
            <v>和而泰</v>
          </cell>
        </row>
        <row r="445">
          <cell r="A445" t="str">
            <v>0011800865A</v>
          </cell>
          <cell r="B445" t="str">
            <v>室外模块驱动板-FR-4</v>
          </cell>
          <cell r="C445" t="str">
            <v>领智</v>
          </cell>
        </row>
        <row r="446">
          <cell r="A446" t="str">
            <v>0011800865N</v>
          </cell>
          <cell r="B446" t="str">
            <v>功率驱动板-FR-4/--</v>
          </cell>
          <cell r="C446" t="str">
            <v>领智</v>
          </cell>
        </row>
        <row r="447">
          <cell r="A447" t="str">
            <v>0011800879F</v>
          </cell>
          <cell r="B447" t="str">
            <v>室外电脑板-FR-4/--</v>
          </cell>
          <cell r="C447" t="str">
            <v>领智</v>
          </cell>
        </row>
        <row r="448">
          <cell r="A448" t="str">
            <v>0011800909E</v>
          </cell>
          <cell r="B448" t="str">
            <v>室内电脑板-CEM-3</v>
          </cell>
          <cell r="C448" t="str">
            <v>领智</v>
          </cell>
        </row>
        <row r="449">
          <cell r="A449" t="str">
            <v>0011800909F</v>
          </cell>
          <cell r="B449" t="str">
            <v>室内电脑板-CEM-3</v>
          </cell>
          <cell r="C449" t="str">
            <v>领智</v>
          </cell>
        </row>
        <row r="450">
          <cell r="A450" t="str">
            <v>0011800930B</v>
          </cell>
          <cell r="B450" t="str">
            <v>室外电脑板-CEM-3---</v>
          </cell>
          <cell r="C450" t="str">
            <v>领智</v>
          </cell>
        </row>
        <row r="451">
          <cell r="A451" t="str">
            <v>0011800930G</v>
          </cell>
          <cell r="B451" t="str">
            <v>室外电脑板-CEM-3/--</v>
          </cell>
          <cell r="C451" t="str">
            <v>领智</v>
          </cell>
        </row>
        <row r="452">
          <cell r="A452" t="str">
            <v>0011800930H</v>
          </cell>
          <cell r="B452" t="str">
            <v>室外电脑板-CEM-3/--</v>
          </cell>
          <cell r="C452" t="str">
            <v>领智</v>
          </cell>
        </row>
        <row r="453">
          <cell r="A453" t="str">
            <v>0011800977B</v>
          </cell>
          <cell r="B453" t="str">
            <v>室内电脑板-CEM-1/</v>
          </cell>
          <cell r="C453" t="str">
            <v>和而泰</v>
          </cell>
        </row>
        <row r="454">
          <cell r="A454" t="str">
            <v>0011800980</v>
          </cell>
          <cell r="B454" t="str">
            <v>室内电脑板-FR-4136*165--</v>
          </cell>
          <cell r="C454" t="str">
            <v>领智</v>
          </cell>
        </row>
        <row r="455">
          <cell r="A455" t="str">
            <v>0011800981D</v>
          </cell>
          <cell r="B455" t="str">
            <v>变频外电脑板-FR-4230*196</v>
          </cell>
          <cell r="C455" t="str">
            <v>领智</v>
          </cell>
        </row>
        <row r="456">
          <cell r="A456" t="str">
            <v>0011801011</v>
          </cell>
          <cell r="B456" t="str">
            <v>显示板-//--</v>
          </cell>
          <cell r="C456" t="str">
            <v>领智</v>
          </cell>
        </row>
        <row r="457">
          <cell r="A457" t="str">
            <v>0011801046</v>
          </cell>
          <cell r="B457" t="str">
            <v>室内电脑板-FR-4FR-4--</v>
          </cell>
          <cell r="C457" t="str">
            <v>领智</v>
          </cell>
        </row>
        <row r="458">
          <cell r="A458" t="str">
            <v>0011801121</v>
          </cell>
          <cell r="B458" t="str">
            <v>室内电脑板-FR-4136*165</v>
          </cell>
          <cell r="C458" t="str">
            <v>领智</v>
          </cell>
        </row>
        <row r="459">
          <cell r="A459" t="str">
            <v>001A4000097A</v>
          </cell>
          <cell r="B459" t="str">
            <v>端子排-/</v>
          </cell>
          <cell r="C459" t="str">
            <v>华冠</v>
          </cell>
        </row>
        <row r="460">
          <cell r="A460" t="str">
            <v>001A4000098</v>
          </cell>
          <cell r="B460" t="str">
            <v>ROHS-端子排(JXW-7-H 600V 30A 4MM2)-N/A</v>
          </cell>
          <cell r="C460" t="str">
            <v>华冠</v>
          </cell>
        </row>
        <row r="461">
          <cell r="A461" t="str">
            <v>0150400400</v>
          </cell>
          <cell r="B461" t="str">
            <v>线束</v>
          </cell>
          <cell r="C461" t="str">
            <v>悠进</v>
          </cell>
        </row>
        <row r="462">
          <cell r="A462" t="str">
            <v>0260402878B</v>
          </cell>
          <cell r="B462" t="str">
            <v>接插线-/G-WIR-5-BW-220-P-1.3-N1-2.5P/N2-2.0</v>
          </cell>
          <cell r="C462" t="str">
            <v>桦晟/金龙//</v>
          </cell>
        </row>
        <row r="463">
          <cell r="A463" t="str">
            <v>0260402878C</v>
          </cell>
          <cell r="B463" t="str">
            <v>接插线-/G-WIR-5-RW-220-P-1.3-N1-2.5P/N2-2.0</v>
          </cell>
          <cell r="C463" t="str">
            <v>桦晟</v>
          </cell>
        </row>
        <row r="464">
          <cell r="A464" t="str">
            <v>0010400821</v>
          </cell>
          <cell r="B464" t="str">
            <v>线束</v>
          </cell>
          <cell r="C464" t="str">
            <v>得润/金龙//</v>
          </cell>
        </row>
        <row r="465">
          <cell r="A465" t="str">
            <v>0010400939</v>
          </cell>
          <cell r="B465" t="str">
            <v>室内线束-0.5mm2</v>
          </cell>
          <cell r="C465" t="str">
            <v>悠进/得润//</v>
          </cell>
        </row>
        <row r="466">
          <cell r="A466" t="str">
            <v>0010401028B</v>
          </cell>
          <cell r="B466" t="str">
            <v>室内线束-RV90 1.5MM2 双250直插白色1.5mm2</v>
          </cell>
          <cell r="C466" t="str">
            <v>桦晟/得润/金龙/</v>
          </cell>
        </row>
        <row r="467">
          <cell r="A467" t="str">
            <v>0010401140</v>
          </cell>
          <cell r="B467" t="str">
            <v>室外线束-UL1015 AWG161.5mm2带背插单压机</v>
          </cell>
          <cell r="C467" t="str">
            <v>桦晟/珠城//</v>
          </cell>
        </row>
        <row r="468">
          <cell r="A468" t="str">
            <v>0010401715AY</v>
          </cell>
          <cell r="B468" t="str">
            <v>遥控器-塑料1715B基础上英文按键改为俄文按</v>
          </cell>
          <cell r="C468" t="str">
            <v>合晶</v>
          </cell>
        </row>
        <row r="469">
          <cell r="A469" t="str">
            <v>0010401715GE</v>
          </cell>
          <cell r="B469" t="str">
            <v>遥控器-塑料81*21</v>
          </cell>
          <cell r="C469" t="str">
            <v>合晶</v>
          </cell>
        </row>
        <row r="470">
          <cell r="A470" t="str">
            <v>0010402185</v>
          </cell>
          <cell r="B470" t="str">
            <v>线束-/</v>
          </cell>
          <cell r="C470" t="str">
            <v>桦晟/得润//</v>
          </cell>
        </row>
        <row r="471">
          <cell r="A471" t="str">
            <v>0010402187</v>
          </cell>
          <cell r="B471" t="str">
            <v>端子排-/</v>
          </cell>
          <cell r="C471" t="str">
            <v>凯都/华冠//</v>
          </cell>
        </row>
        <row r="472">
          <cell r="A472" t="str">
            <v>0010402971</v>
          </cell>
          <cell r="B472" t="str">
            <v>连机线(245IEC57(YZW)3*1.0*4000)-/</v>
          </cell>
          <cell r="C472" t="str">
            <v>桦晟/得润//</v>
          </cell>
        </row>
        <row r="473">
          <cell r="A473" t="str">
            <v>0010402980C</v>
          </cell>
          <cell r="B473" t="str">
            <v>连机线-/</v>
          </cell>
          <cell r="C473" t="str">
            <v>泓淋/华声//</v>
          </cell>
        </row>
        <row r="474">
          <cell r="A474" t="str">
            <v>0010403883</v>
          </cell>
          <cell r="B474" t="str">
            <v>室外线束(HSU-24CV13(T3))-/</v>
          </cell>
          <cell r="C474" t="str">
            <v>桦晟/得润//</v>
          </cell>
        </row>
        <row r="475">
          <cell r="A475" t="str">
            <v>0010404183</v>
          </cell>
          <cell r="B475" t="str">
            <v>ROHS-压机保护线(HSU-22HC03/R2)-通用</v>
          </cell>
          <cell r="C475" t="str">
            <v>桦晟/得润//</v>
          </cell>
        </row>
        <row r="476">
          <cell r="A476" t="str">
            <v>0010404438</v>
          </cell>
          <cell r="B476" t="str">
            <v>ROHS-电源线(KFRD-50LW/RA(F))</v>
          </cell>
          <cell r="C476" t="str">
            <v>泓淋/华声//</v>
          </cell>
        </row>
        <row r="477">
          <cell r="A477" t="str">
            <v>0011800317V</v>
          </cell>
          <cell r="B477" t="str">
            <v>显示面板-/---</v>
          </cell>
          <cell r="C477" t="str">
            <v>领智/尚研/领智/</v>
          </cell>
        </row>
        <row r="478">
          <cell r="A478" t="str">
            <v>0011800376AG</v>
          </cell>
          <cell r="B478" t="str">
            <v>室内电脑板-CEM-1CEM-1&lt;CEM-1&gt;</v>
          </cell>
          <cell r="C478" t="str">
            <v>领智/领智//</v>
          </cell>
        </row>
        <row r="479">
          <cell r="A479" t="str">
            <v>0011800932AG</v>
          </cell>
          <cell r="B479" t="str">
            <v>变频外电脑板-FR-4270*180</v>
          </cell>
          <cell r="C479" t="str">
            <v>航嘉/领智//</v>
          </cell>
        </row>
        <row r="480">
          <cell r="A480" t="str">
            <v>001A4200068</v>
          </cell>
          <cell r="B480" t="str">
            <v>电源线(227IEC53(RVV)3*2.5*2515)</v>
          </cell>
          <cell r="C480" t="str">
            <v>华声/泓淋//</v>
          </cell>
        </row>
        <row r="481">
          <cell r="A481" t="str">
            <v>0010401511</v>
          </cell>
          <cell r="B481" t="str">
            <v>遥控器-/</v>
          </cell>
          <cell r="C481" t="e">
            <v>#N/A</v>
          </cell>
        </row>
        <row r="482">
          <cell r="A482" t="str">
            <v>0010401715CY</v>
          </cell>
          <cell r="B482" t="str">
            <v>遥控器-塑料</v>
          </cell>
          <cell r="C482" t="str">
            <v>合晶</v>
          </cell>
        </row>
        <row r="483">
          <cell r="A483" t="str">
            <v>0010401715EX</v>
          </cell>
          <cell r="B483" t="str">
            <v>遥控器-塑料/</v>
          </cell>
          <cell r="C483" t="str">
            <v>合晶</v>
          </cell>
        </row>
        <row r="484">
          <cell r="A484" t="str">
            <v>0010401715GL</v>
          </cell>
          <cell r="B484" t="str">
            <v>遥控器-塑料塑料&lt;Plastic&gt;</v>
          </cell>
          <cell r="C484" t="str">
            <v>合晶</v>
          </cell>
        </row>
        <row r="485">
          <cell r="A485" t="str">
            <v>0010401715HG</v>
          </cell>
          <cell r="B485" t="str">
            <v>遥控器-塑料HE</v>
          </cell>
          <cell r="C485" t="e">
            <v>#N/A</v>
          </cell>
        </row>
        <row r="486">
          <cell r="A486" t="str">
            <v>0010402647Z</v>
          </cell>
          <cell r="B486" t="str">
            <v>遥控器-塑料</v>
          </cell>
          <cell r="C486" t="str">
            <v>合晶</v>
          </cell>
        </row>
        <row r="487">
          <cell r="A487" t="str">
            <v>0010402886AD</v>
          </cell>
          <cell r="B487" t="str">
            <v>遥控器-塑料</v>
          </cell>
          <cell r="C487" t="str">
            <v>长虹</v>
          </cell>
        </row>
        <row r="488">
          <cell r="A488" t="str">
            <v>0010404555D</v>
          </cell>
          <cell r="B488" t="str">
            <v>遥控器-塑料HFA</v>
          </cell>
          <cell r="C488" t="str">
            <v>合晶</v>
          </cell>
        </row>
        <row r="489">
          <cell r="A489" t="str">
            <v>0010877831</v>
          </cell>
          <cell r="B489" t="str">
            <v>显示面板组-组件冰雪白 HOWH-1404</v>
          </cell>
          <cell r="C489" t="str">
            <v>航嘉</v>
          </cell>
        </row>
        <row r="490">
          <cell r="A490" t="str">
            <v>0011800029AX</v>
          </cell>
          <cell r="B490" t="str">
            <v>室内电脑板</v>
          </cell>
          <cell r="C490" t="str">
            <v>领智</v>
          </cell>
        </row>
        <row r="491">
          <cell r="A491" t="str">
            <v>0011800029AY</v>
          </cell>
          <cell r="B491" t="str">
            <v>室内电脑板-CEM-1</v>
          </cell>
          <cell r="C491" t="str">
            <v>领智</v>
          </cell>
        </row>
        <row r="492">
          <cell r="A492" t="str">
            <v>0011800052M</v>
          </cell>
          <cell r="B492" t="str">
            <v>室外模块板-FR-4</v>
          </cell>
          <cell r="C492" t="str">
            <v>领智</v>
          </cell>
        </row>
        <row r="493">
          <cell r="A493" t="str">
            <v>0011800184</v>
          </cell>
          <cell r="B493" t="str">
            <v>显示面板-CEM-1</v>
          </cell>
          <cell r="C493" t="str">
            <v>领智</v>
          </cell>
        </row>
        <row r="494">
          <cell r="A494" t="str">
            <v>0011800209F</v>
          </cell>
          <cell r="B494" t="str">
            <v>室外电脑板-CEM-3</v>
          </cell>
          <cell r="C494" t="str">
            <v>领智</v>
          </cell>
        </row>
        <row r="495">
          <cell r="A495" t="str">
            <v>0011800223A</v>
          </cell>
          <cell r="B495" t="str">
            <v>室外模块驱动板-FR-4</v>
          </cell>
          <cell r="C495" t="str">
            <v>领智</v>
          </cell>
        </row>
        <row r="496">
          <cell r="A496" t="str">
            <v>0011800241F</v>
          </cell>
          <cell r="B496" t="str">
            <v>室外电脑板-CEM-3</v>
          </cell>
          <cell r="C496" t="str">
            <v>领智</v>
          </cell>
        </row>
        <row r="497">
          <cell r="A497" t="str">
            <v>0011800283Z</v>
          </cell>
          <cell r="B497" t="str">
            <v>室外电脑板-CEM-1GQBHDC1.5</v>
          </cell>
          <cell r="C497" t="str">
            <v>领智</v>
          </cell>
        </row>
        <row r="498">
          <cell r="A498" t="str">
            <v>0011800310</v>
          </cell>
          <cell r="B498" t="str">
            <v>显示面板-CEM-1</v>
          </cell>
          <cell r="C498" t="str">
            <v>鼎新</v>
          </cell>
        </row>
        <row r="499">
          <cell r="A499" t="str">
            <v>0011800328J</v>
          </cell>
          <cell r="B499" t="str">
            <v>室外模块驱动板-FR-4</v>
          </cell>
          <cell r="C499" t="str">
            <v>领智</v>
          </cell>
        </row>
        <row r="500">
          <cell r="A500" t="str">
            <v>0011800328X</v>
          </cell>
          <cell r="B500" t="str">
            <v>室外模块驱动板-FR-4</v>
          </cell>
          <cell r="C500" t="str">
            <v>领智</v>
          </cell>
        </row>
        <row r="501">
          <cell r="A501" t="str">
            <v>0011800350AY</v>
          </cell>
          <cell r="B501" t="str">
            <v>室外电脑板-CEM-3</v>
          </cell>
          <cell r="C501" t="str">
            <v>领智</v>
          </cell>
        </row>
        <row r="502">
          <cell r="A502" t="str">
            <v>0011800417</v>
          </cell>
          <cell r="B502" t="str">
            <v>室内电脑板-CEM-1</v>
          </cell>
          <cell r="C502" t="str">
            <v>领智</v>
          </cell>
        </row>
        <row r="503">
          <cell r="A503" t="str">
            <v>0011800490A</v>
          </cell>
          <cell r="B503" t="str">
            <v>室内电脑板-CEM-3</v>
          </cell>
          <cell r="C503" t="str">
            <v>领智</v>
          </cell>
        </row>
        <row r="504">
          <cell r="A504" t="str">
            <v>0011800510C</v>
          </cell>
          <cell r="B504" t="str">
            <v>室外电脑板-CEM-3</v>
          </cell>
          <cell r="C504" t="str">
            <v>领智</v>
          </cell>
        </row>
        <row r="505">
          <cell r="A505" t="str">
            <v>0011800511A</v>
          </cell>
          <cell r="B505" t="str">
            <v>室内电脑板-CEM-3---</v>
          </cell>
          <cell r="C505" t="str">
            <v>领智</v>
          </cell>
        </row>
        <row r="506">
          <cell r="A506" t="str">
            <v>0011800578A</v>
          </cell>
          <cell r="B506" t="str">
            <v>室内电脑板-CEM-1</v>
          </cell>
          <cell r="C506" t="str">
            <v>领智</v>
          </cell>
        </row>
        <row r="507">
          <cell r="A507" t="str">
            <v>0011800587</v>
          </cell>
          <cell r="B507" t="str">
            <v>室内电脑板-CEM-1</v>
          </cell>
          <cell r="C507" t="str">
            <v>领智</v>
          </cell>
        </row>
        <row r="508">
          <cell r="A508" t="str">
            <v>0011800612E</v>
          </cell>
          <cell r="B508" t="str">
            <v>室内电脑板-CEM-1</v>
          </cell>
          <cell r="C508" t="str">
            <v>和而泰/领智//</v>
          </cell>
        </row>
        <row r="509">
          <cell r="A509" t="str">
            <v>0011800827F</v>
          </cell>
          <cell r="B509" t="str">
            <v>变频外电脑板-/</v>
          </cell>
          <cell r="C509" t="str">
            <v>领智</v>
          </cell>
        </row>
        <row r="510">
          <cell r="A510" t="str">
            <v>0011800981</v>
          </cell>
          <cell r="B510" t="str">
            <v>变频外电脑板-FR-4230*196--</v>
          </cell>
          <cell r="C510" t="str">
            <v>领智</v>
          </cell>
        </row>
        <row r="511">
          <cell r="A511" t="str">
            <v>0011801150R</v>
          </cell>
          <cell r="B511" t="str">
            <v>变频外电脑板-FR-4230mm*157mm</v>
          </cell>
          <cell r="C511" t="str">
            <v>领智</v>
          </cell>
        </row>
        <row r="512">
          <cell r="A512" t="str">
            <v>0010403351</v>
          </cell>
          <cell r="B512" t="str">
            <v>线束-/</v>
          </cell>
          <cell r="C512" t="str">
            <v>悠进/桦晟//</v>
          </cell>
        </row>
        <row r="513">
          <cell r="A513" t="str">
            <v>0010403360</v>
          </cell>
          <cell r="B513" t="str">
            <v>线束-/</v>
          </cell>
          <cell r="C513" t="str">
            <v>桦晟/悠进//</v>
          </cell>
        </row>
        <row r="514">
          <cell r="A514" t="str">
            <v>0011800850</v>
          </cell>
          <cell r="B514" t="str">
            <v>室外电脑板-FR-4海尔黑HBBK-1405</v>
          </cell>
          <cell r="C514" t="str">
            <v>领智/中家智康//</v>
          </cell>
        </row>
        <row r="515">
          <cell r="A515" t="str">
            <v>0010400641M</v>
          </cell>
          <cell r="B515" t="str">
            <v>线束-/</v>
          </cell>
          <cell r="C515" t="str">
            <v>桦晟</v>
          </cell>
        </row>
        <row r="516">
          <cell r="A516" t="str">
            <v>0010400750</v>
          </cell>
          <cell r="B516" t="str">
            <v>连机线(245IEC57(YZW)3*0.75*4000)-N/A</v>
          </cell>
          <cell r="C516" t="str">
            <v>华声</v>
          </cell>
        </row>
        <row r="517">
          <cell r="A517" t="str">
            <v>0010400948A</v>
          </cell>
          <cell r="B517" t="str">
            <v>连机线-/VDE3*2.5*4M</v>
          </cell>
          <cell r="C517" t="str">
            <v>华声</v>
          </cell>
        </row>
        <row r="518">
          <cell r="A518" t="str">
            <v>0010401028X</v>
          </cell>
          <cell r="B518" t="str">
            <v>线束-2.0mm2</v>
          </cell>
          <cell r="C518" t="str">
            <v>桦晟</v>
          </cell>
        </row>
        <row r="519">
          <cell r="A519" t="str">
            <v>0010401028Y</v>
          </cell>
          <cell r="B519" t="str">
            <v>线束-2.0mm2</v>
          </cell>
          <cell r="C519" t="str">
            <v>桦晟</v>
          </cell>
        </row>
        <row r="520">
          <cell r="A520" t="str">
            <v>0010401314AB</v>
          </cell>
          <cell r="B520" t="str">
            <v>遥控器-塑料</v>
          </cell>
          <cell r="C520" t="str">
            <v>长虹</v>
          </cell>
        </row>
        <row r="521">
          <cell r="A521" t="str">
            <v>0010401314K</v>
          </cell>
          <cell r="B521" t="str">
            <v>遥控器-塑料</v>
          </cell>
          <cell r="C521" t="str">
            <v>长虹</v>
          </cell>
        </row>
        <row r="522">
          <cell r="A522" t="str">
            <v>0010401314S</v>
          </cell>
          <cell r="B522" t="str">
            <v>遥控器-塑料</v>
          </cell>
          <cell r="C522" t="str">
            <v>长虹</v>
          </cell>
        </row>
        <row r="523">
          <cell r="A523" t="str">
            <v>0010401377D</v>
          </cell>
          <cell r="B523" t="str">
            <v>连机线-/</v>
          </cell>
          <cell r="C523" t="str">
            <v>泓淋/华声/日丰/</v>
          </cell>
        </row>
        <row r="524">
          <cell r="A524" t="str">
            <v>0010401715EK</v>
          </cell>
          <cell r="B524" t="str">
            <v>遥控器-塑料</v>
          </cell>
          <cell r="C524" t="str">
            <v>合晶</v>
          </cell>
        </row>
        <row r="525">
          <cell r="A525" t="str">
            <v>0010401715EL</v>
          </cell>
          <cell r="B525" t="str">
            <v>遥控器-/</v>
          </cell>
          <cell r="C525" t="str">
            <v>合晶</v>
          </cell>
        </row>
        <row r="526">
          <cell r="A526" t="str">
            <v>0010401996AA</v>
          </cell>
          <cell r="B526" t="str">
            <v>遥控器-塑料</v>
          </cell>
          <cell r="C526" t="str">
            <v>长虹</v>
          </cell>
        </row>
        <row r="527">
          <cell r="A527" t="str">
            <v>0010402056A</v>
          </cell>
          <cell r="B527" t="str">
            <v>线束-/</v>
          </cell>
          <cell r="C527" t="str">
            <v>金龙</v>
          </cell>
        </row>
        <row r="528">
          <cell r="A528" t="str">
            <v>0010402095</v>
          </cell>
          <cell r="B528" t="str">
            <v>线束-/RJ45转接头两端防水</v>
          </cell>
          <cell r="C528" t="str">
            <v>金龙</v>
          </cell>
        </row>
        <row r="529">
          <cell r="A529" t="str">
            <v>0010402391A</v>
          </cell>
          <cell r="B529" t="str">
            <v>线束-/</v>
          </cell>
          <cell r="C529" t="str">
            <v>得润</v>
          </cell>
        </row>
        <row r="530">
          <cell r="A530" t="str">
            <v>0010402574C</v>
          </cell>
          <cell r="B530" t="str">
            <v>连机线-//VDE3*1.5*6M</v>
          </cell>
          <cell r="C530" t="str">
            <v>日丰</v>
          </cell>
        </row>
        <row r="531">
          <cell r="A531" t="str">
            <v>0010402830</v>
          </cell>
          <cell r="B531" t="str">
            <v>南非电源线(VDEH05VV-F3*1.5)</v>
          </cell>
          <cell r="C531" t="str">
            <v>泓淋</v>
          </cell>
        </row>
        <row r="532">
          <cell r="A532" t="str">
            <v>0010402886AJ</v>
          </cell>
          <cell r="B532" t="str">
            <v>遥控器-塑料</v>
          </cell>
          <cell r="C532" t="str">
            <v>长虹</v>
          </cell>
        </row>
        <row r="533">
          <cell r="A533" t="str">
            <v>0010402980B</v>
          </cell>
          <cell r="B533" t="str">
            <v>连机线-1mm2VDE3*1.0*4M</v>
          </cell>
          <cell r="C533" t="str">
            <v>华声</v>
          </cell>
        </row>
        <row r="534">
          <cell r="A534" t="str">
            <v>0010402992A</v>
          </cell>
          <cell r="B534" t="str">
            <v>线束-金属</v>
          </cell>
          <cell r="C534" t="str">
            <v>金龙</v>
          </cell>
        </row>
        <row r="535">
          <cell r="A535" t="str">
            <v>0010403221E</v>
          </cell>
          <cell r="B535" t="str">
            <v>ROHS-电源线(HSU-18RB03/R2)-N/A</v>
          </cell>
          <cell r="C535" t="str">
            <v>悠进</v>
          </cell>
        </row>
        <row r="536">
          <cell r="A536" t="str">
            <v>0011800241L</v>
          </cell>
          <cell r="B536" t="str">
            <v>室外电脑板-/</v>
          </cell>
          <cell r="C536" t="str">
            <v>领智</v>
          </cell>
        </row>
        <row r="537">
          <cell r="A537" t="str">
            <v>0011800281G</v>
          </cell>
          <cell r="B537" t="str">
            <v>室内电脑板-/supermatch一代商用系统项目</v>
          </cell>
          <cell r="C537" t="str">
            <v>领智</v>
          </cell>
        </row>
        <row r="538">
          <cell r="A538" t="str">
            <v>0011800323</v>
          </cell>
          <cell r="B538" t="str">
            <v>室内电脑板-CEM-1</v>
          </cell>
          <cell r="C538" t="str">
            <v>领智</v>
          </cell>
        </row>
        <row r="539">
          <cell r="A539" t="str">
            <v>0011800387B</v>
          </cell>
          <cell r="B539" t="str">
            <v>显示面板-FR-4</v>
          </cell>
          <cell r="C539" t="str">
            <v>和而泰</v>
          </cell>
        </row>
        <row r="540">
          <cell r="A540" t="str">
            <v>0011800405AR</v>
          </cell>
          <cell r="B540" t="str">
            <v>室外电脑板-/---</v>
          </cell>
          <cell r="C540" t="str">
            <v>领智</v>
          </cell>
        </row>
        <row r="541">
          <cell r="A541" t="str">
            <v>0011800410BC</v>
          </cell>
          <cell r="B541" t="str">
            <v>室外电脑板-CEM-3</v>
          </cell>
          <cell r="C541" t="str">
            <v>领智</v>
          </cell>
        </row>
        <row r="542">
          <cell r="A542" t="str">
            <v>0011800410H</v>
          </cell>
          <cell r="B542" t="str">
            <v>室外电脑板-CEM-3</v>
          </cell>
          <cell r="C542" t="str">
            <v>领智</v>
          </cell>
        </row>
        <row r="543">
          <cell r="A543" t="str">
            <v>0011800410J</v>
          </cell>
          <cell r="B543" t="str">
            <v>室外电脑板-CEM-3</v>
          </cell>
          <cell r="C543" t="str">
            <v>领智</v>
          </cell>
        </row>
        <row r="544">
          <cell r="A544" t="str">
            <v>0011800410Z</v>
          </cell>
          <cell r="B544" t="str">
            <v>室外电脑板-通用N系列台湾18K在410B基础上�</v>
          </cell>
          <cell r="C544" t="str">
            <v>领智</v>
          </cell>
        </row>
        <row r="545">
          <cell r="A545" t="str">
            <v>0011800417C</v>
          </cell>
          <cell r="B545" t="str">
            <v>室内电脑板-CEM-1</v>
          </cell>
          <cell r="C545" t="str">
            <v>领智</v>
          </cell>
        </row>
        <row r="546">
          <cell r="A546" t="str">
            <v>0011800417L</v>
          </cell>
          <cell r="B546" t="str">
            <v>室内电脑板-CEM-1</v>
          </cell>
          <cell r="C546" t="str">
            <v>领智</v>
          </cell>
        </row>
        <row r="547">
          <cell r="A547" t="str">
            <v>0011800491Q</v>
          </cell>
          <cell r="B547" t="str">
            <v>室内电脑板-CEM-1</v>
          </cell>
          <cell r="C547" t="str">
            <v>领智</v>
          </cell>
        </row>
        <row r="548">
          <cell r="A548" t="str">
            <v>0011800510D</v>
          </cell>
          <cell r="B548" t="str">
            <v>室外电脑板-CEM-3</v>
          </cell>
          <cell r="C548" t="str">
            <v>领智</v>
          </cell>
        </row>
        <row r="549">
          <cell r="A549" t="str">
            <v>0011800511C</v>
          </cell>
          <cell r="B549" t="str">
            <v>室内电脑板-CEM-3</v>
          </cell>
          <cell r="C549" t="str">
            <v>领智</v>
          </cell>
        </row>
        <row r="550">
          <cell r="A550" t="str">
            <v>0011800537C</v>
          </cell>
          <cell r="B550" t="str">
            <v>室内电脑板-CEM-1</v>
          </cell>
          <cell r="C550" t="str">
            <v>和而泰/领智//</v>
          </cell>
        </row>
        <row r="551">
          <cell r="A551" t="str">
            <v>0011800577A</v>
          </cell>
          <cell r="B551" t="str">
            <v>室内电脑板-CEM-1</v>
          </cell>
          <cell r="C551" t="str">
            <v>领智</v>
          </cell>
        </row>
        <row r="552">
          <cell r="A552" t="str">
            <v>0011800587E</v>
          </cell>
          <cell r="B552" t="str">
            <v>室内电脑板-CEM-1---</v>
          </cell>
          <cell r="C552" t="str">
            <v>领智</v>
          </cell>
        </row>
        <row r="553">
          <cell r="A553" t="str">
            <v>0011800587G</v>
          </cell>
          <cell r="B553" t="str">
            <v>室内电脑板-CEM-1</v>
          </cell>
          <cell r="C553" t="str">
            <v>领智</v>
          </cell>
        </row>
        <row r="554">
          <cell r="A554" t="str">
            <v>0011800612AB</v>
          </cell>
          <cell r="B554" t="str">
            <v>室内电脑板-CEM-1\\</v>
          </cell>
          <cell r="C554" t="str">
            <v>和而泰/领智//</v>
          </cell>
        </row>
        <row r="555">
          <cell r="A555" t="str">
            <v>0011800612AC</v>
          </cell>
          <cell r="B555" t="str">
            <v>室内电脑板-CEM-1\</v>
          </cell>
          <cell r="C555" t="str">
            <v>和而泰</v>
          </cell>
        </row>
        <row r="556">
          <cell r="A556" t="str">
            <v>0011800613R</v>
          </cell>
          <cell r="B556" t="str">
            <v>2021.04.231CEM-1泰国共享项目</v>
          </cell>
          <cell r="C556" t="str">
            <v>领智</v>
          </cell>
        </row>
        <row r="557">
          <cell r="A557" t="str">
            <v>0011800614B</v>
          </cell>
          <cell r="B557" t="str">
            <v>室内电脑板-CEM-1</v>
          </cell>
          <cell r="C557" t="str">
            <v>领智</v>
          </cell>
        </row>
        <row r="558">
          <cell r="A558" t="str">
            <v>0011800646C</v>
          </cell>
          <cell r="B558" t="str">
            <v>室内电脑板-FR-4---</v>
          </cell>
          <cell r="C558" t="str">
            <v>和而泰/领智//</v>
          </cell>
        </row>
        <row r="559">
          <cell r="A559" t="str">
            <v>0011800648C</v>
          </cell>
          <cell r="B559" t="str">
            <v>室外模块驱动板-FR-4</v>
          </cell>
          <cell r="C559" t="str">
            <v>领智</v>
          </cell>
        </row>
        <row r="560">
          <cell r="A560" t="str">
            <v>0011800653A</v>
          </cell>
          <cell r="B560" t="str">
            <v>室外电脑板-FR-1</v>
          </cell>
          <cell r="C560" t="str">
            <v>领智</v>
          </cell>
        </row>
        <row r="561">
          <cell r="A561" t="str">
            <v>0011800653C</v>
          </cell>
          <cell r="B561" t="str">
            <v>室外电脑板-FR-1</v>
          </cell>
          <cell r="C561" t="str">
            <v>领智</v>
          </cell>
        </row>
        <row r="562">
          <cell r="A562" t="str">
            <v>0011800653L</v>
          </cell>
          <cell r="B562" t="str">
            <v>室外模块驱动板-FR-1---</v>
          </cell>
          <cell r="C562" t="str">
            <v>领智</v>
          </cell>
        </row>
        <row r="563">
          <cell r="A563" t="str">
            <v>0011800682C</v>
          </cell>
          <cell r="B563" t="str">
            <v>室内电脑板-CEM-3---</v>
          </cell>
          <cell r="C563" t="str">
            <v>领智</v>
          </cell>
        </row>
        <row r="564">
          <cell r="A564" t="str">
            <v>0011800682G</v>
          </cell>
          <cell r="B564" t="str">
            <v>室内电脑板-CEM-1---</v>
          </cell>
          <cell r="C564" t="str">
            <v>领智</v>
          </cell>
        </row>
        <row r="565">
          <cell r="A565" t="str">
            <v>0011800697D</v>
          </cell>
          <cell r="B565" t="str">
            <v>室内电脑板-CEM-1</v>
          </cell>
          <cell r="C565" t="str">
            <v>领智</v>
          </cell>
        </row>
        <row r="566">
          <cell r="A566" t="str">
            <v>0011800697F</v>
          </cell>
          <cell r="B566" t="str">
            <v>室内电脑板-CEM-1室内电脑板马来24k室内电脑板-</v>
          </cell>
          <cell r="C566" t="str">
            <v>领智</v>
          </cell>
        </row>
        <row r="567">
          <cell r="A567" t="str">
            <v>0011800741</v>
          </cell>
          <cell r="B567" t="str">
            <v>室内电脑板-CEM-1</v>
          </cell>
          <cell r="C567" t="str">
            <v>领智</v>
          </cell>
        </row>
        <row r="568">
          <cell r="A568" t="str">
            <v>0011800741A</v>
          </cell>
          <cell r="B568" t="str">
            <v>室内电脑板-CEM-1</v>
          </cell>
          <cell r="C568" t="str">
            <v>领智</v>
          </cell>
        </row>
        <row r="569">
          <cell r="A569" t="str">
            <v>0011800741B</v>
          </cell>
          <cell r="B569" t="str">
            <v>室内电脑板-CEM-1---</v>
          </cell>
          <cell r="C569" t="str">
            <v>领智</v>
          </cell>
        </row>
        <row r="570">
          <cell r="A570" t="str">
            <v>0011800741C</v>
          </cell>
          <cell r="B570" t="str">
            <v>室内电脑板-CEM-1</v>
          </cell>
          <cell r="C570" t="str">
            <v>领智</v>
          </cell>
        </row>
        <row r="571">
          <cell r="A571" t="str">
            <v>0011800780AS</v>
          </cell>
          <cell r="B571" t="str">
            <v>室外电脑板-/---</v>
          </cell>
          <cell r="C571" t="str">
            <v>领智</v>
          </cell>
        </row>
        <row r="572">
          <cell r="A572" t="str">
            <v>0011800783A</v>
          </cell>
          <cell r="B572" t="str">
            <v>室内电脑板-CEM-1</v>
          </cell>
          <cell r="C572" t="str">
            <v>领智</v>
          </cell>
        </row>
        <row r="573">
          <cell r="A573" t="str">
            <v>0011800791</v>
          </cell>
          <cell r="B573" t="str">
            <v>室内电脑板-CEM-1</v>
          </cell>
          <cell r="C573" t="str">
            <v>领智</v>
          </cell>
        </row>
        <row r="574">
          <cell r="A574" t="str">
            <v>0011800801B</v>
          </cell>
          <cell r="B574" t="str">
            <v>变频外电脑板-FR-4229mm×157mm单冷无PFC单电解交流风机毛细管</v>
          </cell>
          <cell r="C574" t="str">
            <v>领智</v>
          </cell>
        </row>
        <row r="575">
          <cell r="A575" t="str">
            <v>0011800814Q</v>
          </cell>
          <cell r="B575" t="str">
            <v>室外电脑板-CEM-3---</v>
          </cell>
          <cell r="C575" t="str">
            <v>领智</v>
          </cell>
        </row>
        <row r="576">
          <cell r="A576" t="str">
            <v>0011800879E</v>
          </cell>
          <cell r="B576" t="str">
            <v>室外电脑板-FR-4/--</v>
          </cell>
          <cell r="C576" t="str">
            <v>领智</v>
          </cell>
        </row>
        <row r="577">
          <cell r="A577" t="str">
            <v>0011800879H</v>
          </cell>
          <cell r="B577" t="str">
            <v>室外电脑板-FR-4室外电脑板</v>
          </cell>
          <cell r="C577" t="str">
            <v>领智</v>
          </cell>
        </row>
        <row r="578">
          <cell r="A578" t="str">
            <v>0011800879L</v>
          </cell>
          <cell r="B578" t="str">
            <v>室外电脑板-FR-4室外电脑板</v>
          </cell>
          <cell r="C578" t="str">
            <v>领智</v>
          </cell>
        </row>
        <row r="579">
          <cell r="A579" t="str">
            <v>0011800930A</v>
          </cell>
          <cell r="B579" t="str">
            <v>室外电脑板-CEM-3</v>
          </cell>
          <cell r="C579" t="str">
            <v>领智</v>
          </cell>
        </row>
        <row r="580">
          <cell r="A580" t="str">
            <v>0011800966A</v>
          </cell>
          <cell r="B580" t="str">
            <v>室外电脑板-FR-1---</v>
          </cell>
          <cell r="C580" t="str">
            <v>领智</v>
          </cell>
        </row>
        <row r="581">
          <cell r="A581" t="str">
            <v>0011801039A</v>
          </cell>
          <cell r="B581" t="str">
            <v>变频外电脑板-FR-4/</v>
          </cell>
          <cell r="C581" t="str">
            <v>中家智康</v>
          </cell>
        </row>
        <row r="582">
          <cell r="A582" t="str">
            <v>0011801172T</v>
          </cell>
          <cell r="B582" t="str">
            <v>变频外电脑板-FR-4240*180FR-4</v>
          </cell>
          <cell r="C582" t="str">
            <v>中家智康</v>
          </cell>
        </row>
        <row r="583">
          <cell r="A583" t="str">
            <v>001A4400518</v>
          </cell>
          <cell r="B583" t="str">
            <v>连机线(245IEC57(YZW)4*0.75*10000)-N/A</v>
          </cell>
          <cell r="C583" t="str">
            <v>日丰/华声//</v>
          </cell>
        </row>
        <row r="584">
          <cell r="A584" t="str">
            <v>0260403130</v>
          </cell>
          <cell r="B584" t="str">
            <v>接插线-/G-WIR-1-Y/G-240-S-3.05-N1/N2-JST地线</v>
          </cell>
          <cell r="C584" t="str">
            <v>相变</v>
          </cell>
        </row>
        <row r="585">
          <cell r="A585" t="str">
            <v>0260403313</v>
          </cell>
          <cell r="B585" t="str">
            <v>接插线-/一芯,颜色:棕色,线长:230mm,外径3.05mm,两端都为对接端子</v>
          </cell>
          <cell r="C585" t="str">
            <v>得润/珠城//</v>
          </cell>
        </row>
        <row r="586">
          <cell r="A586" t="str">
            <v>0260403314</v>
          </cell>
          <cell r="B586" t="str">
            <v>接插线-/一芯,颜色:蓝色,线长:230mm,外径3.05mm,两端都为对接端子</v>
          </cell>
          <cell r="C586" t="str">
            <v>得润/珠城//</v>
          </cell>
        </row>
        <row r="587">
          <cell r="A587" t="str">
            <v>0260403315</v>
          </cell>
          <cell r="B587" t="str">
            <v>接插线-/一芯,颜色:红色,线长:200mm,外径2.75mm,两端都为对接端子</v>
          </cell>
          <cell r="C587" t="str">
            <v>得润/珠城//</v>
          </cell>
        </row>
        <row r="588">
          <cell r="A588" t="str">
            <v>0010401996AN</v>
          </cell>
          <cell r="B588" t="str">
            <v>遥控器-塑料</v>
          </cell>
          <cell r="C588" t="str">
            <v>长虹</v>
          </cell>
        </row>
        <row r="589">
          <cell r="A589" t="str">
            <v>0011800743C</v>
          </cell>
          <cell r="B589" t="str">
            <v>室内电脑板-CEM-1</v>
          </cell>
          <cell r="C589" t="str">
            <v>领智</v>
          </cell>
        </row>
        <row r="590">
          <cell r="A590" t="str">
            <v>0011801118AE</v>
          </cell>
          <cell r="B590" t="str">
            <v>变频外电脑板-FR-4240*180</v>
          </cell>
          <cell r="C590" t="str">
            <v>中家智康</v>
          </cell>
        </row>
        <row r="591">
          <cell r="A591" t="str">
            <v>0010401314</v>
          </cell>
          <cell r="B591" t="str">
            <v>遥控器-塑料</v>
          </cell>
          <cell r="C591" t="e">
            <v>#N/A</v>
          </cell>
        </row>
        <row r="592">
          <cell r="A592" t="str">
            <v>0010401996A</v>
          </cell>
          <cell r="B592" t="str">
            <v>遥控器-塑料</v>
          </cell>
          <cell r="C592" t="str">
            <v>长虹</v>
          </cell>
        </row>
        <row r="593">
          <cell r="A593" t="str">
            <v>0010404941B</v>
          </cell>
          <cell r="B593" t="str">
            <v>遥控器-塑料/</v>
          </cell>
          <cell r="C593" t="str">
            <v>合晶</v>
          </cell>
        </row>
        <row r="594">
          <cell r="A594" t="str">
            <v>0011800339CD</v>
          </cell>
          <cell r="B594" t="str">
            <v>室外电脑板-CEM-3</v>
          </cell>
          <cell r="C594" t="str">
            <v>领智</v>
          </cell>
        </row>
        <row r="595">
          <cell r="A595" t="str">
            <v>0011800345Q</v>
          </cell>
          <cell r="B595" t="str">
            <v>室外电脑板-CEM-3</v>
          </cell>
          <cell r="C595" t="str">
            <v>领智</v>
          </cell>
        </row>
        <row r="596">
          <cell r="A596" t="str">
            <v>0011800350AK</v>
          </cell>
          <cell r="B596" t="str">
            <v>室外电脑板-CEM-3</v>
          </cell>
          <cell r="C596" t="str">
            <v>领智</v>
          </cell>
        </row>
        <row r="597">
          <cell r="A597" t="str">
            <v>0011800410AF</v>
          </cell>
          <cell r="B597" t="str">
            <v>室外电脑板-CEM-3</v>
          </cell>
          <cell r="C597" t="str">
            <v>领智</v>
          </cell>
        </row>
        <row r="598">
          <cell r="A598" t="str">
            <v>0011800524A</v>
          </cell>
          <cell r="B598" t="str">
            <v>室外电脑板-CEM-3</v>
          </cell>
          <cell r="C598" t="str">
            <v>领智</v>
          </cell>
        </row>
        <row r="599">
          <cell r="A599" t="str">
            <v>0011800681</v>
          </cell>
          <cell r="B599" t="str">
            <v>室内电脑板-CEM-1---</v>
          </cell>
          <cell r="C599" t="str">
            <v>领智</v>
          </cell>
        </row>
        <row r="600">
          <cell r="A600" t="str">
            <v>0011800690AX</v>
          </cell>
          <cell r="B600" t="str">
            <v>室外模块驱动板-FR-4280mm*15</v>
          </cell>
          <cell r="C600" t="str">
            <v>领智</v>
          </cell>
        </row>
        <row r="601">
          <cell r="A601" t="str">
            <v>0011800827G</v>
          </cell>
          <cell r="B601" t="str">
            <v>电脑板-/293mm×181mm</v>
          </cell>
          <cell r="C601" t="str">
            <v>领智</v>
          </cell>
        </row>
        <row r="602">
          <cell r="A602" t="str">
            <v>0011801065</v>
          </cell>
          <cell r="B602" t="str">
            <v>智能检测器-FR-4第三代</v>
          </cell>
          <cell r="C602" t="str">
            <v>尚研</v>
          </cell>
        </row>
        <row r="603">
          <cell r="A603" t="str">
            <v>0010400395</v>
          </cell>
          <cell r="B603" t="str">
            <v>连机线-3*0.75*5m0.75mm2（24/0.20）3*0.75</v>
          </cell>
          <cell r="C603" t="str">
            <v>华声</v>
          </cell>
        </row>
        <row r="604">
          <cell r="A604" t="str">
            <v>0010401461A</v>
          </cell>
          <cell r="B604" t="str">
            <v>连机线-/</v>
          </cell>
          <cell r="C604" t="str">
            <v>华声/日丰//</v>
          </cell>
        </row>
        <row r="605">
          <cell r="A605" t="str">
            <v>0010401715EJ</v>
          </cell>
          <cell r="B605" t="str">
            <v>遥控器-塑料</v>
          </cell>
          <cell r="C605" t="str">
            <v>合晶</v>
          </cell>
        </row>
        <row r="606">
          <cell r="A606" t="str">
            <v>0010402364C</v>
          </cell>
          <cell r="B606" t="str">
            <v>线束-/</v>
          </cell>
          <cell r="C606" t="str">
            <v>得润</v>
          </cell>
        </row>
        <row r="607">
          <cell r="A607" t="str">
            <v>0010402644</v>
          </cell>
          <cell r="B607" t="str">
            <v>线束-/</v>
          </cell>
          <cell r="C607" t="str">
            <v>桦晟</v>
          </cell>
        </row>
        <row r="608">
          <cell r="A608" t="str">
            <v>0010402886AR</v>
          </cell>
          <cell r="B608" t="str">
            <v>遥控器-塑料/</v>
          </cell>
          <cell r="C608" t="str">
            <v>长虹</v>
          </cell>
        </row>
        <row r="609">
          <cell r="A609" t="str">
            <v>0010402886L</v>
          </cell>
          <cell r="B609" t="str">
            <v>遥控器-/</v>
          </cell>
          <cell r="C609" t="e">
            <v>#N/A</v>
          </cell>
        </row>
        <row r="610">
          <cell r="A610" t="str">
            <v>0010402921</v>
          </cell>
          <cell r="B610" t="str">
            <v>线束-/</v>
          </cell>
          <cell r="C610" t="e">
            <v>#N/A</v>
          </cell>
        </row>
        <row r="611">
          <cell r="A611" t="str">
            <v>0010404291</v>
          </cell>
          <cell r="B611" t="str">
            <v>电源线</v>
          </cell>
          <cell r="C611" t="str">
            <v>悠进</v>
          </cell>
        </row>
        <row r="612">
          <cell r="A612" t="str">
            <v>0011800328H</v>
          </cell>
          <cell r="B612" t="str">
            <v>室外模块驱动板-FR-4</v>
          </cell>
          <cell r="C612" t="str">
            <v>领智</v>
          </cell>
        </row>
        <row r="613">
          <cell r="A613" t="str">
            <v>0011800366AR</v>
          </cell>
          <cell r="B613" t="str">
            <v>室外电脑板-/</v>
          </cell>
          <cell r="C613" t="str">
            <v>领智</v>
          </cell>
        </row>
        <row r="614">
          <cell r="A614" t="str">
            <v>0011800377Q</v>
          </cell>
          <cell r="B614" t="str">
            <v>室外模块驱动板-FR-4</v>
          </cell>
          <cell r="C614" t="str">
            <v>领智</v>
          </cell>
        </row>
        <row r="615">
          <cell r="A615" t="str">
            <v>0011800410AP</v>
          </cell>
          <cell r="B615" t="str">
            <v>室外电脑板-CEM-3---</v>
          </cell>
          <cell r="C615" t="str">
            <v>领智</v>
          </cell>
        </row>
        <row r="616">
          <cell r="A616" t="str">
            <v>0011800459A</v>
          </cell>
          <cell r="B616" t="str">
            <v>室内电脑板-FR-4---</v>
          </cell>
          <cell r="C616" t="str">
            <v>领智</v>
          </cell>
        </row>
        <row r="617">
          <cell r="A617" t="str">
            <v>0011800488</v>
          </cell>
          <cell r="B617" t="str">
            <v>显示面板-FR-4茉莉白HPWH-1305</v>
          </cell>
          <cell r="C617" t="str">
            <v>领智</v>
          </cell>
        </row>
        <row r="618">
          <cell r="A618" t="str">
            <v>0011800509</v>
          </cell>
          <cell r="B618" t="str">
            <v>感人模块-FR-4</v>
          </cell>
          <cell r="C618" t="str">
            <v>领智/航嘉//</v>
          </cell>
        </row>
        <row r="619">
          <cell r="A619" t="str">
            <v>0011800587F</v>
          </cell>
          <cell r="B619" t="str">
            <v>室内电脑板-CEM-1</v>
          </cell>
          <cell r="C619" t="str">
            <v>领智</v>
          </cell>
        </row>
        <row r="620">
          <cell r="A620" t="str">
            <v>0011800612V</v>
          </cell>
          <cell r="B620" t="str">
            <v>室内电脑板-/</v>
          </cell>
          <cell r="C620" t="str">
            <v>和而泰/领智//</v>
          </cell>
        </row>
        <row r="621">
          <cell r="A621" t="str">
            <v>0011800614</v>
          </cell>
          <cell r="B621" t="str">
            <v>室内电脑板-CEM-1</v>
          </cell>
          <cell r="C621" t="str">
            <v>领智</v>
          </cell>
        </row>
        <row r="622">
          <cell r="A622" t="str">
            <v>0011800614C</v>
          </cell>
          <cell r="B622" t="str">
            <v>室内电脑板-CEM-1</v>
          </cell>
          <cell r="C622" t="str">
            <v>领智</v>
          </cell>
        </row>
        <row r="623">
          <cell r="A623" t="str">
            <v>0011800646G</v>
          </cell>
          <cell r="B623" t="str">
            <v>室内电脑板-FR-4---</v>
          </cell>
          <cell r="C623" t="str">
            <v>和而泰/领智//</v>
          </cell>
        </row>
        <row r="624">
          <cell r="A624" t="str">
            <v>0011800648D</v>
          </cell>
          <cell r="B624" t="str">
            <v>室外电脑板-FR-4</v>
          </cell>
          <cell r="C624" t="str">
            <v>领智</v>
          </cell>
        </row>
        <row r="625">
          <cell r="A625" t="str">
            <v>0011800682M</v>
          </cell>
          <cell r="B625" t="str">
            <v>室内电脑板-CEM-1马来18/24内电脑板变频</v>
          </cell>
          <cell r="C625" t="str">
            <v>领智</v>
          </cell>
        </row>
        <row r="626">
          <cell r="A626" t="str">
            <v>0011800743B</v>
          </cell>
          <cell r="B626" t="str">
            <v>室内电脑板-CEM-1</v>
          </cell>
          <cell r="C626" t="str">
            <v>领智</v>
          </cell>
        </row>
        <row r="627">
          <cell r="A627" t="str">
            <v>0011800977A</v>
          </cell>
          <cell r="B627" t="str">
            <v>电脑板-CEM-1/</v>
          </cell>
          <cell r="C627" t="str">
            <v>领智</v>
          </cell>
        </row>
        <row r="628">
          <cell r="A628" t="str">
            <v>0011801001A</v>
          </cell>
          <cell r="B628" t="str">
            <v>变频外电脑板-FR-4马来18K室外电脑板293mm*181mm室外电脑板(开关</v>
          </cell>
          <cell r="C628" t="str">
            <v>领智</v>
          </cell>
        </row>
        <row r="629">
          <cell r="A629" t="str">
            <v>0011801007B</v>
          </cell>
          <cell r="B629" t="str">
            <v>室外电脑板-FR-4250*157mm马来12K变频外电脑板-</v>
          </cell>
          <cell r="C629" t="str">
            <v>领智</v>
          </cell>
        </row>
        <row r="630">
          <cell r="A630" t="str">
            <v>0011801150D</v>
          </cell>
          <cell r="B630" t="str">
            <v>变频外电脑板-FR-4230mm*157mm</v>
          </cell>
          <cell r="C630" t="str">
            <v>领智</v>
          </cell>
        </row>
        <row r="631">
          <cell r="A631" t="str">
            <v>0011801150E</v>
          </cell>
          <cell r="B631" t="str">
            <v>变频外电脑板-FR-4230mm*157mm</v>
          </cell>
          <cell r="C631" t="str">
            <v>领智</v>
          </cell>
        </row>
        <row r="632">
          <cell r="A632" t="str">
            <v>0010400649F</v>
          </cell>
          <cell r="B632" t="str">
            <v>2.93塑料/</v>
          </cell>
          <cell r="C632" t="str">
            <v>凯都</v>
          </cell>
        </row>
        <row r="633">
          <cell r="A633" t="str">
            <v>0010402886S</v>
          </cell>
          <cell r="B633" t="str">
            <v>遥控器-/</v>
          </cell>
          <cell r="C633" t="str">
            <v>长虹</v>
          </cell>
        </row>
        <row r="634">
          <cell r="A634" t="str">
            <v>0011800339DV</v>
          </cell>
          <cell r="B634" t="str">
            <v>室外电脑板-CEM-3</v>
          </cell>
          <cell r="C634" t="str">
            <v>领智</v>
          </cell>
        </row>
        <row r="635">
          <cell r="A635" t="str">
            <v>0011800587A</v>
          </cell>
          <cell r="B635" t="str">
            <v>室内电脑板-CEM-1</v>
          </cell>
          <cell r="C635" t="str">
            <v>领智</v>
          </cell>
        </row>
        <row r="636">
          <cell r="A636" t="str">
            <v>0011800742A</v>
          </cell>
          <cell r="B636" t="str">
            <v>室内电脑板-CEM-1</v>
          </cell>
          <cell r="C636" t="str">
            <v>领智</v>
          </cell>
        </row>
        <row r="637">
          <cell r="A637" t="str">
            <v>0011801118S</v>
          </cell>
          <cell r="B637" t="str">
            <v>变频外电脑板-FR-4240*180</v>
          </cell>
          <cell r="C637" t="str">
            <v>中家智康</v>
          </cell>
        </row>
        <row r="638">
          <cell r="A638" t="str">
            <v>0010401715HE</v>
          </cell>
          <cell r="B638" t="str">
            <v>遥控器-塑料HE</v>
          </cell>
          <cell r="C638" t="str">
            <v>合晶</v>
          </cell>
        </row>
        <row r="639">
          <cell r="A639" t="str">
            <v>0010402017M</v>
          </cell>
          <cell r="B639" t="str">
            <v>连机线-0.75mm2（24/0.20）/</v>
          </cell>
          <cell r="C639" t="str">
            <v>珠城</v>
          </cell>
        </row>
        <row r="640">
          <cell r="A640" t="str">
            <v>0010405091</v>
          </cell>
          <cell r="B640" t="str">
            <v>端子排-/</v>
          </cell>
          <cell r="C640" t="str">
            <v>凯都/华冠//</v>
          </cell>
        </row>
        <row r="641">
          <cell r="A641" t="str">
            <v>0010405874</v>
          </cell>
          <cell r="B641" t="str">
            <v>室外线束组-/压机,电抗器,LN通讯地用线</v>
          </cell>
          <cell r="C641" t="str">
            <v>珠城/桦晟//</v>
          </cell>
        </row>
        <row r="642">
          <cell r="A642" t="str">
            <v>0011800324S</v>
          </cell>
          <cell r="B642" t="str">
            <v>显示面板-CEM-3</v>
          </cell>
          <cell r="C642" t="str">
            <v>恒青/航嘉/领智/</v>
          </cell>
        </row>
        <row r="643">
          <cell r="A643" t="str">
            <v>0011800828C</v>
          </cell>
          <cell r="B643" t="str">
            <v>室内电脑板-//</v>
          </cell>
          <cell r="C643" t="str">
            <v>领智</v>
          </cell>
        </row>
        <row r="644">
          <cell r="A644" t="str">
            <v>0011800832C</v>
          </cell>
          <cell r="B644" t="str">
            <v>室内电脑板-CEM-1//</v>
          </cell>
          <cell r="C644" t="str">
            <v>航嘉/领智//</v>
          </cell>
        </row>
        <row r="645">
          <cell r="A645" t="str">
            <v>0011801047B</v>
          </cell>
          <cell r="B645" t="str">
            <v>变频外电脑板-FR-4硬件电路同母本0011801047一致,程序和EE不同</v>
          </cell>
          <cell r="C645" t="str">
            <v>儒竞/领智//</v>
          </cell>
        </row>
        <row r="646">
          <cell r="A646" t="str">
            <v>0011801047A</v>
          </cell>
          <cell r="B646" t="str">
            <v>变频外电脑板-FR-4硬件电路同母本0011801047一致,程序和EE不同</v>
          </cell>
          <cell r="C646" t="str">
            <v>儒竞/领智//</v>
          </cell>
        </row>
        <row r="647">
          <cell r="A647" t="str">
            <v>0010400924B</v>
          </cell>
          <cell r="B647" t="str">
            <v>线束-/</v>
          </cell>
          <cell r="C647" t="str">
            <v>桦晟</v>
          </cell>
        </row>
        <row r="648">
          <cell r="A648" t="str">
            <v>0010401715ANC</v>
          </cell>
          <cell r="B648" t="str">
            <v>遥控器-塑料</v>
          </cell>
          <cell r="C648" t="e">
            <v>#N/A</v>
          </cell>
        </row>
        <row r="649">
          <cell r="A649" t="str">
            <v>0010401715YM</v>
          </cell>
          <cell r="B649" t="str">
            <v>遥控器-塑料</v>
          </cell>
          <cell r="C649" t="str">
            <v>合晶</v>
          </cell>
        </row>
        <row r="650">
          <cell r="A650" t="str">
            <v>0010401996Q</v>
          </cell>
          <cell r="B650" t="str">
            <v>遥控器-塑料</v>
          </cell>
          <cell r="C650" t="str">
            <v>长虹</v>
          </cell>
        </row>
        <row r="651">
          <cell r="A651" t="str">
            <v>0010402886BA</v>
          </cell>
          <cell r="B651" t="str">
            <v>遥控器-塑料/</v>
          </cell>
          <cell r="C651" t="str">
            <v>长虹</v>
          </cell>
        </row>
        <row r="652">
          <cell r="A652" t="str">
            <v>0010402886F</v>
          </cell>
          <cell r="B652" t="str">
            <v>遥控器-/</v>
          </cell>
          <cell r="C652" t="str">
            <v>长虹</v>
          </cell>
        </row>
        <row r="653">
          <cell r="A653" t="str">
            <v>0010403905</v>
          </cell>
          <cell r="B653" t="str">
            <v>室外线束(HPU-20CH13)-/</v>
          </cell>
          <cell r="C653" t="str">
            <v>得润</v>
          </cell>
        </row>
        <row r="654">
          <cell r="A654" t="str">
            <v>0010404555S</v>
          </cell>
          <cell r="B654" t="str">
            <v>遥控器-塑料HFA</v>
          </cell>
          <cell r="C654" t="str">
            <v>合晶</v>
          </cell>
        </row>
        <row r="655">
          <cell r="A655" t="str">
            <v>0010404854</v>
          </cell>
          <cell r="B655" t="str">
            <v>线束-/</v>
          </cell>
          <cell r="C655" t="str">
            <v>桦晟</v>
          </cell>
        </row>
        <row r="656">
          <cell r="A656" t="str">
            <v>0010405901</v>
          </cell>
          <cell r="B656" t="str">
            <v>线束-//</v>
          </cell>
          <cell r="C656" t="str">
            <v>得润</v>
          </cell>
        </row>
        <row r="657">
          <cell r="A657" t="str">
            <v>0010405901A</v>
          </cell>
          <cell r="B657" t="str">
            <v>线束-//</v>
          </cell>
          <cell r="C657" t="str">
            <v>得润</v>
          </cell>
        </row>
        <row r="658">
          <cell r="A658" t="str">
            <v>0011800328AQ</v>
          </cell>
          <cell r="B658" t="str">
            <v>室外模块驱动板-FR-4</v>
          </cell>
          <cell r="C658" t="str">
            <v>领智</v>
          </cell>
        </row>
        <row r="659">
          <cell r="A659" t="str">
            <v>0011800328AR</v>
          </cell>
          <cell r="B659" t="str">
            <v>室外模块驱动板-FR-4模块板--</v>
          </cell>
          <cell r="C659" t="str">
            <v>领智</v>
          </cell>
        </row>
        <row r="660">
          <cell r="A660" t="str">
            <v>0011800328P</v>
          </cell>
          <cell r="B660" t="str">
            <v>室外模块驱动板-FR-4</v>
          </cell>
          <cell r="C660" t="str">
            <v>领智</v>
          </cell>
        </row>
        <row r="661">
          <cell r="A661" t="str">
            <v>0011800410AG</v>
          </cell>
          <cell r="B661" t="str">
            <v>室外电脑板-通用-D系列09K更改参数出澳洲-</v>
          </cell>
          <cell r="C661" t="str">
            <v>领智</v>
          </cell>
        </row>
        <row r="662">
          <cell r="A662" t="str">
            <v>0011800410AH</v>
          </cell>
          <cell r="B662" t="str">
            <v>室外电脑板-通用---</v>
          </cell>
          <cell r="C662" t="str">
            <v>领智</v>
          </cell>
        </row>
        <row r="663">
          <cell r="A663" t="str">
            <v>0011800410AM</v>
          </cell>
          <cell r="B663" t="str">
            <v>室外电脑板-CEM-3---</v>
          </cell>
          <cell r="C663" t="str">
            <v>领智</v>
          </cell>
        </row>
        <row r="664">
          <cell r="A664" t="str">
            <v>0011800410AN</v>
          </cell>
          <cell r="B664" t="str">
            <v>室外电脑板-CEM-3---</v>
          </cell>
          <cell r="C664" t="str">
            <v>领智</v>
          </cell>
        </row>
        <row r="665">
          <cell r="A665" t="str">
            <v>0011800410D</v>
          </cell>
          <cell r="B665" t="str">
            <v>室外电脑板-/40N+CAW外机澳洲40N+CAW外机澳</v>
          </cell>
          <cell r="C665" t="str">
            <v>领智</v>
          </cell>
        </row>
        <row r="666">
          <cell r="A666" t="str">
            <v>0011800410R</v>
          </cell>
          <cell r="B666" t="str">
            <v>室外电脑板-CEM-3</v>
          </cell>
          <cell r="C666" t="str">
            <v>领智</v>
          </cell>
        </row>
        <row r="667">
          <cell r="A667" t="str">
            <v>0011800417F</v>
          </cell>
          <cell r="B667" t="str">
            <v>室内电脑板-CEM-1---</v>
          </cell>
          <cell r="C667" t="str">
            <v>领智</v>
          </cell>
        </row>
        <row r="668">
          <cell r="A668" t="str">
            <v>0011800593B</v>
          </cell>
          <cell r="B668" t="str">
            <v>室内电脑板-FR-4</v>
          </cell>
          <cell r="C668" t="str">
            <v>领智</v>
          </cell>
        </row>
        <row r="669">
          <cell r="A669" t="str">
            <v>0011800646B</v>
          </cell>
          <cell r="B669" t="str">
            <v>室内电脑板-FR-4</v>
          </cell>
          <cell r="C669" t="str">
            <v>和而泰/领智//</v>
          </cell>
        </row>
        <row r="670">
          <cell r="A670" t="str">
            <v>0011800653H</v>
          </cell>
          <cell r="B670" t="str">
            <v>室外模块驱动板-FR-1---</v>
          </cell>
          <cell r="C670" t="str">
            <v>领智</v>
          </cell>
        </row>
        <row r="671">
          <cell r="A671" t="str">
            <v>0011800742</v>
          </cell>
          <cell r="B671" t="str">
            <v>室内电脑板-CEM-1</v>
          </cell>
          <cell r="C671" t="str">
            <v>领智</v>
          </cell>
        </row>
        <row r="672">
          <cell r="A672" t="str">
            <v>0011800780AR</v>
          </cell>
          <cell r="B672" t="str">
            <v>室外电脑板-/---</v>
          </cell>
          <cell r="C672" t="str">
            <v>领智</v>
          </cell>
        </row>
        <row r="673">
          <cell r="A673" t="str">
            <v>0011800783</v>
          </cell>
          <cell r="B673" t="str">
            <v>室内电脑板-CEM-1</v>
          </cell>
          <cell r="C673" t="str">
            <v>领智</v>
          </cell>
        </row>
        <row r="674">
          <cell r="A674" t="str">
            <v>0011800967A</v>
          </cell>
          <cell r="B674" t="str">
            <v>弱电板-FR-4/</v>
          </cell>
          <cell r="C674" t="str">
            <v>领智</v>
          </cell>
        </row>
        <row r="675">
          <cell r="A675" t="str">
            <v>0011800981B</v>
          </cell>
          <cell r="B675" t="str">
            <v>变频外电脑板-FR-4230*196</v>
          </cell>
          <cell r="C675" t="str">
            <v>领智</v>
          </cell>
        </row>
        <row r="676">
          <cell r="A676" t="str">
            <v>0010401715CU</v>
          </cell>
          <cell r="B676" t="str">
            <v>遥控器-塑料</v>
          </cell>
          <cell r="C676" t="e">
            <v>#N/A</v>
          </cell>
        </row>
        <row r="677">
          <cell r="A677" t="str">
            <v>0011800223K</v>
          </cell>
          <cell r="B677" t="str">
            <v>室外模块驱动板-FR-4</v>
          </cell>
          <cell r="C677" t="str">
            <v>领智</v>
          </cell>
        </row>
        <row r="678">
          <cell r="A678" t="str">
            <v>0011800345P</v>
          </cell>
          <cell r="B678" t="str">
            <v>室外电脑板-CEM-3---</v>
          </cell>
          <cell r="C678" t="str">
            <v>领智</v>
          </cell>
        </row>
        <row r="679">
          <cell r="A679" t="str">
            <v>0011800376AD</v>
          </cell>
          <cell r="B679" t="str">
            <v>室内电脑板-CEM-3208mm*105</v>
          </cell>
          <cell r="C679" t="str">
            <v>航嘉</v>
          </cell>
        </row>
        <row r="680">
          <cell r="A680" t="str">
            <v>0011800410</v>
          </cell>
          <cell r="B680" t="str">
            <v>室外电脑板-CEM-3</v>
          </cell>
          <cell r="C680" t="str">
            <v>领智</v>
          </cell>
        </row>
        <row r="681">
          <cell r="A681" t="str">
            <v>0010402017D</v>
          </cell>
          <cell r="B681" t="str">
            <v>连机线(245IEC57(YZW)2*0</v>
          </cell>
          <cell r="C681" t="str">
            <v>泓淋/华声/日丰/</v>
          </cell>
        </row>
        <row r="682">
          <cell r="A682" t="str">
            <v>0010405308</v>
          </cell>
          <cell r="B682" t="str">
            <v>线束-/基础上两个耳环端子更改为TE连接</v>
          </cell>
          <cell r="C682" t="str">
            <v>桦晟/珠城//</v>
          </cell>
        </row>
        <row r="683">
          <cell r="A683" t="str">
            <v>0010402914G</v>
          </cell>
          <cell r="B683" t="str">
            <v>普通电源线-/</v>
          </cell>
          <cell r="C683" t="str">
            <v>泓淋</v>
          </cell>
        </row>
        <row r="684">
          <cell r="A684" t="str">
            <v>0010405105B</v>
          </cell>
          <cell r="B684" t="str">
            <v>线束-/母本0010405105A基础上:线束长度5.5m更改为4m母本0010</v>
          </cell>
          <cell r="C684" t="str">
            <v>桦晟</v>
          </cell>
        </row>
        <row r="685">
          <cell r="A685" t="str">
            <v>0011800828A</v>
          </cell>
          <cell r="B685" t="str">
            <v>电脑板-//--</v>
          </cell>
          <cell r="C685" t="str">
            <v>领智</v>
          </cell>
        </row>
        <row r="686">
          <cell r="A686" t="str">
            <v>0011801172</v>
          </cell>
          <cell r="B686" t="str">
            <v>变频外电脑板-FR-4240*180</v>
          </cell>
          <cell r="C686" t="str">
            <v>中家智康</v>
          </cell>
        </row>
        <row r="687">
          <cell r="A687" t="str">
            <v>0011800587B</v>
          </cell>
          <cell r="B687" t="str">
            <v>室内电脑板-/---</v>
          </cell>
          <cell r="C687" t="str">
            <v>领智</v>
          </cell>
        </row>
        <row r="688">
          <cell r="A688" t="str">
            <v>0011800323X</v>
          </cell>
          <cell r="B688" t="str">
            <v>室内电脑板-/</v>
          </cell>
          <cell r="C688" t="str">
            <v>领智</v>
          </cell>
        </row>
        <row r="689">
          <cell r="A689" t="str">
            <v>0011800690ZA</v>
          </cell>
          <cell r="B689" t="str">
            <v>室外电脑板-FR-4---</v>
          </cell>
          <cell r="C689" t="str">
            <v>领智/中家智康//</v>
          </cell>
        </row>
        <row r="690">
          <cell r="A690" t="str">
            <v>0011800328D</v>
          </cell>
          <cell r="B690" t="str">
            <v>室外模块驱动板-FR-4</v>
          </cell>
          <cell r="C690" t="str">
            <v>领智</v>
          </cell>
        </row>
        <row r="691">
          <cell r="A691" t="str">
            <v>0011800539</v>
          </cell>
          <cell r="B691" t="str">
            <v>室外模块驱动板-FR-4</v>
          </cell>
          <cell r="C691" t="str">
            <v>领智</v>
          </cell>
        </row>
        <row r="692">
          <cell r="A692" t="str">
            <v>0011800052F</v>
          </cell>
          <cell r="B692" t="str">
            <v>室外模块板-FR-4</v>
          </cell>
          <cell r="C692" t="str">
            <v>领智</v>
          </cell>
        </row>
        <row r="693">
          <cell r="A693" t="str">
            <v>0011800223M</v>
          </cell>
          <cell r="B693" t="str">
            <v>室外模块驱动板-/</v>
          </cell>
          <cell r="C693" t="str">
            <v>领智</v>
          </cell>
        </row>
        <row r="694">
          <cell r="A694" t="str">
            <v>0011800376T</v>
          </cell>
          <cell r="B694" t="str">
            <v>室内电脑板-CEM-1</v>
          </cell>
          <cell r="C694" t="str">
            <v>领智</v>
          </cell>
        </row>
        <row r="695">
          <cell r="A695" t="str">
            <v>0011800827K</v>
          </cell>
          <cell r="B695" t="str">
            <v>室外电脑板-FR-4293×181</v>
          </cell>
          <cell r="C695" t="str">
            <v>领智</v>
          </cell>
        </row>
        <row r="696">
          <cell r="A696" t="str">
            <v>0011800366AL</v>
          </cell>
          <cell r="B696" t="str">
            <v>室外电脑板-FR-4</v>
          </cell>
          <cell r="C696" t="str">
            <v>领智</v>
          </cell>
        </row>
        <row r="697">
          <cell r="A697" t="str">
            <v>0011800612M</v>
          </cell>
          <cell r="B697" t="str">
            <v>室内电脑板-CEM-1</v>
          </cell>
          <cell r="C697" t="str">
            <v>和而泰</v>
          </cell>
        </row>
        <row r="698">
          <cell r="A698" t="str">
            <v>0011800612T</v>
          </cell>
          <cell r="B698" t="str">
            <v>室内电脑板-CEM-1</v>
          </cell>
          <cell r="C698" t="str">
            <v>和而泰/领智//</v>
          </cell>
        </row>
        <row r="699">
          <cell r="A699" t="str">
            <v>0011800690AP</v>
          </cell>
          <cell r="B699" t="str">
            <v>室外电脑板-FR-4</v>
          </cell>
          <cell r="C699" t="str">
            <v>领智</v>
          </cell>
        </row>
        <row r="700">
          <cell r="A700" t="str">
            <v>0011800827C</v>
          </cell>
          <cell r="B700" t="str">
            <v>变频外电脑板-FR-4---</v>
          </cell>
          <cell r="C700" t="str">
            <v>领智</v>
          </cell>
        </row>
        <row r="701">
          <cell r="A701" t="str">
            <v>0011800166G</v>
          </cell>
          <cell r="B701" t="str">
            <v>室内电脑板-CEM-1</v>
          </cell>
          <cell r="C701" t="str">
            <v>领智</v>
          </cell>
        </row>
        <row r="702">
          <cell r="A702" t="str">
            <v>0011800697E</v>
          </cell>
          <cell r="B702" t="str">
            <v>室内电脑板-CEM-1---</v>
          </cell>
          <cell r="C702" t="str">
            <v>领智</v>
          </cell>
        </row>
        <row r="703">
          <cell r="A703" t="str">
            <v>0010401264</v>
          </cell>
          <cell r="B703" t="str">
            <v>室外线束</v>
          </cell>
          <cell r="C703" t="str">
            <v>桦晟/悠进//</v>
          </cell>
        </row>
        <row r="704">
          <cell r="A704" t="str">
            <v>0011800241A</v>
          </cell>
          <cell r="B704" t="str">
            <v>室外电脑板-CEM-3在0011800241基础上更改EEPROM参数</v>
          </cell>
          <cell r="C704" t="str">
            <v>领智</v>
          </cell>
        </row>
        <row r="705">
          <cell r="A705" t="str">
            <v>0011800328AP</v>
          </cell>
          <cell r="B705" t="str">
            <v>室外模块驱动板-FR-4</v>
          </cell>
          <cell r="C705" t="str">
            <v>领智</v>
          </cell>
        </row>
        <row r="706">
          <cell r="A706" t="str">
            <v>0010404411A</v>
          </cell>
          <cell r="B706" t="str">
            <v>室内电脑板-CEM-1</v>
          </cell>
          <cell r="C706" t="str">
            <v>领智</v>
          </cell>
        </row>
        <row r="707">
          <cell r="A707" t="str">
            <v>0011800350BZ</v>
          </cell>
          <cell r="B707" t="str">
            <v>室外电脑板-CEM-3</v>
          </cell>
          <cell r="C707" t="str">
            <v>领智</v>
          </cell>
        </row>
        <row r="708">
          <cell r="A708" t="str">
            <v>0011800166C</v>
          </cell>
          <cell r="B708" t="str">
            <v>室内电脑板-CEM-1</v>
          </cell>
          <cell r="C708" t="str">
            <v>领智</v>
          </cell>
        </row>
        <row r="709">
          <cell r="A709" t="str">
            <v>0011800194A</v>
          </cell>
          <cell r="B709" t="str">
            <v>室内电脑板-CEM-3</v>
          </cell>
          <cell r="C709" t="str">
            <v>鼎新</v>
          </cell>
        </row>
        <row r="710">
          <cell r="A710" t="str">
            <v>0011800376S</v>
          </cell>
          <cell r="B710" t="str">
            <v>室内电脑板-CEM-1</v>
          </cell>
          <cell r="C710" t="str">
            <v>领智</v>
          </cell>
        </row>
        <row r="711">
          <cell r="A711" t="str">
            <v>0011800580B</v>
          </cell>
          <cell r="B711" t="str">
            <v>室内电脑板-CEM-1</v>
          </cell>
          <cell r="C711" t="str">
            <v>领智</v>
          </cell>
        </row>
        <row r="712">
          <cell r="A712" t="str">
            <v>0011800241</v>
          </cell>
          <cell r="B712" t="str">
            <v>室外电脑板-CEM-3在电脑板0011800137G基础上更改通讯电路和软件程序</v>
          </cell>
          <cell r="C712" t="str">
            <v>领智</v>
          </cell>
        </row>
        <row r="713">
          <cell r="A713" t="str">
            <v>0011800241C</v>
          </cell>
          <cell r="B713" t="str">
            <v>室外电脑板-CEM-3</v>
          </cell>
          <cell r="C713" t="str">
            <v>领智</v>
          </cell>
        </row>
        <row r="714">
          <cell r="A714" t="str">
            <v>0011800241H</v>
          </cell>
          <cell r="B714" t="str">
            <v>室外电脑板-CEM-3</v>
          </cell>
          <cell r="C714" t="str">
            <v>领智</v>
          </cell>
        </row>
        <row r="715">
          <cell r="A715" t="str">
            <v>0011800244</v>
          </cell>
          <cell r="B715" t="str">
            <v>室内电脑板-CEM-1</v>
          </cell>
          <cell r="C715" t="str">
            <v>领智</v>
          </cell>
        </row>
        <row r="716">
          <cell r="A716" t="str">
            <v>0011800410N</v>
          </cell>
          <cell r="B716" t="str">
            <v>室外电脑板-CEM-3</v>
          </cell>
          <cell r="C716" t="str">
            <v>领智</v>
          </cell>
        </row>
        <row r="717">
          <cell r="A717" t="str">
            <v>0011800223V</v>
          </cell>
          <cell r="B717" t="str">
            <v>室外电脑板-/</v>
          </cell>
          <cell r="C717" t="str">
            <v>领智</v>
          </cell>
        </row>
        <row r="718">
          <cell r="A718" t="str">
            <v>0011800323AJ</v>
          </cell>
          <cell r="B718" t="str">
            <v>室内电脑板-CEM-1</v>
          </cell>
          <cell r="C718" t="str">
            <v>领智</v>
          </cell>
        </row>
        <row r="719">
          <cell r="A719" t="str">
            <v>0010401761C</v>
          </cell>
          <cell r="B719" t="str">
            <v>连机线-1.5mm2</v>
          </cell>
          <cell r="C719" t="str">
            <v>日丰/华声//</v>
          </cell>
        </row>
        <row r="720">
          <cell r="A720" t="str">
            <v>0010403019B</v>
          </cell>
          <cell r="B720" t="str">
            <v>普通电源线-/</v>
          </cell>
          <cell r="C720" t="str">
            <v>泓淋</v>
          </cell>
        </row>
        <row r="721">
          <cell r="A721" t="str">
            <v>0011800410X</v>
          </cell>
          <cell r="B721" t="str">
            <v>室外电脑板-通用台湾低待机N系列09K更改参�</v>
          </cell>
          <cell r="C721" t="str">
            <v>领智</v>
          </cell>
        </row>
        <row r="722">
          <cell r="A722" t="str">
            <v>0011800612P</v>
          </cell>
          <cell r="B722" t="str">
            <v>室内电脑板-CEM-1---</v>
          </cell>
          <cell r="C722" t="str">
            <v>和而泰/领智//</v>
          </cell>
        </row>
        <row r="723">
          <cell r="A723" t="str">
            <v>0011800827H</v>
          </cell>
          <cell r="B723" t="str">
            <v>室外电脑板-FR-4293×181--</v>
          </cell>
          <cell r="C723" t="str">
            <v>领智</v>
          </cell>
        </row>
        <row r="724">
          <cell r="A724" t="str">
            <v>0011801001</v>
          </cell>
          <cell r="B724" t="str">
            <v>电脑板-FR-4室外电脑板293mm*181mm室外电脑板(开关电源)</v>
          </cell>
          <cell r="C724" t="str">
            <v>领智</v>
          </cell>
        </row>
        <row r="725">
          <cell r="A725" t="str">
            <v>0011800410Y</v>
          </cell>
          <cell r="B725" t="str">
            <v>室外电脑板-通用N系列台湾低待机410A更改参</v>
          </cell>
          <cell r="C725" t="str">
            <v>领智</v>
          </cell>
        </row>
        <row r="726">
          <cell r="A726" t="str">
            <v>0011800514A</v>
          </cell>
          <cell r="B726" t="str">
            <v>室内电脑板-CEM-1</v>
          </cell>
          <cell r="C726" t="str">
            <v>鼎新</v>
          </cell>
        </row>
        <row r="727">
          <cell r="A727" t="str">
            <v>0011800345T</v>
          </cell>
          <cell r="B727" t="str">
            <v>室外电脑板-CEM-3</v>
          </cell>
          <cell r="C727" t="str">
            <v>领智</v>
          </cell>
        </row>
        <row r="728">
          <cell r="A728" t="str">
            <v>0010401715HB</v>
          </cell>
          <cell r="B728" t="str">
            <v>遥控器-塑料/</v>
          </cell>
          <cell r="C728" t="str">
            <v>合晶</v>
          </cell>
        </row>
        <row r="729">
          <cell r="A729" t="str">
            <v>0011800438</v>
          </cell>
          <cell r="B729" t="str">
            <v>室外模块驱动板-FR-4</v>
          </cell>
          <cell r="C729" t="str">
            <v>领智</v>
          </cell>
        </row>
        <row r="730">
          <cell r="A730" t="str">
            <v>0260403154</v>
          </cell>
          <cell r="B730" t="str">
            <v>接插线-/G-WIR-3-BWR-500</v>
          </cell>
          <cell r="C730" t="str">
            <v>悠进</v>
          </cell>
        </row>
        <row r="731">
          <cell r="A731" t="str">
            <v>0260403155</v>
          </cell>
          <cell r="B731" t="str">
            <v>接插线-/G-WIR-2-DD-500-</v>
          </cell>
          <cell r="C731" t="str">
            <v>桦晟</v>
          </cell>
        </row>
        <row r="732">
          <cell r="A732" t="str">
            <v>0260403156</v>
          </cell>
          <cell r="B732" t="str">
            <v>接插线-/G-WIR-2-BZ-250-</v>
          </cell>
          <cell r="C732" t="str">
            <v>悠进</v>
          </cell>
        </row>
        <row r="733">
          <cell r="A733" t="str">
            <v>0260403157</v>
          </cell>
          <cell r="B733" t="str">
            <v>接插线-/G-WIR-1-YG-300-</v>
          </cell>
          <cell r="C733" t="str">
            <v>悠进</v>
          </cell>
        </row>
        <row r="734">
          <cell r="A734" t="str">
            <v>0010402017Y</v>
          </cell>
          <cell r="B734" t="str">
            <v>连机线-/</v>
          </cell>
          <cell r="C734" t="str">
            <v>珠城/桦晟//</v>
          </cell>
        </row>
        <row r="735">
          <cell r="A735" t="str">
            <v>0010402017Z</v>
          </cell>
          <cell r="B735" t="str">
            <v>连机线-/</v>
          </cell>
          <cell r="C735" t="str">
            <v>桦晟/珠城//</v>
          </cell>
        </row>
        <row r="736">
          <cell r="A736" t="str">
            <v>0010403358A</v>
          </cell>
          <cell r="B736" t="str">
            <v>普通电源线-/</v>
          </cell>
          <cell r="C736" t="str">
            <v>金都</v>
          </cell>
        </row>
        <row r="737">
          <cell r="A737" t="str">
            <v>0010406115</v>
          </cell>
          <cell r="B737" t="str">
            <v>内销电源线-/</v>
          </cell>
          <cell r="C737" t="str">
            <v>珠城/桦晟//</v>
          </cell>
        </row>
        <row r="738">
          <cell r="A738" t="str">
            <v>0011800111</v>
          </cell>
          <cell r="B738" t="str">
            <v>ROHS-室内电脑板(KFRD-50LW</v>
          </cell>
          <cell r="C738" t="str">
            <v>鼎新</v>
          </cell>
        </row>
        <row r="739">
          <cell r="A739" t="str">
            <v>0011800366AT</v>
          </cell>
          <cell r="B739" t="str">
            <v>室外电脑板-FR-4室外电脑板293mm*181mm室外电脑板(开关电源)-</v>
          </cell>
          <cell r="C739" t="str">
            <v>领智</v>
          </cell>
        </row>
        <row r="740">
          <cell r="A740" t="str">
            <v>0011800569</v>
          </cell>
          <cell r="B740" t="str">
            <v>室外模块驱动板-FR-4</v>
          </cell>
          <cell r="C740" t="str">
            <v>领智</v>
          </cell>
        </row>
        <row r="741">
          <cell r="A741" t="str">
            <v>0011800835A</v>
          </cell>
          <cell r="B741" t="str">
            <v>室内电脑板-CEM-1</v>
          </cell>
          <cell r="C741" t="str">
            <v>鼎新</v>
          </cell>
        </row>
        <row r="742">
          <cell r="A742" t="str">
            <v>0011800909</v>
          </cell>
          <cell r="B742" t="str">
            <v>室内电脑板-CEM-3---</v>
          </cell>
          <cell r="C742" t="str">
            <v>领智</v>
          </cell>
        </row>
        <row r="743">
          <cell r="A743" t="str">
            <v>001A4400709</v>
          </cell>
          <cell r="B743" t="str">
            <v>线束-/面板通讯线束面板通讯线束</v>
          </cell>
          <cell r="C743" t="str">
            <v>桦晟/得润//</v>
          </cell>
        </row>
        <row r="744">
          <cell r="A744" t="str">
            <v>0010401294AA</v>
          </cell>
          <cell r="B744" t="str">
            <v>遥控器-塑料</v>
          </cell>
          <cell r="C744" t="e">
            <v>#N/A</v>
          </cell>
        </row>
        <row r="745">
          <cell r="A745" t="str">
            <v>0010401996AG</v>
          </cell>
          <cell r="B745" t="str">
            <v>遥控器-塑料</v>
          </cell>
          <cell r="C745" t="str">
            <v>长虹</v>
          </cell>
        </row>
        <row r="746">
          <cell r="A746" t="str">
            <v>0010402647AF</v>
          </cell>
          <cell r="B746" t="str">
            <v>遥控器-塑料</v>
          </cell>
          <cell r="C746" t="str">
            <v>合晶</v>
          </cell>
        </row>
        <row r="747">
          <cell r="A747" t="str">
            <v>0011800166K</v>
          </cell>
          <cell r="B747" t="str">
            <v>室内电脑板-CEM-1</v>
          </cell>
          <cell r="C747" t="str">
            <v>领智</v>
          </cell>
        </row>
        <row r="748">
          <cell r="A748" t="str">
            <v>0011800209G</v>
          </cell>
          <cell r="B748" t="str">
            <v>室外电脑板-WDCEM-3BHDC1.5</v>
          </cell>
          <cell r="C748" t="str">
            <v>领智</v>
          </cell>
        </row>
        <row r="749">
          <cell r="A749" t="str">
            <v>0010402017X</v>
          </cell>
          <cell r="B749" t="str">
            <v>连机线-/</v>
          </cell>
          <cell r="C749" t="str">
            <v>桦晟</v>
          </cell>
        </row>
        <row r="750">
          <cell r="A750" t="str">
            <v>0010401789A</v>
          </cell>
          <cell r="B750" t="str">
            <v>连机线-/</v>
          </cell>
          <cell r="C750" t="str">
            <v>华声/日丰//</v>
          </cell>
        </row>
        <row r="751">
          <cell r="A751" t="str">
            <v>0011800832</v>
          </cell>
          <cell r="B751" t="str">
            <v>室内电脑板-CEM-3</v>
          </cell>
          <cell r="C751" t="str">
            <v>航嘉</v>
          </cell>
        </row>
        <row r="752">
          <cell r="A752" t="str">
            <v>0011800997K</v>
          </cell>
          <cell r="B752" t="str">
            <v>变频外电脑板-FR-4变频室外马达双驱动+高频PFC方案用电脑板</v>
          </cell>
          <cell r="C752" t="str">
            <v>航嘉/领智//</v>
          </cell>
        </row>
        <row r="753">
          <cell r="A753" t="str">
            <v>0010401996B</v>
          </cell>
          <cell r="B753" t="str">
            <v>遥控器-塑料</v>
          </cell>
          <cell r="C753" t="str">
            <v>长虹</v>
          </cell>
        </row>
        <row r="754">
          <cell r="A754" t="str">
            <v>0010404918A</v>
          </cell>
          <cell r="B754" t="str">
            <v>线束-/</v>
          </cell>
          <cell r="C754" t="str">
            <v>桦晟</v>
          </cell>
        </row>
        <row r="755">
          <cell r="A755" t="str">
            <v>0010405092</v>
          </cell>
          <cell r="B755" t="str">
            <v>线束-通用</v>
          </cell>
          <cell r="C755" t="str">
            <v>桦晟</v>
          </cell>
        </row>
        <row r="756">
          <cell r="A756" t="str">
            <v>0011800981A</v>
          </cell>
          <cell r="B756" t="str">
            <v>室外电脑板-CEM-3272.5*181mm--</v>
          </cell>
          <cell r="C756" t="str">
            <v>领智</v>
          </cell>
        </row>
        <row r="757">
          <cell r="A757" t="str">
            <v>0011800997A</v>
          </cell>
          <cell r="B757" t="str">
            <v>室外电脑板-FR-4变频室外马达双驱动+高频PFC方案用电脑板</v>
          </cell>
          <cell r="C757" t="str">
            <v>领智/航嘉//</v>
          </cell>
        </row>
        <row r="758">
          <cell r="A758" t="str">
            <v>0011801143</v>
          </cell>
          <cell r="B758" t="str">
            <v>室外电脑板-FR-4/</v>
          </cell>
          <cell r="C758" t="str">
            <v>领智</v>
          </cell>
        </row>
        <row r="759">
          <cell r="A759" t="str">
            <v>0011801172Y</v>
          </cell>
          <cell r="B759" t="str">
            <v>变频外电脑板-FR-4240*180</v>
          </cell>
          <cell r="C759" t="str">
            <v>中家智康/和而泰//</v>
          </cell>
        </row>
        <row r="760">
          <cell r="A760" t="str">
            <v>001A4000082J</v>
          </cell>
          <cell r="B760" t="str">
            <v>端子排-/三位端子排1N2L地</v>
          </cell>
          <cell r="C760" t="str">
            <v>凯都</v>
          </cell>
        </row>
        <row r="761">
          <cell r="A761" t="str">
            <v>0010404555U</v>
          </cell>
          <cell r="B761" t="str">
            <v>遥控器-塑料HFA</v>
          </cell>
          <cell r="C761" t="str">
            <v>合晶</v>
          </cell>
        </row>
        <row r="762">
          <cell r="A762" t="str">
            <v>0011800612S</v>
          </cell>
          <cell r="B762" t="str">
            <v>室内电脑板-CEM-1</v>
          </cell>
          <cell r="C762" t="str">
            <v>领智</v>
          </cell>
        </row>
        <row r="763">
          <cell r="A763" t="str">
            <v>0011801039B</v>
          </cell>
          <cell r="B763" t="str">
            <v>变频外电脑板-FR-4/</v>
          </cell>
          <cell r="C763" t="str">
            <v>中家智康</v>
          </cell>
        </row>
        <row r="764">
          <cell r="A764" t="str">
            <v>0011801039C</v>
          </cell>
          <cell r="B764" t="str">
            <v>变频外电脑板-FR-4/</v>
          </cell>
          <cell r="C764" t="str">
            <v>中家智康</v>
          </cell>
        </row>
        <row r="765">
          <cell r="A765" t="str">
            <v>0011801040</v>
          </cell>
          <cell r="B765" t="str">
            <v>变频外电脑板-FR-4205*157</v>
          </cell>
          <cell r="C765" t="str">
            <v>领智</v>
          </cell>
        </row>
        <row r="766">
          <cell r="A766" t="str">
            <v>0011801048E</v>
          </cell>
          <cell r="B766" t="str">
            <v>变频外电脑板-FR-4/</v>
          </cell>
          <cell r="C766" t="str">
            <v>中家智康</v>
          </cell>
        </row>
        <row r="767">
          <cell r="A767" t="str">
            <v>0011801048F</v>
          </cell>
          <cell r="B767" t="str">
            <v>变频外电脑板-FR-4/</v>
          </cell>
          <cell r="C767" t="str">
            <v>中家智康</v>
          </cell>
        </row>
        <row r="768">
          <cell r="A768" t="str">
            <v>0011801123C</v>
          </cell>
          <cell r="B768" t="str">
            <v>室内电脑板-FR-4136*165</v>
          </cell>
          <cell r="C768" t="str">
            <v>领智</v>
          </cell>
        </row>
        <row r="769">
          <cell r="A769" t="str">
            <v>0011801071</v>
          </cell>
          <cell r="B769" t="str">
            <v>电脑板-CEM-1162mm*130mm</v>
          </cell>
          <cell r="C769" t="str">
            <v>航嘉/领智//</v>
          </cell>
        </row>
        <row r="770">
          <cell r="A770" t="str">
            <v>0011801119A</v>
          </cell>
          <cell r="B770" t="str">
            <v>变频外电脑板-FR-4215mm*157mm</v>
          </cell>
          <cell r="C770" t="str">
            <v>尚研/领智/领智/航嘉</v>
          </cell>
        </row>
        <row r="771">
          <cell r="A771" t="str">
            <v>0011800321</v>
          </cell>
          <cell r="B771" t="str">
            <v>显示面板-/</v>
          </cell>
          <cell r="C771" t="str">
            <v>领智</v>
          </cell>
        </row>
        <row r="772">
          <cell r="A772" t="str">
            <v>0011800376C</v>
          </cell>
          <cell r="B772" t="str">
            <v>室内电脑板-CEM-1</v>
          </cell>
          <cell r="C772" t="str">
            <v>领智</v>
          </cell>
        </row>
        <row r="773">
          <cell r="A773" t="str">
            <v>0011800376V</v>
          </cell>
          <cell r="B773" t="str">
            <v>室内电脑板-/</v>
          </cell>
          <cell r="C773" t="str">
            <v>领智</v>
          </cell>
        </row>
        <row r="774">
          <cell r="A774" t="str">
            <v>0010401314D</v>
          </cell>
          <cell r="B774" t="str">
            <v>遥控器-塑料</v>
          </cell>
          <cell r="C774" t="e">
            <v>#N/A</v>
          </cell>
        </row>
        <row r="775">
          <cell r="A775" t="str">
            <v>0010401715CQ</v>
          </cell>
          <cell r="B775" t="str">
            <v>遥控器-塑料</v>
          </cell>
          <cell r="C775" t="e">
            <v>#N/A</v>
          </cell>
        </row>
        <row r="776">
          <cell r="A776" t="str">
            <v>0010401715CS</v>
          </cell>
          <cell r="B776" t="str">
            <v>遥控器-塑料</v>
          </cell>
          <cell r="C776" t="e">
            <v>#N/A</v>
          </cell>
        </row>
        <row r="777">
          <cell r="A777" t="str">
            <v>0010401996G</v>
          </cell>
          <cell r="B777" t="str">
            <v>遥控器-塑料</v>
          </cell>
          <cell r="C777" t="str">
            <v>长虹</v>
          </cell>
        </row>
        <row r="778">
          <cell r="A778" t="str">
            <v>0011800209P</v>
          </cell>
          <cell r="B778" t="str">
            <v>室外电脑板-CEM-3</v>
          </cell>
          <cell r="C778" t="str">
            <v>领智</v>
          </cell>
        </row>
        <row r="779">
          <cell r="A779" t="str">
            <v>0011800223R</v>
          </cell>
          <cell r="B779" t="str">
            <v>室外模块驱动板-/</v>
          </cell>
          <cell r="C779" t="str">
            <v>领智</v>
          </cell>
        </row>
        <row r="780">
          <cell r="A780" t="str">
            <v>0011800242B</v>
          </cell>
          <cell r="B780" t="str">
            <v>显示面板-CEM-1</v>
          </cell>
          <cell r="C780" t="str">
            <v>领智</v>
          </cell>
        </row>
        <row r="781">
          <cell r="A781" t="str">
            <v>0011800780AC</v>
          </cell>
          <cell r="B781" t="str">
            <v>室外电脑板-/</v>
          </cell>
          <cell r="C781" t="str">
            <v>领智</v>
          </cell>
        </row>
        <row r="782">
          <cell r="A782" t="str">
            <v>0011012908</v>
          </cell>
          <cell r="B782" t="str">
            <v>除菌模块-/深紫外LED双灯珠杀菌模块除菌率每小时70%以上。光功率10mW/颗</v>
          </cell>
          <cell r="C782" t="str">
            <v>光浦/华工高理//</v>
          </cell>
        </row>
        <row r="783">
          <cell r="A783" t="str">
            <v>0011800697J</v>
          </cell>
          <cell r="B783" t="str">
            <v>室内电脑板-CEM-3室内电脑板马来24k室内电脑板</v>
          </cell>
          <cell r="C783" t="str">
            <v>领智</v>
          </cell>
        </row>
        <row r="784">
          <cell r="A784" t="str">
            <v>0011801150J</v>
          </cell>
          <cell r="B784" t="str">
            <v>变频外电脑板-FR-4230mm*157mm</v>
          </cell>
          <cell r="C784" t="str">
            <v>和而泰</v>
          </cell>
        </row>
        <row r="785">
          <cell r="A785" t="str">
            <v>0011800063B</v>
          </cell>
          <cell r="B785" t="str">
            <v>室内电脑板</v>
          </cell>
          <cell r="C785" t="str">
            <v>鼎新</v>
          </cell>
        </row>
        <row r="786">
          <cell r="A786" t="str">
            <v>0011800317C</v>
          </cell>
          <cell r="B786" t="str">
            <v>显示面板-FR-4</v>
          </cell>
          <cell r="C786" t="str">
            <v>领智</v>
          </cell>
        </row>
        <row r="787">
          <cell r="A787" t="str">
            <v>0011800215B</v>
          </cell>
          <cell r="B787" t="str">
            <v>室内电脑板-CEM-3</v>
          </cell>
          <cell r="C787" t="e">
            <v>#N/A</v>
          </cell>
        </row>
        <row r="788">
          <cell r="A788" t="str">
            <v>0010400046</v>
          </cell>
          <cell r="B788" t="str">
            <v>ROHS-室外线束(HW-09CU03)</v>
          </cell>
          <cell r="C788" t="str">
            <v>得润</v>
          </cell>
        </row>
        <row r="789">
          <cell r="A789" t="str">
            <v>0011800410B</v>
          </cell>
          <cell r="B789" t="str">
            <v>室外电脑板-CEM-1新2P全球统一室外电脑板低</v>
          </cell>
          <cell r="C789" t="str">
            <v>领智</v>
          </cell>
        </row>
        <row r="790">
          <cell r="A790" t="str">
            <v>0011801118AH</v>
          </cell>
          <cell r="B790" t="str">
            <v>变频外电脑板-FR-4240*180</v>
          </cell>
          <cell r="C790" t="str">
            <v>中家智康</v>
          </cell>
        </row>
        <row r="791">
          <cell r="A791" t="str">
            <v>0010402886AB</v>
          </cell>
          <cell r="B791" t="str">
            <v>遥控器-/</v>
          </cell>
          <cell r="C791" t="str">
            <v>长虹</v>
          </cell>
        </row>
        <row r="792">
          <cell r="A792" t="str">
            <v>0011800970AG</v>
          </cell>
          <cell r="B792" t="str">
            <v>变频外电脑板-FR-4</v>
          </cell>
          <cell r="C792" t="str">
            <v>领智/航嘉//</v>
          </cell>
        </row>
        <row r="793">
          <cell r="A793" t="str">
            <v>0011801143H</v>
          </cell>
          <cell r="B793" t="str">
            <v>变频外电脑板-FR-4/</v>
          </cell>
          <cell r="C793" t="str">
            <v>领智</v>
          </cell>
        </row>
        <row r="794">
          <cell r="A794" t="str">
            <v>0011801143J</v>
          </cell>
          <cell r="B794" t="str">
            <v>变频外电脑板-FR-4/</v>
          </cell>
          <cell r="C794" t="str">
            <v>领智</v>
          </cell>
        </row>
        <row r="795">
          <cell r="A795" t="str">
            <v>0011800052T</v>
          </cell>
          <cell r="B795" t="str">
            <v>室外模块板-FR-4</v>
          </cell>
          <cell r="C795" t="e">
            <v>#N/A</v>
          </cell>
        </row>
        <row r="796">
          <cell r="A796" t="str">
            <v>0011800690G</v>
          </cell>
          <cell r="B796" t="str">
            <v>室外电脑板-/</v>
          </cell>
          <cell r="C796" t="str">
            <v>领智</v>
          </cell>
        </row>
        <row r="797">
          <cell r="A797" t="str">
            <v>0011800215C</v>
          </cell>
          <cell r="B797" t="str">
            <v>室内电脑板-CEM-3</v>
          </cell>
          <cell r="C797" t="str">
            <v>鼎新</v>
          </cell>
        </row>
        <row r="798">
          <cell r="A798" t="str">
            <v>0010401104</v>
          </cell>
          <cell r="B798" t="str">
            <v>室外线束-/</v>
          </cell>
          <cell r="C798" t="str">
            <v>桦晟/得润//</v>
          </cell>
        </row>
        <row r="799">
          <cell r="A799" t="str">
            <v>0011800589F</v>
          </cell>
          <cell r="B799" t="str">
            <v>室外模块驱动板-FR-4</v>
          </cell>
          <cell r="C799" t="str">
            <v>领智</v>
          </cell>
        </row>
        <row r="800">
          <cell r="A800" t="str">
            <v>0011800132</v>
          </cell>
          <cell r="B800" t="str">
            <v>控制面板-CEM-3</v>
          </cell>
          <cell r="C800" t="str">
            <v>鼎新</v>
          </cell>
        </row>
        <row r="801">
          <cell r="A801" t="str">
            <v>0011800328BF</v>
          </cell>
          <cell r="B801" t="str">
            <v>室外模块驱动板-FR-4---</v>
          </cell>
          <cell r="C801" t="str">
            <v>领智</v>
          </cell>
        </row>
        <row r="802">
          <cell r="A802" t="str">
            <v>0011800345BF</v>
          </cell>
          <cell r="B802" t="str">
            <v>室外电脑板-CEM-3</v>
          </cell>
          <cell r="C802" t="str">
            <v>领智</v>
          </cell>
        </row>
        <row r="803">
          <cell r="A803" t="str">
            <v>0010401511E</v>
          </cell>
          <cell r="B803" t="str">
            <v>遥控器-DCAC2.5/GJ</v>
          </cell>
          <cell r="C803" t="e">
            <v>#N/A</v>
          </cell>
        </row>
        <row r="804">
          <cell r="A804" t="str">
            <v>0011800780BJ</v>
          </cell>
          <cell r="B804" t="str">
            <v>室外电脑板-/</v>
          </cell>
          <cell r="C804" t="str">
            <v>领智/航嘉//</v>
          </cell>
        </row>
        <row r="805">
          <cell r="A805" t="str">
            <v>0010403640</v>
          </cell>
          <cell r="B805" t="str">
            <v>连机线-/</v>
          </cell>
          <cell r="C805" t="str">
            <v>华声</v>
          </cell>
        </row>
        <row r="806">
          <cell r="A806" t="str">
            <v>0010403747K</v>
          </cell>
          <cell r="B806" t="str">
            <v>室外线束组-通用</v>
          </cell>
          <cell r="C806" t="str">
            <v>桦晟</v>
          </cell>
        </row>
        <row r="807">
          <cell r="A807" t="str">
            <v>0010404438J</v>
          </cell>
          <cell r="B807" t="str">
            <v>无插电源线-/</v>
          </cell>
          <cell r="C807" t="str">
            <v>华声</v>
          </cell>
        </row>
        <row r="808">
          <cell r="A808" t="str">
            <v>0011012908A</v>
          </cell>
          <cell r="B808" t="str">
            <v>除菌模块-/深紫外LED双灯珠杀菌模块除菌率每小时70%以上。光功率10mW/颗</v>
          </cell>
          <cell r="C808" t="str">
            <v>光浦</v>
          </cell>
        </row>
        <row r="809">
          <cell r="A809" t="str">
            <v>0011800377T</v>
          </cell>
          <cell r="B809" t="str">
            <v>功率驱动板-/</v>
          </cell>
          <cell r="C809" t="e">
            <v>#N/A</v>
          </cell>
        </row>
        <row r="810">
          <cell r="A810" t="str">
            <v>0011800630P</v>
          </cell>
          <cell r="B810" t="str">
            <v>室内电脑板-CEM-1室内电脑板(压敏、保险和继电器防爆)印尼290项目室内电脑</v>
          </cell>
          <cell r="C810" t="str">
            <v>和而泰/领智//</v>
          </cell>
        </row>
        <row r="811">
          <cell r="A811" t="str">
            <v>0011800682P</v>
          </cell>
          <cell r="B811" t="str">
            <v>室内电脑板-//</v>
          </cell>
          <cell r="C811" t="str">
            <v>领智</v>
          </cell>
        </row>
        <row r="812">
          <cell r="A812" t="str">
            <v>0011800980A</v>
          </cell>
          <cell r="B812" t="str">
            <v>室内电脑板-FR-4F平台内机板</v>
          </cell>
          <cell r="C812" t="str">
            <v>领智</v>
          </cell>
        </row>
        <row r="813">
          <cell r="A813" t="str">
            <v>0011800980B</v>
          </cell>
          <cell r="B813" t="str">
            <v>室内电脑板-FR-4F平台内机板</v>
          </cell>
          <cell r="C813" t="str">
            <v>领智</v>
          </cell>
        </row>
        <row r="814">
          <cell r="A814" t="str">
            <v>0011800980E</v>
          </cell>
          <cell r="B814" t="str">
            <v>室内电脑板-FR-4P平台内机板</v>
          </cell>
          <cell r="C814" t="str">
            <v>领智/和而泰//</v>
          </cell>
        </row>
        <row r="815">
          <cell r="A815" t="str">
            <v>0011800980F</v>
          </cell>
          <cell r="B815" t="str">
            <v>室内电脑板-FR-4P平台内机板</v>
          </cell>
          <cell r="C815" t="str">
            <v>领智/和而泰//</v>
          </cell>
        </row>
        <row r="816">
          <cell r="A816" t="str">
            <v>0011801172E</v>
          </cell>
          <cell r="B816" t="str">
            <v>变频外电脑板-FR-4</v>
          </cell>
          <cell r="C816" t="str">
            <v>中家智康</v>
          </cell>
        </row>
        <row r="817">
          <cell r="A817" t="str">
            <v>0011800682L</v>
          </cell>
          <cell r="B817" t="str">
            <v>室内电脑板-CEM-1165*136</v>
          </cell>
          <cell r="C817" t="str">
            <v>领智</v>
          </cell>
        </row>
        <row r="818">
          <cell r="A818" t="str">
            <v>0011800612Q</v>
          </cell>
          <cell r="B818" t="str">
            <v>室内电脑板-CEM-1---</v>
          </cell>
          <cell r="C818" t="str">
            <v>和而泰/领智//</v>
          </cell>
        </row>
        <row r="819">
          <cell r="A819" t="str">
            <v>0011801150A</v>
          </cell>
          <cell r="B819" t="str">
            <v>变频外电脑板-FR-4</v>
          </cell>
          <cell r="C819" t="str">
            <v>领智</v>
          </cell>
        </row>
        <row r="820">
          <cell r="A820" t="str">
            <v>0011800281A</v>
          </cell>
          <cell r="B820" t="str">
            <v>室内电脑板-CEM-1</v>
          </cell>
          <cell r="C820" t="str">
            <v>领智</v>
          </cell>
        </row>
        <row r="821">
          <cell r="A821" t="str">
            <v>0011800281D</v>
          </cell>
          <cell r="B821" t="str">
            <v>室内电脑板-/</v>
          </cell>
          <cell r="C821" t="str">
            <v>领智</v>
          </cell>
        </row>
        <row r="822">
          <cell r="A822" t="str">
            <v>0011800377T</v>
          </cell>
          <cell r="B822" t="str">
            <v>功率驱动板-/</v>
          </cell>
          <cell r="C822" t="e">
            <v>#N/A</v>
          </cell>
        </row>
        <row r="823">
          <cell r="A823" t="str">
            <v>0011800612Q</v>
          </cell>
          <cell r="B823" t="str">
            <v>室内电脑板-CEM-1---</v>
          </cell>
          <cell r="C823" t="str">
            <v>和而泰/领智//</v>
          </cell>
        </row>
        <row r="824">
          <cell r="A824" t="str">
            <v>0011800682L</v>
          </cell>
          <cell r="B824" t="str">
            <v>室内电脑板-CEM-1165*136</v>
          </cell>
          <cell r="C824" t="str">
            <v>领智</v>
          </cell>
        </row>
        <row r="825">
          <cell r="A825" t="str">
            <v>0011801118R</v>
          </cell>
          <cell r="B825" t="str">
            <v>变频外电脑板-FR-4240*180</v>
          </cell>
          <cell r="C825" t="str">
            <v>中家智康</v>
          </cell>
        </row>
        <row r="826">
          <cell r="A826" t="str">
            <v>0011801150A</v>
          </cell>
          <cell r="B826" t="str">
            <v>变频外电脑板-FR-4</v>
          </cell>
          <cell r="C826" t="str">
            <v>领智</v>
          </cell>
        </row>
        <row r="827">
          <cell r="A827" t="str">
            <v>0010406115A</v>
          </cell>
          <cell r="B827" t="str">
            <v>内销电源线-/</v>
          </cell>
          <cell r="C827" t="str">
            <v>桦晟</v>
          </cell>
        </row>
        <row r="828">
          <cell r="A828" t="str">
            <v>001-02003104000314</v>
          </cell>
          <cell r="B828" t="str">
            <v>ROHS-线束(KFRD-50LW/A(QXF))</v>
          </cell>
          <cell r="C828" t="str">
            <v>得润</v>
          </cell>
        </row>
        <row r="829">
          <cell r="A829" t="str">
            <v>0010401715HA</v>
          </cell>
          <cell r="B829" t="str">
            <v>遥控器-塑料HE</v>
          </cell>
          <cell r="C829" t="str">
            <v>思恩泰克/合晶//</v>
          </cell>
        </row>
        <row r="830">
          <cell r="A830" t="str">
            <v>0011800691X</v>
          </cell>
          <cell r="B830" t="str">
            <v>室内电脑板-/162mm*130mm--</v>
          </cell>
          <cell r="C830" t="str">
            <v>航嘉/领智//</v>
          </cell>
        </row>
        <row r="831">
          <cell r="A831" t="str">
            <v>0260402831B</v>
          </cell>
          <cell r="B831" t="str">
            <v>接插线-/G-WIR-9-M-650-P-1.3-N1-2P/N2-2P</v>
          </cell>
          <cell r="C831" t="str">
            <v>得润/桦晟//</v>
          </cell>
        </row>
        <row r="832">
          <cell r="A832" t="str">
            <v>0011800063J</v>
          </cell>
          <cell r="B832" t="str">
            <v>室内电脑板-CEM-3</v>
          </cell>
          <cell r="C832" t="str">
            <v>航嘉</v>
          </cell>
        </row>
        <row r="833">
          <cell r="A833" t="str">
            <v>0011800590B</v>
          </cell>
          <cell r="B833" t="str">
            <v>室外电脑板-CEM-1---</v>
          </cell>
          <cell r="C833" t="str">
            <v>领智</v>
          </cell>
        </row>
        <row r="834">
          <cell r="A834" t="str">
            <v>0011800328G</v>
          </cell>
          <cell r="B834" t="str">
            <v>室外模块驱动板-FR-4</v>
          </cell>
          <cell r="C834" t="str">
            <v>领智</v>
          </cell>
        </row>
        <row r="835">
          <cell r="A835" t="str">
            <v>0010401761S</v>
          </cell>
          <cell r="B835" t="str">
            <v>线束-1.5mm23*1.5mm2+1*1.0mm2</v>
          </cell>
          <cell r="C835" t="str">
            <v>日丰</v>
          </cell>
        </row>
        <row r="836">
          <cell r="A836" t="str">
            <v>0010403087A</v>
          </cell>
          <cell r="B836" t="str">
            <v>ROHS-普通电源线KFRD-35GW/Z7</v>
          </cell>
          <cell r="C836" t="str">
            <v>泓淋</v>
          </cell>
        </row>
        <row r="837">
          <cell r="A837" t="str">
            <v>0010404555P</v>
          </cell>
          <cell r="B837" t="str">
            <v>遥控器-塑料/</v>
          </cell>
          <cell r="C837" t="str">
            <v>合晶</v>
          </cell>
        </row>
        <row r="838">
          <cell r="A838" t="str">
            <v>0010405092B</v>
          </cell>
          <cell r="B838" t="str">
            <v>室外线束组-//</v>
          </cell>
          <cell r="C838" t="str">
            <v>金龙/珠城//</v>
          </cell>
        </row>
        <row r="839">
          <cell r="A839" t="str">
            <v>0010405817B</v>
          </cell>
          <cell r="B839" t="str">
            <v>遥控器-塑料红外遥控器</v>
          </cell>
          <cell r="C839" t="str">
            <v>合晶</v>
          </cell>
        </row>
        <row r="840">
          <cell r="A840" t="str">
            <v>0010405958</v>
          </cell>
          <cell r="B840" t="str">
            <v>线束-/2854电缆线_26AWG</v>
          </cell>
          <cell r="C840" t="str">
            <v>金龙</v>
          </cell>
        </row>
        <row r="841">
          <cell r="A841" t="str">
            <v>0011800377V</v>
          </cell>
          <cell r="B841" t="str">
            <v>功率驱动板-/</v>
          </cell>
          <cell r="C841" t="str">
            <v>航嘉</v>
          </cell>
        </row>
        <row r="842">
          <cell r="A842" t="str">
            <v>0011800646L</v>
          </cell>
          <cell r="B842" t="str">
            <v>室内电脑板-FR-4/</v>
          </cell>
          <cell r="C842" t="str">
            <v>和而泰/领智//</v>
          </cell>
        </row>
        <row r="843">
          <cell r="A843" t="str">
            <v>0011800691AR</v>
          </cell>
          <cell r="B843" t="str">
            <v>室内电脑板-/</v>
          </cell>
          <cell r="C843" t="str">
            <v>领智</v>
          </cell>
        </row>
        <row r="844">
          <cell r="A844" t="str">
            <v>0011800691AS</v>
          </cell>
          <cell r="B844" t="str">
            <v>室内电脑板-/</v>
          </cell>
          <cell r="C844" t="str">
            <v>领智</v>
          </cell>
        </row>
        <row r="845">
          <cell r="A845" t="str">
            <v>0011800697P</v>
          </cell>
          <cell r="B845" t="str">
            <v>室内电脑板-CEM-1室内电脑板70P/50P平台18/24k室内电脑板</v>
          </cell>
          <cell r="C845" t="str">
            <v>领智</v>
          </cell>
        </row>
        <row r="846">
          <cell r="A846" t="str">
            <v>0011801039V</v>
          </cell>
          <cell r="B846" t="str">
            <v>变频外电脑板-FR-4/</v>
          </cell>
          <cell r="C846" t="str">
            <v>中家智康</v>
          </cell>
        </row>
        <row r="847">
          <cell r="A847" t="str">
            <v>0011801039X</v>
          </cell>
          <cell r="B847" t="str">
            <v>变频外电脑板-FR-4/</v>
          </cell>
          <cell r="C847" t="str">
            <v>中家智康</v>
          </cell>
        </row>
        <row r="848">
          <cell r="A848" t="str">
            <v>0011801048B</v>
          </cell>
          <cell r="B848" t="str">
            <v>变频外电脑板-FR-4/</v>
          </cell>
          <cell r="C848" t="str">
            <v>中家智康</v>
          </cell>
        </row>
        <row r="849">
          <cell r="A849" t="str">
            <v>0011801048C</v>
          </cell>
          <cell r="B849" t="str">
            <v>变频外电脑板-FR-4/</v>
          </cell>
          <cell r="C849" t="str">
            <v>中家智康</v>
          </cell>
        </row>
        <row r="850">
          <cell r="A850" t="str">
            <v>0011801048H</v>
          </cell>
          <cell r="B850" t="str">
            <v>变频外电脑板-FR-4/</v>
          </cell>
          <cell r="C850" t="str">
            <v>中家智康</v>
          </cell>
        </row>
        <row r="851">
          <cell r="A851" t="str">
            <v>0011801048J</v>
          </cell>
          <cell r="B851" t="str">
            <v>变频外电脑板-FR-4/</v>
          </cell>
          <cell r="C851" t="str">
            <v>中家智康</v>
          </cell>
        </row>
        <row r="852">
          <cell r="A852" t="str">
            <v>0011801048K</v>
          </cell>
          <cell r="B852" t="str">
            <v>变频外电脑板-FR-4/</v>
          </cell>
          <cell r="C852" t="str">
            <v>中家智康</v>
          </cell>
        </row>
        <row r="853">
          <cell r="A853" t="str">
            <v>0011801048L</v>
          </cell>
          <cell r="B853" t="str">
            <v>变频外电脑板-FR-4/</v>
          </cell>
          <cell r="C853" t="str">
            <v>中家智康</v>
          </cell>
        </row>
        <row r="854">
          <cell r="A854" t="str">
            <v>0011801118AY</v>
          </cell>
          <cell r="B854" t="str">
            <v>变频外电脑板-/</v>
          </cell>
          <cell r="C854" t="str">
            <v>中家智康</v>
          </cell>
        </row>
        <row r="855">
          <cell r="A855" t="str">
            <v>0011801118AZ</v>
          </cell>
          <cell r="B855" t="str">
            <v>变频外电脑板-/</v>
          </cell>
          <cell r="C855" t="str">
            <v>中家智康</v>
          </cell>
        </row>
        <row r="856">
          <cell r="A856" t="str">
            <v>0011801248</v>
          </cell>
          <cell r="B856" t="str">
            <v>喇叭-/</v>
          </cell>
          <cell r="C856" t="str">
            <v>领智</v>
          </cell>
        </row>
        <row r="857">
          <cell r="A857" t="str">
            <v>0011801270</v>
          </cell>
          <cell r="B857" t="str">
            <v>变频外电脑板-/</v>
          </cell>
          <cell r="C857" t="str">
            <v>航嘉</v>
          </cell>
        </row>
        <row r="858">
          <cell r="A858" t="str">
            <v>0010400715</v>
          </cell>
          <cell r="B858" t="str">
            <v>连机线-无</v>
          </cell>
          <cell r="C858" t="str">
            <v>日丰</v>
          </cell>
        </row>
        <row r="859">
          <cell r="A859" t="str">
            <v>0010402017</v>
          </cell>
          <cell r="B859" t="str">
            <v>连机线(245IEC57(YZW)2*0.75*4000)-N/A</v>
          </cell>
          <cell r="C859" t="str">
            <v>日丰/华声//</v>
          </cell>
        </row>
        <row r="860">
          <cell r="A860" t="str">
            <v>0011800311</v>
          </cell>
          <cell r="B860" t="str">
            <v>显示面板-CEM-1</v>
          </cell>
          <cell r="C860" t="str">
            <v>鼎新</v>
          </cell>
        </row>
        <row r="861">
          <cell r="A861" t="str">
            <v>0011800328AE</v>
          </cell>
          <cell r="B861" t="str">
            <v>室外模块驱动板-FR-4</v>
          </cell>
          <cell r="C861" t="str">
            <v>领智</v>
          </cell>
        </row>
        <row r="862">
          <cell r="A862" t="str">
            <v>0011800325</v>
          </cell>
          <cell r="B862" t="str">
            <v>显示面板-CEM-1</v>
          </cell>
          <cell r="C862" t="str">
            <v>领智</v>
          </cell>
        </row>
        <row r="863">
          <cell r="A863" t="str">
            <v>0011800847</v>
          </cell>
          <cell r="B863" t="str">
            <v>室外电脑板-/</v>
          </cell>
          <cell r="C863" t="str">
            <v>领智</v>
          </cell>
        </row>
        <row r="864">
          <cell r="A864" t="str">
            <v>0011800328AD</v>
          </cell>
          <cell r="B864" t="str">
            <v>室外模块驱动板-FR-4</v>
          </cell>
          <cell r="C864" t="str">
            <v>领智</v>
          </cell>
        </row>
        <row r="865">
          <cell r="A865" t="str">
            <v>0010401511B</v>
          </cell>
          <cell r="B865" t="str">
            <v>遥控器-/</v>
          </cell>
          <cell r="C865" t="e">
            <v>#N/A</v>
          </cell>
        </row>
        <row r="866">
          <cell r="A866" t="str">
            <v>0010403790C</v>
          </cell>
          <cell r="B866" t="str">
            <v>遥控器-N/A</v>
          </cell>
          <cell r="C866" t="e">
            <v>#N/A</v>
          </cell>
        </row>
        <row r="867">
          <cell r="A867" t="str">
            <v>0011800350AL</v>
          </cell>
          <cell r="B867" t="str">
            <v>室外电脑板-CEM-3</v>
          </cell>
          <cell r="C867" t="str">
            <v>领智</v>
          </cell>
        </row>
        <row r="868">
          <cell r="A868" t="str">
            <v>0011800013B</v>
          </cell>
          <cell r="B868" t="str">
            <v>室内电脑板-N/A</v>
          </cell>
          <cell r="C868" t="e">
            <v>#N/A</v>
          </cell>
        </row>
        <row r="869">
          <cell r="A869" t="str">
            <v>0010403747</v>
          </cell>
          <cell r="B869" t="str">
            <v>ROHS-室外机线束(H2SM-(9+9)H03/R2(DB))-通</v>
          </cell>
          <cell r="C869" t="str">
            <v>得润/金龙//</v>
          </cell>
        </row>
        <row r="870">
          <cell r="A870" t="str">
            <v>0011800109</v>
          </cell>
          <cell r="B870" t="str">
            <v>室内电脑板-N/A</v>
          </cell>
          <cell r="C870" t="e">
            <v>#N/A</v>
          </cell>
        </row>
        <row r="871">
          <cell r="A871" t="str">
            <v>0011800209A</v>
          </cell>
          <cell r="B871" t="str">
            <v>室外电脑板-CEM-3</v>
          </cell>
          <cell r="C871" t="e">
            <v>#N/A</v>
          </cell>
        </row>
        <row r="872">
          <cell r="A872" t="str">
            <v>0010404385</v>
          </cell>
          <cell r="B872" t="str">
            <v>模块驱动板-N/A</v>
          </cell>
          <cell r="C872" t="str">
            <v>领智</v>
          </cell>
        </row>
        <row r="873">
          <cell r="A873" t="str">
            <v>0010401715FC</v>
          </cell>
          <cell r="B873" t="str">
            <v>遥控器-塑料</v>
          </cell>
          <cell r="C873" t="str">
            <v>合晶</v>
          </cell>
        </row>
        <row r="874">
          <cell r="A874" t="str">
            <v>0010403358L</v>
          </cell>
          <cell r="B874" t="str">
            <v>无插电源线-/</v>
          </cell>
          <cell r="C874" t="str">
            <v>泓淋</v>
          </cell>
        </row>
        <row r="875">
          <cell r="A875" t="str">
            <v>0010403564</v>
          </cell>
          <cell r="B875" t="str">
            <v>线束-/</v>
          </cell>
          <cell r="C875" t="str">
            <v>得润</v>
          </cell>
        </row>
        <row r="876">
          <cell r="A876" t="str">
            <v>0010406040</v>
          </cell>
          <cell r="B876" t="str">
            <v>线束-金属长度400mm,全包USB头</v>
          </cell>
          <cell r="C876" t="str">
            <v>桦晟</v>
          </cell>
        </row>
        <row r="877">
          <cell r="A877" t="str">
            <v>0011800209J</v>
          </cell>
          <cell r="B877" t="str">
            <v>室外电脑板-CEM-3WDBHDC2</v>
          </cell>
          <cell r="C877" t="str">
            <v>领智</v>
          </cell>
        </row>
        <row r="878">
          <cell r="A878" t="str">
            <v>0011800491A</v>
          </cell>
          <cell r="B878" t="str">
            <v>室内电脑板-CEM-1---</v>
          </cell>
          <cell r="C878" t="str">
            <v>领智</v>
          </cell>
        </row>
        <row r="879">
          <cell r="A879" t="str">
            <v>0011800491M</v>
          </cell>
          <cell r="B879" t="str">
            <v>室外电脑板-CEM-1</v>
          </cell>
          <cell r="C879" t="str">
            <v>领智</v>
          </cell>
        </row>
        <row r="880">
          <cell r="A880" t="str">
            <v>0011800491N</v>
          </cell>
          <cell r="B880" t="str">
            <v>室内电脑板-CEM-1</v>
          </cell>
          <cell r="C880" t="str">
            <v>领智</v>
          </cell>
        </row>
        <row r="881">
          <cell r="A881" t="str">
            <v>0011800491S</v>
          </cell>
          <cell r="B881" t="str">
            <v>室内电脑板-CEM-1</v>
          </cell>
          <cell r="C881" t="str">
            <v>领智</v>
          </cell>
        </row>
        <row r="882">
          <cell r="A882" t="str">
            <v>0011800537B</v>
          </cell>
          <cell r="B882" t="str">
            <v>室内电脑板-CEM-1</v>
          </cell>
          <cell r="C882" t="str">
            <v>和而泰/领智//</v>
          </cell>
        </row>
        <row r="883">
          <cell r="A883" t="str">
            <v>0011800575A</v>
          </cell>
          <cell r="B883" t="str">
            <v>室内电脑板-CEM-1</v>
          </cell>
          <cell r="C883" t="str">
            <v>领智</v>
          </cell>
        </row>
        <row r="884">
          <cell r="A884" t="str">
            <v>0011800575B</v>
          </cell>
          <cell r="B884" t="str">
            <v>室内电脑板-CEM-1</v>
          </cell>
          <cell r="C884" t="str">
            <v>领智</v>
          </cell>
        </row>
        <row r="885">
          <cell r="A885" t="str">
            <v>0011800690BD</v>
          </cell>
          <cell r="B885" t="str">
            <v>室外电脑板-FR-4280mm×157mm</v>
          </cell>
          <cell r="C885" t="str">
            <v>领智</v>
          </cell>
        </row>
        <row r="886">
          <cell r="A886" t="str">
            <v>0011800980H</v>
          </cell>
          <cell r="B886" t="str">
            <v>电脑板-/</v>
          </cell>
          <cell r="C886" t="str">
            <v>领智</v>
          </cell>
        </row>
        <row r="887">
          <cell r="A887" t="str">
            <v>0011801172W</v>
          </cell>
          <cell r="B887" t="str">
            <v>变频外电脑板-FR-4240*180</v>
          </cell>
          <cell r="C887" t="str">
            <v>中家智康</v>
          </cell>
        </row>
        <row r="888">
          <cell r="A888" t="str">
            <v>0011800691AN</v>
          </cell>
          <cell r="B888" t="str">
            <v>室内电脑板-/162mm*130mm</v>
          </cell>
          <cell r="C888" t="str">
            <v>航嘉/领智//</v>
          </cell>
        </row>
        <row r="889">
          <cell r="A889" t="str">
            <v>0011801118AD</v>
          </cell>
          <cell r="B889" t="str">
            <v>变频外电脑板-FR-4240*180</v>
          </cell>
          <cell r="C889" t="str">
            <v>中家智康</v>
          </cell>
        </row>
        <row r="890">
          <cell r="A890" t="str">
            <v>0011800410U</v>
          </cell>
          <cell r="B890" t="str">
            <v>室外电脑板-通用12澳洲低待机</v>
          </cell>
          <cell r="C890" t="str">
            <v>领智</v>
          </cell>
        </row>
        <row r="891">
          <cell r="A891" t="str">
            <v>0011800410C</v>
          </cell>
          <cell r="B891" t="str">
            <v>室外电脑板-CEM-1新3P室外电脑板全球统一程</v>
          </cell>
          <cell r="C891" t="str">
            <v>领智</v>
          </cell>
        </row>
        <row r="892">
          <cell r="A892" t="str">
            <v>0011800173G</v>
          </cell>
          <cell r="B892" t="str">
            <v>室内电脑板-CEM-1</v>
          </cell>
          <cell r="C892" t="str">
            <v>领智</v>
          </cell>
        </row>
        <row r="893">
          <cell r="A893" t="str">
            <v>0011800223W</v>
          </cell>
          <cell r="B893" t="str">
            <v>室外模块驱动板-/</v>
          </cell>
          <cell r="C893" t="str">
            <v>领智</v>
          </cell>
        </row>
        <row r="894">
          <cell r="A894" t="str">
            <v>0011800339DN</v>
          </cell>
          <cell r="B894" t="str">
            <v>室外电脑板-CEM-3</v>
          </cell>
          <cell r="C894" t="str">
            <v>领智</v>
          </cell>
        </row>
        <row r="895">
          <cell r="A895" t="str">
            <v>0010403035H</v>
          </cell>
          <cell r="B895" t="str">
            <v>连机线-/</v>
          </cell>
          <cell r="C895" t="str">
            <v>日丰</v>
          </cell>
        </row>
        <row r="896">
          <cell r="A896" t="str">
            <v>0011800697N</v>
          </cell>
          <cell r="B896" t="str">
            <v>室内电脑板-CEM-1室内电脑板70P/50P平台18/24k室内电脑板</v>
          </cell>
          <cell r="C896" t="str">
            <v>领智</v>
          </cell>
        </row>
        <row r="897">
          <cell r="A897" t="str">
            <v>0011800997E</v>
          </cell>
          <cell r="B897" t="str">
            <v>变频外电脑板-FR-4变频室外马达双驱动+高频PFC方案用电脑板</v>
          </cell>
          <cell r="C897" t="str">
            <v>领智</v>
          </cell>
        </row>
        <row r="898">
          <cell r="A898" t="str">
            <v>0011801001C</v>
          </cell>
          <cell r="B898" t="str">
            <v>变频外电脑板-FR-4室外电脑板293mm*181mm室外电脑板(开关电源)</v>
          </cell>
          <cell r="C898" t="str">
            <v>领智</v>
          </cell>
        </row>
        <row r="899">
          <cell r="A899" t="str">
            <v>0011801039F</v>
          </cell>
          <cell r="B899" t="str">
            <v>变频外电脑板-FR-4/</v>
          </cell>
          <cell r="C899" t="str">
            <v>中家智康</v>
          </cell>
        </row>
        <row r="900">
          <cell r="A900" t="str">
            <v>0011801125</v>
          </cell>
          <cell r="B900" t="str">
            <v>显示板-/53*95</v>
          </cell>
          <cell r="C900" t="str">
            <v>领智/尚研/恒青/</v>
          </cell>
        </row>
        <row r="901">
          <cell r="A901" t="str">
            <v>0010402886AT</v>
          </cell>
          <cell r="B901" t="str">
            <v>遥控器-塑料/</v>
          </cell>
          <cell r="C901" t="e">
            <v>#N/A</v>
          </cell>
        </row>
        <row r="902">
          <cell r="A902" t="str">
            <v>0010405817G</v>
          </cell>
          <cell r="B902" t="str">
            <v>遥控器-塑料红外遥控器</v>
          </cell>
          <cell r="C902" t="str">
            <v>合晶</v>
          </cell>
        </row>
        <row r="903">
          <cell r="A903" t="str">
            <v>0011800909G</v>
          </cell>
          <cell r="B903" t="str">
            <v>室内电脑板-CEM-3</v>
          </cell>
          <cell r="C903" t="str">
            <v>领智</v>
          </cell>
        </row>
        <row r="904">
          <cell r="A904" t="str">
            <v>0011801256</v>
          </cell>
          <cell r="B904" t="str">
            <v>室内电脑板-CEM-1</v>
          </cell>
          <cell r="C904" t="str">
            <v>航嘉</v>
          </cell>
        </row>
        <row r="905">
          <cell r="A905" t="str">
            <v>0011800241K</v>
          </cell>
          <cell r="B905" t="str">
            <v>室外电脑板-CEM-3</v>
          </cell>
          <cell r="C905" t="str">
            <v>领智</v>
          </cell>
        </row>
        <row r="906">
          <cell r="A906" t="str">
            <v>0011800410A</v>
          </cell>
          <cell r="B906" t="str">
            <v>室外电脑板-CEM-3</v>
          </cell>
          <cell r="C906" t="str">
            <v>领智</v>
          </cell>
        </row>
        <row r="907">
          <cell r="A907" t="str">
            <v>0011800997D</v>
          </cell>
          <cell r="B907" t="str">
            <v>变频外电脑板-/</v>
          </cell>
          <cell r="C907" t="str">
            <v>尚研/领智//</v>
          </cell>
        </row>
        <row r="908">
          <cell r="A908" t="str">
            <v>0011801143C</v>
          </cell>
          <cell r="B908" t="str">
            <v>变频外电脑板-FR-4/</v>
          </cell>
          <cell r="C908" t="str">
            <v>领智</v>
          </cell>
        </row>
        <row r="909">
          <cell r="A909" t="str">
            <v>0011801209A</v>
          </cell>
          <cell r="B909" t="str">
            <v>变频外电脑板-FR-4</v>
          </cell>
          <cell r="C909" t="str">
            <v>儒竞</v>
          </cell>
        </row>
        <row r="910">
          <cell r="A910" t="str">
            <v>0010402886AF</v>
          </cell>
          <cell r="B910" t="str">
            <v>遥控器-/HQ遥控器</v>
          </cell>
          <cell r="C910" t="str">
            <v>长虹</v>
          </cell>
        </row>
        <row r="911">
          <cell r="A911" t="str">
            <v>0011801172Z</v>
          </cell>
          <cell r="B911" t="str">
            <v>变频外电脑板-FR-4240*180FR-4</v>
          </cell>
          <cell r="C911" t="str">
            <v>中家智康</v>
          </cell>
        </row>
        <row r="912">
          <cell r="A912" t="str">
            <v>0011801150M</v>
          </cell>
          <cell r="B912" t="str">
            <v>变频外电脑板-FR-4</v>
          </cell>
          <cell r="C912" t="str">
            <v>领智</v>
          </cell>
        </row>
        <row r="913">
          <cell r="A913" t="str">
            <v>0011801172AB</v>
          </cell>
          <cell r="B913" t="str">
            <v>变频外电脑板-FR-4240*180</v>
          </cell>
          <cell r="C913" t="str">
            <v>中家智康</v>
          </cell>
        </row>
        <row r="914">
          <cell r="A914" t="str">
            <v>0010401715GG</v>
          </cell>
          <cell r="B914" t="str">
            <v>遥控器-塑料HE系列遥控器</v>
          </cell>
          <cell r="C914" t="str">
            <v>合晶</v>
          </cell>
        </row>
        <row r="915">
          <cell r="A915" t="str">
            <v>0010401761H</v>
          </cell>
          <cell r="B915" t="str">
            <v>线束-1.5mm2</v>
          </cell>
          <cell r="C915" t="str">
            <v>华声</v>
          </cell>
        </row>
        <row r="916">
          <cell r="A916" t="str">
            <v>0011800682R</v>
          </cell>
          <cell r="B916" t="str">
            <v>室内电脑板-CEM-1165*136</v>
          </cell>
          <cell r="C916" t="str">
            <v>领智</v>
          </cell>
        </row>
        <row r="917">
          <cell r="A917" t="str">
            <v>0011800682S</v>
          </cell>
          <cell r="B917" t="str">
            <v>室内电脑板-CEM-1165*136</v>
          </cell>
          <cell r="C917" t="str">
            <v>领智</v>
          </cell>
        </row>
        <row r="918">
          <cell r="A918" t="str">
            <v>0011801123D</v>
          </cell>
          <cell r="B918" t="str">
            <v>室内电脑板-FR-4136*165</v>
          </cell>
          <cell r="C918" t="str">
            <v>领智</v>
          </cell>
        </row>
        <row r="919">
          <cell r="A919" t="str">
            <v>0011801172AH</v>
          </cell>
          <cell r="B919" t="str">
            <v>变频外电脑板-FR-4240*180</v>
          </cell>
          <cell r="C919" t="str">
            <v>中家智康</v>
          </cell>
        </row>
        <row r="920">
          <cell r="A920" t="str">
            <v>0011801172AJ</v>
          </cell>
          <cell r="B920" t="str">
            <v>变频外电脑板-FR-4240*180</v>
          </cell>
          <cell r="C920" t="str">
            <v>中家智康</v>
          </cell>
        </row>
        <row r="921">
          <cell r="A921" t="str">
            <v>0011801172AK</v>
          </cell>
          <cell r="B921" t="str">
            <v>变频外电脑板-FR-4240*180</v>
          </cell>
          <cell r="C921" t="str">
            <v>中家智康</v>
          </cell>
        </row>
        <row r="922">
          <cell r="A922" t="str">
            <v>0011801172G</v>
          </cell>
          <cell r="B922" t="str">
            <v>变频外电脑板-FR-4</v>
          </cell>
          <cell r="C922" t="str">
            <v>中家智康/和而泰//</v>
          </cell>
        </row>
        <row r="923">
          <cell r="A923" t="str">
            <v>0011801256D</v>
          </cell>
          <cell r="B923" t="str">
            <v>室内电脑板-CEM-1</v>
          </cell>
          <cell r="C923" t="str">
            <v>航嘉</v>
          </cell>
        </row>
        <row r="924">
          <cell r="A924" t="str">
            <v>0010404878</v>
          </cell>
          <cell r="B924" t="str">
            <v>智能检测器-/---</v>
          </cell>
          <cell r="C924" t="e">
            <v>#N/A</v>
          </cell>
        </row>
        <row r="925">
          <cell r="A925" t="str">
            <v>0010404878B</v>
          </cell>
          <cell r="B925" t="str">
            <v>人体感知模块-/---</v>
          </cell>
          <cell r="C925" t="e">
            <v>#N/A</v>
          </cell>
        </row>
        <row r="926">
          <cell r="A926" t="str">
            <v>0011800292AD</v>
          </cell>
          <cell r="B926" t="str">
            <v>Wi-Fi模块-/5VDC</v>
          </cell>
          <cell r="C926" t="str">
            <v>海尔科技</v>
          </cell>
        </row>
        <row r="927">
          <cell r="A927" t="str">
            <v>0011800292AE</v>
          </cell>
          <cell r="B927" t="str">
            <v>Wi-Fi模块-/5VDC</v>
          </cell>
          <cell r="C927" t="str">
            <v>富联</v>
          </cell>
        </row>
        <row r="928">
          <cell r="A928" t="str">
            <v>0011800292F</v>
          </cell>
          <cell r="B928" t="str">
            <v>Wi-Fi模块-/</v>
          </cell>
          <cell r="C928" t="str">
            <v>海尔科技</v>
          </cell>
        </row>
        <row r="929">
          <cell r="A929" t="str">
            <v>0010400298B</v>
          </cell>
          <cell r="B929" t="str">
            <v>继电器-通用220V-10A-60Hz-4路10A</v>
          </cell>
          <cell r="C929" t="str">
            <v>宏发</v>
          </cell>
        </row>
        <row r="930">
          <cell r="A930" t="str">
            <v>0010401761T</v>
          </cell>
          <cell r="B930" t="str">
            <v>线束-1.5mm2</v>
          </cell>
          <cell r="C930" t="str">
            <v>华声</v>
          </cell>
        </row>
        <row r="931">
          <cell r="A931" t="str">
            <v>0010402192</v>
          </cell>
          <cell r="B931" t="str">
            <v>选择开关(HWS18VHA)-/</v>
          </cell>
          <cell r="C931" t="str">
            <v>宏联</v>
          </cell>
        </row>
        <row r="932">
          <cell r="A932" t="str">
            <v>0010402236</v>
          </cell>
          <cell r="B932" t="str">
            <v>温控器(HWS18VHA)-金属</v>
          </cell>
          <cell r="C932" t="str">
            <v>通宝</v>
          </cell>
        </row>
        <row r="933">
          <cell r="A933" t="str">
            <v>0010403338A</v>
          </cell>
          <cell r="B933" t="str">
            <v>选择开关-/</v>
          </cell>
          <cell r="C933" t="str">
            <v>宏联</v>
          </cell>
        </row>
        <row r="934">
          <cell r="A934" t="str">
            <v>0010403515</v>
          </cell>
          <cell r="B934" t="str">
            <v>温控器(HWF05XC5)-金属</v>
          </cell>
          <cell r="C934" t="str">
            <v>通宝</v>
          </cell>
        </row>
        <row r="935">
          <cell r="A935" t="str">
            <v>0010403524</v>
          </cell>
          <cell r="B935" t="str">
            <v>舟形开关(HWF05XC5)-N/A</v>
          </cell>
          <cell r="C935" t="str">
            <v>昌德成</v>
          </cell>
        </row>
        <row r="936">
          <cell r="A936" t="str">
            <v>0010403558</v>
          </cell>
          <cell r="B936" t="str">
            <v>舟形开关(CR111515A/125V HWF05XC5)-N/A</v>
          </cell>
          <cell r="C936" t="str">
            <v>昌德成</v>
          </cell>
        </row>
        <row r="937">
          <cell r="A937" t="str">
            <v>0010404878</v>
          </cell>
          <cell r="B937" t="str">
            <v>智能检测器-/---</v>
          </cell>
          <cell r="C937" t="e">
            <v>#N/A</v>
          </cell>
        </row>
        <row r="938">
          <cell r="A938" t="str">
            <v>0010404878B</v>
          </cell>
          <cell r="B938" t="str">
            <v>人体感知模块-/---</v>
          </cell>
          <cell r="C938" t="e">
            <v>#N/A</v>
          </cell>
        </row>
        <row r="939">
          <cell r="A939" t="str">
            <v>0010404878C</v>
          </cell>
          <cell r="B939" t="str">
            <v>人体感知模块-/</v>
          </cell>
          <cell r="C939" t="e">
            <v>#N/A</v>
          </cell>
        </row>
        <row r="940">
          <cell r="A940" t="str">
            <v>0011800292AB</v>
          </cell>
          <cell r="B940" t="str">
            <v>Wi-Fi模块-/</v>
          </cell>
          <cell r="C940" t="str">
            <v>海尔科技</v>
          </cell>
        </row>
        <row r="941">
          <cell r="A941" t="str">
            <v>0011800292AD</v>
          </cell>
          <cell r="B941" t="str">
            <v>Wi-Fi模块-/5VDC</v>
          </cell>
          <cell r="C941" t="str">
            <v>海尔科技</v>
          </cell>
        </row>
        <row r="942">
          <cell r="A942" t="str">
            <v>0011800292AE</v>
          </cell>
          <cell r="B942" t="str">
            <v>Wi-Fi模块-/5VDC</v>
          </cell>
          <cell r="C942" t="str">
            <v>富联</v>
          </cell>
        </row>
        <row r="943">
          <cell r="A943" t="str">
            <v>0011800292M</v>
          </cell>
          <cell r="B943" t="str">
            <v>Wi-Fi MODULE-FR-4</v>
          </cell>
          <cell r="C943" t="str">
            <v>海尔科技</v>
          </cell>
        </row>
        <row r="944">
          <cell r="A944" t="str">
            <v>0011800292T</v>
          </cell>
          <cell r="B944" t="str">
            <v>Wi-Fi MODULE-/</v>
          </cell>
          <cell r="C944" t="str">
            <v>海尔科技</v>
          </cell>
        </row>
        <row r="945">
          <cell r="A945" t="str">
            <v>0011800292X</v>
          </cell>
          <cell r="B945" t="str">
            <v>Wi-Fi模块-/</v>
          </cell>
          <cell r="C945" t="str">
            <v>高盛达</v>
          </cell>
        </row>
        <row r="946">
          <cell r="A946" t="str">
            <v>0011800571Q</v>
          </cell>
          <cell r="B946" t="str">
            <v>语音模块-/5VDC</v>
          </cell>
          <cell r="C946" t="str">
            <v>领智</v>
          </cell>
        </row>
        <row r="947">
          <cell r="A947" t="str">
            <v>001A3400193</v>
          </cell>
          <cell r="B947" t="str">
            <v>温控器-N/A</v>
          </cell>
          <cell r="C947" t="str">
            <v>通宝</v>
          </cell>
        </row>
        <row r="948">
          <cell r="A948" t="str">
            <v>0151800604A</v>
          </cell>
          <cell r="B948" t="str">
            <v>Wi-Fi模块-FR-4/--</v>
          </cell>
          <cell r="C948" t="str">
            <v>中宝</v>
          </cell>
        </row>
        <row r="949">
          <cell r="A949" t="str">
            <v>0010400298</v>
          </cell>
          <cell r="B949" t="str">
            <v>ROHS-继电器(SCL-DPDT-C1)</v>
          </cell>
          <cell r="C949" t="str">
            <v>松川/宏发//</v>
          </cell>
        </row>
        <row r="950">
          <cell r="A950" t="str">
            <v>0010404011</v>
          </cell>
          <cell r="B950" t="str">
            <v>ROHS-压力开关(HSU-28H03/R2)-N/A</v>
          </cell>
          <cell r="C950" t="str">
            <v>曼淇威/俊乐//</v>
          </cell>
        </row>
        <row r="951">
          <cell r="A951" t="str">
            <v>0010405986</v>
          </cell>
          <cell r="B951" t="str">
            <v>湿度传感器-/30*18mm</v>
          </cell>
          <cell r="C951" t="e">
            <v>#N/A</v>
          </cell>
        </row>
        <row r="952">
          <cell r="A952" t="str">
            <v>0010401715HQ</v>
          </cell>
          <cell r="B952" t="str">
            <v>遥控器-塑料</v>
          </cell>
          <cell r="C952" t="str">
            <v>合晶</v>
          </cell>
        </row>
        <row r="953">
          <cell r="A953" t="str">
            <v>0010401729</v>
          </cell>
          <cell r="B953" t="str">
            <v>压力开关-/</v>
          </cell>
          <cell r="C953" t="str">
            <v>曼淇威</v>
          </cell>
        </row>
        <row r="954">
          <cell r="A954" t="str">
            <v>0011800613P</v>
          </cell>
          <cell r="B954" t="str">
            <v>室内电脑板-/CEM-1</v>
          </cell>
          <cell r="C954" t="str">
            <v>领智</v>
          </cell>
        </row>
        <row r="955">
          <cell r="A955" t="str">
            <v>0011801256C</v>
          </cell>
          <cell r="B955" t="str">
            <v>室内电脑板-CEM-1</v>
          </cell>
          <cell r="C955" t="str">
            <v>航嘉</v>
          </cell>
        </row>
        <row r="956">
          <cell r="A956" t="str">
            <v>0011800410F</v>
          </cell>
          <cell r="B956" t="str">
            <v>室外电脑板-CEM-1</v>
          </cell>
          <cell r="C956" t="str">
            <v>领智</v>
          </cell>
        </row>
        <row r="957">
          <cell r="A957" t="str">
            <v>0011800292A</v>
          </cell>
          <cell r="B957" t="str">
            <v>Wi-Fi模块-/</v>
          </cell>
          <cell r="C957" t="str">
            <v>海尔科技</v>
          </cell>
        </row>
        <row r="958">
          <cell r="A958" t="str">
            <v>0010401996AM</v>
          </cell>
          <cell r="B958" t="str">
            <v>遥控器-塑料</v>
          </cell>
          <cell r="C958" t="str">
            <v>长虹</v>
          </cell>
        </row>
        <row r="959">
          <cell r="A959" t="str">
            <v>0010402021B</v>
          </cell>
          <cell r="B959" t="str">
            <v>离子发生器-/---</v>
          </cell>
          <cell r="C959" t="str">
            <v>汉邦</v>
          </cell>
        </row>
        <row r="960">
          <cell r="A960" t="str">
            <v>0010402021D</v>
          </cell>
          <cell r="B960" t="str">
            <v>离子发生器-/---</v>
          </cell>
          <cell r="C960" t="str">
            <v>汉邦</v>
          </cell>
        </row>
        <row r="961">
          <cell r="A961" t="str">
            <v>0010402886R</v>
          </cell>
          <cell r="B961" t="str">
            <v>遥控器-/</v>
          </cell>
          <cell r="C961" t="str">
            <v>长虹</v>
          </cell>
        </row>
        <row r="962">
          <cell r="A962" t="str">
            <v>0010403863G</v>
          </cell>
          <cell r="B962" t="str">
            <v>端子排-/</v>
          </cell>
          <cell r="C962" t="str">
            <v>华冠</v>
          </cell>
        </row>
        <row r="963">
          <cell r="A963" t="str">
            <v>0010405976</v>
          </cell>
          <cell r="B963" t="str">
            <v>线束-0.75mm2（24/0.20）MCA帝尊柜机</v>
          </cell>
          <cell r="C963" t="str">
            <v>相变</v>
          </cell>
        </row>
        <row r="964">
          <cell r="A964" t="str">
            <v>0011800292AA</v>
          </cell>
          <cell r="B964" t="str">
            <v>Wi-Fi模块-/</v>
          </cell>
          <cell r="C964" t="str">
            <v>海尔科技</v>
          </cell>
        </row>
        <row r="965">
          <cell r="A965" t="str">
            <v>0011800491R</v>
          </cell>
          <cell r="B965" t="str">
            <v>室内电脑板-CEM-1</v>
          </cell>
          <cell r="C965" t="str">
            <v>领智/领智//</v>
          </cell>
        </row>
        <row r="966">
          <cell r="A966" t="str">
            <v>0011800780BA</v>
          </cell>
          <cell r="B966" t="str">
            <v>室外电脑板-/---</v>
          </cell>
          <cell r="C966" t="str">
            <v>领智</v>
          </cell>
        </row>
        <row r="967">
          <cell r="A967" t="str">
            <v>0011800825</v>
          </cell>
          <cell r="B967" t="str">
            <v>Wi-Fi模块-/</v>
          </cell>
          <cell r="C967" t="str">
            <v>航嘉</v>
          </cell>
        </row>
        <row r="968">
          <cell r="A968" t="str">
            <v>0011801067</v>
          </cell>
          <cell r="B968" t="str">
            <v>室内电脑板-FR-4100*150</v>
          </cell>
          <cell r="C968" t="str">
            <v>领智</v>
          </cell>
        </row>
        <row r="969">
          <cell r="A969" t="str">
            <v>0011801135</v>
          </cell>
          <cell r="B969" t="str">
            <v>物联通信模块-通用45*50*9mm</v>
          </cell>
          <cell r="C969" t="str">
            <v>利尔达</v>
          </cell>
        </row>
        <row r="970">
          <cell r="A970" t="str">
            <v>0010405976R</v>
          </cell>
          <cell r="B970" t="str">
            <v>线束-//</v>
          </cell>
          <cell r="C970" t="str">
            <v>珠城</v>
          </cell>
        </row>
        <row r="971">
          <cell r="A971" t="str">
            <v>0011800301C</v>
          </cell>
          <cell r="B971" t="str">
            <v>室内电脑板-CEM-1</v>
          </cell>
          <cell r="C971" t="str">
            <v>领智</v>
          </cell>
        </row>
        <row r="972">
          <cell r="A972" t="str">
            <v>0011800197C</v>
          </cell>
          <cell r="B972" t="str">
            <v>室内电脑板-CEM-1</v>
          </cell>
          <cell r="C972" t="str">
            <v>领智</v>
          </cell>
        </row>
        <row r="973">
          <cell r="A973" t="str">
            <v>0011800198</v>
          </cell>
          <cell r="B973" t="str">
            <v>室内电脑板</v>
          </cell>
          <cell r="C973" t="str">
            <v>领智</v>
          </cell>
        </row>
        <row r="974">
          <cell r="A974" t="str">
            <v>0011800241B</v>
          </cell>
          <cell r="B974" t="str">
            <v>室外电脑板-CEM-3</v>
          </cell>
          <cell r="C974" t="str">
            <v>领智</v>
          </cell>
        </row>
        <row r="975">
          <cell r="A975" t="str">
            <v>0011800410E</v>
          </cell>
          <cell r="B975" t="str">
            <v>室外电脑板-/70N+新2P外机70N+新2P外机</v>
          </cell>
          <cell r="C975" t="str">
            <v>领智</v>
          </cell>
        </row>
        <row r="976">
          <cell r="A976" t="str">
            <v>0011800137K</v>
          </cell>
          <cell r="B976" t="str">
            <v>室外电脑板</v>
          </cell>
          <cell r="C976" t="str">
            <v>领智</v>
          </cell>
        </row>
        <row r="977">
          <cell r="A977" t="str">
            <v>0011800258B</v>
          </cell>
          <cell r="B977" t="str">
            <v>室外模块驱动板-FR-4</v>
          </cell>
          <cell r="C977" t="str">
            <v>领智</v>
          </cell>
        </row>
        <row r="978">
          <cell r="A978" t="str">
            <v>0011800204A</v>
          </cell>
          <cell r="B978" t="str">
            <v>室内电脑板-CEM-3</v>
          </cell>
          <cell r="C978" t="str">
            <v>领智</v>
          </cell>
        </row>
        <row r="979">
          <cell r="A979" t="str">
            <v>0011800209B</v>
          </cell>
          <cell r="B979" t="str">
            <v>室外电脑板-CEM-3</v>
          </cell>
          <cell r="C979" t="str">
            <v>领智</v>
          </cell>
        </row>
        <row r="980">
          <cell r="A980" t="str">
            <v>0011800879A</v>
          </cell>
          <cell r="B980" t="str">
            <v>室外电脑板-FR-4---</v>
          </cell>
          <cell r="C980" t="str">
            <v>领智</v>
          </cell>
        </row>
        <row r="981">
          <cell r="A981" t="str">
            <v>0011800460</v>
          </cell>
          <cell r="B981" t="str">
            <v>智能检测器-/</v>
          </cell>
          <cell r="C981" t="e">
            <v>#N/A</v>
          </cell>
        </row>
        <row r="982">
          <cell r="A982" t="str">
            <v>0011800682T</v>
          </cell>
          <cell r="B982" t="str">
            <v>室内电脑板-CEM-1165*136</v>
          </cell>
          <cell r="C982" t="str">
            <v>领智</v>
          </cell>
        </row>
        <row r="983">
          <cell r="A983" t="str">
            <v>0011801256A</v>
          </cell>
          <cell r="B983" t="str">
            <v>室内电脑板-CEM-1</v>
          </cell>
          <cell r="C983" t="str">
            <v>航嘉</v>
          </cell>
        </row>
        <row r="984">
          <cell r="A984" t="str">
            <v>0011800328AH</v>
          </cell>
          <cell r="B984" t="str">
            <v>室外模块驱动板-FR-4</v>
          </cell>
          <cell r="C984" t="str">
            <v>领智</v>
          </cell>
        </row>
        <row r="985">
          <cell r="A985" t="str">
            <v>0011800033</v>
          </cell>
          <cell r="B985" t="str">
            <v>显示面板-N/A</v>
          </cell>
          <cell r="C985" t="str">
            <v>领智</v>
          </cell>
        </row>
        <row r="986">
          <cell r="A986" t="str">
            <v>0011800345BH</v>
          </cell>
          <cell r="B986" t="str">
            <v>室外电脑板-CEM-3---</v>
          </cell>
          <cell r="C986" t="str">
            <v>领智</v>
          </cell>
        </row>
        <row r="987">
          <cell r="A987" t="str">
            <v>0011800490</v>
          </cell>
          <cell r="B987" t="str">
            <v>室内电脑板-CEM-1</v>
          </cell>
          <cell r="C987" t="str">
            <v>领智</v>
          </cell>
        </row>
        <row r="988">
          <cell r="A988" t="str">
            <v>0011800410M</v>
          </cell>
          <cell r="B988" t="str">
            <v>室外电脑板-CEM-3</v>
          </cell>
          <cell r="C988" t="str">
            <v>领智</v>
          </cell>
        </row>
        <row r="989">
          <cell r="A989" t="str">
            <v>0011800510A</v>
          </cell>
          <cell r="B989" t="str">
            <v>室外电脑板-/低待机,dred,209尺寸低待机,dr</v>
          </cell>
          <cell r="C989" t="str">
            <v>领智</v>
          </cell>
        </row>
        <row r="990">
          <cell r="A990" t="str">
            <v>0010401523</v>
          </cell>
          <cell r="B990" t="str">
            <v>接收显示板-/</v>
          </cell>
          <cell r="C990" t="str">
            <v>领智</v>
          </cell>
        </row>
        <row r="991">
          <cell r="A991" t="str">
            <v>0011800241G</v>
          </cell>
          <cell r="B991" t="str">
            <v>室外电脑板-/WEDHDC2</v>
          </cell>
          <cell r="C991" t="str">
            <v>领智</v>
          </cell>
        </row>
        <row r="992">
          <cell r="A992" t="str">
            <v>0011800328U</v>
          </cell>
          <cell r="B992" t="str">
            <v>室外模块驱动板-FR-4</v>
          </cell>
          <cell r="C992" t="str">
            <v>领智</v>
          </cell>
        </row>
        <row r="993">
          <cell r="A993" t="str">
            <v>0011800345AU</v>
          </cell>
          <cell r="B993" t="str">
            <v>室外电脑板-CEM-3</v>
          </cell>
          <cell r="C993" t="str">
            <v>领智</v>
          </cell>
        </row>
        <row r="994">
          <cell r="A994" t="str">
            <v>0011800780BB</v>
          </cell>
          <cell r="B994" t="str">
            <v>室外电脑板-/---</v>
          </cell>
          <cell r="C994" t="str">
            <v>领智</v>
          </cell>
        </row>
        <row r="995">
          <cell r="A995" t="str">
            <v>0010404385F</v>
          </cell>
          <cell r="B995" t="str">
            <v>功率模块驱动板</v>
          </cell>
          <cell r="C995" t="str">
            <v>领智</v>
          </cell>
        </row>
        <row r="996">
          <cell r="A996" t="str">
            <v>0011800646J</v>
          </cell>
          <cell r="B996" t="str">
            <v>室内电脑板-FR-4</v>
          </cell>
          <cell r="C996" t="str">
            <v>和而泰/领智//</v>
          </cell>
        </row>
        <row r="997">
          <cell r="A997" t="str">
            <v>0011800377H</v>
          </cell>
          <cell r="B997" t="str">
            <v>室外模块驱动板-FR-4SNB130FYQMC压缩机30AR</v>
          </cell>
          <cell r="C997" t="str">
            <v>领智</v>
          </cell>
        </row>
        <row r="998">
          <cell r="A998" t="str">
            <v>0011800317</v>
          </cell>
          <cell r="B998" t="str">
            <v>显示面板-FR-4</v>
          </cell>
          <cell r="C998" t="str">
            <v>领智</v>
          </cell>
        </row>
        <row r="999">
          <cell r="A999" t="str">
            <v>0011800029K</v>
          </cell>
          <cell r="B999" t="str">
            <v>ROHS-室内电脑板(HSU-18LEA03)</v>
          </cell>
          <cell r="C999" t="str">
            <v>领智</v>
          </cell>
        </row>
        <row r="1000">
          <cell r="A1000" t="str">
            <v>0011800198C</v>
          </cell>
          <cell r="B1000" t="str">
            <v>室内电脑板-CEM-1</v>
          </cell>
          <cell r="C1000" t="str">
            <v>领智</v>
          </cell>
        </row>
        <row r="1001">
          <cell r="A1001" t="str">
            <v>0011800209R</v>
          </cell>
          <cell r="B1001" t="str">
            <v>室外电脑板-CEM-3</v>
          </cell>
          <cell r="C1001" t="str">
            <v>领智</v>
          </cell>
        </row>
        <row r="1002">
          <cell r="A1002" t="str">
            <v>0011800879B</v>
          </cell>
          <cell r="B1002" t="str">
            <v>室外电脑板-FR-4---</v>
          </cell>
          <cell r="C1002" t="str">
            <v>领智</v>
          </cell>
        </row>
        <row r="1003">
          <cell r="A1003" t="str">
            <v>0011800909B</v>
          </cell>
          <cell r="B1003" t="str">
            <v>室内电脑板-CEM-3</v>
          </cell>
          <cell r="C1003" t="str">
            <v>领智</v>
          </cell>
        </row>
        <row r="1004">
          <cell r="A1004" t="str">
            <v>0011801150AC</v>
          </cell>
          <cell r="B1004" t="str">
            <v>变频外电脑板-FR-4230mm*157mm</v>
          </cell>
          <cell r="C1004" t="str">
            <v>航嘉</v>
          </cell>
        </row>
        <row r="1005">
          <cell r="A1005" t="str">
            <v>0011801150AD</v>
          </cell>
          <cell r="B1005" t="str">
            <v>变频外电脑板-FR-4230mm*157mm</v>
          </cell>
          <cell r="C1005" t="str">
            <v>航嘉</v>
          </cell>
        </row>
        <row r="1006">
          <cell r="A1006" t="str">
            <v>0011801143K</v>
          </cell>
          <cell r="B1006" t="str">
            <v>变频外电脑板-FR-4/</v>
          </cell>
          <cell r="C1006" t="str">
            <v>航嘉</v>
          </cell>
        </row>
        <row r="1007">
          <cell r="A1007" t="str">
            <v>0011801143T</v>
          </cell>
          <cell r="B1007" t="str">
            <v>变频外电脑板-FR-4/</v>
          </cell>
          <cell r="C1007" t="str">
            <v>航嘉</v>
          </cell>
        </row>
        <row r="1008">
          <cell r="A1008" t="str">
            <v>0011801143U</v>
          </cell>
          <cell r="B1008" t="str">
            <v>变频外电脑板-FR-4/</v>
          </cell>
          <cell r="C1008" t="str">
            <v>航嘉</v>
          </cell>
        </row>
        <row r="1009">
          <cell r="A1009" t="str">
            <v>001A4000151</v>
          </cell>
          <cell r="B1009" t="str">
            <v>ROHS-端子排(JXW-6-H/600V/30A/4MM2)-N/A</v>
          </cell>
          <cell r="C1009" t="str">
            <v>华冠</v>
          </cell>
        </row>
        <row r="1010">
          <cell r="A1010" t="str">
            <v>0010403569</v>
          </cell>
          <cell r="B1010" t="str">
            <v>线束-/</v>
          </cell>
          <cell r="C1010" t="str">
            <v>桦晟/珠城//</v>
          </cell>
        </row>
        <row r="1011">
          <cell r="A1011" t="str">
            <v>0011800630R</v>
          </cell>
          <cell r="B1011" t="str">
            <v>室内电脑板-/</v>
          </cell>
          <cell r="C1011" t="str">
            <v>航嘉/和而泰//</v>
          </cell>
        </row>
        <row r="1012">
          <cell r="A1012" t="str">
            <v>0011800682Q</v>
          </cell>
          <cell r="B1012" t="str">
            <v>室内电脑板-CEM-1165*136</v>
          </cell>
          <cell r="C1012" t="str">
            <v>领智</v>
          </cell>
        </row>
        <row r="1013">
          <cell r="A1013" t="str">
            <v>0011801150AA</v>
          </cell>
          <cell r="B1013" t="str">
            <v>变频外电脑板-FR-4230mm*157mm</v>
          </cell>
          <cell r="C1013" t="str">
            <v>航嘉</v>
          </cell>
        </row>
        <row r="1014">
          <cell r="A1014" t="str">
            <v>0011801150AB</v>
          </cell>
          <cell r="B1014" t="str">
            <v>变频外电脑板-FR-4230mm*157mm</v>
          </cell>
          <cell r="C1014" t="str">
            <v>航嘉</v>
          </cell>
        </row>
        <row r="1015">
          <cell r="A1015" t="str">
            <v>0010405105A</v>
          </cell>
          <cell r="B1015" t="str">
            <v>线束-/母本0010405105基础上增加线束0010402017D具体规格如备</v>
          </cell>
          <cell r="C1015" t="str">
            <v>桦晟</v>
          </cell>
        </row>
        <row r="1016">
          <cell r="A1016" t="str">
            <v>0011800697S</v>
          </cell>
          <cell r="B1016" t="str">
            <v>室内电脑板-CEM-1室内电脑板70P/50P平台18/24k室内电脑板</v>
          </cell>
          <cell r="C1016" t="str">
            <v>康美特/领智//</v>
          </cell>
        </row>
        <row r="1017">
          <cell r="A1017" t="str">
            <v>0011800829</v>
          </cell>
          <cell r="B1017" t="str">
            <v>NB-IoT模块-/</v>
          </cell>
          <cell r="C1017" t="str">
            <v>利尔达</v>
          </cell>
        </row>
        <row r="1018">
          <cell r="A1018" t="str">
            <v>0011800578B</v>
          </cell>
          <cell r="B1018" t="str">
            <v>室内电脑板-CEM-1</v>
          </cell>
          <cell r="C1018" t="str">
            <v>领智</v>
          </cell>
        </row>
        <row r="1019">
          <cell r="A1019" t="str">
            <v>0011801007A</v>
          </cell>
          <cell r="B1019" t="str">
            <v>室外电脑板-FR-4250*157mm马来09K变频电脑板-</v>
          </cell>
          <cell r="C1019" t="str">
            <v>领智</v>
          </cell>
        </row>
        <row r="1020">
          <cell r="A1020" t="str">
            <v>0011800223</v>
          </cell>
          <cell r="B1020" t="str">
            <v>室外模块板-FR-4</v>
          </cell>
          <cell r="C1020" t="str">
            <v>领智</v>
          </cell>
        </row>
        <row r="1021">
          <cell r="A1021" t="str">
            <v>0011800690AN</v>
          </cell>
          <cell r="B1021" t="str">
            <v>室外电脑板-FR-4</v>
          </cell>
          <cell r="C1021" t="str">
            <v>领智</v>
          </cell>
        </row>
        <row r="1022">
          <cell r="A1022" t="str">
            <v>0011800323AZ</v>
          </cell>
          <cell r="B1022" t="str">
            <v>室内电脑板-CEM-1</v>
          </cell>
          <cell r="C1022" t="str">
            <v>领智</v>
          </cell>
        </row>
        <row r="1023">
          <cell r="A1023" t="str">
            <v>0010401715JF</v>
          </cell>
          <cell r="B1023" t="str">
            <v>遥控器-/</v>
          </cell>
          <cell r="C1023" t="str">
            <v>长虹</v>
          </cell>
        </row>
        <row r="1024">
          <cell r="A1024" t="str">
            <v>0010405105J</v>
          </cell>
          <cell r="B1024" t="str">
            <v>内销电源线-/</v>
          </cell>
          <cell r="C1024" t="str">
            <v>桦晟</v>
          </cell>
        </row>
        <row r="1025">
          <cell r="A1025" t="str">
            <v>0010405105H</v>
          </cell>
          <cell r="B1025" t="str">
            <v>内销电源线-/</v>
          </cell>
          <cell r="C1025" t="str">
            <v>桦晟</v>
          </cell>
        </row>
        <row r="1026">
          <cell r="A1026" t="str">
            <v>0011801185B</v>
          </cell>
          <cell r="B1026" t="str">
            <v>变频外电脑板-通用</v>
          </cell>
          <cell r="C1026" t="str">
            <v>儒竞</v>
          </cell>
        </row>
        <row r="1027">
          <cell r="A1027" t="str">
            <v>0011801150Y</v>
          </cell>
          <cell r="B1027" t="str">
            <v>变频外电脑板-FR-4</v>
          </cell>
          <cell r="C1027" t="str">
            <v>领智</v>
          </cell>
        </row>
        <row r="1028">
          <cell r="A1028" t="str">
            <v>0010402886AS</v>
          </cell>
          <cell r="B1028" t="str">
            <v>遥控器-塑料/</v>
          </cell>
          <cell r="C1028" t="str">
            <v>长虹</v>
          </cell>
        </row>
        <row r="1029">
          <cell r="A1029" t="str">
            <v>0010402886BF</v>
          </cell>
          <cell r="B1029" t="str">
            <v>遥控器-//</v>
          </cell>
          <cell r="C1029" t="str">
            <v>长虹</v>
          </cell>
        </row>
        <row r="1030">
          <cell r="A1030" t="str">
            <v>0010405976N</v>
          </cell>
          <cell r="B1030" t="str">
            <v>线束-//</v>
          </cell>
          <cell r="C1030" t="str">
            <v>金龙</v>
          </cell>
        </row>
        <row r="1031">
          <cell r="A1031" t="str">
            <v>0010405976Q</v>
          </cell>
          <cell r="B1031" t="str">
            <v>线束-//</v>
          </cell>
          <cell r="C1031" t="str">
            <v>金龙</v>
          </cell>
        </row>
        <row r="1032">
          <cell r="A1032" t="str">
            <v>0010405976S</v>
          </cell>
          <cell r="B1032" t="str">
            <v>线束-//</v>
          </cell>
          <cell r="C1032" t="str">
            <v>珠城</v>
          </cell>
        </row>
        <row r="1033">
          <cell r="A1033" t="str">
            <v>0011800827Z</v>
          </cell>
          <cell r="B1033" t="str">
            <v>变频外电脑板-/293mm×181mm</v>
          </cell>
          <cell r="C1033" t="str">
            <v>领智</v>
          </cell>
        </row>
        <row r="1034">
          <cell r="A1034" t="str">
            <v>0011800828D</v>
          </cell>
          <cell r="B1034" t="str">
            <v>室内电脑板-//</v>
          </cell>
          <cell r="C1034" t="str">
            <v>领智</v>
          </cell>
        </row>
        <row r="1035">
          <cell r="A1035" t="str">
            <v>0010405888E</v>
          </cell>
          <cell r="B1035" t="str">
            <v>遥控器-</v>
          </cell>
          <cell r="C1035" t="str">
            <v>长虹</v>
          </cell>
        </row>
        <row r="1036">
          <cell r="A1036" t="str">
            <v>0011022283A</v>
          </cell>
          <cell r="B1036" t="str">
            <v>UV</v>
          </cell>
          <cell r="C1036" t="str">
            <v>百欧森</v>
          </cell>
        </row>
        <row r="1037">
          <cell r="A1037" t="str">
            <v>0010401715HW</v>
          </cell>
          <cell r="B1037" t="str">
            <v>遥控器-塑料</v>
          </cell>
          <cell r="C1037" t="str">
            <v>合晶</v>
          </cell>
        </row>
        <row r="1038">
          <cell r="A1038" t="str">
            <v>0010405976M</v>
          </cell>
          <cell r="B1038" t="str">
            <v>线束-//</v>
          </cell>
          <cell r="C1038" t="str">
            <v>金龙</v>
          </cell>
        </row>
        <row r="1039">
          <cell r="A1039" t="str">
            <v>0010405976P</v>
          </cell>
          <cell r="B1039" t="str">
            <v>线束-//</v>
          </cell>
          <cell r="C1039" t="str">
            <v>金龙</v>
          </cell>
        </row>
        <row r="1040">
          <cell r="A1040" t="str">
            <v>0011022283A</v>
          </cell>
          <cell r="B1040" t="str">
            <v>除菌模块-组件光功率1w，有效寿命大于20000h，臭氧释放量低于0.05毫克每</v>
          </cell>
          <cell r="C1040" t="str">
            <v>百欧森</v>
          </cell>
        </row>
        <row r="1041">
          <cell r="A1041" t="str">
            <v>0010405976V</v>
          </cell>
          <cell r="B1041" t="str">
            <v>线束-通用海外挂机</v>
          </cell>
          <cell r="C1041" t="str">
            <v>得润</v>
          </cell>
        </row>
        <row r="1042">
          <cell r="A1042" t="str">
            <v>0010402057C</v>
          </cell>
          <cell r="B1042" t="str">
            <v>线束-/母本0010402057基础上,模块端更改为自锁</v>
          </cell>
          <cell r="C1042" t="str">
            <v>桦晟</v>
          </cell>
        </row>
        <row r="1043">
          <cell r="A1043" t="str">
            <v>0011800292E</v>
          </cell>
          <cell r="B1043" t="str">
            <v>电脑板-通用</v>
          </cell>
          <cell r="C1043" t="str">
            <v>海尔科技</v>
          </cell>
        </row>
        <row r="1044">
          <cell r="A1044" t="str">
            <v>0010401715HU</v>
          </cell>
          <cell r="B1044" t="str">
            <v>遥控器-塑料</v>
          </cell>
          <cell r="C1044" t="str">
            <v>合晶</v>
          </cell>
        </row>
        <row r="1045">
          <cell r="A1045" t="str">
            <v>0011022283</v>
          </cell>
          <cell r="B1045" t="str">
            <v>除菌模块-/光等离子除菌模块光功率1w，有效寿命大于20000h，臭氧释放量低于</v>
          </cell>
          <cell r="C1045" t="str">
            <v>百欧森/中科潞安//</v>
          </cell>
        </row>
        <row r="1046">
          <cell r="A1046" t="str">
            <v>0011801172AC</v>
          </cell>
          <cell r="B1046" t="str">
            <v>变频外电脑板-FR-4240*180</v>
          </cell>
          <cell r="C1046" t="str">
            <v>中家智康</v>
          </cell>
        </row>
        <row r="1047">
          <cell r="A1047" t="str">
            <v>0011801172AD</v>
          </cell>
          <cell r="B1047" t="str">
            <v>变频外电脑板-FR-4240*180</v>
          </cell>
          <cell r="C1047" t="str">
            <v>中家智康</v>
          </cell>
        </row>
        <row r="1048">
          <cell r="A1048" t="str">
            <v>0010402017AA</v>
          </cell>
          <cell r="B1048" t="str">
            <v>连机线-/</v>
          </cell>
          <cell r="C1048" t="str">
            <v>桦晟</v>
          </cell>
        </row>
        <row r="1049">
          <cell r="A1049" t="str">
            <v>0010402057G</v>
          </cell>
          <cell r="B1049" t="str">
            <v>线束-//</v>
          </cell>
          <cell r="C1049" t="str">
            <v>桦晟/得润//</v>
          </cell>
        </row>
        <row r="1050">
          <cell r="A1050" t="str">
            <v>0010405976U</v>
          </cell>
          <cell r="B1050" t="str">
            <v>线束-/</v>
          </cell>
          <cell r="C1050" t="str">
            <v>桦晟</v>
          </cell>
        </row>
        <row r="1051">
          <cell r="A1051" t="str">
            <v>0011800889A</v>
          </cell>
          <cell r="B1051" t="str">
            <v>蓝牙模块-/</v>
          </cell>
          <cell r="C1051" t="str">
            <v>利尔达</v>
          </cell>
        </row>
        <row r="1052">
          <cell r="A1052" t="str">
            <v>0011801185A</v>
          </cell>
          <cell r="B1052" t="e">
            <v>#N/A</v>
          </cell>
          <cell r="C1052" t="str">
            <v>儒竞</v>
          </cell>
        </row>
        <row r="1053">
          <cell r="A1053" t="str">
            <v>0011800780CC</v>
          </cell>
          <cell r="B1053" t="str">
            <v>变频外电脑板-//--</v>
          </cell>
          <cell r="C1053" t="str">
            <v>领智</v>
          </cell>
        </row>
        <row r="1054">
          <cell r="A1054" t="str">
            <v>0010401511G</v>
          </cell>
          <cell r="B1054" t="str">
            <v>遥控器-GE/DHAC1.5</v>
          </cell>
          <cell r="C1054" t="e">
            <v>#N/A</v>
          </cell>
        </row>
        <row r="1055">
          <cell r="A1055" t="str">
            <v>0010401715HR</v>
          </cell>
          <cell r="B1055" t="str">
            <v>遥控器-塑料</v>
          </cell>
          <cell r="C1055" t="str">
            <v>合晶</v>
          </cell>
        </row>
        <row r="1056">
          <cell r="A1056" t="str">
            <v>0011800630</v>
          </cell>
          <cell r="B1056" t="str">
            <v>室内电脑板-CEM-1</v>
          </cell>
          <cell r="C1056" t="str">
            <v>和而泰/领智//</v>
          </cell>
        </row>
        <row r="1057">
          <cell r="A1057" t="str">
            <v>0011800832L</v>
          </cell>
          <cell r="B1057" t="str">
            <v>室内电脑板-CEM-1//</v>
          </cell>
          <cell r="C1057" t="str">
            <v>领智</v>
          </cell>
        </row>
        <row r="1058">
          <cell r="A1058" t="str">
            <v>0011801150B</v>
          </cell>
          <cell r="B1058" t="str">
            <v>变频外电脑板-FR-4230mm*157mm</v>
          </cell>
          <cell r="C1058" t="str">
            <v>领智</v>
          </cell>
        </row>
        <row r="1059">
          <cell r="A1059" t="str">
            <v>0010401294V</v>
          </cell>
          <cell r="B1059" t="str">
            <v>遥控器-/</v>
          </cell>
          <cell r="C1059" t="str">
            <v>合晶//桦晟/悠进</v>
          </cell>
        </row>
        <row r="1060">
          <cell r="A1060" t="str">
            <v>0010401525CC</v>
          </cell>
          <cell r="B1060" t="str">
            <v>离子发生器-/水离子发生器</v>
          </cell>
          <cell r="C1060" t="e">
            <v>#N/A</v>
          </cell>
        </row>
        <row r="1061">
          <cell r="A1061" t="str">
            <v>0010402860</v>
          </cell>
          <cell r="B1061" t="str">
            <v>端子排-/</v>
          </cell>
          <cell r="C1061" t="str">
            <v>华冠</v>
          </cell>
        </row>
        <row r="1062">
          <cell r="A1062" t="str">
            <v>0010404387B</v>
          </cell>
          <cell r="B1062" t="str">
            <v>线束-/PCM一体板方案,线束成本有所降低</v>
          </cell>
          <cell r="C1062" t="str">
            <v>金龙</v>
          </cell>
        </row>
        <row r="1063">
          <cell r="A1063" t="str">
            <v>0010404555V</v>
          </cell>
          <cell r="B1063" t="str">
            <v>遥控器-塑料HFA</v>
          </cell>
          <cell r="C1063" t="str">
            <v>合晶</v>
          </cell>
        </row>
        <row r="1064">
          <cell r="A1064" t="str">
            <v>0011800292K</v>
          </cell>
          <cell r="B1064" t="str">
            <v>Wi-Fi MODULE-FR-4海外新开ayla方案wifi模块,USB接口</v>
          </cell>
          <cell r="C1064" t="str">
            <v>海尔科技</v>
          </cell>
        </row>
        <row r="1065">
          <cell r="A1065" t="str">
            <v>0011800317W</v>
          </cell>
          <cell r="B1065" t="str">
            <v>显示面板-/---</v>
          </cell>
          <cell r="C1065" t="str">
            <v>领智</v>
          </cell>
        </row>
        <row r="1066">
          <cell r="A1066" t="str">
            <v>0011800345BE</v>
          </cell>
          <cell r="B1066" t="str">
            <v>室外电脑板-CEM-3---</v>
          </cell>
          <cell r="C1066" t="str">
            <v>领智</v>
          </cell>
        </row>
        <row r="1067">
          <cell r="A1067" t="str">
            <v>0011800350K</v>
          </cell>
          <cell r="B1067" t="str">
            <v>室外电脑板-/</v>
          </cell>
          <cell r="C1067" t="str">
            <v>领智</v>
          </cell>
        </row>
        <row r="1068">
          <cell r="A1068" t="str">
            <v>0011800366AK</v>
          </cell>
          <cell r="B1068" t="str">
            <v>室外电脑板-FR-4</v>
          </cell>
          <cell r="C1068" t="str">
            <v>领智</v>
          </cell>
        </row>
        <row r="1069">
          <cell r="A1069" t="str">
            <v>0011800612C</v>
          </cell>
          <cell r="B1069" t="str">
            <v>室内电脑板-CEM-1</v>
          </cell>
          <cell r="C1069" t="str">
            <v>和而泰/领智//</v>
          </cell>
        </row>
        <row r="1070">
          <cell r="A1070" t="str">
            <v>0011800630D</v>
          </cell>
          <cell r="B1070" t="str">
            <v>室内电脑板-CEM-1室内电脑板马来09/12室内电脑板-</v>
          </cell>
          <cell r="C1070" t="str">
            <v>领智</v>
          </cell>
        </row>
        <row r="1071">
          <cell r="A1071" t="str">
            <v>0011800630S</v>
          </cell>
          <cell r="B1071" t="str">
            <v>室内电脑板-/</v>
          </cell>
          <cell r="C1071" t="str">
            <v>航嘉/和而泰//</v>
          </cell>
        </row>
        <row r="1072">
          <cell r="A1072" t="str">
            <v>0011800722</v>
          </cell>
          <cell r="B1072" t="str">
            <v>室内电脑板-CEM-1---</v>
          </cell>
          <cell r="C1072" t="str">
            <v>领智</v>
          </cell>
        </row>
        <row r="1073">
          <cell r="A1073" t="str">
            <v>0011800723</v>
          </cell>
          <cell r="B1073" t="str">
            <v>室外电脑板-FR-4---</v>
          </cell>
          <cell r="C1073" t="str">
            <v>领智</v>
          </cell>
        </row>
        <row r="1074">
          <cell r="A1074" t="str">
            <v>0011800882</v>
          </cell>
          <cell r="B1074" t="str">
            <v>室内电脑板-CEM-1---</v>
          </cell>
          <cell r="C1074" t="str">
            <v>领智</v>
          </cell>
        </row>
        <row r="1075">
          <cell r="A1075" t="str">
            <v>001A4000105D</v>
          </cell>
          <cell r="B1075" t="str">
            <v>端子排-/</v>
          </cell>
          <cell r="C1075" t="str">
            <v>华冠</v>
          </cell>
        </row>
        <row r="1076">
          <cell r="A1076" t="str">
            <v>0011800933L</v>
          </cell>
          <cell r="B1076" t="str">
            <v>变频外电脑板-FR-4215mm*157mm</v>
          </cell>
          <cell r="C1076" t="str">
            <v>尚研/领智//</v>
          </cell>
        </row>
        <row r="1077">
          <cell r="A1077" t="str">
            <v>0010401509A</v>
          </cell>
          <cell r="B1077" t="str">
            <v>线束-/在0010401509基础上部分端子更改为高</v>
          </cell>
          <cell r="C1077" t="str">
            <v>得润</v>
          </cell>
        </row>
        <row r="1078">
          <cell r="A1078" t="str">
            <v>0010405105K</v>
          </cell>
          <cell r="B1078" t="str">
            <v>内销电源线-/</v>
          </cell>
          <cell r="C1078" t="str">
            <v>桦晟/相变//</v>
          </cell>
        </row>
        <row r="1079">
          <cell r="A1079" t="str">
            <v>0010401715HX</v>
          </cell>
          <cell r="B1079" t="str">
            <v>遥控器-塑料</v>
          </cell>
          <cell r="C1079" t="str">
            <v>合晶</v>
          </cell>
        </row>
        <row r="1080">
          <cell r="A1080" t="str">
            <v>0011800630Y</v>
          </cell>
          <cell r="B1080" t="str">
            <v>室内电脑板-CEM-3室内电脑板巴基斯坦09/12室内电脑板</v>
          </cell>
          <cell r="C1080" t="str">
            <v>航嘉/和而泰//</v>
          </cell>
        </row>
        <row r="1081">
          <cell r="A1081" t="str">
            <v>0011800630Z</v>
          </cell>
          <cell r="B1081" t="str">
            <v>室内电脑板-CEM-3室内电脑板马来09/12室内电脑板</v>
          </cell>
          <cell r="C1081" t="str">
            <v>航嘉/和而泰//</v>
          </cell>
        </row>
        <row r="1082">
          <cell r="A1082" t="str">
            <v>0011801150V</v>
          </cell>
          <cell r="B1082" t="str">
            <v>变频外电脑板-FR-4</v>
          </cell>
          <cell r="C1082" t="str">
            <v>领智</v>
          </cell>
        </row>
        <row r="1083">
          <cell r="A1083" t="str">
            <v>0011801172C</v>
          </cell>
          <cell r="B1083" t="str">
            <v>变频外电脑板-FR-4</v>
          </cell>
          <cell r="C1083" t="str">
            <v>中家智康</v>
          </cell>
        </row>
        <row r="1084">
          <cell r="A1084" t="str">
            <v>0010401525DD</v>
          </cell>
          <cell r="B1084" t="str">
            <v>离子发生器-/水离子发生器</v>
          </cell>
          <cell r="C1084" t="e">
            <v>#N/A</v>
          </cell>
        </row>
        <row r="1085">
          <cell r="A1085" t="str">
            <v>0011801143L</v>
          </cell>
          <cell r="B1085" t="str">
            <v>变频外电脑板-FR-4/</v>
          </cell>
          <cell r="C1085" t="str">
            <v>航嘉</v>
          </cell>
        </row>
        <row r="1086">
          <cell r="A1086" t="str">
            <v>0011801372</v>
          </cell>
          <cell r="B1086" t="str">
            <v>变频外电脑板-FR-4205mm*157mm</v>
          </cell>
          <cell r="C1086" t="str">
            <v>领智</v>
          </cell>
        </row>
        <row r="1087">
          <cell r="A1087" t="str">
            <v>0011801424J</v>
          </cell>
          <cell r="B1087" t="str">
            <v>变频外电脑板-FR-4/</v>
          </cell>
          <cell r="C1087" t="str">
            <v>和而泰</v>
          </cell>
        </row>
        <row r="1088">
          <cell r="A1088" t="str">
            <v>0011801424A</v>
          </cell>
          <cell r="B1088" t="str">
            <v>变频外电脑板-FR-4/</v>
          </cell>
          <cell r="C1088" t="str">
            <v>和而泰</v>
          </cell>
        </row>
        <row r="1089">
          <cell r="A1089" t="str">
            <v>0011801185D</v>
          </cell>
          <cell r="B1089" t="str">
            <v>变频外电脑板-通用</v>
          </cell>
          <cell r="C1089" t="str">
            <v>儒竞</v>
          </cell>
        </row>
        <row r="1090">
          <cell r="A1090" t="str">
            <v>0011801172N</v>
          </cell>
          <cell r="B1090" t="str">
            <v>变频外电脑板-FR-4240*180</v>
          </cell>
          <cell r="C1090" t="str">
            <v>中家智康</v>
          </cell>
        </row>
        <row r="1091">
          <cell r="A1091" t="str">
            <v>0011801424H</v>
          </cell>
          <cell r="B1091" t="str">
            <v>变频外电脑板-FR-4/</v>
          </cell>
          <cell r="C1091" t="str">
            <v>和而泰</v>
          </cell>
        </row>
        <row r="1092">
          <cell r="A1092" t="str">
            <v>0011801425</v>
          </cell>
          <cell r="B1092" t="str">
            <v>变频外电脑板-FR-4</v>
          </cell>
          <cell r="C1092" t="str">
            <v>领智</v>
          </cell>
        </row>
        <row r="1093">
          <cell r="A1093" t="str">
            <v>0010402017AB</v>
          </cell>
          <cell r="B1093" t="str">
            <v>线束-/</v>
          </cell>
          <cell r="C1093" t="str">
            <v>得润</v>
          </cell>
        </row>
        <row r="1094">
          <cell r="A1094" t="str">
            <v>0010402017AC</v>
          </cell>
          <cell r="B1094" t="str">
            <v>线束-/</v>
          </cell>
          <cell r="C1094" t="str">
            <v>得润</v>
          </cell>
        </row>
        <row r="1095">
          <cell r="A1095" t="str">
            <v>0011800828F</v>
          </cell>
          <cell r="B1095" t="str">
            <v>室内电脑板-/</v>
          </cell>
          <cell r="C1095" t="str">
            <v>领智</v>
          </cell>
        </row>
        <row r="1096">
          <cell r="A1096" t="str">
            <v>0011800997AK</v>
          </cell>
          <cell r="B1096" t="str">
            <v>变频外电脑板-/</v>
          </cell>
          <cell r="C1096" t="str">
            <v>领智/尚研/航嘉/</v>
          </cell>
        </row>
        <row r="1097">
          <cell r="A1097" t="str">
            <v>0011801185E</v>
          </cell>
          <cell r="B1097" t="str">
            <v>变频外电脑板-/</v>
          </cell>
          <cell r="C1097" t="str">
            <v>儒竞</v>
          </cell>
        </row>
        <row r="1098">
          <cell r="A1098" t="str">
            <v>0011801185F</v>
          </cell>
          <cell r="B1098" t="str">
            <v>变频外电脑板-/</v>
          </cell>
          <cell r="C1098" t="str">
            <v>儒竞</v>
          </cell>
        </row>
        <row r="1099">
          <cell r="A1099" t="str">
            <v>0011801071B</v>
          </cell>
          <cell r="B1099" t="str">
            <v>室内电脑板-CEM-1162mm*130mm</v>
          </cell>
          <cell r="C1099" t="str">
            <v>航嘉/鼎新//</v>
          </cell>
        </row>
        <row r="1100">
          <cell r="A1100" t="str">
            <v>0010403019</v>
          </cell>
          <cell r="B1100" t="str">
            <v>电源线(227IEC53(RVV)3*1.0*1800)-N/A</v>
          </cell>
          <cell r="C1100" t="str">
            <v>泓淋</v>
          </cell>
        </row>
        <row r="1101">
          <cell r="A1101" t="str">
            <v>0011801039W</v>
          </cell>
          <cell r="B1101" t="str">
            <v>变频外电脑板-FR-4/</v>
          </cell>
          <cell r="C1101" t="str">
            <v>中家智康</v>
          </cell>
        </row>
        <row r="1102">
          <cell r="A1102" t="str">
            <v>0011801425J</v>
          </cell>
          <cell r="B1102" t="str">
            <v>变频外电脑板-FR-4</v>
          </cell>
          <cell r="C1102" t="str">
            <v>领智</v>
          </cell>
        </row>
        <row r="1103">
          <cell r="A1103" t="str">
            <v>0011801425K</v>
          </cell>
          <cell r="B1103" t="str">
            <v>变频外电脑板-FR-4</v>
          </cell>
          <cell r="C1103" t="str">
            <v>领智</v>
          </cell>
        </row>
        <row r="1104">
          <cell r="A1104" t="str">
            <v>0011801425L</v>
          </cell>
          <cell r="B1104" t="str">
            <v>变频外电脑板-FR-4</v>
          </cell>
          <cell r="C1104" t="str">
            <v>领智</v>
          </cell>
        </row>
        <row r="1105">
          <cell r="A1105" t="str">
            <v>0011801425M</v>
          </cell>
          <cell r="B1105" t="str">
            <v>变频外电脑板-FR-4</v>
          </cell>
          <cell r="C1105" t="str">
            <v>领智</v>
          </cell>
        </row>
        <row r="1106">
          <cell r="A1106" t="str">
            <v>0011801172H</v>
          </cell>
          <cell r="B1106" t="str">
            <v>变频外电脑板-FR-4</v>
          </cell>
          <cell r="C1106" t="str">
            <v>中家智康</v>
          </cell>
        </row>
        <row r="1107">
          <cell r="A1107" t="str">
            <v>0011801425P</v>
          </cell>
          <cell r="B1107" t="str">
            <v>变频外电脑板-FR-4</v>
          </cell>
          <cell r="C1107" t="str">
            <v>和而泰</v>
          </cell>
        </row>
        <row r="1108">
          <cell r="A1108" t="str">
            <v>0011801424M</v>
          </cell>
          <cell r="B1108" t="str">
            <v>变频外电脑板-FR-4/</v>
          </cell>
          <cell r="C1108" t="str">
            <v>和而泰</v>
          </cell>
        </row>
        <row r="1109">
          <cell r="A1109" t="str">
            <v>0010401715JFY</v>
          </cell>
          <cell r="B1109" t="str">
            <v>遥控器-/</v>
          </cell>
          <cell r="C1109" t="str">
            <v>长虹</v>
          </cell>
        </row>
        <row r="1110">
          <cell r="A1110" t="str">
            <v>0010403035U</v>
          </cell>
          <cell r="B1110" t="str">
            <v>连机线-/</v>
          </cell>
          <cell r="C1110" t="str">
            <v>华声/泓淋//</v>
          </cell>
        </row>
        <row r="1111">
          <cell r="A1111" t="str">
            <v>0011801172F</v>
          </cell>
          <cell r="B1111" t="str">
            <v>变频外电脑板-FR-4</v>
          </cell>
          <cell r="C1111" t="str">
            <v>中家智康</v>
          </cell>
        </row>
        <row r="1112">
          <cell r="A1112" t="str">
            <v>0010406178B</v>
          </cell>
          <cell r="B1112" t="str">
            <v>遥控器-塑料</v>
          </cell>
          <cell r="C1112" t="str">
            <v>思恩泰克</v>
          </cell>
        </row>
        <row r="1113">
          <cell r="A1113" t="str">
            <v>0011801039AA</v>
          </cell>
          <cell r="B1113" t="str">
            <v>变频外电脑板-FR-4/</v>
          </cell>
          <cell r="C1113" t="str">
            <v>中家智康</v>
          </cell>
        </row>
        <row r="1114">
          <cell r="A1114" t="str">
            <v>0011801039Z</v>
          </cell>
          <cell r="B1114" t="str">
            <v>变频外电脑板-FR-4/</v>
          </cell>
          <cell r="C1114" t="str">
            <v>中家智康</v>
          </cell>
        </row>
        <row r="1115">
          <cell r="A1115" t="str">
            <v>0011801048V</v>
          </cell>
          <cell r="B1115" t="str">
            <v>变频外电脑板-FR-4/</v>
          </cell>
          <cell r="C1115" t="str">
            <v>中家智康</v>
          </cell>
        </row>
        <row r="1116">
          <cell r="A1116" t="str">
            <v>0011801048W</v>
          </cell>
          <cell r="B1116" t="str">
            <v>变频外电脑板-FR-4/</v>
          </cell>
          <cell r="C1116" t="str">
            <v>中家智康</v>
          </cell>
        </row>
        <row r="1117">
          <cell r="A1117" t="str">
            <v>0011800980J</v>
          </cell>
          <cell r="B1117" t="str">
            <v>室内电脑板-FR-4P平台内机板</v>
          </cell>
          <cell r="C1117" t="str">
            <v>和而泰</v>
          </cell>
        </row>
        <row r="1118">
          <cell r="A1118" t="str">
            <v>0011801040D</v>
          </cell>
          <cell r="B1118" t="str">
            <v>变频外电脑板-FR-4205*157</v>
          </cell>
          <cell r="C1118" t="str">
            <v>航嘉</v>
          </cell>
        </row>
        <row r="1119">
          <cell r="A1119" t="str">
            <v>0011800997AM</v>
          </cell>
          <cell r="B1119" t="str">
            <v>变频外电脑板-FR-4变频室外马达双驱动+高频PFC方案用电脑板</v>
          </cell>
          <cell r="C1119" t="str">
            <v>尚研/航嘉//</v>
          </cell>
        </row>
        <row r="1120">
          <cell r="A1120" t="str">
            <v>0010406178D</v>
          </cell>
          <cell r="B1120" t="str">
            <v>遥控器-/</v>
          </cell>
          <cell r="C1120" t="str">
            <v>思恩泰克</v>
          </cell>
        </row>
        <row r="1121">
          <cell r="A1121" t="str">
            <v>0010406178</v>
          </cell>
          <cell r="B1121" t="str">
            <v>遥控器-塑料</v>
          </cell>
          <cell r="C1121" t="str">
            <v>思恩泰克</v>
          </cell>
        </row>
        <row r="1122">
          <cell r="A1122" t="str">
            <v>0010406178A</v>
          </cell>
          <cell r="B1122" t="str">
            <v>遥控器-塑料</v>
          </cell>
          <cell r="C1122" t="str">
            <v>思恩泰克</v>
          </cell>
        </row>
        <row r="1123">
          <cell r="A1123" t="str">
            <v>0011801172U</v>
          </cell>
          <cell r="B1123" t="str">
            <v>变频外电脑板-FR-4240*180</v>
          </cell>
          <cell r="C1123" t="str">
            <v>中家智康</v>
          </cell>
        </row>
        <row r="1124">
          <cell r="A1124" t="str">
            <v>0011801425E</v>
          </cell>
          <cell r="B1124" t="str">
            <v>变频外电脑板-FR-4</v>
          </cell>
          <cell r="C1124" t="str">
            <v>和而泰</v>
          </cell>
        </row>
        <row r="1125">
          <cell r="A1125" t="str">
            <v>0011801039E</v>
          </cell>
          <cell r="B1125" t="str">
            <v>变频外电脑板-FR-4/</v>
          </cell>
          <cell r="C1125" t="str">
            <v>中家智康</v>
          </cell>
        </row>
        <row r="1126">
          <cell r="A1126" t="str">
            <v>0011801039RE</v>
          </cell>
          <cell r="B1126" t="str">
            <v>电脑板-/</v>
          </cell>
          <cell r="C1126" t="str">
            <v>中家智康</v>
          </cell>
        </row>
        <row r="1127">
          <cell r="A1127" t="str">
            <v>0011801039SH</v>
          </cell>
          <cell r="B1127" t="str">
            <v>电脑板-/</v>
          </cell>
          <cell r="C1127" t="str">
            <v>中家智康</v>
          </cell>
        </row>
        <row r="1128">
          <cell r="A1128" t="str">
            <v>0150400386</v>
          </cell>
          <cell r="B1128" t="str">
            <v>线束</v>
          </cell>
          <cell r="C1128" t="str">
            <v>悠进</v>
          </cell>
        </row>
        <row r="1129">
          <cell r="A1129" t="str">
            <v>0150405297</v>
          </cell>
          <cell r="B1129" t="str">
            <v>线束-/压机对接线束</v>
          </cell>
          <cell r="C1129" t="str">
            <v>得润</v>
          </cell>
        </row>
        <row r="1130">
          <cell r="A1130" t="str">
            <v>0010403035Q</v>
          </cell>
          <cell r="B1130" t="str">
            <v>连机线-/4*1.0</v>
          </cell>
          <cell r="C1130" t="str">
            <v>泓淋/日丰/华声/</v>
          </cell>
        </row>
        <row r="1131">
          <cell r="A1131" t="str">
            <v>0011801208</v>
          </cell>
          <cell r="B1131" t="str">
            <v>室内电脑板-/162mm*130mm</v>
          </cell>
          <cell r="C1131" t="e">
            <v>#N/A</v>
          </cell>
        </row>
        <row r="1132">
          <cell r="A1132" t="str">
            <v>0011801039D</v>
          </cell>
          <cell r="B1132" t="str">
            <v>变频外电脑板-FR-4/</v>
          </cell>
          <cell r="C1132" t="str">
            <v>中家智康</v>
          </cell>
        </row>
        <row r="1133">
          <cell r="A1133" t="str">
            <v>0011801039G</v>
          </cell>
          <cell r="B1133" t="str">
            <v>变频外电脑板-FR-4/</v>
          </cell>
          <cell r="C1133" t="str">
            <v>中家智康</v>
          </cell>
        </row>
        <row r="1134">
          <cell r="A1134" t="str">
            <v>0011801123E</v>
          </cell>
          <cell r="B1134" t="str">
            <v>室内电脑板-FR-4136*155</v>
          </cell>
          <cell r="C1134" t="str">
            <v>领智</v>
          </cell>
        </row>
        <row r="1135">
          <cell r="A1135" t="str">
            <v>0011801424B</v>
          </cell>
          <cell r="B1135" t="str">
            <v>变频外电脑板-FR-4/</v>
          </cell>
          <cell r="C1135" t="str">
            <v>和而泰</v>
          </cell>
        </row>
        <row r="1136">
          <cell r="A1136" t="str">
            <v>0010406178E</v>
          </cell>
          <cell r="B1136" t="str">
            <v>遥控器-塑料</v>
          </cell>
          <cell r="C1136" t="str">
            <v>思恩泰克</v>
          </cell>
        </row>
        <row r="1137">
          <cell r="A1137" t="str">
            <v>0011800682U</v>
          </cell>
          <cell r="B1137" t="str">
            <v>室内电脑板-CEM-1165*136</v>
          </cell>
          <cell r="C1137" t="str">
            <v>航嘉</v>
          </cell>
        </row>
        <row r="1138">
          <cell r="A1138" t="str">
            <v>0011801048M</v>
          </cell>
          <cell r="B1138" t="str">
            <v>变频外电脑板-FR-4/</v>
          </cell>
          <cell r="C1138" t="str">
            <v>中家智康</v>
          </cell>
        </row>
        <row r="1139">
          <cell r="A1139" t="str">
            <v>0011801048N</v>
          </cell>
          <cell r="B1139" t="str">
            <v>变频外电脑板-FR-4/</v>
          </cell>
          <cell r="C1139" t="str">
            <v>中家智康</v>
          </cell>
        </row>
        <row r="1140">
          <cell r="A1140" t="str">
            <v>0011801118ZA</v>
          </cell>
          <cell r="B1140" t="str">
            <v>变频外电脑板-FR-4240*180</v>
          </cell>
          <cell r="C1140" t="str">
            <v>尚研</v>
          </cell>
        </row>
        <row r="1141">
          <cell r="A1141" t="str">
            <v>0011800682AC</v>
          </cell>
          <cell r="B1141" t="str">
            <v>室内电脑板-CEM-1165*136</v>
          </cell>
          <cell r="C1141" t="str">
            <v>尚研</v>
          </cell>
        </row>
        <row r="1142">
          <cell r="A1142" t="str">
            <v>0011801118BV</v>
          </cell>
          <cell r="B1142" t="str">
            <v>变频外电脑板-FR-4240*180</v>
          </cell>
          <cell r="C1142" t="str">
            <v>尚研</v>
          </cell>
        </row>
        <row r="1143">
          <cell r="A1143" t="str">
            <v>0011801172BH</v>
          </cell>
          <cell r="B1143" t="str">
            <v>变频外电脑板-FR-4240*180FR-4</v>
          </cell>
          <cell r="C1143" t="str">
            <v>尚研</v>
          </cell>
        </row>
        <row r="1144">
          <cell r="A1144" t="str">
            <v>0011801424F</v>
          </cell>
          <cell r="B1144" t="str">
            <v>变频外电脑板-FR-4/</v>
          </cell>
          <cell r="C1144" t="str">
            <v>和而泰</v>
          </cell>
        </row>
        <row r="1145">
          <cell r="A1145" t="str">
            <v>0011801424L</v>
          </cell>
          <cell r="B1145" t="str">
            <v>变频外电脑板-FR-4/</v>
          </cell>
          <cell r="C1145" t="str">
            <v>和而泰</v>
          </cell>
        </row>
        <row r="1146">
          <cell r="A1146" t="str">
            <v>0011801118CA</v>
          </cell>
          <cell r="B1146" t="str">
            <v>变频外电脑板-FR-4</v>
          </cell>
          <cell r="C1146" t="str">
            <v>尚研</v>
          </cell>
        </row>
        <row r="1147">
          <cell r="A1147" t="str">
            <v>0010451924</v>
          </cell>
          <cell r="B1147" t="str">
            <v>ROHS-低压力开关KMR-260W/630A-/---</v>
          </cell>
          <cell r="C1147" t="str">
            <v>曼淇威</v>
          </cell>
        </row>
        <row r="1148">
          <cell r="A1148" t="str">
            <v>0010452163A</v>
          </cell>
          <cell r="B1148" t="str">
            <v>高压压力开关-/4.3/3.7线长900</v>
          </cell>
          <cell r="C1148" t="str">
            <v>曼淇威</v>
          </cell>
        </row>
        <row r="1149">
          <cell r="A1149" t="str">
            <v>0010452441AY</v>
          </cell>
          <cell r="B1149" t="str">
            <v>电脑板-通用/印度48定频电脑板</v>
          </cell>
          <cell r="C1149" t="str">
            <v>领智</v>
          </cell>
        </row>
        <row r="1150">
          <cell r="A1150" t="str">
            <v>0011800977K</v>
          </cell>
          <cell r="B1150" t="str">
            <v>室内电脑板-CEM-1/</v>
          </cell>
          <cell r="C1150" t="str">
            <v>和而泰</v>
          </cell>
        </row>
        <row r="1151">
          <cell r="A1151" t="str">
            <v>0150400257A</v>
          </cell>
          <cell r="B1151" t="str">
            <v>线束-/XHP-2,黄色两芯,黄色胶壳,线长20mm</v>
          </cell>
          <cell r="C1151" t="str">
            <v>相变</v>
          </cell>
        </row>
        <row r="1152">
          <cell r="A1152" t="str">
            <v>0150406761</v>
          </cell>
          <cell r="B1152" t="str">
            <v>线束-/</v>
          </cell>
          <cell r="C1152" t="str">
            <v>相变</v>
          </cell>
        </row>
        <row r="1153">
          <cell r="A1153" t="str">
            <v>0010400454C</v>
          </cell>
          <cell r="B1153" t="str">
            <v>连机线-0.75mm2(24/0.20)</v>
          </cell>
          <cell r="C1153" t="str">
            <v>华声</v>
          </cell>
        </row>
        <row r="1154">
          <cell r="A1154" t="str">
            <v>0010406178J</v>
          </cell>
          <cell r="B1154" t="str">
            <v>遥控器-塑料</v>
          </cell>
          <cell r="C1154" t="str">
            <v>思恩泰克</v>
          </cell>
        </row>
        <row r="1155">
          <cell r="A1155" t="str">
            <v>0011801256L</v>
          </cell>
          <cell r="B1155" t="str">
            <v>室内电脑板-CEM-1</v>
          </cell>
          <cell r="C1155" t="str">
            <v>和而泰</v>
          </cell>
        </row>
        <row r="1156">
          <cell r="A1156" t="str">
            <v>0011801256M</v>
          </cell>
          <cell r="B1156" t="str">
            <v>室内电脑板-CEM-1</v>
          </cell>
          <cell r="C1156" t="str">
            <v>和而泰</v>
          </cell>
        </row>
        <row r="1157">
          <cell r="A1157" t="str">
            <v>0011801424G</v>
          </cell>
          <cell r="B1157" t="str">
            <v>变频外电脑板-FR-4/</v>
          </cell>
          <cell r="C1157" t="str">
            <v>和而泰</v>
          </cell>
        </row>
        <row r="1158">
          <cell r="A1158" t="str">
            <v>0011801424K</v>
          </cell>
          <cell r="B1158" t="str">
            <v>变频外电脑板-FR-4/</v>
          </cell>
          <cell r="C1158" t="str">
            <v>和而泰</v>
          </cell>
        </row>
        <row r="1159">
          <cell r="A1159" t="str">
            <v>0011801256B</v>
          </cell>
          <cell r="B1159" t="str">
            <v>室内电脑板-CEM-1</v>
          </cell>
          <cell r="C1159" t="str">
            <v>和而泰/航嘉//</v>
          </cell>
        </row>
        <row r="1160">
          <cell r="A1160" t="str">
            <v>0011800722C</v>
          </cell>
          <cell r="B1160" t="str">
            <v>室内电脑板-CEM-1\</v>
          </cell>
          <cell r="C1160" t="str">
            <v>领智</v>
          </cell>
        </row>
        <row r="1161">
          <cell r="A1161" t="str">
            <v>0011801372F</v>
          </cell>
          <cell r="B1161" t="str">
            <v>变频外电脑板-FR-4205mm*157mm</v>
          </cell>
          <cell r="C1161" t="str">
            <v>和而泰</v>
          </cell>
        </row>
        <row r="1162">
          <cell r="A1162" t="str">
            <v>0011801372B</v>
          </cell>
          <cell r="B1162" t="str">
            <v>变频外电脑板-FR-4205mm*157mm</v>
          </cell>
          <cell r="C1162" t="str">
            <v>和而泰</v>
          </cell>
        </row>
        <row r="1163">
          <cell r="A1163" t="str">
            <v>0011801372A</v>
          </cell>
          <cell r="B1163" t="str">
            <v>变频外电脑板-FR-4205mm*157mm</v>
          </cell>
          <cell r="C1163" t="str">
            <v>和而泰</v>
          </cell>
        </row>
        <row r="1164">
          <cell r="A1164" t="str">
            <v>0011800630N</v>
          </cell>
          <cell r="B1164" t="str">
            <v>室内电脑板-CEM-1室内电脑板俄罗斯07/09/12P系列室内电脑板</v>
          </cell>
          <cell r="C1164" t="str">
            <v>领智</v>
          </cell>
        </row>
        <row r="1165">
          <cell r="A1165" t="str">
            <v>0011801372G</v>
          </cell>
          <cell r="B1165" t="str">
            <v>变频外电脑板-FR-4205mm*157mm</v>
          </cell>
          <cell r="C1165" t="str">
            <v>和而泰</v>
          </cell>
        </row>
        <row r="1166">
          <cell r="A1166" t="str">
            <v>0011801172BY</v>
          </cell>
          <cell r="B1166" t="str">
            <v>变频外电脑板-FR-4240*180</v>
          </cell>
          <cell r="C1166" t="str">
            <v>尚研</v>
          </cell>
        </row>
        <row r="1167">
          <cell r="A1167" t="str">
            <v>0011801424N</v>
          </cell>
          <cell r="B1167" t="str">
            <v>变频外电脑板-FR-4/</v>
          </cell>
          <cell r="C1167" t="str">
            <v>和而泰</v>
          </cell>
        </row>
        <row r="1168">
          <cell r="A1168" t="str">
            <v>0010406178G</v>
          </cell>
          <cell r="B1168" t="str">
            <v>遥控器-塑料</v>
          </cell>
          <cell r="C1168" t="str">
            <v>思恩泰克</v>
          </cell>
        </row>
        <row r="1169">
          <cell r="A1169" t="str">
            <v>0011800292AL</v>
          </cell>
          <cell r="B1169" t="str">
            <v>Wi-Fi模块-/5VDC</v>
          </cell>
          <cell r="C1169" t="str">
            <v>富联</v>
          </cell>
        </row>
        <row r="1170">
          <cell r="A1170" t="str">
            <v>0011801372D</v>
          </cell>
          <cell r="B1170" t="str">
            <v>变频外电脑板-FR-4205mm*157mm</v>
          </cell>
          <cell r="C1170" t="str">
            <v>和而泰</v>
          </cell>
        </row>
        <row r="1171">
          <cell r="A1171" t="str">
            <v>0010406178L</v>
          </cell>
          <cell r="B1171" t="str">
            <v>遥控器-塑料</v>
          </cell>
          <cell r="C1171" t="str">
            <v>思恩泰克</v>
          </cell>
        </row>
        <row r="1172">
          <cell r="A1172" t="str">
            <v>0010406565</v>
          </cell>
          <cell r="B1172" t="str">
            <v>室外线束组-/</v>
          </cell>
          <cell r="C1172" t="str">
            <v>悠进</v>
          </cell>
        </row>
        <row r="1173">
          <cell r="A1173" t="str">
            <v>0011801327</v>
          </cell>
          <cell r="B1173" t="str">
            <v>变频外电脑板-FR-4</v>
          </cell>
          <cell r="C1173" t="str">
            <v>和而泰</v>
          </cell>
        </row>
        <row r="1174">
          <cell r="A1174" t="str">
            <v>0010406178P</v>
          </cell>
          <cell r="B1174" t="str">
            <v>遥控器-塑料</v>
          </cell>
          <cell r="C1174" t="str">
            <v>思恩泰克</v>
          </cell>
        </row>
        <row r="1175">
          <cell r="A1175" t="str">
            <v>0011800576A</v>
          </cell>
          <cell r="B1175" t="str">
            <v>室内电脑板-CEM-1</v>
          </cell>
          <cell r="C1175" t="str">
            <v>领智</v>
          </cell>
        </row>
        <row r="1176">
          <cell r="A1176" t="str">
            <v>0010400648</v>
          </cell>
          <cell r="B1176" t="str">
            <v>室外线束-N/A</v>
          </cell>
          <cell r="C1176" t="str">
            <v>桦晟/得润//</v>
          </cell>
        </row>
        <row r="1177">
          <cell r="A1177" t="str">
            <v>0011800063F</v>
          </cell>
          <cell r="B1177" t="str">
            <v>室内电脑板-CEM-3</v>
          </cell>
          <cell r="C1177" t="str">
            <v>鼎新</v>
          </cell>
        </row>
        <row r="1178">
          <cell r="A1178" t="str">
            <v>0011800194D</v>
          </cell>
          <cell r="B1178" t="str">
            <v>室内电脑板-LBCEM-1BHDC3</v>
          </cell>
          <cell r="C1178" t="str">
            <v>鼎新</v>
          </cell>
        </row>
        <row r="1179">
          <cell r="A1179" t="str">
            <v>0011800194F</v>
          </cell>
          <cell r="B1179" t="str">
            <v>室内电脑板-CEM-1</v>
          </cell>
          <cell r="C1179" t="str">
            <v>鼎新</v>
          </cell>
        </row>
        <row r="1180">
          <cell r="A1180" t="str">
            <v>0011800578</v>
          </cell>
          <cell r="B1180" t="str">
            <v>室内电脑板-CEM-1</v>
          </cell>
          <cell r="C1180" t="str">
            <v>领智</v>
          </cell>
        </row>
        <row r="1181">
          <cell r="A1181" t="str">
            <v>0011801050</v>
          </cell>
          <cell r="B1181" t="str">
            <v>变频外电脑板-/电脑板</v>
          </cell>
          <cell r="C1181" t="str">
            <v>领智</v>
          </cell>
        </row>
        <row r="1182">
          <cell r="A1182" t="str">
            <v>0011800050</v>
          </cell>
          <cell r="B1182" t="str">
            <v>室外电脑板-N/A</v>
          </cell>
          <cell r="C1182" t="str">
            <v>领智</v>
          </cell>
        </row>
        <row r="1183">
          <cell r="A1183" t="str">
            <v>0011800052C</v>
          </cell>
          <cell r="B1183" t="str">
            <v>室外电脑板-N/A</v>
          </cell>
          <cell r="C1183" t="str">
            <v>领智</v>
          </cell>
        </row>
        <row r="1184">
          <cell r="A1184" t="str">
            <v>0011800223W</v>
          </cell>
          <cell r="B1184" t="str">
            <v>室外模块驱动板-/</v>
          </cell>
          <cell r="C1184" t="str">
            <v>领智</v>
          </cell>
        </row>
        <row r="1185">
          <cell r="A1185" t="str">
            <v>0011800050</v>
          </cell>
          <cell r="B1185" t="str">
            <v>室外电脑板-N/A</v>
          </cell>
          <cell r="C1185" t="str">
            <v>领智</v>
          </cell>
        </row>
        <row r="1186">
          <cell r="A1186" t="str">
            <v>0011800241D</v>
          </cell>
          <cell r="B1186" t="str">
            <v>室外电脑板-CEM-3</v>
          </cell>
          <cell r="C1186" t="str">
            <v>领智</v>
          </cell>
        </row>
        <row r="1187">
          <cell r="A1187" t="str">
            <v>0011801172BA</v>
          </cell>
          <cell r="B1187" t="str">
            <v>变频外电脑板-FR-4240*180</v>
          </cell>
          <cell r="C1187" t="str">
            <v>和而泰</v>
          </cell>
        </row>
        <row r="1188">
          <cell r="A1188" t="str">
            <v>0010400454B</v>
          </cell>
          <cell r="B1188" t="str">
            <v>连机线-0.75mm2(24/0.20)</v>
          </cell>
          <cell r="C1188" t="str">
            <v>华声</v>
          </cell>
        </row>
        <row r="1189">
          <cell r="A1189" t="str">
            <v>0011801172AP</v>
          </cell>
          <cell r="B1189" t="str">
            <v>变频外电脑板-FR-4240*180</v>
          </cell>
          <cell r="C1189" t="str">
            <v>中家智康</v>
          </cell>
        </row>
        <row r="1190">
          <cell r="A1190" t="str">
            <v>0011801172AV</v>
          </cell>
          <cell r="B1190" t="str">
            <v>变频外电脑板-FR-4240*180</v>
          </cell>
          <cell r="C1190" t="str">
            <v>和而泰</v>
          </cell>
        </row>
        <row r="1191">
          <cell r="A1191" t="str">
            <v>0011801172CE</v>
          </cell>
          <cell r="B1191" t="str">
            <v>变频外电脑板-FR-4240*180</v>
          </cell>
          <cell r="C1191" t="str">
            <v>中家智康</v>
          </cell>
        </row>
        <row r="1192">
          <cell r="A1192" t="str">
            <v>0010406178M</v>
          </cell>
          <cell r="B1192" t="str">
            <v>遥控器-塑料</v>
          </cell>
          <cell r="C1192" t="str">
            <v>思恩泰克</v>
          </cell>
        </row>
        <row r="1193">
          <cell r="A1193" t="str">
            <v>0010406178N</v>
          </cell>
          <cell r="B1193" t="str">
            <v>遥控器-塑料</v>
          </cell>
          <cell r="C1193" t="str">
            <v>思恩泰克</v>
          </cell>
        </row>
        <row r="1194">
          <cell r="A1194" t="str">
            <v>0011801424W</v>
          </cell>
          <cell r="B1194" t="str">
            <v>变频外电脑板-FR-4/</v>
          </cell>
          <cell r="C1194" t="str">
            <v>和而泰</v>
          </cell>
        </row>
        <row r="1195">
          <cell r="A1195" t="str">
            <v>0011801425Q</v>
          </cell>
          <cell r="B1195" t="str">
            <v>变频外电脑板-FR-4</v>
          </cell>
          <cell r="C1195" t="str">
            <v>尚研</v>
          </cell>
        </row>
        <row r="1196">
          <cell r="A1196" t="str">
            <v>0010401715JD</v>
          </cell>
          <cell r="B1196" t="str">
            <v>遥控器-塑料红外遥控器</v>
          </cell>
          <cell r="C1196" t="str">
            <v>合晶</v>
          </cell>
        </row>
        <row r="1197">
          <cell r="A1197" t="str">
            <v>0010402017V</v>
          </cell>
          <cell r="B1197" t="str">
            <v>连机线-0.75mm2（24/0.20）/</v>
          </cell>
          <cell r="C1197" t="str">
            <v>珠城</v>
          </cell>
        </row>
        <row r="1198">
          <cell r="A1198" t="str">
            <v>0011801172BK</v>
          </cell>
          <cell r="B1198" t="str">
            <v>变频外电脑板-FR-4</v>
          </cell>
          <cell r="C1198" t="str">
            <v>和而泰</v>
          </cell>
        </row>
        <row r="1199">
          <cell r="A1199" t="str">
            <v>0011801425N</v>
          </cell>
          <cell r="B1199" t="str">
            <v>变频外电脑板-FR-4</v>
          </cell>
          <cell r="C1199" t="str">
            <v>和而泰</v>
          </cell>
        </row>
        <row r="1200">
          <cell r="A1200" t="str">
            <v>0010400454A</v>
          </cell>
          <cell r="B1200" t="str">
            <v>连机线-0.75mm2(24/0.20)</v>
          </cell>
          <cell r="C1200" t="str">
            <v>日丰</v>
          </cell>
        </row>
        <row r="1201">
          <cell r="A1201" t="str">
            <v>0011800630T</v>
          </cell>
          <cell r="B1201" t="str">
            <v>室内电脑板-/室内电脑板</v>
          </cell>
          <cell r="C1201" t="str">
            <v>航嘉</v>
          </cell>
        </row>
        <row r="1202">
          <cell r="A1202" t="str">
            <v>0011801172BK</v>
          </cell>
          <cell r="B1202" t="str">
            <v>变频外电脑板-FR-4</v>
          </cell>
          <cell r="C1202" t="str">
            <v>和而泰</v>
          </cell>
        </row>
        <row r="1203">
          <cell r="A1203" t="str">
            <v>0011801172BU</v>
          </cell>
          <cell r="B1203" t="str">
            <v>变频外电脑板-FR-4240mm*180mm</v>
          </cell>
          <cell r="C1203" t="str">
            <v>中家智康</v>
          </cell>
        </row>
        <row r="1204">
          <cell r="A1204" t="str">
            <v>0011801372C</v>
          </cell>
          <cell r="B1204" t="str">
            <v>变频外电脑板-FR-4205mm*157mm</v>
          </cell>
          <cell r="C1204" t="str">
            <v>和而泰</v>
          </cell>
        </row>
        <row r="1205">
          <cell r="A1205" t="str">
            <v>0011801425N</v>
          </cell>
          <cell r="B1205" t="str">
            <v>变频外电脑板-FR-4</v>
          </cell>
          <cell r="C1205" t="str">
            <v>和而泰</v>
          </cell>
        </row>
        <row r="1206">
          <cell r="A1206" t="str">
            <v>0011800223W</v>
          </cell>
          <cell r="B1206" t="str">
            <v>室外模块驱动板-/</v>
          </cell>
          <cell r="C1206" t="str">
            <v>领智</v>
          </cell>
        </row>
        <row r="1207">
          <cell r="A1207" t="str">
            <v>0011800492</v>
          </cell>
          <cell r="B1207" t="str">
            <v>室内电脑板-CEM-1</v>
          </cell>
          <cell r="C1207" t="str">
            <v>领智</v>
          </cell>
        </row>
        <row r="1208">
          <cell r="A1208" t="str">
            <v>0011800865B</v>
          </cell>
          <cell r="B1208" t="str">
            <v>室外模块驱动板-FR-4</v>
          </cell>
          <cell r="C1208" t="str">
            <v>领智</v>
          </cell>
        </row>
        <row r="1209">
          <cell r="A1209" t="str">
            <v>0010401715JE</v>
          </cell>
          <cell r="B1209" t="str">
            <v>遥控器-塑料</v>
          </cell>
          <cell r="C1209" t="str">
            <v>合晶</v>
          </cell>
        </row>
        <row r="1210">
          <cell r="A1210" t="str">
            <v>0011801424V</v>
          </cell>
          <cell r="B1210" t="str">
            <v>变频外电脑板-FR-4/</v>
          </cell>
          <cell r="C1210" t="str">
            <v>和而泰</v>
          </cell>
        </row>
        <row r="1211">
          <cell r="A1211" t="str">
            <v>0011801172BD</v>
          </cell>
          <cell r="B1211" t="str">
            <v>变频外电脑板-FR-4240*180</v>
          </cell>
          <cell r="C1211" t="str">
            <v>和而泰/航嘉//</v>
          </cell>
        </row>
        <row r="1212">
          <cell r="A1212" t="str">
            <v>0011800977S</v>
          </cell>
          <cell r="B1212" t="str">
            <v>室内电脑板-CEM-1/</v>
          </cell>
          <cell r="C1212" t="str">
            <v>和而泰</v>
          </cell>
        </row>
        <row r="1213">
          <cell r="A1213" t="str">
            <v>0011801497</v>
          </cell>
          <cell r="B1213" t="str">
            <v>变频外电脑板-FR-4/</v>
          </cell>
          <cell r="C1213" t="str">
            <v>和而泰</v>
          </cell>
        </row>
        <row r="1214">
          <cell r="A1214" t="str">
            <v>0010403905C</v>
          </cell>
          <cell r="B1214" t="str">
            <v>线束-/---</v>
          </cell>
          <cell r="C1214" t="str">
            <v>悠进/珠城//</v>
          </cell>
        </row>
        <row r="1215">
          <cell r="A1215" t="str">
            <v>0011801185C</v>
          </cell>
          <cell r="B1215" t="str">
            <v>变频外电脑板-/</v>
          </cell>
          <cell r="C1215" t="str">
            <v>儒竞</v>
          </cell>
        </row>
        <row r="1216">
          <cell r="A1216" t="str">
            <v>0011801040C</v>
          </cell>
          <cell r="B1216" t="str">
            <v>变频外电脑板-FR-4205*157</v>
          </cell>
          <cell r="C1216" t="str">
            <v>航嘉</v>
          </cell>
        </row>
        <row r="1217">
          <cell r="A1217" t="str">
            <v>0010401715AA</v>
          </cell>
          <cell r="B1217" t="str">
            <v>遥控器-塑料</v>
          </cell>
          <cell r="C1217" t="str">
            <v>合晶/福尼特//</v>
          </cell>
        </row>
        <row r="1218">
          <cell r="A1218" t="str">
            <v>0010401715EH</v>
          </cell>
          <cell r="B1218" t="str">
            <v>遥控器-/</v>
          </cell>
          <cell r="C1218" t="str">
            <v>合晶</v>
          </cell>
        </row>
        <row r="1219">
          <cell r="A1219" t="str">
            <v>0010400454D</v>
          </cell>
          <cell r="B1219" t="str">
            <v>连机线-/</v>
          </cell>
          <cell r="C1219" t="str">
            <v>泓淋</v>
          </cell>
        </row>
        <row r="1220">
          <cell r="A1220" t="str">
            <v>0010404096D</v>
          </cell>
          <cell r="B1220" t="str">
            <v>无插电源线-/</v>
          </cell>
          <cell r="C1220" t="str">
            <v>华声</v>
          </cell>
        </row>
        <row r="1221">
          <cell r="A1221" t="str">
            <v>0010404096C</v>
          </cell>
          <cell r="B1221" t="str">
            <v>无插电源线-/</v>
          </cell>
          <cell r="C1221" t="str">
            <v>华声</v>
          </cell>
        </row>
        <row r="1222">
          <cell r="A1222" t="str">
            <v>0010400454E</v>
          </cell>
          <cell r="B1222" t="str">
            <v>连机线-/</v>
          </cell>
          <cell r="C1222" t="str">
            <v>泓淋</v>
          </cell>
        </row>
        <row r="1223">
          <cell r="A1223" t="str">
            <v>0010402990G</v>
          </cell>
          <cell r="B1223" t="str">
            <v>连机线-1.5mm2</v>
          </cell>
          <cell r="C1223" t="str">
            <v>华声</v>
          </cell>
        </row>
        <row r="1224">
          <cell r="A1224" t="str">
            <v>0011800682AE</v>
          </cell>
          <cell r="B1224" t="str">
            <v>室内电脑板-CEM-1165*136</v>
          </cell>
          <cell r="C1224" t="str">
            <v>尚研</v>
          </cell>
        </row>
        <row r="1225">
          <cell r="A1225" t="str">
            <v>0011801172CH</v>
          </cell>
          <cell r="B1225" t="str">
            <v>变频外电脑板-FR-4240*180</v>
          </cell>
          <cell r="C1225" t="str">
            <v>和而泰</v>
          </cell>
        </row>
        <row r="1226">
          <cell r="A1226" t="str">
            <v>0011801424AA</v>
          </cell>
          <cell r="B1226" t="str">
            <v>变频外电脑板-FR-4/</v>
          </cell>
          <cell r="C1226" t="str">
            <v>和而泰</v>
          </cell>
        </row>
        <row r="1227">
          <cell r="A1227" t="str">
            <v>0011801424AB</v>
          </cell>
          <cell r="B1227" t="str">
            <v>变频外电脑板-FR-4/</v>
          </cell>
          <cell r="C1227" t="str">
            <v>和而泰</v>
          </cell>
        </row>
        <row r="1228">
          <cell r="A1228" t="str">
            <v>0011801424AE</v>
          </cell>
          <cell r="B1228" t="str">
            <v>变频外电脑板-FR-4/</v>
          </cell>
          <cell r="C1228" t="str">
            <v>和而泰/尚研//</v>
          </cell>
        </row>
        <row r="1229">
          <cell r="A1229" t="str">
            <v>0011801424AF</v>
          </cell>
          <cell r="B1229" t="str">
            <v>变频外电脑板-FR-4/</v>
          </cell>
          <cell r="C1229" t="str">
            <v>和而泰/尚研//</v>
          </cell>
        </row>
        <row r="1230">
          <cell r="A1230" t="str">
            <v>0151800604C</v>
          </cell>
          <cell r="B1230" t="str">
            <v>Wi-Fi模块-FR-45VDC</v>
          </cell>
          <cell r="C1230" t="str">
            <v>爱联</v>
          </cell>
        </row>
        <row r="1231">
          <cell r="A1231" t="str">
            <v>0010405105M</v>
          </cell>
          <cell r="B1231" t="str">
            <v>内销电源线-/</v>
          </cell>
          <cell r="C1231" t="str">
            <v>桦晟/珠城//</v>
          </cell>
        </row>
        <row r="1232">
          <cell r="A1232" t="str">
            <v>0010404918B</v>
          </cell>
          <cell r="B1232" t="str">
            <v>线束-/</v>
          </cell>
          <cell r="C1232" t="str">
            <v>得润</v>
          </cell>
        </row>
        <row r="1233">
          <cell r="A1233" t="str">
            <v>0011800377X</v>
          </cell>
          <cell r="B1233" t="str">
            <v>功率驱动板-FR-4SNB130FYQMC压缩机30ARX62T模块驱动板30A</v>
          </cell>
          <cell r="C1233" t="str">
            <v>和而泰</v>
          </cell>
        </row>
        <row r="1234">
          <cell r="A1234" t="str">
            <v>0011801039SG</v>
          </cell>
          <cell r="B1234" t="str">
            <v>电脑板-/</v>
          </cell>
          <cell r="C1234" t="str">
            <v>中家智康</v>
          </cell>
        </row>
        <row r="1235">
          <cell r="A1235" t="str">
            <v>0011801424C</v>
          </cell>
          <cell r="B1235" t="str">
            <v>变频外电脑板-FR-4/</v>
          </cell>
          <cell r="C1235" t="str">
            <v>和而泰</v>
          </cell>
        </row>
        <row r="1236">
          <cell r="A1236" t="str">
            <v>0010402017AD</v>
          </cell>
          <cell r="B1236" t="str">
            <v>连机线-0.75mm2(24/0.20)/</v>
          </cell>
          <cell r="C1236" t="str">
            <v>珠城</v>
          </cell>
        </row>
        <row r="1237">
          <cell r="A1237" t="str">
            <v>0010404096F</v>
          </cell>
          <cell r="B1237" t="str">
            <v>无插电源线-/</v>
          </cell>
          <cell r="C1237" t="str">
            <v>华声</v>
          </cell>
        </row>
        <row r="1238">
          <cell r="A1238" t="str">
            <v>0011801118CE</v>
          </cell>
          <cell r="B1238" t="str">
            <v>变频外电脑板-/</v>
          </cell>
          <cell r="C1238" t="str">
            <v>中家智康</v>
          </cell>
        </row>
        <row r="1239">
          <cell r="A1239" t="str">
            <v>0011800879N</v>
          </cell>
          <cell r="B1239" t="str">
            <v>变频外电脑板-FR-4室外电脑板</v>
          </cell>
          <cell r="C1239" t="str">
            <v>和而泰</v>
          </cell>
        </row>
        <row r="1240">
          <cell r="A1240" t="str">
            <v>0011800879P</v>
          </cell>
          <cell r="B1240" t="str">
            <v>变频外电脑板-FR-4室外电脑板</v>
          </cell>
          <cell r="C1240" t="str">
            <v>和而泰</v>
          </cell>
        </row>
        <row r="1241">
          <cell r="A1241" t="str">
            <v>0011801123G</v>
          </cell>
          <cell r="B1241" t="str">
            <v>室内电脑板-FR-4136*165</v>
          </cell>
          <cell r="C1241" t="str">
            <v>和而泰</v>
          </cell>
        </row>
        <row r="1242">
          <cell r="A1242" t="str">
            <v>0011800682H</v>
          </cell>
          <cell r="B1242" t="str">
            <v>室内电脑板-CEM-1165*136</v>
          </cell>
          <cell r="C1242" t="str">
            <v>尚研</v>
          </cell>
        </row>
        <row r="1243">
          <cell r="A1243" t="str">
            <v>0011801256R</v>
          </cell>
          <cell r="B1243" t="str">
            <v>室内电脑板-CEM-1</v>
          </cell>
          <cell r="C1243" t="str">
            <v>和而泰</v>
          </cell>
        </row>
        <row r="1244">
          <cell r="A1244" t="str">
            <v>0011801425D</v>
          </cell>
          <cell r="B1244" t="str">
            <v>变频外电脑板-FR-4</v>
          </cell>
          <cell r="C1244" t="str">
            <v>和而泰</v>
          </cell>
        </row>
        <row r="1245">
          <cell r="A1245" t="str">
            <v>0010405105G</v>
          </cell>
          <cell r="B1245" t="str">
            <v>内销电源线-/</v>
          </cell>
          <cell r="C1245" t="str">
            <v>相变</v>
          </cell>
        </row>
        <row r="1246">
          <cell r="A1246" t="str">
            <v>0010405976W</v>
          </cell>
          <cell r="B1246" t="str">
            <v>线束</v>
          </cell>
          <cell r="C1246" t="str">
            <v>得润</v>
          </cell>
        </row>
        <row r="1247">
          <cell r="A1247" t="str">
            <v>0010405976X</v>
          </cell>
          <cell r="B1247" t="str">
            <v>线束</v>
          </cell>
          <cell r="C1247" t="str">
            <v>珠城</v>
          </cell>
        </row>
        <row r="1248">
          <cell r="A1248" t="str">
            <v>0010405976Z</v>
          </cell>
          <cell r="B1248" t="str">
            <v>线束</v>
          </cell>
          <cell r="C1248" t="str">
            <v>珠城</v>
          </cell>
        </row>
        <row r="1249">
          <cell r="A1249" t="str">
            <v>0011800828E</v>
          </cell>
          <cell r="B1249" t="str">
            <v>室内电脑板-/</v>
          </cell>
          <cell r="C1249" t="str">
            <v>领智</v>
          </cell>
        </row>
        <row r="1250">
          <cell r="A1250" t="str">
            <v>0011801185</v>
          </cell>
          <cell r="B1250" t="str">
            <v>变频外电脑板-通用</v>
          </cell>
          <cell r="C1250" t="str">
            <v>儒竞</v>
          </cell>
        </row>
        <row r="1251">
          <cell r="A1251" t="str">
            <v>0010406605D</v>
          </cell>
          <cell r="B1251" t="str">
            <v>遥控器-塑料HE</v>
          </cell>
          <cell r="C1251" t="str">
            <v>福尼特/合晶//</v>
          </cell>
        </row>
        <row r="1252">
          <cell r="A1252" t="str">
            <v>0011801039S</v>
          </cell>
          <cell r="B1252" t="str">
            <v>电脑板-FR-4一体板风机驱动外置单相4匹</v>
          </cell>
          <cell r="C1252" t="str">
            <v>中家智康</v>
          </cell>
        </row>
        <row r="1253">
          <cell r="A1253" t="str">
            <v>0011801172AR</v>
          </cell>
          <cell r="B1253" t="str">
            <v>变频外电脑板-FR-4240*180</v>
          </cell>
          <cell r="C1253" t="str">
            <v>中家智康</v>
          </cell>
        </row>
        <row r="1254">
          <cell r="A1254" t="str">
            <v>0011801172BR</v>
          </cell>
          <cell r="B1254" t="str">
            <v>变频外电脑板-FR-4240*180</v>
          </cell>
          <cell r="C1254" t="str">
            <v>和而泰</v>
          </cell>
        </row>
        <row r="1255">
          <cell r="A1255" t="str">
            <v>0011801425F</v>
          </cell>
          <cell r="B1255" t="str">
            <v>变频外电脑板-FR-4</v>
          </cell>
          <cell r="C1255" t="str">
            <v>和而泰</v>
          </cell>
        </row>
        <row r="1256">
          <cell r="A1256" t="str">
            <v>0011801118CB</v>
          </cell>
          <cell r="B1256" t="str">
            <v>变频外电脑板-/</v>
          </cell>
          <cell r="C1256" t="str">
            <v>中家智康</v>
          </cell>
        </row>
        <row r="1257">
          <cell r="A1257" t="str">
            <v>0011800832Y</v>
          </cell>
          <cell r="B1257" t="str">
            <v>室内电脑板-/室内电脑板</v>
          </cell>
          <cell r="C1257" t="str">
            <v>领智</v>
          </cell>
        </row>
        <row r="1258">
          <cell r="A1258" t="str">
            <v>0011800697T</v>
          </cell>
          <cell r="B1258" t="str">
            <v>室内电脑板-CEM-1</v>
          </cell>
          <cell r="C1258" t="str">
            <v>康美特</v>
          </cell>
        </row>
        <row r="1259">
          <cell r="A1259" t="str">
            <v>0011800323Y</v>
          </cell>
          <cell r="B1259" t="str">
            <v>室内电脑板-CEM-1</v>
          </cell>
          <cell r="C1259" t="str">
            <v>领智</v>
          </cell>
        </row>
        <row r="1260">
          <cell r="A1260" t="str">
            <v>0011801424P</v>
          </cell>
          <cell r="B1260" t="str">
            <v>变频外电脑板-FR-4/</v>
          </cell>
          <cell r="C1260" t="str">
            <v>尚研</v>
          </cell>
        </row>
        <row r="1261">
          <cell r="A1261" t="str">
            <v>0010406178F</v>
          </cell>
          <cell r="B1261" t="str">
            <v>遥控器-塑料</v>
          </cell>
          <cell r="C1261" t="str">
            <v>思恩泰克</v>
          </cell>
        </row>
        <row r="1262">
          <cell r="A1262" t="str">
            <v>0011800377Y</v>
          </cell>
          <cell r="B1262" t="str">
            <v>功率驱动板-FR-4SNB130FYQMC压缩机30ARX62T模块驱动板30A</v>
          </cell>
          <cell r="C1262" t="str">
            <v>和而泰</v>
          </cell>
        </row>
        <row r="1263">
          <cell r="A1263" t="str">
            <v>0011800980D</v>
          </cell>
          <cell r="B1263" t="str">
            <v>室内电脑板-FR-4136*165</v>
          </cell>
          <cell r="C1263" t="str">
            <v>和而泰</v>
          </cell>
        </row>
        <row r="1264">
          <cell r="A1264" t="str">
            <v>0011800981H</v>
          </cell>
          <cell r="B1264" t="str">
            <v>变频外电脑板-FR-4230*196</v>
          </cell>
          <cell r="C1264" t="str">
            <v>和而泰</v>
          </cell>
        </row>
        <row r="1265">
          <cell r="A1265" t="str">
            <v>0011801039Y</v>
          </cell>
          <cell r="B1265" t="str">
            <v>变频外电脑板-FR-4/</v>
          </cell>
          <cell r="C1265" t="str">
            <v>中家智康</v>
          </cell>
        </row>
        <row r="1266">
          <cell r="A1266" t="str">
            <v>0011801118BA</v>
          </cell>
          <cell r="B1266" t="str">
            <v>变频外电脑板-/</v>
          </cell>
          <cell r="C1266" t="str">
            <v>尚研/领智//</v>
          </cell>
        </row>
        <row r="1267">
          <cell r="A1267" t="str">
            <v>0010406601</v>
          </cell>
          <cell r="B1267" t="str">
            <v>接地线-/</v>
          </cell>
          <cell r="C1267" t="str">
            <v>得润</v>
          </cell>
        </row>
        <row r="1268">
          <cell r="A1268" t="str">
            <v>0010406609C</v>
          </cell>
          <cell r="B1268" t="str">
            <v>遥控器-塑料</v>
          </cell>
          <cell r="C1268" t="str">
            <v>合晶</v>
          </cell>
        </row>
        <row r="1269">
          <cell r="A1269" t="str">
            <v>0010401996X</v>
          </cell>
          <cell r="B1269" t="str">
            <v>遥控器-塑料</v>
          </cell>
          <cell r="C1269" t="str">
            <v>长虹</v>
          </cell>
        </row>
        <row r="1270">
          <cell r="A1270" t="str">
            <v>0010401715GT</v>
          </cell>
          <cell r="B1270" t="str">
            <v>遥控器-塑料HE</v>
          </cell>
          <cell r="C1270" t="str">
            <v>合晶</v>
          </cell>
        </row>
        <row r="1271">
          <cell r="A1271" t="str">
            <v>0011801118BG</v>
          </cell>
          <cell r="B1271" t="str">
            <v>变频外电脑板-/</v>
          </cell>
          <cell r="C1271" t="str">
            <v>尚研/领智//</v>
          </cell>
        </row>
        <row r="1272">
          <cell r="A1272" t="str">
            <v>0011801172AG</v>
          </cell>
          <cell r="B1272" t="str">
            <v>变频外电脑板-FR-4240*180</v>
          </cell>
          <cell r="C1272" t="str">
            <v>中家智康</v>
          </cell>
        </row>
        <row r="1273">
          <cell r="A1273" t="str">
            <v>0010401715HY</v>
          </cell>
          <cell r="B1273" t="str">
            <v>遥控器-塑料</v>
          </cell>
          <cell r="C1273" t="str">
            <v>合晶</v>
          </cell>
        </row>
        <row r="1274">
          <cell r="A1274" t="str">
            <v>0011800832Z</v>
          </cell>
          <cell r="B1274" t="str">
            <v>室内电脑板-/室内电脑板</v>
          </cell>
          <cell r="C1274" t="str">
            <v>领智</v>
          </cell>
        </row>
        <row r="1275">
          <cell r="A1275" t="str">
            <v>0011801423L</v>
          </cell>
          <cell r="B1275" t="str">
            <v>变频外电脑板-FR-4240*180</v>
          </cell>
          <cell r="C1275" t="str">
            <v>领智/尚研//</v>
          </cell>
        </row>
        <row r="1276">
          <cell r="A1276" t="str">
            <v>0011801118BF</v>
          </cell>
          <cell r="B1276" t="str">
            <v>变频外电脑板-/</v>
          </cell>
          <cell r="C1276" t="str">
            <v>尚研/领智//</v>
          </cell>
        </row>
        <row r="1277">
          <cell r="A1277" t="str">
            <v>0011801118CC</v>
          </cell>
          <cell r="B1277" t="str">
            <v>变频外电脑板-/</v>
          </cell>
          <cell r="C1277" t="str">
            <v>尚研/领智//</v>
          </cell>
        </row>
        <row r="1278">
          <cell r="A1278" t="str">
            <v>0011801172CF</v>
          </cell>
          <cell r="B1278" t="str">
            <v>变频外电脑板-FR-4240*180</v>
          </cell>
          <cell r="C1278" t="str">
            <v>中家智康</v>
          </cell>
        </row>
        <row r="1279">
          <cell r="A1279" t="str">
            <v>0010401789T</v>
          </cell>
          <cell r="B1279" t="str">
            <v>连机线-/</v>
          </cell>
          <cell r="C1279" t="str">
            <v>泓淋/日丰/华声/</v>
          </cell>
        </row>
        <row r="1280">
          <cell r="A1280" t="str">
            <v>0010402185C</v>
          </cell>
          <cell r="B1280" t="str">
            <v>线束-/</v>
          </cell>
          <cell r="C1280" t="str">
            <v>悠进/金龙/珠城/</v>
          </cell>
        </row>
        <row r="1281">
          <cell r="A1281" t="str">
            <v>0010404180A</v>
          </cell>
          <cell r="B1281" t="str">
            <v>端子排-金属双排30A/4mm?-</v>
          </cell>
          <cell r="C1281" t="str">
            <v>源峰/华冠//</v>
          </cell>
        </row>
        <row r="1282">
          <cell r="A1282" t="str">
            <v>0011800835F</v>
          </cell>
          <cell r="B1282" t="str">
            <v>室内电脑板-CEM-1/</v>
          </cell>
          <cell r="C1282" t="str">
            <v>航嘉</v>
          </cell>
        </row>
        <row r="1283">
          <cell r="A1283" t="str">
            <v>0011801522</v>
          </cell>
          <cell r="B1283" t="str">
            <v>室内电脑板-CEM-1室内电脑板俄罗斯22年DAICHI客户定频07/09P系列</v>
          </cell>
          <cell r="C1283" t="str">
            <v>和而泰</v>
          </cell>
        </row>
        <row r="1284">
          <cell r="A1284" t="str">
            <v>0011801522A</v>
          </cell>
          <cell r="B1284" t="str">
            <v>室内电脑板-CEM-1室内电脑板俄罗斯22年DAICHI客户定频12P系列室内电</v>
          </cell>
          <cell r="C1284" t="str">
            <v>和而泰</v>
          </cell>
        </row>
        <row r="1285">
          <cell r="A1285" t="str">
            <v>0011801522B</v>
          </cell>
          <cell r="B1285" t="str">
            <v>室内电脑板-CEM-1室内电脑板俄罗斯22年DAICHI客户定频12P系列室内电</v>
          </cell>
          <cell r="C1285" t="str">
            <v>和而泰</v>
          </cell>
        </row>
        <row r="1286">
          <cell r="A1286" t="str">
            <v>0011801185G</v>
          </cell>
          <cell r="B1286" t="str">
            <v>变频外电脑板-/</v>
          </cell>
          <cell r="C1286" t="str">
            <v>儒竞</v>
          </cell>
        </row>
        <row r="1287">
          <cell r="A1287" t="str">
            <v>0151800130B</v>
          </cell>
          <cell r="B1287" t="e">
            <v>#N/A</v>
          </cell>
          <cell r="C1287" t="str">
            <v>鼎新</v>
          </cell>
        </row>
        <row r="1288">
          <cell r="A1288" t="str">
            <v>0011800980C</v>
          </cell>
          <cell r="B1288" t="str">
            <v>室内电脑板-FR-4F平台内机板</v>
          </cell>
          <cell r="C1288" t="str">
            <v>和而泰</v>
          </cell>
        </row>
        <row r="1289">
          <cell r="A1289" t="str">
            <v>0010401715CX</v>
          </cell>
          <cell r="B1289" t="str">
            <v>遥控器-塑料</v>
          </cell>
          <cell r="C1289" t="str">
            <v>合晶</v>
          </cell>
        </row>
        <row r="1290">
          <cell r="A1290" t="str">
            <v>0011801172CP</v>
          </cell>
          <cell r="B1290" t="str">
            <v>变频外电脑板-FR-4240*180</v>
          </cell>
          <cell r="C1290" t="str">
            <v>中家智康</v>
          </cell>
        </row>
        <row r="1291">
          <cell r="A1291" t="str">
            <v>0011801270A</v>
          </cell>
          <cell r="B1291" t="str">
            <v>变频外电脑板-/</v>
          </cell>
          <cell r="C1291" t="str">
            <v>和而泰</v>
          </cell>
        </row>
        <row r="1292">
          <cell r="A1292" t="str">
            <v>0011801425G</v>
          </cell>
          <cell r="B1292" t="str">
            <v>变频外电脑板-FR-4</v>
          </cell>
          <cell r="C1292" t="str">
            <v>领智</v>
          </cell>
        </row>
        <row r="1293">
          <cell r="A1293" t="str">
            <v>0011801425H</v>
          </cell>
          <cell r="B1293" t="str">
            <v>变频外电脑板-FR-4</v>
          </cell>
          <cell r="C1293" t="str">
            <v>领智</v>
          </cell>
        </row>
        <row r="1294">
          <cell r="A1294" t="str">
            <v>0011801123H</v>
          </cell>
          <cell r="B1294" t="str">
            <v>室内电脑板-FR-4136*165</v>
          </cell>
          <cell r="C1294" t="str">
            <v>和而泰</v>
          </cell>
        </row>
        <row r="1295">
          <cell r="A1295" t="str">
            <v>0011800682J</v>
          </cell>
          <cell r="B1295" t="str">
            <v>室内电脑板-CEM-1165*136</v>
          </cell>
          <cell r="C1295" t="str">
            <v>尚研</v>
          </cell>
        </row>
        <row r="1296">
          <cell r="A1296" t="str">
            <v>0010405105L</v>
          </cell>
          <cell r="B1296" t="str">
            <v>内销电源线-/</v>
          </cell>
          <cell r="C1296" t="str">
            <v>桦晟</v>
          </cell>
        </row>
        <row r="1297">
          <cell r="A1297" t="str">
            <v>0011801118CP</v>
          </cell>
          <cell r="B1297" t="str">
            <v>变频外电脑板-/</v>
          </cell>
          <cell r="C1297" t="str">
            <v>航嘉/尚研//</v>
          </cell>
        </row>
        <row r="1298">
          <cell r="A1298" t="str">
            <v>0010404096E</v>
          </cell>
          <cell r="B1298" t="str">
            <v>无插电源线-/</v>
          </cell>
          <cell r="C1298" t="str">
            <v>华声</v>
          </cell>
        </row>
        <row r="1299">
          <cell r="A1299" t="str">
            <v>0011800834E</v>
          </cell>
          <cell r="B1299" t="str">
            <v>显示板-LED</v>
          </cell>
          <cell r="C1299" t="str">
            <v>航嘉</v>
          </cell>
        </row>
        <row r="1300">
          <cell r="A1300" t="str">
            <v>0011801424Z</v>
          </cell>
          <cell r="B1300" t="str">
            <v>变频外电脑板-FR-4/</v>
          </cell>
          <cell r="C1300" t="str">
            <v>和而泰</v>
          </cell>
        </row>
        <row r="1301">
          <cell r="A1301" t="str">
            <v>0010406609D</v>
          </cell>
          <cell r="B1301" t="str">
            <v>遥控器-塑料</v>
          </cell>
          <cell r="C1301" t="str">
            <v>合晶</v>
          </cell>
        </row>
        <row r="1302">
          <cell r="A1302" t="str">
            <v>0011801045A</v>
          </cell>
          <cell r="B1302" t="str">
            <v>显示板-LED60*50</v>
          </cell>
          <cell r="C1302" t="str">
            <v>恒青/国冶星</v>
          </cell>
        </row>
        <row r="1303">
          <cell r="A1303" t="str">
            <v>0011801425Y</v>
          </cell>
          <cell r="B1303" t="str">
            <v>变频外电脑板-FR-4</v>
          </cell>
          <cell r="C1303" t="str">
            <v>领智</v>
          </cell>
        </row>
        <row r="1304">
          <cell r="A1304" t="str">
            <v>0010406605B</v>
          </cell>
          <cell r="B1304" t="str">
            <v>遥控器-塑料HE</v>
          </cell>
          <cell r="C1304" t="str">
            <v>福尼特</v>
          </cell>
        </row>
        <row r="1305">
          <cell r="A1305" t="str">
            <v>0010406178H</v>
          </cell>
          <cell r="B1305" t="str">
            <v>遥控器-塑料</v>
          </cell>
          <cell r="C1305" t="str">
            <v>思恩泰克</v>
          </cell>
        </row>
        <row r="1306">
          <cell r="A1306" t="str">
            <v>0011800682AR</v>
          </cell>
          <cell r="B1306" t="str">
            <v>室内电脑板-CEM-1165*136</v>
          </cell>
          <cell r="C1306" t="str">
            <v>领智</v>
          </cell>
        </row>
        <row r="1307">
          <cell r="A1307" t="str">
            <v>0011801118BW</v>
          </cell>
          <cell r="B1307" t="str">
            <v>变频外电脑板-FR-4240*180</v>
          </cell>
          <cell r="C1307" t="str">
            <v>尚研</v>
          </cell>
        </row>
        <row r="1308">
          <cell r="A1308" t="str">
            <v>0010406609F</v>
          </cell>
          <cell r="B1308" t="str">
            <v>遥控器-塑料</v>
          </cell>
          <cell r="C1308" t="str">
            <v>合晶</v>
          </cell>
        </row>
        <row r="1309">
          <cell r="A1309" t="str">
            <v>0011800980K</v>
          </cell>
          <cell r="B1309" t="str">
            <v>室内电脑板-FR-4P平台内机板</v>
          </cell>
          <cell r="C1309" t="str">
            <v>和而泰</v>
          </cell>
        </row>
        <row r="1310">
          <cell r="A1310" t="str">
            <v>0011801039AD</v>
          </cell>
          <cell r="B1310" t="str">
            <v>变频外电脑板-FR-4/</v>
          </cell>
          <cell r="C1310" t="str">
            <v>中家智康</v>
          </cell>
        </row>
        <row r="1311">
          <cell r="A1311" t="str">
            <v>0011801039H</v>
          </cell>
          <cell r="B1311" t="str">
            <v>变频外电脑板-FR-4/</v>
          </cell>
          <cell r="C1311" t="str">
            <v>中家智康</v>
          </cell>
        </row>
        <row r="1312">
          <cell r="A1312" t="str">
            <v>0011801039J</v>
          </cell>
          <cell r="B1312" t="str">
            <v>变频外电脑板-FR-4/</v>
          </cell>
          <cell r="C1312" t="str">
            <v>中家智康</v>
          </cell>
        </row>
        <row r="1313">
          <cell r="A1313" t="str">
            <v>0011801048Q</v>
          </cell>
          <cell r="B1313" t="str">
            <v>变频外电脑板-FR-4/</v>
          </cell>
          <cell r="C1313" t="str">
            <v>中家智康</v>
          </cell>
        </row>
        <row r="1314">
          <cell r="A1314" t="str">
            <v>0011801048R</v>
          </cell>
          <cell r="B1314" t="str">
            <v>变频外电脑板-FR-4/</v>
          </cell>
          <cell r="C1314" t="str">
            <v>中家智康</v>
          </cell>
        </row>
        <row r="1315">
          <cell r="A1315" t="str">
            <v>0011801123J</v>
          </cell>
          <cell r="B1315" t="str">
            <v>室内电脑板-FR-4136*165</v>
          </cell>
          <cell r="C1315" t="str">
            <v>和而泰</v>
          </cell>
        </row>
        <row r="1316">
          <cell r="A1316" t="str">
            <v>0010406609E</v>
          </cell>
          <cell r="B1316" t="str">
            <v>遥控器-塑料</v>
          </cell>
          <cell r="C1316" t="str">
            <v>合晶</v>
          </cell>
        </row>
        <row r="1317">
          <cell r="A1317" t="str">
            <v>0010403358M</v>
          </cell>
          <cell r="B1317" t="str">
            <v>无插电源线-/</v>
          </cell>
          <cell r="C1317" t="str">
            <v>泓淋</v>
          </cell>
        </row>
        <row r="1318">
          <cell r="A1318" t="str">
            <v>0010406178T</v>
          </cell>
          <cell r="B1318" t="str">
            <v>遥控器-塑料</v>
          </cell>
          <cell r="C1318" t="str">
            <v>长虹</v>
          </cell>
        </row>
        <row r="1319">
          <cell r="A1319" t="str">
            <v>0010402057J</v>
          </cell>
          <cell r="B1319" t="str">
            <v>单根线束-//</v>
          </cell>
          <cell r="C1319" t="str">
            <v>得润/桦晟//</v>
          </cell>
        </row>
        <row r="1320">
          <cell r="A1320" t="str">
            <v>0011801372M</v>
          </cell>
          <cell r="B1320" t="str">
            <v>变频外电脑板-FR-4205mm*157mm</v>
          </cell>
          <cell r="C1320" t="str">
            <v>领智</v>
          </cell>
        </row>
        <row r="1321">
          <cell r="A1321" t="str">
            <v>0011801119P</v>
          </cell>
          <cell r="B1321" t="str">
            <v>变频外电脑板-FR-4215mm*157mm</v>
          </cell>
          <cell r="C1321" t="str">
            <v>和而泰/航嘉//</v>
          </cell>
        </row>
        <row r="1322">
          <cell r="A1322" t="str">
            <v>0010406609A</v>
          </cell>
          <cell r="B1322" t="str">
            <v>遥控器-塑料</v>
          </cell>
          <cell r="C1322" t="str">
            <v>合晶</v>
          </cell>
        </row>
        <row r="1323">
          <cell r="A1323" t="str">
            <v>0010406609B</v>
          </cell>
          <cell r="B1323" t="str">
            <v>遥控器-塑料</v>
          </cell>
          <cell r="C1323" t="str">
            <v>合晶</v>
          </cell>
        </row>
        <row r="1324">
          <cell r="A1324" t="str">
            <v>0010406609A</v>
          </cell>
          <cell r="B1324" t="str">
            <v>遥控器-塑料</v>
          </cell>
          <cell r="C1324" t="str">
            <v>合晶</v>
          </cell>
        </row>
        <row r="1325">
          <cell r="A1325" t="str">
            <v>0010406609B</v>
          </cell>
          <cell r="B1325" t="str">
            <v>遥控器-塑料</v>
          </cell>
          <cell r="C1325" t="str">
            <v>合晶</v>
          </cell>
        </row>
        <row r="1326">
          <cell r="A1326" t="str">
            <v>0011800977T</v>
          </cell>
          <cell r="B1326" t="str">
            <v>室内电脑板-CEM-1/</v>
          </cell>
          <cell r="C1326" t="str">
            <v>和而泰</v>
          </cell>
        </row>
        <row r="1327">
          <cell r="A1327" t="str">
            <v>0011801330</v>
          </cell>
          <cell r="B1327" t="str">
            <v>室内电脑板-CEM-1</v>
          </cell>
          <cell r="C1327" t="str">
            <v>和而泰</v>
          </cell>
        </row>
        <row r="1328">
          <cell r="A1328" t="str">
            <v>0010406784</v>
          </cell>
          <cell r="B1328" t="str">
            <v>室外线束组-金属</v>
          </cell>
          <cell r="C1328" t="str">
            <v>金龙</v>
          </cell>
        </row>
        <row r="1329">
          <cell r="A1329" t="str">
            <v>0011801424D</v>
          </cell>
          <cell r="B1329" t="str">
            <v>变频外电脑板-FR-4/</v>
          </cell>
          <cell r="C1329" t="str">
            <v>和而泰</v>
          </cell>
        </row>
        <row r="1330">
          <cell r="A1330" t="str">
            <v>0011801609</v>
          </cell>
          <cell r="B1330" t="str">
            <v>变频外电脑板-FR-4379mm*230mm</v>
          </cell>
          <cell r="C1330" t="str">
            <v>斑科</v>
          </cell>
        </row>
        <row r="1331">
          <cell r="A1331" t="str">
            <v>001A4000158</v>
          </cell>
          <cell r="B1331" t="str">
            <v>ROHS-端子排-N/A</v>
          </cell>
          <cell r="C1331" t="str">
            <v>凯都</v>
          </cell>
        </row>
        <row r="1332">
          <cell r="A1332" t="str">
            <v>001A4200068E</v>
          </cell>
          <cell r="B1332" t="str">
            <v>无插电源线-/</v>
          </cell>
          <cell r="C1332" t="str">
            <v>日丰/华声//</v>
          </cell>
        </row>
        <row r="1333">
          <cell r="A1333" t="str">
            <v>0010400649X</v>
          </cell>
          <cell r="B1333" t="str">
            <v>端子排-塑料</v>
          </cell>
          <cell r="C1333" t="str">
            <v>源峰</v>
          </cell>
        </row>
        <row r="1334">
          <cell r="A1334" t="str">
            <v>0010406870</v>
          </cell>
          <cell r="B1334" t="str">
            <v>端子排-塑料</v>
          </cell>
          <cell r="C1334" t="str">
            <v>源峰</v>
          </cell>
        </row>
        <row r="1335">
          <cell r="A1335" t="str">
            <v>0011801172CK</v>
          </cell>
          <cell r="B1335" t="str">
            <v>变频外电脑板-FR-4240*180FR-4</v>
          </cell>
          <cell r="C1335" t="str">
            <v>航嘉</v>
          </cell>
        </row>
        <row r="1336">
          <cell r="A1336" t="str">
            <v>0011800977P</v>
          </cell>
          <cell r="B1336" t="str">
            <v>室内电脑板-CEM-1/</v>
          </cell>
          <cell r="C1336" t="str">
            <v>和而泰</v>
          </cell>
        </row>
        <row r="1337">
          <cell r="A1337" t="str">
            <v>0011800977R</v>
          </cell>
          <cell r="B1337" t="str">
            <v>室内电脑板-CEM-1/</v>
          </cell>
          <cell r="C1337" t="str">
            <v>和而泰</v>
          </cell>
        </row>
        <row r="1338">
          <cell r="A1338" t="str">
            <v>0011801118CL</v>
          </cell>
          <cell r="B1338" t="str">
            <v>变频外电脑板-FR-4240*180</v>
          </cell>
          <cell r="C1338" t="str">
            <v>尚研</v>
          </cell>
        </row>
        <row r="1339">
          <cell r="A1339" t="str">
            <v>0011801118CQ</v>
          </cell>
          <cell r="B1339" t="str">
            <v>变频外电脑板-FR-4240*180</v>
          </cell>
          <cell r="C1339" t="str">
            <v>尚研</v>
          </cell>
        </row>
        <row r="1340">
          <cell r="A1340" t="str">
            <v>0011801372H</v>
          </cell>
          <cell r="B1340" t="str">
            <v>变频外电脑板-FR-4205mm*157mm</v>
          </cell>
          <cell r="C1340" t="str">
            <v>尚研</v>
          </cell>
        </row>
        <row r="1341">
          <cell r="A1341" t="str">
            <v>0011801372J</v>
          </cell>
          <cell r="B1341" t="str">
            <v>变频外电脑板-FR-4205mm*157mm</v>
          </cell>
          <cell r="C1341" t="str">
            <v>尚研</v>
          </cell>
        </row>
        <row r="1342">
          <cell r="A1342" t="str">
            <v>0011801425W</v>
          </cell>
          <cell r="B1342" t="str">
            <v>变频外电脑板-FR-4</v>
          </cell>
          <cell r="C1342" t="str">
            <v>和而泰</v>
          </cell>
        </row>
        <row r="1343">
          <cell r="A1343" t="str">
            <v>0011801425X</v>
          </cell>
          <cell r="B1343" t="str">
            <v>变频外电脑板-FR-4</v>
          </cell>
          <cell r="C1343" t="str">
            <v>和而泰</v>
          </cell>
        </row>
        <row r="1344">
          <cell r="A1344" t="str">
            <v>0011801048Y</v>
          </cell>
          <cell r="B1344" t="str">
            <v>变频外电脑板-FR-4/</v>
          </cell>
          <cell r="C1344" t="str">
            <v>中家智康</v>
          </cell>
        </row>
        <row r="1345">
          <cell r="A1345" t="str">
            <v>0010406605E</v>
          </cell>
          <cell r="B1345" t="str">
            <v>遥控器-塑料HE</v>
          </cell>
          <cell r="C1345" t="str">
            <v>合晶/福尼特//</v>
          </cell>
        </row>
        <row r="1346">
          <cell r="A1346" t="str">
            <v>0011801048X</v>
          </cell>
          <cell r="B1346" t="str">
            <v>变频外电脑板-FR-4/</v>
          </cell>
          <cell r="C1346" t="str">
            <v>中家智康</v>
          </cell>
        </row>
        <row r="1347">
          <cell r="A1347" t="str">
            <v>0010406609</v>
          </cell>
          <cell r="B1347" t="str">
            <v>遥控器-塑料</v>
          </cell>
          <cell r="C1347" t="str">
            <v>合晶</v>
          </cell>
        </row>
        <row r="1348">
          <cell r="A1348" t="str">
            <v>0010406833</v>
          </cell>
          <cell r="B1348" t="str">
            <v>信号线-0.75mm2(24/0.20)线控器线束线控器线束</v>
          </cell>
          <cell r="C1348" t="str">
            <v>珠城</v>
          </cell>
        </row>
        <row r="1349">
          <cell r="A1349" t="str">
            <v>0011801172CJ</v>
          </cell>
          <cell r="B1349" t="str">
            <v>变频外电脑板-FR-4240*180</v>
          </cell>
          <cell r="C1349" t="str">
            <v>和而泰</v>
          </cell>
        </row>
        <row r="1350">
          <cell r="A1350" t="str">
            <v>0150402285</v>
          </cell>
          <cell r="B1350" t="str">
            <v>集中控制器-通用YCZ-A006集控器-内销-Haier</v>
          </cell>
          <cell r="C1350" t="str">
            <v>爱迪生</v>
          </cell>
        </row>
        <row r="1351">
          <cell r="A1351" t="str">
            <v>0011800682AD</v>
          </cell>
          <cell r="B1351" t="str">
            <v>室内电脑板-CEM-1165*136</v>
          </cell>
          <cell r="C1351" t="str">
            <v>尚研</v>
          </cell>
        </row>
        <row r="1352">
          <cell r="A1352" t="str">
            <v>0011801424AP</v>
          </cell>
          <cell r="B1352" t="str">
            <v>变频外电脑板-FR-4/</v>
          </cell>
          <cell r="C1352" t="str">
            <v>领智/和而泰//</v>
          </cell>
        </row>
        <row r="1353">
          <cell r="A1353" t="str">
            <v>0011801424AQ</v>
          </cell>
          <cell r="B1353" t="str">
            <v>变频外电脑板-FR-4/</v>
          </cell>
          <cell r="C1353" t="str">
            <v>领智</v>
          </cell>
        </row>
        <row r="1354">
          <cell r="A1354" t="str">
            <v>0011801119N</v>
          </cell>
          <cell r="B1354" t="str">
            <v>变频外电脑板-FR-4215mm*157mm</v>
          </cell>
          <cell r="C1354" t="str">
            <v>和而泰/航嘉//</v>
          </cell>
        </row>
        <row r="1355">
          <cell r="A1355" t="str">
            <v>0011800997BN</v>
          </cell>
          <cell r="B1355" t="str">
            <v>变频外电脑板-FR-4变频室外马达双驱动+高频PFC方案用电脑板</v>
          </cell>
          <cell r="C1355" t="str">
            <v>领智</v>
          </cell>
        </row>
        <row r="1356">
          <cell r="A1356" t="str">
            <v>0010401761W</v>
          </cell>
          <cell r="B1356" t="str">
            <v>连机线-1.5mm2</v>
          </cell>
          <cell r="C1356" t="str">
            <v>华声</v>
          </cell>
        </row>
        <row r="1357">
          <cell r="A1357" t="str">
            <v>0010405105P</v>
          </cell>
          <cell r="B1357" t="str">
            <v>无插电源线-/</v>
          </cell>
          <cell r="C1357" t="str">
            <v>相变/桦晟//</v>
          </cell>
        </row>
        <row r="1358">
          <cell r="A1358" t="str">
            <v>0011800682RA</v>
          </cell>
          <cell r="B1358" t="str">
            <v>室内电脑板-CEM-1165*136</v>
          </cell>
          <cell r="C1358" t="str">
            <v>领智</v>
          </cell>
        </row>
        <row r="1359">
          <cell r="A1359" t="str">
            <v>0011801185H</v>
          </cell>
          <cell r="B1359" t="str">
            <v>变频外电脑板-通用</v>
          </cell>
          <cell r="C1359" t="str">
            <v>儒竞</v>
          </cell>
        </row>
        <row r="1360">
          <cell r="A1360" t="str">
            <v>0011801185K</v>
          </cell>
          <cell r="B1360" t="str">
            <v>变频外电脑板-/</v>
          </cell>
          <cell r="C1360" t="str">
            <v>儒竞</v>
          </cell>
        </row>
        <row r="1361">
          <cell r="A1361" t="str">
            <v>0010401715JG</v>
          </cell>
          <cell r="B1361" t="str">
            <v>遥控器-塑料</v>
          </cell>
          <cell r="C1361" t="str">
            <v>合晶</v>
          </cell>
        </row>
        <row r="1362">
          <cell r="A1362" t="str">
            <v>0010406609L</v>
          </cell>
          <cell r="B1362" t="str">
            <v>遥控器-塑料</v>
          </cell>
          <cell r="C1362" t="str">
            <v>合晶</v>
          </cell>
        </row>
        <row r="1363">
          <cell r="A1363" t="str">
            <v>0011800682AJ</v>
          </cell>
          <cell r="B1363" t="str">
            <v>室内电脑板-CEM-1165*136</v>
          </cell>
          <cell r="C1363" t="str">
            <v>领智</v>
          </cell>
        </row>
        <row r="1364">
          <cell r="A1364" t="str">
            <v>0011800682RA</v>
          </cell>
          <cell r="B1364" t="str">
            <v>室内电脑板-CEM-1165*136</v>
          </cell>
          <cell r="C1364" t="str">
            <v>领智</v>
          </cell>
        </row>
        <row r="1365">
          <cell r="A1365" t="str">
            <v>0011801039AF</v>
          </cell>
          <cell r="B1365" t="str">
            <v>变频外电脑板-FR-4/</v>
          </cell>
          <cell r="C1365" t="str">
            <v>中家智康</v>
          </cell>
        </row>
        <row r="1366">
          <cell r="A1366" t="str">
            <v>0011801172CL</v>
          </cell>
          <cell r="B1366" t="str">
            <v>变频外电脑板-FR-4240*180</v>
          </cell>
          <cell r="C1366" t="str">
            <v>领智</v>
          </cell>
        </row>
        <row r="1367">
          <cell r="A1367" t="str">
            <v>0011801172CR</v>
          </cell>
          <cell r="B1367" t="str">
            <v>变频外电脑板-FR-4240*180</v>
          </cell>
          <cell r="C1367" t="str">
            <v>和而泰</v>
          </cell>
        </row>
        <row r="1368">
          <cell r="A1368" t="str">
            <v>0011801172CW</v>
          </cell>
          <cell r="B1368" t="str">
            <v>变频外电脑板-FR-4</v>
          </cell>
          <cell r="C1368" t="str">
            <v>和而泰</v>
          </cell>
        </row>
        <row r="1369">
          <cell r="A1369" t="str">
            <v>0011801424AS</v>
          </cell>
          <cell r="B1369" t="str">
            <v>变频外电脑板-FR-4/</v>
          </cell>
          <cell r="C1369" t="str">
            <v>领智</v>
          </cell>
        </row>
        <row r="1370">
          <cell r="A1370" t="str">
            <v>0011801424AT</v>
          </cell>
          <cell r="B1370" t="str">
            <v>变频外电脑板-FR-4/</v>
          </cell>
          <cell r="C1370" t="str">
            <v>和而泰</v>
          </cell>
        </row>
        <row r="1371">
          <cell r="A1371" t="str">
            <v>0010406608C</v>
          </cell>
          <cell r="B1371" t="str">
            <v>遥控器-塑料</v>
          </cell>
          <cell r="C1371" t="str">
            <v>长虹</v>
          </cell>
        </row>
        <row r="1372">
          <cell r="A1372" t="str">
            <v>0011801048AE</v>
          </cell>
          <cell r="B1372" t="str">
            <v>变频外电脑板-FR-4/</v>
          </cell>
          <cell r="C1372" t="str">
            <v>和而泰/中家智康//</v>
          </cell>
        </row>
        <row r="1373">
          <cell r="A1373" t="str">
            <v>0011801048AE</v>
          </cell>
          <cell r="B1373" t="str">
            <v>变频外电脑板-FR-4/</v>
          </cell>
          <cell r="C1373" t="str">
            <v>和而泰/中家智康//</v>
          </cell>
        </row>
        <row r="1374">
          <cell r="A1374" t="str">
            <v>0010404257B</v>
          </cell>
          <cell r="B1374" t="str">
            <v>单根线束-/</v>
          </cell>
          <cell r="C1374" t="str">
            <v>桦晟</v>
          </cell>
        </row>
        <row r="1375">
          <cell r="A1375" t="str">
            <v>0010405105N</v>
          </cell>
          <cell r="B1375" t="str">
            <v>无插电源线-/</v>
          </cell>
          <cell r="C1375" t="str">
            <v>相变/桦晟//</v>
          </cell>
        </row>
        <row r="1376">
          <cell r="A1376" t="str">
            <v>0011801185J</v>
          </cell>
          <cell r="B1376" t="str">
            <v>变频外电脑板-/</v>
          </cell>
          <cell r="C1376" t="str">
            <v>儒竞</v>
          </cell>
        </row>
        <row r="1377">
          <cell r="A1377" t="str">
            <v>0011800630AB</v>
          </cell>
          <cell r="B1377" t="str">
            <v>室内电脑板-CEM-1室内电脑板</v>
          </cell>
          <cell r="C1377" t="str">
            <v>领智</v>
          </cell>
        </row>
        <row r="1378">
          <cell r="A1378" t="str">
            <v>0011801123K</v>
          </cell>
          <cell r="B1378" t="str">
            <v>室内电脑板-FR-4136*165</v>
          </cell>
          <cell r="C1378" t="str">
            <v>领智/和而泰//</v>
          </cell>
        </row>
        <row r="1379">
          <cell r="A1379" t="str">
            <v>0010406608D</v>
          </cell>
          <cell r="B1379" t="str">
            <v>遥控器-塑料</v>
          </cell>
          <cell r="C1379" t="str">
            <v>长虹</v>
          </cell>
        </row>
        <row r="1380">
          <cell r="A1380" t="str">
            <v>0011801048AF</v>
          </cell>
          <cell r="B1380" t="str">
            <v>变频外电脑板-FR-4/</v>
          </cell>
          <cell r="C1380" t="str">
            <v>和而泰/中家智康//</v>
          </cell>
        </row>
        <row r="1381">
          <cell r="A1381" t="str">
            <v>0011800697X</v>
          </cell>
          <cell r="B1381" t="str">
            <v>室内电脑板-CEM-1室内电脑板35P平台09/12k室内电脑板</v>
          </cell>
          <cell r="C1381" t="str">
            <v>领智</v>
          </cell>
        </row>
        <row r="1382">
          <cell r="A1382" t="str">
            <v>0010401715JK</v>
          </cell>
          <cell r="B1382" t="str">
            <v>遥控器-塑料红外遥控器</v>
          </cell>
          <cell r="C1382" t="str">
            <v>合晶</v>
          </cell>
        </row>
        <row r="1383">
          <cell r="A1383" t="str">
            <v>0011800977H</v>
          </cell>
          <cell r="B1383" t="str">
            <v>室内电脑板-CEM-1/</v>
          </cell>
          <cell r="C1383" t="str">
            <v>领智</v>
          </cell>
        </row>
        <row r="1384">
          <cell r="A1384" t="str">
            <v>0010401715HV</v>
          </cell>
          <cell r="B1384" t="str">
            <v>遥控器-塑料</v>
          </cell>
          <cell r="C1384" t="str">
            <v>合晶</v>
          </cell>
        </row>
        <row r="1385">
          <cell r="A1385" t="str">
            <v>0010401715JK</v>
          </cell>
          <cell r="B1385" t="str">
            <v>遥控器-塑料红外遥控器</v>
          </cell>
          <cell r="C1385" t="str">
            <v>合晶</v>
          </cell>
        </row>
        <row r="1386">
          <cell r="A1386" t="str">
            <v>0010406178W</v>
          </cell>
          <cell r="B1386" t="str">
            <v>遥控器-塑料</v>
          </cell>
          <cell r="C1386" t="str">
            <v>思恩泰克</v>
          </cell>
        </row>
        <row r="1387">
          <cell r="A1387" t="str">
            <v>0011800387E</v>
          </cell>
          <cell r="B1387" t="str">
            <v>显示面板-FR-4---</v>
          </cell>
          <cell r="C1387" t="str">
            <v>领智</v>
          </cell>
        </row>
        <row r="1388">
          <cell r="A1388" t="str">
            <v>0011801039AM</v>
          </cell>
          <cell r="B1388" t="str">
            <v>变频外电脑板-FR-4/</v>
          </cell>
          <cell r="C1388" t="str">
            <v>和而泰/中家智康//</v>
          </cell>
        </row>
        <row r="1389">
          <cell r="A1389" t="str">
            <v>0011801039AN</v>
          </cell>
          <cell r="B1389" t="str">
            <v>变频外电脑板-FR-4/</v>
          </cell>
          <cell r="C1389" t="str">
            <v>和而泰/中家智康//</v>
          </cell>
        </row>
        <row r="1390">
          <cell r="A1390" t="str">
            <v>0011801676</v>
          </cell>
          <cell r="B1390" t="str">
            <v>室内电脑板-FR-4155*136</v>
          </cell>
          <cell r="C1390" t="str">
            <v>领智/尚研//</v>
          </cell>
        </row>
        <row r="1391">
          <cell r="A1391" t="str">
            <v>0011801676A</v>
          </cell>
          <cell r="B1391" t="str">
            <v>室内电脑板-FR-4165*136</v>
          </cell>
          <cell r="C1391" t="str">
            <v>领智/尚研//</v>
          </cell>
        </row>
        <row r="1392">
          <cell r="A1392" t="str">
            <v>0011801676B</v>
          </cell>
          <cell r="B1392" t="str">
            <v>室内电脑板-FR-4165*136</v>
          </cell>
          <cell r="C1392" t="str">
            <v>领智/尚研//</v>
          </cell>
        </row>
        <row r="1393">
          <cell r="A1393" t="str">
            <v>0010401715JM</v>
          </cell>
          <cell r="B1393" t="str">
            <v>遥控器-/</v>
          </cell>
          <cell r="C1393" t="str">
            <v>合晶</v>
          </cell>
        </row>
        <row r="1394">
          <cell r="A1394" t="str">
            <v>0011800697AB</v>
          </cell>
          <cell r="B1394" t="str">
            <v>室内电脑板-CEM-1室内电脑板70P平台24K室内电脑板</v>
          </cell>
          <cell r="C1394" t="str">
            <v>康美特/尚研//</v>
          </cell>
        </row>
        <row r="1395">
          <cell r="A1395" t="str">
            <v>0011800977J</v>
          </cell>
          <cell r="B1395" t="str">
            <v>室内电脑板-CEM-1/</v>
          </cell>
          <cell r="C1395" t="str">
            <v>和而泰</v>
          </cell>
        </row>
        <row r="1396">
          <cell r="A1396" t="str">
            <v>0011801048AA</v>
          </cell>
          <cell r="B1396" t="str">
            <v>变频外电脑板-FR-4/</v>
          </cell>
          <cell r="C1396" t="str">
            <v>和而泰</v>
          </cell>
        </row>
        <row r="1397">
          <cell r="A1397" t="str">
            <v>0011801048AB</v>
          </cell>
          <cell r="B1397" t="str">
            <v>变频外电脑板-FR-4/</v>
          </cell>
          <cell r="C1397" t="str">
            <v>和而泰</v>
          </cell>
        </row>
        <row r="1398">
          <cell r="A1398" t="str">
            <v>0011801424AZ</v>
          </cell>
          <cell r="B1398" t="str">
            <v>变频外电脑板-FR-4/</v>
          </cell>
          <cell r="C1398" t="str">
            <v>领智/和而泰//</v>
          </cell>
        </row>
        <row r="1399">
          <cell r="A1399" t="str">
            <v>0011801609D</v>
          </cell>
          <cell r="B1399" t="str">
            <v>变频外电脑板-FR-4379mm*230mm</v>
          </cell>
          <cell r="C1399" t="str">
            <v>斑科</v>
          </cell>
        </row>
        <row r="1400">
          <cell r="A1400" t="str">
            <v>0011801825</v>
          </cell>
          <cell r="B1400" t="str">
            <v>室内电脑板-CEM-1</v>
          </cell>
          <cell r="C1400" t="str">
            <v>领智/和而泰//</v>
          </cell>
        </row>
        <row r="1401">
          <cell r="A1401" t="str">
            <v>0011801071E</v>
          </cell>
          <cell r="B1401" t="str">
            <v>室内电脑板-CEM-1</v>
          </cell>
          <cell r="C1401" t="str">
            <v>鼎新/和而泰//</v>
          </cell>
        </row>
        <row r="1402">
          <cell r="A1402" t="str">
            <v>0011800776G</v>
          </cell>
          <cell r="B1402" t="str">
            <v>室内电脑板-CEM-1</v>
          </cell>
          <cell r="C1402" t="str">
            <v>航嘉</v>
          </cell>
        </row>
        <row r="1403">
          <cell r="A1403" t="str">
            <v>001A4200068C</v>
          </cell>
          <cell r="B1403" t="str">
            <v>无插电源线-/</v>
          </cell>
          <cell r="C1403" t="str">
            <v>华声</v>
          </cell>
        </row>
        <row r="1404">
          <cell r="A1404" t="str">
            <v>0010400841E</v>
          </cell>
          <cell r="B1404" t="str">
            <v>无插电源线-1mm2</v>
          </cell>
          <cell r="C1404" t="str">
            <v>华声</v>
          </cell>
        </row>
        <row r="1405">
          <cell r="A1405" t="str">
            <v>0010401715EN</v>
          </cell>
          <cell r="B1405" t="str">
            <v>遥控器-塑料</v>
          </cell>
          <cell r="C1405" t="str">
            <v>合晶</v>
          </cell>
        </row>
        <row r="1406">
          <cell r="A1406" t="str">
            <v>0010402914J</v>
          </cell>
          <cell r="B1406" t="str">
            <v>无插电源线-/GEDHAC1.5</v>
          </cell>
          <cell r="C1406" t="str">
            <v>华声</v>
          </cell>
        </row>
        <row r="1407">
          <cell r="A1407" t="str">
            <v>0010403358N</v>
          </cell>
          <cell r="B1407" t="str">
            <v>无插电源线-/</v>
          </cell>
          <cell r="C1407" t="str">
            <v>华声</v>
          </cell>
        </row>
        <row r="1408">
          <cell r="A1408" t="str">
            <v>0010406609M</v>
          </cell>
          <cell r="B1408" t="str">
            <v>遥控器-塑料</v>
          </cell>
          <cell r="C1408" t="str">
            <v>合晶</v>
          </cell>
        </row>
        <row r="1409">
          <cell r="A1409" t="str">
            <v>0010406931</v>
          </cell>
          <cell r="B1409" t="str">
            <v>无插电源线-/</v>
          </cell>
          <cell r="C1409" t="str">
            <v>华声</v>
          </cell>
        </row>
        <row r="1410">
          <cell r="A1410" t="str">
            <v>0011800923F</v>
          </cell>
          <cell r="B1410" t="str">
            <v>室内电脑板-CEM-1电脑板尺寸为105*208</v>
          </cell>
          <cell r="C1410" t="str">
            <v>和而泰</v>
          </cell>
        </row>
        <row r="1411">
          <cell r="A1411" t="str">
            <v>0011800923G</v>
          </cell>
          <cell r="B1411" t="str">
            <v>室内电脑板-CEM-1电脑板尺寸为105*208</v>
          </cell>
          <cell r="C1411" t="str">
            <v>和而泰</v>
          </cell>
        </row>
        <row r="1412">
          <cell r="A1412" t="str">
            <v>0011801118BL</v>
          </cell>
          <cell r="B1412" t="str">
            <v>变频外电脑板-FR-4240*180</v>
          </cell>
          <cell r="C1412" t="str">
            <v>尚研</v>
          </cell>
        </row>
        <row r="1413">
          <cell r="A1413" t="str">
            <v>0011801330H</v>
          </cell>
          <cell r="B1413" t="str">
            <v>室内电脑板-CEM-1</v>
          </cell>
          <cell r="C1413" t="str">
            <v>领智/和而泰//</v>
          </cell>
        </row>
        <row r="1414">
          <cell r="A1414" t="str">
            <v>0011801424AL</v>
          </cell>
          <cell r="B1414" t="str">
            <v>变频外电脑板-FR-4/</v>
          </cell>
          <cell r="C1414" t="str">
            <v>领智</v>
          </cell>
        </row>
        <row r="1416">
          <cell r="A1416" t="str">
            <v>0011801048AG</v>
          </cell>
          <cell r="B1416" t="str">
            <v>变频外电脑板-FR-4/</v>
          </cell>
          <cell r="C1416" t="str">
            <v>和而泰/中家智康//</v>
          </cell>
        </row>
        <row r="1417">
          <cell r="A1417" t="str">
            <v>0011801048AH</v>
          </cell>
          <cell r="B1417" t="str">
            <v>变频外电脑板-FR-4/</v>
          </cell>
          <cell r="C1417" t="str">
            <v>和而泰/中家智康//</v>
          </cell>
        </row>
        <row r="1418">
          <cell r="A1418" t="str">
            <v>0010406178Y</v>
          </cell>
          <cell r="B1418" t="str">
            <v>遥控器-塑料</v>
          </cell>
          <cell r="C1418" t="str">
            <v>思恩泰克/合晶//</v>
          </cell>
        </row>
        <row r="1419">
          <cell r="A1419" t="str">
            <v>0011801048AG</v>
          </cell>
          <cell r="B1419" t="str">
            <v>变频外电脑板-FR-4/</v>
          </cell>
          <cell r="C1419" t="str">
            <v>和而泰/中家智康//</v>
          </cell>
        </row>
        <row r="1420">
          <cell r="A1420" t="str">
            <v>0011801048AH</v>
          </cell>
          <cell r="B1420" t="str">
            <v>变频外电脑板-FR-4/</v>
          </cell>
          <cell r="C1420" t="str">
            <v>和而泰/中家智康//</v>
          </cell>
        </row>
        <row r="1421">
          <cell r="A1421" t="str">
            <v>0011801330G</v>
          </cell>
          <cell r="B1421" t="str">
            <v>室内电脑板-CEM-1</v>
          </cell>
          <cell r="C1421" t="str">
            <v>领智/和而泰//</v>
          </cell>
        </row>
        <row r="1422">
          <cell r="A1422" t="str">
            <v>0011801627A</v>
          </cell>
          <cell r="B1422" t="str">
            <v>电源智能检测板-FR-4</v>
          </cell>
          <cell r="C1422" t="str">
            <v>恒青</v>
          </cell>
        </row>
        <row r="1424">
          <cell r="A1424" t="str">
            <v>0011801172CT</v>
          </cell>
          <cell r="B1424" t="str">
            <v>变频外电脑板-FR-4240*180</v>
          </cell>
          <cell r="C1424" t="str">
            <v>和而泰/领智//</v>
          </cell>
        </row>
        <row r="1425">
          <cell r="A1425" t="str">
            <v>0011801172CU</v>
          </cell>
          <cell r="B1425" t="str">
            <v>变频外电脑板-FR-4240*180</v>
          </cell>
          <cell r="C1425" t="str">
            <v>和而泰/领智//</v>
          </cell>
        </row>
        <row r="1426">
          <cell r="A1426" t="str">
            <v>0011801256S</v>
          </cell>
          <cell r="B1426" t="str">
            <v>室内电脑板-CEM-1</v>
          </cell>
          <cell r="C1426" t="str">
            <v>和而泰</v>
          </cell>
        </row>
        <row r="1427">
          <cell r="A1427" t="str">
            <v>0010406476</v>
          </cell>
          <cell r="B1427" t="str">
            <v>室外线束组-/</v>
          </cell>
          <cell r="C1427" t="str">
            <v>珠城</v>
          </cell>
        </row>
        <row r="1428">
          <cell r="A1428" t="str">
            <v>0010406601C</v>
          </cell>
          <cell r="B1428" t="str">
            <v>接地线-/</v>
          </cell>
          <cell r="C1428" t="str">
            <v>相变</v>
          </cell>
        </row>
        <row r="1429">
          <cell r="A1429" t="str">
            <v>0011800967B</v>
          </cell>
          <cell r="B1429" t="str">
            <v>室内电脑板-FR-4/</v>
          </cell>
          <cell r="C1429" t="str">
            <v>领智</v>
          </cell>
        </row>
        <row r="1430">
          <cell r="A1430" t="str">
            <v>0011801424X</v>
          </cell>
          <cell r="B1430" t="str">
            <v>变频外电脑板-FR-4/</v>
          </cell>
          <cell r="C1430" t="str">
            <v>和而泰</v>
          </cell>
        </row>
        <row r="1431">
          <cell r="A1431" t="str">
            <v>0011801516</v>
          </cell>
          <cell r="B1431" t="str">
            <v>变频外电脑板-FR-4300mm*180mm</v>
          </cell>
          <cell r="C1431" t="str">
            <v>和而泰</v>
          </cell>
        </row>
        <row r="1432">
          <cell r="A1432" t="str">
            <v>0011801766D</v>
          </cell>
          <cell r="B1432" t="str">
            <v>变频外电脑板-FR-4</v>
          </cell>
          <cell r="C1432" t="str">
            <v>中家智康</v>
          </cell>
        </row>
        <row r="1434">
          <cell r="A1434" t="str">
            <v>0010401715KE</v>
          </cell>
          <cell r="B1434" t="str">
            <v>遥控器-塑料</v>
          </cell>
          <cell r="C1434" t="str">
            <v>合晶</v>
          </cell>
        </row>
        <row r="1435">
          <cell r="A1435" t="str">
            <v>0010401789Y</v>
          </cell>
          <cell r="B1435" t="str">
            <v>连机线-/</v>
          </cell>
          <cell r="C1435" t="str">
            <v>华声</v>
          </cell>
        </row>
        <row r="1436">
          <cell r="A1436" t="str">
            <v>0010402647Y</v>
          </cell>
          <cell r="B1436" t="str">
            <v>遥控器-塑料</v>
          </cell>
          <cell r="C1436" t="str">
            <v>合晶</v>
          </cell>
        </row>
        <row r="1437">
          <cell r="A1437" t="str">
            <v>0010406178C</v>
          </cell>
          <cell r="B1437" t="str">
            <v>遥控器-塑料</v>
          </cell>
          <cell r="C1437" t="str">
            <v>思恩泰克</v>
          </cell>
        </row>
        <row r="1438">
          <cell r="A1438" t="str">
            <v>0010406178U</v>
          </cell>
          <cell r="B1438" t="str">
            <v>遥控器-塑料</v>
          </cell>
          <cell r="C1438" t="str">
            <v>思恩泰克</v>
          </cell>
        </row>
        <row r="1439">
          <cell r="A1439" t="str">
            <v>0010406608</v>
          </cell>
          <cell r="B1439" t="str">
            <v>遥控器-塑料HJ遥控器</v>
          </cell>
          <cell r="C1439" t="str">
            <v>长虹</v>
          </cell>
        </row>
        <row r="1440">
          <cell r="A1440" t="str">
            <v>0010406608B</v>
          </cell>
          <cell r="B1440" t="str">
            <v>遥控器-塑料</v>
          </cell>
          <cell r="C1440" t="str">
            <v>长虹</v>
          </cell>
        </row>
        <row r="1441">
          <cell r="A1441" t="str">
            <v>0010406609U</v>
          </cell>
          <cell r="B1441" t="str">
            <v>遥控器-塑料</v>
          </cell>
          <cell r="C1441" t="str">
            <v>合晶</v>
          </cell>
        </row>
        <row r="1442">
          <cell r="A1442" t="str">
            <v>0011800537E</v>
          </cell>
          <cell r="B1442" t="str">
            <v>室内电脑板-CEM-1</v>
          </cell>
          <cell r="C1442" t="str">
            <v>领智/康美特//</v>
          </cell>
        </row>
        <row r="1443">
          <cell r="A1443" t="str">
            <v>0011800697Z</v>
          </cell>
          <cell r="B1443" t="str">
            <v>室内电脑板-CEM-1室内电脑板</v>
          </cell>
          <cell r="C1443" t="str">
            <v>尚研/康美特//</v>
          </cell>
        </row>
        <row r="1444">
          <cell r="A1444" t="str">
            <v>0011800722E</v>
          </cell>
          <cell r="B1444" t="str">
            <v>室内电脑板-CEM-1\</v>
          </cell>
          <cell r="C1444" t="str">
            <v>领智</v>
          </cell>
        </row>
        <row r="1445">
          <cell r="A1445" t="str">
            <v>0011800722F</v>
          </cell>
          <cell r="B1445" t="str">
            <v>室内电脑板-CEM-1\</v>
          </cell>
          <cell r="C1445" t="str">
            <v>领智</v>
          </cell>
        </row>
        <row r="1446">
          <cell r="A1446" t="str">
            <v>0011801119Q</v>
          </cell>
          <cell r="B1446" t="str">
            <v>变频外电脑板-FR-4215mm*157mm</v>
          </cell>
          <cell r="C1446" t="str">
            <v>和而泰/领智//</v>
          </cell>
        </row>
        <row r="1447">
          <cell r="A1447" t="str">
            <v>0011801172DB</v>
          </cell>
          <cell r="B1447" t="str">
            <v>变频外电脑板-FR-4240*180</v>
          </cell>
          <cell r="C1447" t="str">
            <v>中家智康/尚研//</v>
          </cell>
        </row>
        <row r="1448">
          <cell r="A1448" t="str">
            <v>0011801172DC</v>
          </cell>
          <cell r="B1448" t="str">
            <v>变频外电脑板-FR-4240*180</v>
          </cell>
          <cell r="C1448" t="str">
            <v>尚研</v>
          </cell>
        </row>
        <row r="1449">
          <cell r="A1449" t="str">
            <v>0011801330J</v>
          </cell>
          <cell r="B1449" t="str">
            <v>室内电脑板-CEM-1</v>
          </cell>
          <cell r="C1449" t="str">
            <v>领智/和而泰//</v>
          </cell>
        </row>
        <row r="1450">
          <cell r="A1450" t="str">
            <v>0011801424AV</v>
          </cell>
          <cell r="B1450" t="str">
            <v>变频外电脑板-FR-4</v>
          </cell>
          <cell r="C1450" t="str">
            <v>领智/和而泰//</v>
          </cell>
        </row>
        <row r="1451">
          <cell r="A1451" t="str">
            <v>0011801424AW</v>
          </cell>
          <cell r="B1451" t="str">
            <v>变频外电脑板-FR-4/</v>
          </cell>
          <cell r="C1451" t="str">
            <v>领智/和而泰//</v>
          </cell>
        </row>
        <row r="1452">
          <cell r="A1452" t="str">
            <v>0011801424AX</v>
          </cell>
          <cell r="B1452" t="str">
            <v>变频外电脑板-FR-4/</v>
          </cell>
          <cell r="C1452" t="str">
            <v>领智/和而泰//</v>
          </cell>
        </row>
        <row r="1453">
          <cell r="A1453" t="str">
            <v>0011801424BA</v>
          </cell>
          <cell r="B1453" t="str">
            <v>变频外电脑板-FR-4/</v>
          </cell>
          <cell r="C1453" t="str">
            <v>领智/和而泰//</v>
          </cell>
        </row>
        <row r="1454">
          <cell r="A1454" t="str">
            <v>0011801482</v>
          </cell>
          <cell r="B1454" t="str">
            <v>室内电脑板-CEM-1</v>
          </cell>
          <cell r="C1454" t="str">
            <v>领智/和而泰//</v>
          </cell>
        </row>
        <row r="1455">
          <cell r="A1455" t="str">
            <v>0011801766C</v>
          </cell>
          <cell r="B1455" t="str">
            <v>变频外电脑板-FR-4</v>
          </cell>
          <cell r="C1455" t="str">
            <v>中家智康</v>
          </cell>
        </row>
        <row r="1456">
          <cell r="A1456" t="str">
            <v>0010402057K</v>
          </cell>
          <cell r="B1456" t="str">
            <v>线束</v>
          </cell>
          <cell r="C1456" t="str">
            <v>得润/桦晟//</v>
          </cell>
        </row>
        <row r="1457">
          <cell r="A1457" t="str">
            <v>0011800997BR</v>
          </cell>
          <cell r="B1457" t="str">
            <v>变频外电脑板-FR-4230mm*157mm</v>
          </cell>
          <cell r="C1457" t="str">
            <v>领智/尚研//</v>
          </cell>
        </row>
        <row r="1458">
          <cell r="A1458" t="str">
            <v>0011801185L</v>
          </cell>
          <cell r="B1458" t="str">
            <v>变频外电脑板-/</v>
          </cell>
          <cell r="C1458" t="str">
            <v>儒竞</v>
          </cell>
        </row>
        <row r="1459">
          <cell r="A1459" t="str">
            <v>0010406178V</v>
          </cell>
          <cell r="B1459" t="str">
            <v>遥控器-塑料</v>
          </cell>
          <cell r="C1459" t="str">
            <v>思恩泰克</v>
          </cell>
        </row>
        <row r="1460">
          <cell r="A1460" t="str">
            <v>0011801118BH</v>
          </cell>
          <cell r="B1460" t="str">
            <v>变频外电脑板-FR-4240*180</v>
          </cell>
          <cell r="C1460" t="str">
            <v>尚研</v>
          </cell>
        </row>
        <row r="1461">
          <cell r="A1461" t="str">
            <v>0011801303</v>
          </cell>
          <cell r="B1461" t="str">
            <v>室内电脑板-FR-4</v>
          </cell>
          <cell r="C1461" t="str">
            <v>和而泰</v>
          </cell>
        </row>
        <row r="1462">
          <cell r="A1462" t="str">
            <v>0011801330C</v>
          </cell>
          <cell r="B1462" t="str">
            <v>室内电脑板-CEM-1</v>
          </cell>
          <cell r="C1462" t="str">
            <v>领智/和而泰//</v>
          </cell>
        </row>
        <row r="1463">
          <cell r="A1463" t="str">
            <v>0010406178K</v>
          </cell>
          <cell r="B1463" t="str">
            <v>遥控器-塑料</v>
          </cell>
          <cell r="C1463" t="str">
            <v>思恩泰克</v>
          </cell>
        </row>
        <row r="1464">
          <cell r="A1464" t="str">
            <v>0010406609W</v>
          </cell>
          <cell r="B1464" t="str">
            <v>遥控器-塑料</v>
          </cell>
          <cell r="C1464" t="str">
            <v>合晶</v>
          </cell>
        </row>
        <row r="1465">
          <cell r="A1465" t="str">
            <v>0011800697AA</v>
          </cell>
          <cell r="B1465" t="str">
            <v>室内电脑板-CEM-1室内电脑板50P平台18K室内电脑板</v>
          </cell>
          <cell r="C1465" t="str">
            <v>尚研/康美特//</v>
          </cell>
        </row>
        <row r="1466">
          <cell r="A1466" t="str">
            <v>0011801424AY</v>
          </cell>
          <cell r="B1466" t="str">
            <v>变频外电脑板-FR-4</v>
          </cell>
          <cell r="C1466" t="str">
            <v>领智/和而泰//</v>
          </cell>
        </row>
        <row r="1467">
          <cell r="A1467" t="str">
            <v>0011801118CR</v>
          </cell>
          <cell r="B1467" t="str">
            <v>变频外电脑板-FR-4</v>
          </cell>
          <cell r="C1467" t="str">
            <v>航嘉</v>
          </cell>
        </row>
        <row r="1468">
          <cell r="A1468" t="str">
            <v>0011800630AC</v>
          </cell>
          <cell r="B1468" t="str">
            <v>室内电脑板-CEM-1室内电脑板</v>
          </cell>
          <cell r="C1468" t="str">
            <v>领智</v>
          </cell>
        </row>
        <row r="1469">
          <cell r="A1469" t="str">
            <v>0010401715KC</v>
          </cell>
          <cell r="B1469" t="str">
            <v>遥控器-塑料</v>
          </cell>
          <cell r="C1469" t="str">
            <v>合晶</v>
          </cell>
        </row>
        <row r="1470">
          <cell r="A1470" t="str">
            <v>0010406784B</v>
          </cell>
          <cell r="B1470" t="str">
            <v>室外线束组-金属</v>
          </cell>
          <cell r="C1470" t="str">
            <v>金龙</v>
          </cell>
        </row>
        <row r="1471">
          <cell r="A1471" t="str">
            <v>0011800682AU</v>
          </cell>
          <cell r="B1471" t="str">
            <v>室内电脑板-CEM-1</v>
          </cell>
          <cell r="C1471" t="str">
            <v>领智/航嘉//</v>
          </cell>
        </row>
        <row r="1472">
          <cell r="A1472" t="str">
            <v>0011800697Y</v>
          </cell>
          <cell r="B1472" t="str">
            <v>室内电脑板-CEM-1室内电脑板35P平台09/12k室内电脑板</v>
          </cell>
          <cell r="C1472" t="str">
            <v>领智</v>
          </cell>
        </row>
        <row r="1473">
          <cell r="A1473" t="str">
            <v>0011800980P</v>
          </cell>
          <cell r="B1473" t="str">
            <v>室内电脑板-FR-4P平台内机板</v>
          </cell>
          <cell r="C1473" t="str">
            <v>尚研/领智//</v>
          </cell>
        </row>
        <row r="1474">
          <cell r="A1474" t="str">
            <v>0011800980M</v>
          </cell>
          <cell r="B1474" t="str">
            <v>室内电脑板-FR-4P平台内机板</v>
          </cell>
          <cell r="C1474" t="str">
            <v>尚研/领智//</v>
          </cell>
        </row>
        <row r="1475">
          <cell r="A1475" t="str">
            <v>0010404257C</v>
          </cell>
          <cell r="B1475" t="str">
            <v>单根线束-/</v>
          </cell>
          <cell r="C1475" t="str">
            <v>桦晟</v>
          </cell>
        </row>
        <row r="1476">
          <cell r="A1476" t="str">
            <v>0010406601B</v>
          </cell>
          <cell r="B1476" t="str">
            <v>接地线-/</v>
          </cell>
          <cell r="C1476" t="str">
            <v>珠城</v>
          </cell>
        </row>
        <row r="1477">
          <cell r="A1477" t="str">
            <v>0010406608P</v>
          </cell>
          <cell r="B1477" t="str">
            <v>遥控器-塑料</v>
          </cell>
          <cell r="C1477" t="str">
            <v>长虹</v>
          </cell>
        </row>
        <row r="1478">
          <cell r="A1478" t="str">
            <v>0011801039AC</v>
          </cell>
          <cell r="B1478" t="str">
            <v>变频外电脑板-FR-4/</v>
          </cell>
          <cell r="C1478" t="str">
            <v>中家智康</v>
          </cell>
        </row>
        <row r="1479">
          <cell r="A1479" t="str">
            <v>0010406608Q</v>
          </cell>
          <cell r="B1479" t="str">
            <v>遥控器-塑料</v>
          </cell>
          <cell r="C1479" t="str">
            <v>长虹</v>
          </cell>
        </row>
        <row r="1480">
          <cell r="A1480" t="str">
            <v>0010406608R</v>
          </cell>
          <cell r="B1480" t="str">
            <v>遥控器-塑料</v>
          </cell>
          <cell r="C1480" t="str">
            <v>长虹</v>
          </cell>
        </row>
        <row r="1481">
          <cell r="A1481" t="str">
            <v>0010406929B</v>
          </cell>
          <cell r="B1481" t="str">
            <v>信号线-/</v>
          </cell>
          <cell r="C1481" t="str">
            <v>珠城</v>
          </cell>
        </row>
        <row r="1482">
          <cell r="A1482" t="str">
            <v>0011800828G</v>
          </cell>
          <cell r="B1482" t="str">
            <v>室内电脑板-//</v>
          </cell>
          <cell r="C1482" t="str">
            <v>领智</v>
          </cell>
        </row>
        <row r="1483">
          <cell r="A1483" t="str">
            <v>0011800989C</v>
          </cell>
          <cell r="B1483" t="str">
            <v>显示板-FR-4</v>
          </cell>
          <cell r="C1483" t="str">
            <v>领智/国冶星//</v>
          </cell>
        </row>
        <row r="1484">
          <cell r="A1484" t="str">
            <v>0010400188A</v>
          </cell>
          <cell r="B1484" t="str">
            <v>带插头电源线-塑料以色列三圆插头电源线16A  250V</v>
          </cell>
          <cell r="C1484" t="str">
            <v>泓淋</v>
          </cell>
        </row>
        <row r="1485">
          <cell r="A1485" t="str">
            <v>0010401715KD</v>
          </cell>
          <cell r="B1485" t="str">
            <v>遥控器-塑料</v>
          </cell>
          <cell r="C1485" t="str">
            <v>合晶</v>
          </cell>
        </row>
        <row r="1486">
          <cell r="A1486" t="str">
            <v>0010406608Q</v>
          </cell>
          <cell r="B1486" t="str">
            <v>遥控器-塑料</v>
          </cell>
          <cell r="C1486" t="str">
            <v>长虹</v>
          </cell>
        </row>
        <row r="1487">
          <cell r="A1487" t="str">
            <v>0010406608R</v>
          </cell>
          <cell r="B1487" t="str">
            <v>遥控器-塑料</v>
          </cell>
          <cell r="C1487" t="str">
            <v>长虹</v>
          </cell>
        </row>
        <row r="1488">
          <cell r="A1488" t="str">
            <v>0011801039AB</v>
          </cell>
          <cell r="B1488" t="str">
            <v>变频外电脑板-FR-4/</v>
          </cell>
          <cell r="C1488" t="str">
            <v>中家智康</v>
          </cell>
        </row>
        <row r="1489">
          <cell r="A1489" t="str">
            <v>0011801172CA</v>
          </cell>
          <cell r="B1489" t="str">
            <v>变频外电脑板-FR-4</v>
          </cell>
          <cell r="C1489" t="str">
            <v>中家智康</v>
          </cell>
        </row>
        <row r="1491">
          <cell r="A1491" t="str">
            <v>0010401715YD</v>
          </cell>
          <cell r="B1491" t="str">
            <v>遥控器-塑料</v>
          </cell>
          <cell r="C1491" t="str">
            <v>合晶</v>
          </cell>
        </row>
        <row r="1492">
          <cell r="A1492" t="str">
            <v>0010402886BH</v>
          </cell>
          <cell r="B1492" t="str">
            <v>遥控器-/</v>
          </cell>
          <cell r="C1492" t="str">
            <v>长虹</v>
          </cell>
        </row>
        <row r="1493">
          <cell r="A1493" t="str">
            <v>0010406178AH</v>
          </cell>
          <cell r="B1493" t="str">
            <v>遥控器-塑料</v>
          </cell>
          <cell r="C1493" t="str">
            <v>思恩泰克</v>
          </cell>
        </row>
        <row r="1494">
          <cell r="A1494" t="str">
            <v>0010406875</v>
          </cell>
          <cell r="B1494" t="str">
            <v>端子排-/</v>
          </cell>
          <cell r="C1494" t="str">
            <v>凯都</v>
          </cell>
        </row>
        <row r="1495">
          <cell r="A1495" t="str">
            <v>0010406929</v>
          </cell>
          <cell r="B1495" t="str">
            <v>信号线-/</v>
          </cell>
          <cell r="C1495" t="str">
            <v>珠城</v>
          </cell>
        </row>
        <row r="1496">
          <cell r="A1496" t="str">
            <v>0010406929A</v>
          </cell>
          <cell r="B1496" t="str">
            <v>信号线-/</v>
          </cell>
          <cell r="C1496" t="str">
            <v>珠城</v>
          </cell>
        </row>
        <row r="1497">
          <cell r="A1497" t="str">
            <v>0010406932</v>
          </cell>
          <cell r="B1497" t="str">
            <v>端子排-/</v>
          </cell>
          <cell r="C1497" t="str">
            <v>华冠</v>
          </cell>
        </row>
        <row r="1498">
          <cell r="A1498" t="str">
            <v>0010406942</v>
          </cell>
          <cell r="B1498" t="str">
            <v>单根线束-/一体板压机线房车空调新开三芯线束（通用）</v>
          </cell>
          <cell r="C1498" t="str">
            <v>盛威尔</v>
          </cell>
        </row>
        <row r="1499">
          <cell r="A1499" t="str">
            <v>0011801039AP</v>
          </cell>
          <cell r="B1499" t="str">
            <v>变频外电脑板-FR-4/</v>
          </cell>
          <cell r="C1499" t="str">
            <v>尚研/中家智康//</v>
          </cell>
        </row>
        <row r="1500">
          <cell r="A1500" t="str">
            <v>0011801516C</v>
          </cell>
          <cell r="B1500" t="str">
            <v>变频外电脑板-FR-4</v>
          </cell>
          <cell r="C1500" t="str">
            <v>和而泰/领智//</v>
          </cell>
        </row>
        <row r="1501">
          <cell r="A1501" t="str">
            <v>0011801516D</v>
          </cell>
          <cell r="B1501" t="str">
            <v>变频外电脑板-FR-4</v>
          </cell>
          <cell r="C1501" t="str">
            <v>领智/和而泰//</v>
          </cell>
        </row>
        <row r="1502">
          <cell r="A1502" t="str">
            <v>0011801516E</v>
          </cell>
          <cell r="B1502" t="str">
            <v>变频外电脑板-FR-4</v>
          </cell>
          <cell r="C1502" t="str">
            <v>领智/和而泰//</v>
          </cell>
        </row>
        <row r="1503">
          <cell r="A1503" t="str">
            <v>0011801593</v>
          </cell>
          <cell r="B1503" t="str">
            <v>室内电脑板-FR-4136*165</v>
          </cell>
          <cell r="C1503" t="str">
            <v>和而泰</v>
          </cell>
        </row>
        <row r="1504">
          <cell r="A1504" t="str">
            <v>0011801593A</v>
          </cell>
          <cell r="B1504" t="str">
            <v>室内电脑板-FR-4</v>
          </cell>
          <cell r="C1504" t="str">
            <v>领智/和而泰//</v>
          </cell>
        </row>
        <row r="1505">
          <cell r="A1505" t="str">
            <v>0011801593C</v>
          </cell>
          <cell r="B1505" t="str">
            <v>室内电脑板-FR-4</v>
          </cell>
          <cell r="C1505" t="str">
            <v>领智/和而泰//</v>
          </cell>
        </row>
        <row r="1506">
          <cell r="A1506" t="str">
            <v>0011801593D</v>
          </cell>
          <cell r="B1506" t="str">
            <v>室内电脑板-FR-4</v>
          </cell>
          <cell r="C1506" t="str">
            <v>领智/和而泰//</v>
          </cell>
        </row>
        <row r="1507">
          <cell r="A1507" t="str">
            <v>0011801809</v>
          </cell>
          <cell r="B1507" t="str">
            <v>变频外电脑板-FR-4270mm*180mm</v>
          </cell>
          <cell r="C1507" t="str">
            <v>领智</v>
          </cell>
        </row>
        <row r="1509">
          <cell r="A1509" t="str">
            <v>0010403863J</v>
          </cell>
          <cell r="B1509" t="str">
            <v>端子排-/</v>
          </cell>
          <cell r="C1509" t="str">
            <v>华冠</v>
          </cell>
        </row>
        <row r="1510">
          <cell r="A1510" t="str">
            <v>0010406178X</v>
          </cell>
          <cell r="B1510" t="str">
            <v>遥控器</v>
          </cell>
          <cell r="C1510" t="str">
            <v>合晶</v>
          </cell>
        </row>
        <row r="1511">
          <cell r="A1511" t="str">
            <v>0011801185M</v>
          </cell>
          <cell r="B1511" t="str">
            <v>变频外电脑板-FR-4</v>
          </cell>
          <cell r="C1511" t="str">
            <v>麦格米特</v>
          </cell>
        </row>
        <row r="1512">
          <cell r="A1512" t="str">
            <v>0011801774</v>
          </cell>
          <cell r="B1512" t="str">
            <v>室内电脑板-CEM-3</v>
          </cell>
          <cell r="C1512" t="str">
            <v>领智/航嘉//</v>
          </cell>
        </row>
        <row r="1514">
          <cell r="A1514" t="str">
            <v>0010406063A</v>
          </cell>
          <cell r="B1514" t="str">
            <v>线束-塑料</v>
          </cell>
          <cell r="C1514" t="str">
            <v>得润</v>
          </cell>
        </row>
        <row r="1515">
          <cell r="A1515" t="str">
            <v>0011801039AE</v>
          </cell>
          <cell r="B1515" t="str">
            <v>变频外电脑板-FR-4/</v>
          </cell>
          <cell r="C1515" t="str">
            <v>中家智康</v>
          </cell>
        </row>
        <row r="1516">
          <cell r="A1516" t="str">
            <v>0011801048AJ</v>
          </cell>
          <cell r="B1516" t="str">
            <v>变频外电脑板-FR-4/</v>
          </cell>
          <cell r="C1516" t="str">
            <v>尚研/中家智康//</v>
          </cell>
        </row>
        <row r="1517">
          <cell r="A1517" t="str">
            <v>0011801048AK</v>
          </cell>
          <cell r="B1517" t="str">
            <v>变频外电脑板-FR-4/</v>
          </cell>
          <cell r="C1517" t="str">
            <v>尚研/中家智康//</v>
          </cell>
        </row>
        <row r="1519">
          <cell r="A1519" t="str">
            <v>0010400649J</v>
          </cell>
          <cell r="B1519" t="str">
            <v>端子排-/</v>
          </cell>
          <cell r="C1519" t="str">
            <v>源峰</v>
          </cell>
        </row>
        <row r="1520">
          <cell r="A1520" t="str">
            <v>0010402990H</v>
          </cell>
          <cell r="B1520" t="str">
            <v>连机线-1.5mm2</v>
          </cell>
          <cell r="C1520" t="str">
            <v>日丰</v>
          </cell>
        </row>
        <row r="1521">
          <cell r="A1521" t="str">
            <v>0010406912A</v>
          </cell>
          <cell r="B1521" t="str">
            <v>室外线束组-/</v>
          </cell>
          <cell r="C1521" t="str">
            <v>桦晟</v>
          </cell>
        </row>
        <row r="1522">
          <cell r="A1522" t="str">
            <v>0010406913</v>
          </cell>
          <cell r="B1522" t="str">
            <v>室外线束组-/2*22AWG</v>
          </cell>
          <cell r="C1522" t="str">
            <v>桦晟</v>
          </cell>
        </row>
        <row r="1524">
          <cell r="A1524" t="str">
            <v>0010406178AK</v>
          </cell>
          <cell r="B1524" t="str">
            <v>遥控器-塑料</v>
          </cell>
          <cell r="C1524" t="str">
            <v>长虹</v>
          </cell>
        </row>
        <row r="1526">
          <cell r="A1526" t="str">
            <v>0011800682AT</v>
          </cell>
          <cell r="B1526" t="str">
            <v>室内电脑板-CEM-1</v>
          </cell>
          <cell r="C1526" t="str">
            <v>航嘉</v>
          </cell>
        </row>
        <row r="1527">
          <cell r="A1527" t="str">
            <v>0011800682AT</v>
          </cell>
          <cell r="B1527" t="str">
            <v>室内电脑板-CEM-1</v>
          </cell>
          <cell r="C1527" t="str">
            <v>航嘉</v>
          </cell>
        </row>
        <row r="1528">
          <cell r="A1528" t="str">
            <v>0011800682AV</v>
          </cell>
          <cell r="B1528" t="str">
            <v>室内电脑板-CEM-1</v>
          </cell>
          <cell r="C1528" t="str">
            <v>领智/航嘉//</v>
          </cell>
        </row>
        <row r="1529">
          <cell r="A1529" t="str">
            <v>0011801843</v>
          </cell>
          <cell r="B1529" t="str">
            <v>变频外电脑板-FR-4</v>
          </cell>
          <cell r="C1529" t="str">
            <v>航嘉/领智//</v>
          </cell>
        </row>
        <row r="1531">
          <cell r="A1531" t="str">
            <v>0010401715HJ</v>
          </cell>
          <cell r="B1531" t="str">
            <v>遥控器-塑料</v>
          </cell>
          <cell r="C1531" t="str">
            <v>合晶</v>
          </cell>
        </row>
        <row r="1532">
          <cell r="A1532" t="str">
            <v>0010406178Z</v>
          </cell>
          <cell r="B1532" t="str">
            <v>遥控器-塑料</v>
          </cell>
          <cell r="C1532" t="str">
            <v>思恩泰克</v>
          </cell>
        </row>
        <row r="1533">
          <cell r="A1533" t="str">
            <v>0011801172FA</v>
          </cell>
          <cell r="B1533" t="str">
            <v>变频外电脑板-FR-4</v>
          </cell>
          <cell r="C1533" t="str">
            <v>领智/航嘉//</v>
          </cell>
        </row>
        <row r="1534">
          <cell r="A1534" t="str">
            <v>0011801330K</v>
          </cell>
          <cell r="B1534" t="str">
            <v>室内电脑板-CEM-1</v>
          </cell>
          <cell r="C1534" t="str">
            <v>航嘉/尚研//</v>
          </cell>
        </row>
        <row r="1535">
          <cell r="A1535" t="str">
            <v>0011801766F</v>
          </cell>
          <cell r="B1535" t="str">
            <v>变频外电脑板-FR-4</v>
          </cell>
          <cell r="C1535" t="str">
            <v>中家智康</v>
          </cell>
        </row>
        <row r="1537">
          <cell r="A1537" t="str">
            <v>0011801118CN</v>
          </cell>
          <cell r="B1537" t="str">
            <v>变频外电脑板-FR-4</v>
          </cell>
          <cell r="C1537" t="str">
            <v>航嘉</v>
          </cell>
        </row>
        <row r="1538">
          <cell r="A1538" t="str">
            <v>0011801172DA</v>
          </cell>
          <cell r="B1538" t="str">
            <v>变频外电脑板-FR-4</v>
          </cell>
          <cell r="C1538" t="str">
            <v>尚研/航嘉//</v>
          </cell>
        </row>
        <row r="1539">
          <cell r="A1539" t="str">
            <v>0011801678</v>
          </cell>
          <cell r="B1539" t="str">
            <v>变频外电脑板-FR-4/</v>
          </cell>
          <cell r="C1539" t="str">
            <v>中家智康</v>
          </cell>
        </row>
        <row r="1541">
          <cell r="A1541" t="str">
            <v>0010406178AJ</v>
          </cell>
          <cell r="B1541" t="str">
            <v>遥控器-塑料</v>
          </cell>
          <cell r="C1541" t="str">
            <v>思恩泰克</v>
          </cell>
        </row>
        <row r="1542">
          <cell r="A1542" t="str">
            <v>0011801490E</v>
          </cell>
          <cell r="B1542" t="str">
            <v>变频外电脑板-FR-4</v>
          </cell>
          <cell r="C1542" t="str">
            <v>领智/航嘉/和而泰/</v>
          </cell>
        </row>
        <row r="1544">
          <cell r="A1544" t="str">
            <v>0010406939</v>
          </cell>
          <cell r="B1544" t="str">
            <v>单根线束-/</v>
          </cell>
          <cell r="C1544" t="str">
            <v>珠城/桦晟//</v>
          </cell>
        </row>
        <row r="1545">
          <cell r="A1545" t="str">
            <v>0010406940</v>
          </cell>
          <cell r="B1545" t="str">
            <v>单根线束-/</v>
          </cell>
          <cell r="C1545" t="str">
            <v>珠城/桦晟//</v>
          </cell>
        </row>
        <row r="1546">
          <cell r="A1546" t="str">
            <v>0011801118CS</v>
          </cell>
          <cell r="B1546" t="str">
            <v>变频外电脑板-FR-4</v>
          </cell>
          <cell r="C1546" t="str">
            <v>航嘉/中家智康//</v>
          </cell>
        </row>
        <row r="1548">
          <cell r="A1548" t="str">
            <v>0011800359</v>
          </cell>
          <cell r="B1548" t="str">
            <v>柜机控制面板-CEM-1</v>
          </cell>
          <cell r="C1548" t="str">
            <v>鼎新</v>
          </cell>
        </row>
        <row r="1549">
          <cell r="A1549" t="str">
            <v>0011800283CM</v>
          </cell>
          <cell r="B1549" t="str">
            <v>室外电脑板-/日本GAC3.6K新开外机</v>
          </cell>
          <cell r="C1549" t="str">
            <v>领智</v>
          </cell>
        </row>
        <row r="1550">
          <cell r="A1550" t="str">
            <v>0011800350AW</v>
          </cell>
          <cell r="B1550" t="str">
            <v>室外电脑板-CEM-3</v>
          </cell>
          <cell r="C1550" t="str">
            <v>领智</v>
          </cell>
        </row>
        <row r="1551">
          <cell r="A1551" t="str">
            <v>0010406609X</v>
          </cell>
          <cell r="B1551" t="str">
            <v>遥控器-塑料</v>
          </cell>
          <cell r="C1551" t="str">
            <v>合晶</v>
          </cell>
        </row>
        <row r="1553">
          <cell r="A1553" t="str">
            <v>0011801330M</v>
          </cell>
          <cell r="B1553" t="str">
            <v>室内电脑板-CEM-1</v>
          </cell>
          <cell r="C1553" t="str">
            <v>航嘉/领智//</v>
          </cell>
        </row>
        <row r="1554">
          <cell r="A1554" t="str">
            <v>0011801330N</v>
          </cell>
          <cell r="B1554" t="str">
            <v>室内电脑板-CEM-1</v>
          </cell>
          <cell r="C1554" t="str">
            <v>航嘉/领智//</v>
          </cell>
        </row>
        <row r="1555">
          <cell r="A1555" t="str">
            <v>0011801424BG</v>
          </cell>
          <cell r="B1555" t="str">
            <v>变频外电脑板-FR-4</v>
          </cell>
          <cell r="C1555" t="str">
            <v>和而泰/领智//</v>
          </cell>
        </row>
        <row r="1557">
          <cell r="A1557" t="str">
            <v>0011801135E</v>
          </cell>
          <cell r="B1557" t="str">
            <v>物联通信模块-/</v>
          </cell>
          <cell r="C1557" t="str">
            <v>移远</v>
          </cell>
        </row>
        <row r="1558">
          <cell r="A1558" t="str">
            <v>0010404387G</v>
          </cell>
          <cell r="B1558" t="str">
            <v>单根线束-/一体板压机线束,线束成本有所下降</v>
          </cell>
          <cell r="C1558" t="str">
            <v>桦晟</v>
          </cell>
        </row>
        <row r="1559">
          <cell r="A1559" t="str">
            <v>0011801425AA</v>
          </cell>
          <cell r="B1559" t="str">
            <v>变频外电脑板-FR-4</v>
          </cell>
          <cell r="C1559" t="str">
            <v>和而泰/尚研//</v>
          </cell>
        </row>
        <row r="1561">
          <cell r="A1561" t="str">
            <v>0010402208D</v>
          </cell>
          <cell r="B1561" t="str">
            <v>端子排-/</v>
          </cell>
          <cell r="C1561" t="str">
            <v>源峰/华冠//</v>
          </cell>
        </row>
        <row r="1562">
          <cell r="A1562" t="str">
            <v>0011801766E</v>
          </cell>
          <cell r="B1562" t="str">
            <v>变频外电脑板-FR-4</v>
          </cell>
          <cell r="C1562" t="str">
            <v>中家智康</v>
          </cell>
        </row>
        <row r="1564">
          <cell r="A1564" t="str">
            <v>0010401715XY</v>
          </cell>
          <cell r="B1564" t="str">
            <v>遥控器-塑料</v>
          </cell>
          <cell r="C1564" t="str">
            <v>合晶</v>
          </cell>
        </row>
        <row r="1565">
          <cell r="A1565" t="str">
            <v>0011800977W</v>
          </cell>
          <cell r="B1565" t="str">
            <v>室内电脑板-CEM-1/</v>
          </cell>
          <cell r="C1565" t="str">
            <v>领智/麦格米特//</v>
          </cell>
        </row>
        <row r="1566">
          <cell r="A1566" t="str">
            <v>0011800977X</v>
          </cell>
          <cell r="B1566" t="str">
            <v>室内电脑板-CEM-1/</v>
          </cell>
          <cell r="C1566" t="str">
            <v>领智/麦格米特//</v>
          </cell>
        </row>
        <row r="1567">
          <cell r="A1567" t="str">
            <v>0011801425AF</v>
          </cell>
          <cell r="B1567" t="str">
            <v>变频外电脑板-FR-4</v>
          </cell>
          <cell r="C1567" t="str">
            <v>领智/麦格米特//</v>
          </cell>
        </row>
        <row r="1568">
          <cell r="A1568" t="str">
            <v>0011801425AG</v>
          </cell>
          <cell r="B1568" t="str">
            <v>变频外电脑板-FR-4</v>
          </cell>
          <cell r="C1568" t="str">
            <v>领智/麦格米特//</v>
          </cell>
        </row>
        <row r="1569">
          <cell r="A1569" t="str">
            <v>0011801490F</v>
          </cell>
          <cell r="B1569" t="str">
            <v>变频外电脑板-FR-4</v>
          </cell>
          <cell r="C1569" t="str">
            <v>领智/航嘉/和而泰/</v>
          </cell>
        </row>
        <row r="1571">
          <cell r="A1571" t="str">
            <v>0010401715JP</v>
          </cell>
          <cell r="B1571" t="str">
            <v>遥控器-塑料</v>
          </cell>
          <cell r="C1571" t="str">
            <v>合晶</v>
          </cell>
        </row>
        <row r="1572">
          <cell r="A1572" t="str">
            <v>0011801808</v>
          </cell>
          <cell r="B1572" t="str">
            <v>室内电脑板-FR-4136*165</v>
          </cell>
          <cell r="C1572" t="str">
            <v>领智</v>
          </cell>
        </row>
        <row r="1574">
          <cell r="A1574" t="str">
            <v>0010406936</v>
          </cell>
          <cell r="B1574" t="str">
            <v>连机线</v>
          </cell>
          <cell r="C1574" t="str">
            <v>华声</v>
          </cell>
        </row>
        <row r="1575">
          <cell r="A1575" t="str">
            <v>0010401996S</v>
          </cell>
          <cell r="B1575" t="str">
            <v>遥控器-塑料HG遥控器</v>
          </cell>
          <cell r="C1575" t="str">
            <v>长虹/合晶//</v>
          </cell>
        </row>
        <row r="1576">
          <cell r="A1576" t="str">
            <v>0010406609N</v>
          </cell>
          <cell r="B1576" t="str">
            <v>遥控器-塑料</v>
          </cell>
          <cell r="C1576" t="str">
            <v>合晶</v>
          </cell>
        </row>
        <row r="1577">
          <cell r="A1577" t="str">
            <v>0010406936</v>
          </cell>
          <cell r="B1577" t="str">
            <v>连机线</v>
          </cell>
          <cell r="C1577" t="str">
            <v>华声</v>
          </cell>
        </row>
        <row r="1578">
          <cell r="A1578" t="str">
            <v>0011801039AJ</v>
          </cell>
          <cell r="B1578" t="str">
            <v>变频外电脑板-FR-4/</v>
          </cell>
          <cell r="C1578" t="str">
            <v>中家智康/领智//</v>
          </cell>
        </row>
        <row r="1579">
          <cell r="A1579" t="str">
            <v>0011801826</v>
          </cell>
          <cell r="B1579" t="str">
            <v>室内电脑板-FR-4136*165</v>
          </cell>
          <cell r="C1579" t="str">
            <v>和而泰/领智//</v>
          </cell>
        </row>
        <row r="1581">
          <cell r="A1581" t="str">
            <v>0010406608Y</v>
          </cell>
          <cell r="B1581" t="str">
            <v>遥控器-塑料</v>
          </cell>
          <cell r="C1581" t="str">
            <v>长虹</v>
          </cell>
        </row>
        <row r="1583">
          <cell r="A1583" t="str">
            <v>0010406608AK</v>
          </cell>
          <cell r="B1583" t="str">
            <v>遥控器-塑料</v>
          </cell>
          <cell r="C1583" t="str">
            <v>长虹</v>
          </cell>
        </row>
        <row r="1584">
          <cell r="A1584" t="str">
            <v>0011801678A</v>
          </cell>
          <cell r="B1584" t="str">
            <v>变频外电脑板-FR-4/</v>
          </cell>
          <cell r="C1584" t="str">
            <v>中家智康</v>
          </cell>
        </row>
        <row r="1585">
          <cell r="A1585" t="str">
            <v>0011801678B</v>
          </cell>
          <cell r="B1585" t="str">
            <v>变频外电脑板-FR-4/</v>
          </cell>
          <cell r="C1585" t="str">
            <v>中家智康</v>
          </cell>
        </row>
        <row r="1586">
          <cell r="A1586" t="str">
            <v>0011801678C</v>
          </cell>
          <cell r="B1586" t="str">
            <v>变频外电脑板-FR-4/</v>
          </cell>
          <cell r="C1586" t="str">
            <v>中家智康</v>
          </cell>
        </row>
        <row r="1587">
          <cell r="A1587" t="str">
            <v>0011801678D</v>
          </cell>
          <cell r="B1587" t="str">
            <v>变频外电脑板-FR-4/</v>
          </cell>
          <cell r="C1587" t="str">
            <v>中家智康</v>
          </cell>
        </row>
        <row r="1588">
          <cell r="A1588" t="str">
            <v>0011801677A</v>
          </cell>
          <cell r="B1588" t="str">
            <v>室内电脑板-FR-4/</v>
          </cell>
          <cell r="C1588" t="str">
            <v>领智/尚研//</v>
          </cell>
        </row>
        <row r="1590">
          <cell r="A1590" t="str">
            <v>0010404198K</v>
          </cell>
          <cell r="B1590" t="str">
            <v>接地线-通用</v>
          </cell>
          <cell r="C1590" t="str">
            <v>珠城</v>
          </cell>
        </row>
        <row r="1591">
          <cell r="A1591" t="str">
            <v>0010406178AP</v>
          </cell>
          <cell r="B1591" t="str">
            <v>遥控器-塑料</v>
          </cell>
          <cell r="C1591" t="str">
            <v>合晶</v>
          </cell>
        </row>
        <row r="1592">
          <cell r="A1592" t="str">
            <v>0010407112</v>
          </cell>
          <cell r="B1592" t="str">
            <v>单根线束-2.0mm218#</v>
          </cell>
          <cell r="C1592" t="str">
            <v>珠城</v>
          </cell>
        </row>
        <row r="1593">
          <cell r="A1593" t="str">
            <v>0010407112A</v>
          </cell>
          <cell r="B1593" t="str">
            <v>单根线束-0.75mm2(24/0.20)18#</v>
          </cell>
          <cell r="C1593" t="str">
            <v>珠城/相变//</v>
          </cell>
        </row>
        <row r="1594">
          <cell r="A1594" t="str">
            <v>0010407112B</v>
          </cell>
          <cell r="B1594" t="str">
            <v>单根线束-0.75mm2(24/0.20)18#</v>
          </cell>
          <cell r="C1594" t="str">
            <v>珠城</v>
          </cell>
        </row>
        <row r="1595">
          <cell r="A1595" t="str">
            <v>0011044338</v>
          </cell>
          <cell r="B1595" t="str">
            <v>除菌模块-/UVC光触媒模块除菌率99%2h，除异味B级，有效寿命大于30000</v>
          </cell>
          <cell r="C1595" t="str">
            <v>光浦</v>
          </cell>
        </row>
        <row r="1597">
          <cell r="A1597" t="str">
            <v>0011801683</v>
          </cell>
          <cell r="B1597" t="str">
            <v>变频外电脑板-FR-4</v>
          </cell>
          <cell r="C1597" t="str">
            <v>领智</v>
          </cell>
        </row>
        <row r="1598">
          <cell r="A1598" t="str">
            <v>0011801717</v>
          </cell>
          <cell r="B1598" t="str">
            <v>变频外电脑板-FR-4</v>
          </cell>
          <cell r="C1598" t="str">
            <v>领智/航嘉//</v>
          </cell>
        </row>
        <row r="1599">
          <cell r="A1599" t="str">
            <v>0010406178AL</v>
          </cell>
          <cell r="B1599" t="str">
            <v>遥控器-塑料</v>
          </cell>
          <cell r="C1599" t="str">
            <v>合晶</v>
          </cell>
        </row>
        <row r="1601">
          <cell r="A1601" t="str">
            <v>0011801172DF</v>
          </cell>
          <cell r="B1601" t="str">
            <v>变频外电脑板-FR-4240*180</v>
          </cell>
          <cell r="C1601" t="str">
            <v>航嘉/领智//</v>
          </cell>
        </row>
        <row r="1602">
          <cell r="A1602" t="str">
            <v>0010406608Z</v>
          </cell>
          <cell r="B1602" t="str">
            <v>遥控器-塑料</v>
          </cell>
          <cell r="C1602" t="str">
            <v>长虹</v>
          </cell>
        </row>
        <row r="1603">
          <cell r="A1603" t="str">
            <v>0011801172CX</v>
          </cell>
          <cell r="B1603" t="str">
            <v>变频外电脑板-FR-4</v>
          </cell>
          <cell r="C1603" t="str">
            <v>尚研</v>
          </cell>
        </row>
        <row r="1604">
          <cell r="A1604" t="str">
            <v>0011801427B</v>
          </cell>
          <cell r="B1604" t="str">
            <v>变频外电脑板-FR-4/</v>
          </cell>
          <cell r="C1604" t="str">
            <v>中家智康</v>
          </cell>
        </row>
        <row r="1606">
          <cell r="A1606" t="str">
            <v>0010450184EB</v>
          </cell>
          <cell r="B1606" t="str">
            <v>端子排-/JXW-3-B30A端子排-3-3C-30A-</v>
          </cell>
          <cell r="C1606" t="str">
            <v>华冠</v>
          </cell>
        </row>
        <row r="1608">
          <cell r="A1608" t="str">
            <v>0010401858L</v>
          </cell>
          <cell r="B1608" t="str">
            <v>端子排-/</v>
          </cell>
          <cell r="C1608" t="str">
            <v>源峰/凯都//</v>
          </cell>
        </row>
        <row r="1609">
          <cell r="A1609" t="str">
            <v>0011801675</v>
          </cell>
          <cell r="B1609" t="str">
            <v>室内电脑板-FR-4165*136</v>
          </cell>
          <cell r="C1609" t="str">
            <v>领智</v>
          </cell>
        </row>
        <row r="1610">
          <cell r="A1610" t="str">
            <v>0011801675</v>
          </cell>
          <cell r="B1610" t="str">
            <v>室内电脑板-FR-4165*136</v>
          </cell>
          <cell r="C1610" t="str">
            <v>领智</v>
          </cell>
        </row>
        <row r="1612">
          <cell r="A1612" t="str">
            <v>0011800977AA</v>
          </cell>
          <cell r="B1612" t="str">
            <v>室内电脑板-FR-4</v>
          </cell>
          <cell r="C1612" t="str">
            <v>领智/和而泰//</v>
          </cell>
        </row>
        <row r="1613">
          <cell r="A1613" t="str">
            <v>0011801172FB</v>
          </cell>
          <cell r="B1613" t="str">
            <v>变频外电脑板-FR-4</v>
          </cell>
          <cell r="C1613" t="str">
            <v>中家智康/和而泰//</v>
          </cell>
        </row>
        <row r="1614">
          <cell r="A1614" t="str">
            <v>0011801172FD</v>
          </cell>
          <cell r="B1614" t="str">
            <v>变频外电脑板-FR-4</v>
          </cell>
          <cell r="C1614" t="str">
            <v>中家智康/和而泰//</v>
          </cell>
        </row>
        <row r="1615">
          <cell r="A1615" t="str">
            <v>0011801185N</v>
          </cell>
          <cell r="B1615" t="str">
            <v>变频外电脑板</v>
          </cell>
          <cell r="C1615" t="str">
            <v>麦格米特/儒竞//</v>
          </cell>
        </row>
        <row r="1616">
          <cell r="A1616" t="str">
            <v>0011801490N</v>
          </cell>
          <cell r="B1616" t="str">
            <v>变频外电脑板-FR-4</v>
          </cell>
          <cell r="C1616" t="str">
            <v>航嘉/领智//</v>
          </cell>
        </row>
        <row r="1618">
          <cell r="A1618" t="str">
            <v>0011801424BD</v>
          </cell>
          <cell r="B1618" t="str">
            <v>变频外电脑板-FR-4</v>
          </cell>
          <cell r="C1618" t="str">
            <v>中家智康/和而泰//</v>
          </cell>
        </row>
        <row r="1619">
          <cell r="A1619" t="str">
            <v>0010406608M</v>
          </cell>
          <cell r="B1619" t="str">
            <v>遥控器-塑料</v>
          </cell>
          <cell r="C1619" t="str">
            <v>长虹</v>
          </cell>
        </row>
        <row r="1620">
          <cell r="A1620" t="str">
            <v>0011800980G</v>
          </cell>
          <cell r="B1620" t="str">
            <v>室内电脑板-FR-4P平台内机板</v>
          </cell>
          <cell r="C1620" t="str">
            <v>尚研/领智//</v>
          </cell>
        </row>
        <row r="1621">
          <cell r="A1621" t="str">
            <v>0011801048AL</v>
          </cell>
          <cell r="B1621" t="str">
            <v>变频外电脑板-FR-4/</v>
          </cell>
          <cell r="C1621" t="str">
            <v>中家智康/领智//</v>
          </cell>
        </row>
        <row r="1623">
          <cell r="A1623" t="str">
            <v>0010406608AP</v>
          </cell>
          <cell r="B1623" t="str">
            <v>遥控器</v>
          </cell>
          <cell r="C1623" t="str">
            <v>长虹</v>
          </cell>
        </row>
        <row r="1624">
          <cell r="A1624" t="str">
            <v>0010407120A</v>
          </cell>
          <cell r="B1624" t="str">
            <v>单根线束</v>
          </cell>
          <cell r="C1624" t="str">
            <v>珠城</v>
          </cell>
        </row>
        <row r="1625">
          <cell r="A1625" t="str">
            <v>0011801330GCH</v>
          </cell>
          <cell r="B1625" t="str">
            <v>室内电脑板-CEM-1</v>
          </cell>
          <cell r="C1625" t="str">
            <v>领智/和而泰//</v>
          </cell>
        </row>
        <row r="1627">
          <cell r="A1627" t="str">
            <v>0010404045C</v>
          </cell>
          <cell r="B1627" t="str">
            <v>室外线束组</v>
          </cell>
          <cell r="C1627" t="str">
            <v>得润</v>
          </cell>
        </row>
        <row r="1628">
          <cell r="A1628" t="str">
            <v>0011801482A</v>
          </cell>
          <cell r="B1628" t="str">
            <v>室内电脑板-CEM-1</v>
          </cell>
          <cell r="C1628" t="str">
            <v>和而泰/领智//</v>
          </cell>
        </row>
        <row r="1629">
          <cell r="A1629" t="str">
            <v>0011801490AG</v>
          </cell>
          <cell r="B1629" t="str">
            <v>变频外电脑板-FR-4</v>
          </cell>
          <cell r="C1629" t="str">
            <v>航嘉/领智//</v>
          </cell>
        </row>
        <row r="1630">
          <cell r="A1630" t="str">
            <v>0011801490AH</v>
          </cell>
          <cell r="B1630" t="str">
            <v>变频外电脑板-FR-4</v>
          </cell>
          <cell r="C1630" t="str">
            <v>航嘉/领智//</v>
          </cell>
        </row>
        <row r="1632">
          <cell r="A1632" t="str">
            <v>0010406608X</v>
          </cell>
          <cell r="B1632" t="str">
            <v>遥控器-塑料</v>
          </cell>
          <cell r="C1632" t="str">
            <v>长虹</v>
          </cell>
        </row>
        <row r="1633">
          <cell r="A1633" t="str">
            <v>0011801424BK</v>
          </cell>
          <cell r="B1633" t="str">
            <v>变频外电脑板-FR-4/</v>
          </cell>
          <cell r="C1633" t="str">
            <v>领智/尚研//</v>
          </cell>
        </row>
        <row r="1634">
          <cell r="A1634" t="str">
            <v>0011801424BL</v>
          </cell>
          <cell r="B1634" t="str">
            <v>变频外电脑板-FR-4/</v>
          </cell>
          <cell r="C1634" t="str">
            <v>领智/尚研//</v>
          </cell>
        </row>
        <row r="1635">
          <cell r="A1635" t="str">
            <v>0011801675B</v>
          </cell>
          <cell r="B1635" t="str">
            <v>室内电脑板-CEM-1155*136</v>
          </cell>
          <cell r="C1635" t="str">
            <v>和而泰/领智//</v>
          </cell>
        </row>
        <row r="1636">
          <cell r="A1636" t="str">
            <v>0010406608AQ</v>
          </cell>
          <cell r="B1636" t="str">
            <v>遥控器</v>
          </cell>
          <cell r="C1636" t="str">
            <v>长虹</v>
          </cell>
        </row>
        <row r="1638">
          <cell r="A1638" t="str">
            <v>0010401996W</v>
          </cell>
          <cell r="B1638" t="str">
            <v>遥控器-塑料</v>
          </cell>
          <cell r="C1638" t="str">
            <v>长虹</v>
          </cell>
        </row>
        <row r="1639">
          <cell r="A1639" t="str">
            <v>0010402992F</v>
          </cell>
          <cell r="B1639" t="str">
            <v>单根线束-长度420mm,全包USB头-XA插件</v>
          </cell>
          <cell r="C1639" t="str">
            <v>得润</v>
          </cell>
        </row>
        <row r="1640">
          <cell r="A1640" t="str">
            <v>0011801678E</v>
          </cell>
          <cell r="B1640" t="str">
            <v>变频外电脑板-FR-4/</v>
          </cell>
          <cell r="C1640" t="str">
            <v>中家智康</v>
          </cell>
        </row>
        <row r="1641">
          <cell r="A1641" t="str">
            <v>0011801678Q</v>
          </cell>
          <cell r="B1641" t="str">
            <v>变频外电脑板-FR-4/</v>
          </cell>
          <cell r="C1641" t="str">
            <v>中家智康</v>
          </cell>
        </row>
        <row r="1642">
          <cell r="A1642" t="str">
            <v>0011801678R</v>
          </cell>
          <cell r="B1642" t="str">
            <v>变频外电脑板-FR-4/</v>
          </cell>
          <cell r="C1642" t="str">
            <v>中家智康</v>
          </cell>
        </row>
        <row r="1643">
          <cell r="A1643" t="str">
            <v>0011801890</v>
          </cell>
          <cell r="B1643" t="str">
            <v>室内电脑板-CEM-1</v>
          </cell>
          <cell r="C1643" t="str">
            <v>和而泰/领智//</v>
          </cell>
        </row>
        <row r="1645">
          <cell r="A1645" t="str">
            <v>0011801185P</v>
          </cell>
          <cell r="B1645" t="str">
            <v>变频外电脑板</v>
          </cell>
          <cell r="C1645" t="str">
            <v>儒竞</v>
          </cell>
        </row>
        <row r="1646">
          <cell r="A1646" t="str">
            <v>0011801766A</v>
          </cell>
          <cell r="B1646" t="str">
            <v>变频外电脑板-FR-4</v>
          </cell>
          <cell r="C1646" t="str">
            <v>中家智康</v>
          </cell>
        </row>
        <row r="1647">
          <cell r="A1647" t="str">
            <v>0011801926</v>
          </cell>
          <cell r="B1647" t="str">
            <v>显示板-LED</v>
          </cell>
          <cell r="C1647" t="str">
            <v>领智</v>
          </cell>
        </row>
        <row r="1649">
          <cell r="A1649" t="str">
            <v>0010402886AC</v>
          </cell>
          <cell r="B1649" t="str">
            <v>遥控器-塑料</v>
          </cell>
          <cell r="C1649" t="str">
            <v>长虹</v>
          </cell>
        </row>
        <row r="1650">
          <cell r="A1650" t="str">
            <v>0010405958F</v>
          </cell>
          <cell r="B1650" t="str">
            <v>单根线束</v>
          </cell>
          <cell r="C1650" t="str">
            <v>珠城</v>
          </cell>
        </row>
        <row r="1651">
          <cell r="A1651" t="str">
            <v>0010405958G</v>
          </cell>
          <cell r="B1651" t="str">
            <v>单根线束</v>
          </cell>
          <cell r="C1651" t="str">
            <v>得润</v>
          </cell>
        </row>
        <row r="1652">
          <cell r="A1652" t="str">
            <v>0010406069</v>
          </cell>
          <cell r="B1652" t="str">
            <v>线束-//</v>
          </cell>
          <cell r="C1652" t="str">
            <v>得润</v>
          </cell>
        </row>
        <row r="1653">
          <cell r="A1653" t="str">
            <v>0010406178AT</v>
          </cell>
          <cell r="B1653" t="str">
            <v>遥控器</v>
          </cell>
          <cell r="C1653" t="str">
            <v>长虹/思恩泰克</v>
          </cell>
        </row>
        <row r="1654">
          <cell r="A1654" t="str">
            <v>0010406608AH</v>
          </cell>
          <cell r="B1654" t="str">
            <v>遥控器</v>
          </cell>
          <cell r="C1654" t="str">
            <v>长虹</v>
          </cell>
        </row>
        <row r="1655">
          <cell r="A1655" t="str">
            <v>0010406609Z</v>
          </cell>
          <cell r="B1655" t="str">
            <v>遥控器</v>
          </cell>
          <cell r="C1655" t="str">
            <v>合晶</v>
          </cell>
        </row>
        <row r="1656">
          <cell r="A1656" t="str">
            <v>0011800571TB</v>
          </cell>
          <cell r="B1656" t="str">
            <v>语音模块</v>
          </cell>
          <cell r="C1656" t="str">
            <v>海尔科技</v>
          </cell>
        </row>
        <row r="1657">
          <cell r="A1657" t="str">
            <v>0011800697AC</v>
          </cell>
          <cell r="B1657" t="str">
            <v>室内电脑板-CEM-1</v>
          </cell>
          <cell r="C1657" t="str">
            <v>领智/和而泰//</v>
          </cell>
        </row>
        <row r="1658">
          <cell r="A1658" t="str">
            <v>0011801248F</v>
          </cell>
          <cell r="B1658" t="str">
            <v>喇叭-/</v>
          </cell>
          <cell r="C1658" t="str">
            <v>昊翔/全方</v>
          </cell>
        </row>
        <row r="1659">
          <cell r="A1659" t="str">
            <v>0011801330L</v>
          </cell>
          <cell r="B1659" t="str">
            <v>室内电脑板-CEM-1/</v>
          </cell>
          <cell r="C1659" t="str">
            <v>领智</v>
          </cell>
        </row>
        <row r="1660">
          <cell r="A1660" t="str">
            <v>0011801675D</v>
          </cell>
          <cell r="B1660" t="str">
            <v>室内电脑板-CEM-1165*136</v>
          </cell>
          <cell r="C1660" t="str">
            <v>领智</v>
          </cell>
        </row>
        <row r="1661">
          <cell r="A1661" t="str">
            <v>0011801675E</v>
          </cell>
          <cell r="B1661" t="str">
            <v>室内电脑板-CEM-1165*136</v>
          </cell>
          <cell r="C1661" t="str">
            <v>领智</v>
          </cell>
        </row>
        <row r="1662">
          <cell r="A1662" t="str">
            <v>0011801678K</v>
          </cell>
          <cell r="B1662" t="str">
            <v>变频外电脑板-FR-4/</v>
          </cell>
          <cell r="C1662" t="str">
            <v>中家智康</v>
          </cell>
        </row>
        <row r="1663">
          <cell r="A1663" t="str">
            <v>0011801678L</v>
          </cell>
          <cell r="B1663" t="str">
            <v>变频外电脑板-FR-4/</v>
          </cell>
          <cell r="C1663" t="str">
            <v>中家智康</v>
          </cell>
        </row>
        <row r="1664">
          <cell r="A1664" t="str">
            <v>0011801678P</v>
          </cell>
          <cell r="B1664" t="str">
            <v>变频外电脑板-FR-4/</v>
          </cell>
          <cell r="C1664" t="str">
            <v>中家智康</v>
          </cell>
        </row>
        <row r="1666">
          <cell r="A1666" t="str">
            <v>0010405967F</v>
          </cell>
          <cell r="B1666" t="str">
            <v>遥控器</v>
          </cell>
          <cell r="C1666" t="str">
            <v>长虹</v>
          </cell>
        </row>
        <row r="1667">
          <cell r="A1667" t="str">
            <v>0010406178AW</v>
          </cell>
          <cell r="B1667" t="str">
            <v>遥控器-塑料</v>
          </cell>
          <cell r="C1667" t="str">
            <v>思恩泰克</v>
          </cell>
        </row>
        <row r="1668">
          <cell r="A1668" t="str">
            <v>0010406608AX</v>
          </cell>
          <cell r="B1668" t="str">
            <v>遥控器</v>
          </cell>
          <cell r="C1668" t="str">
            <v>长虹</v>
          </cell>
        </row>
        <row r="1669">
          <cell r="A1669" t="str">
            <v>0011800281L</v>
          </cell>
          <cell r="B1669" t="str">
            <v>室内电脑板-/</v>
          </cell>
          <cell r="C1669" t="str">
            <v>领智</v>
          </cell>
        </row>
        <row r="1670">
          <cell r="A1670" t="str">
            <v>0011800292AT</v>
          </cell>
          <cell r="B1670" t="str">
            <v>Wi-Fi模块-FR-4</v>
          </cell>
          <cell r="C1670" t="str">
            <v>富联</v>
          </cell>
        </row>
        <row r="1671">
          <cell r="A1671" t="str">
            <v>0011800345BL</v>
          </cell>
          <cell r="B1671" t="str">
            <v>室外电脑板-CEM-3</v>
          </cell>
          <cell r="C1671" t="str">
            <v>领智</v>
          </cell>
        </row>
        <row r="1672">
          <cell r="A1672" t="str">
            <v>0011800613E</v>
          </cell>
          <cell r="B1672" t="str">
            <v>室内电脑板-CEM-1</v>
          </cell>
          <cell r="C1672" t="str">
            <v>领智</v>
          </cell>
        </row>
        <row r="1673">
          <cell r="A1673" t="str">
            <v>0011801678N</v>
          </cell>
          <cell r="B1673" t="str">
            <v>变频外电脑板-FR-4/</v>
          </cell>
          <cell r="C1673" t="str">
            <v>中家智康</v>
          </cell>
        </row>
        <row r="1675">
          <cell r="A1675" t="str">
            <v>0011800571TD</v>
          </cell>
          <cell r="B1675" t="str">
            <v>语音模块</v>
          </cell>
          <cell r="C1675" t="str">
            <v>海尔科技</v>
          </cell>
        </row>
        <row r="1676">
          <cell r="A1676" t="str">
            <v>0011801762</v>
          </cell>
          <cell r="B1676" t="str">
            <v>语音模块-/</v>
          </cell>
          <cell r="C1676" t="str">
            <v>爱联</v>
          </cell>
        </row>
        <row r="1677">
          <cell r="A1677" t="str">
            <v>0010406178AS</v>
          </cell>
          <cell r="B1677" t="str">
            <v>遥控器</v>
          </cell>
          <cell r="C1677" t="str">
            <v>合晶</v>
          </cell>
        </row>
        <row r="1679">
          <cell r="A1679" t="str">
            <v>0011801876C</v>
          </cell>
          <cell r="B1679" t="str">
            <v>电脑板</v>
          </cell>
          <cell r="C1679" t="str">
            <v>中家智康</v>
          </cell>
        </row>
        <row r="1680">
          <cell r="A1680" t="str">
            <v>0011801876B</v>
          </cell>
          <cell r="B1680" t="str">
            <v>电脑板</v>
          </cell>
          <cell r="C1680" t="str">
            <v>中家智康</v>
          </cell>
        </row>
        <row r="1681">
          <cell r="A1681" t="str">
            <v>0011801876C</v>
          </cell>
          <cell r="B1681" t="str">
            <v>电脑板</v>
          </cell>
          <cell r="C1681" t="str">
            <v>中家智康</v>
          </cell>
        </row>
        <row r="1682">
          <cell r="A1682" t="str">
            <v>0011801675A</v>
          </cell>
          <cell r="B1682" t="str">
            <v>室内电脑板-CEM-1165*136</v>
          </cell>
          <cell r="C1682" t="str">
            <v>领智/和而泰//</v>
          </cell>
        </row>
        <row r="1683">
          <cell r="A1683" t="str">
            <v>0011801675A</v>
          </cell>
          <cell r="B1683" t="str">
            <v>室内电脑板-CEM-1165*136</v>
          </cell>
          <cell r="C1683" t="str">
            <v>领智/和而泰//</v>
          </cell>
        </row>
        <row r="1684">
          <cell r="A1684" t="str">
            <v>0011801675C</v>
          </cell>
          <cell r="B1684" t="str">
            <v>室内电脑板-CEM-1165*136</v>
          </cell>
          <cell r="C1684" t="str">
            <v>领智/和而泰//</v>
          </cell>
        </row>
        <row r="1685">
          <cell r="A1685" t="str">
            <v>0011801876</v>
          </cell>
          <cell r="B1685" t="str">
            <v>变频外电脑板-FR-4/</v>
          </cell>
          <cell r="C1685" t="str">
            <v>中家智康</v>
          </cell>
        </row>
        <row r="1687">
          <cell r="A1687" t="str">
            <v>0011800571TE</v>
          </cell>
          <cell r="B1687" t="str">
            <v>语音模块</v>
          </cell>
          <cell r="C1687" t="str">
            <v>海尔科技</v>
          </cell>
        </row>
        <row r="1688">
          <cell r="A1688" t="str">
            <v>0011801118CT</v>
          </cell>
          <cell r="B1688" t="str">
            <v>变频外电脑板-FR-4</v>
          </cell>
          <cell r="C1688" t="str">
            <v>领智/中家智康//</v>
          </cell>
        </row>
        <row r="1690">
          <cell r="A1690" t="str">
            <v>0010402886Q</v>
          </cell>
          <cell r="B1690" t="str">
            <v>遥控器-塑料---</v>
          </cell>
          <cell r="C1690" t="str">
            <v>长虹</v>
          </cell>
        </row>
        <row r="1691">
          <cell r="A1691" t="str">
            <v>0010407323</v>
          </cell>
          <cell r="B1691" t="str">
            <v>单根线束</v>
          </cell>
          <cell r="C1691" t="str">
            <v>相变</v>
          </cell>
        </row>
        <row r="1692">
          <cell r="A1692" t="str">
            <v>0011800571TC</v>
          </cell>
          <cell r="B1692" t="str">
            <v>语音模块</v>
          </cell>
          <cell r="C1692" t="str">
            <v>海尔科技</v>
          </cell>
        </row>
        <row r="1693">
          <cell r="A1693" t="str">
            <v>0011801977</v>
          </cell>
          <cell r="B1693" t="str">
            <v>室内电脑板-CEM-1</v>
          </cell>
          <cell r="C1693" t="str">
            <v>领智/康美特</v>
          </cell>
        </row>
        <row r="1695">
          <cell r="A1695" t="str">
            <v>0011800722H</v>
          </cell>
          <cell r="B1695" t="str">
            <v>室内电脑板-CEM-1\</v>
          </cell>
          <cell r="C1695" t="str">
            <v>领智/康美特</v>
          </cell>
        </row>
        <row r="1696">
          <cell r="A1696" t="str">
            <v>0011800722J</v>
          </cell>
          <cell r="B1696" t="str">
            <v>室内电脑板-CEM-1\</v>
          </cell>
          <cell r="C1696" t="str">
            <v>领智/康美特</v>
          </cell>
        </row>
        <row r="1697">
          <cell r="A1697" t="str">
            <v>0011801490AN</v>
          </cell>
          <cell r="B1697" t="str">
            <v>变频外电脑板-FR-4</v>
          </cell>
          <cell r="C1697" t="str">
            <v>领智/尚研</v>
          </cell>
        </row>
        <row r="1698">
          <cell r="A1698" t="str">
            <v>0011801843D</v>
          </cell>
          <cell r="B1698" t="str">
            <v>变频外电脑板-FR-4</v>
          </cell>
          <cell r="C1698" t="str">
            <v>领智/和而泰//</v>
          </cell>
        </row>
        <row r="1699">
          <cell r="A1699" t="str">
            <v>0010402886Q</v>
          </cell>
          <cell r="B1699" t="str">
            <v>遥控器-塑料---</v>
          </cell>
          <cell r="C1699" t="str">
            <v>长虹</v>
          </cell>
        </row>
        <row r="1700">
          <cell r="A1700" t="str">
            <v>0010406608AY</v>
          </cell>
          <cell r="B1700" t="str">
            <v>遥控器</v>
          </cell>
          <cell r="C1700" t="str">
            <v>长虹</v>
          </cell>
        </row>
        <row r="1701">
          <cell r="A1701" t="str">
            <v>0011800613W</v>
          </cell>
          <cell r="B1701" t="str">
            <v>室内电脑板-CEM-1</v>
          </cell>
          <cell r="C1701" t="str">
            <v>领智/航嘉</v>
          </cell>
        </row>
        <row r="1702">
          <cell r="A1702" t="str">
            <v>0011800613X</v>
          </cell>
          <cell r="B1702" t="str">
            <v>室内电脑板-CEM-1</v>
          </cell>
          <cell r="C1702" t="str">
            <v>领智/航嘉</v>
          </cell>
        </row>
        <row r="1703">
          <cell r="A1703" t="str">
            <v>0011800613Y</v>
          </cell>
          <cell r="B1703" t="str">
            <v>室内电脑板-CEM-1</v>
          </cell>
          <cell r="C1703" t="str">
            <v>领智/航嘉</v>
          </cell>
        </row>
        <row r="1705">
          <cell r="A1705" t="str">
            <v>0011801675G</v>
          </cell>
          <cell r="B1705" t="str">
            <v>室内电脑板-FR-4165*136</v>
          </cell>
          <cell r="C1705" t="str">
            <v>领智/和而泰//</v>
          </cell>
        </row>
        <row r="1706">
          <cell r="A1706" t="str">
            <v>0011801675H</v>
          </cell>
          <cell r="B1706" t="str">
            <v>室内电脑板-FR-4162mm*130mm</v>
          </cell>
          <cell r="C1706" t="str">
            <v>领智/和而泰//</v>
          </cell>
        </row>
        <row r="1707">
          <cell r="A1707" t="str">
            <v>0011801678T</v>
          </cell>
          <cell r="B1707" t="str">
            <v>变频外电脑板-FR-4/</v>
          </cell>
          <cell r="C1707" t="str">
            <v>中家智康</v>
          </cell>
        </row>
        <row r="1708">
          <cell r="A1708" t="str">
            <v>0011801876D</v>
          </cell>
          <cell r="B1708" t="str">
            <v>变频外电脑板-FR-4240mm*180mm</v>
          </cell>
          <cell r="C1708" t="str">
            <v>中家智康</v>
          </cell>
        </row>
        <row r="1710">
          <cell r="A1710" t="str">
            <v>0010405121B</v>
          </cell>
          <cell r="B1710" t="str">
            <v>单根线束</v>
          </cell>
          <cell r="C1710" t="str">
            <v>桦晟</v>
          </cell>
        </row>
        <row r="1711">
          <cell r="A1711" t="str">
            <v>0010406939A</v>
          </cell>
          <cell r="B1711" t="str">
            <v>单根线束</v>
          </cell>
          <cell r="C1711" t="str">
            <v>桦晟</v>
          </cell>
        </row>
        <row r="1712">
          <cell r="A1712" t="str">
            <v>0011801678F</v>
          </cell>
          <cell r="B1712" t="str">
            <v>变频外电脑板-FR-4/</v>
          </cell>
          <cell r="C1712" t="str">
            <v>中家智康</v>
          </cell>
        </row>
        <row r="1713">
          <cell r="A1713" t="str">
            <v>0010402886Q</v>
          </cell>
          <cell r="B1713" t="str">
            <v>遥控器-塑料---</v>
          </cell>
          <cell r="C1713" t="str">
            <v>长虹</v>
          </cell>
        </row>
        <row r="1714">
          <cell r="A1714" t="str">
            <v>0011800292AX</v>
          </cell>
          <cell r="B1714" t="str">
            <v>Wi-Fi模块-FR-4</v>
          </cell>
          <cell r="C1714" t="str">
            <v>富联</v>
          </cell>
        </row>
        <row r="1715">
          <cell r="A1715" t="str">
            <v>0010402886Q</v>
          </cell>
          <cell r="B1715" t="str">
            <v>遥控器-塑料---</v>
          </cell>
          <cell r="C1715" t="str">
            <v>长虹</v>
          </cell>
        </row>
        <row r="1717">
          <cell r="A1717" t="str">
            <v>0011800997CC</v>
          </cell>
          <cell r="B1717" t="str">
            <v>变频外电脑板-FR-4</v>
          </cell>
          <cell r="C1717" t="str">
            <v>航嘉/尚研//领智//</v>
          </cell>
        </row>
        <row r="1718">
          <cell r="A1718" t="str">
            <v>0010406609AC</v>
          </cell>
          <cell r="B1718" t="str">
            <v>遥控器-塑料</v>
          </cell>
          <cell r="C1718" t="str">
            <v>合晶</v>
          </cell>
        </row>
        <row r="1719">
          <cell r="A1719" t="str">
            <v>0011801490M</v>
          </cell>
          <cell r="B1719" t="str">
            <v>变频外电脑板-FR-4</v>
          </cell>
          <cell r="C1719" t="str">
            <v>领智/尚研</v>
          </cell>
        </row>
        <row r="1720">
          <cell r="A1720" t="str">
            <v>0011801678AB</v>
          </cell>
          <cell r="B1720" t="str">
            <v>变频外电脑板-FR-4</v>
          </cell>
          <cell r="C1720" t="str">
            <v>中家智康</v>
          </cell>
        </row>
        <row r="1722">
          <cell r="A1722" t="str">
            <v>0011800828H</v>
          </cell>
          <cell r="B1722" t="str">
            <v>室内电脑板-/</v>
          </cell>
          <cell r="C1722" t="str">
            <v>麦格米特/领智//</v>
          </cell>
        </row>
        <row r="1723">
          <cell r="A1723" t="str">
            <v>0010406178AC</v>
          </cell>
          <cell r="B1723" t="str">
            <v>遥控器-塑料</v>
          </cell>
          <cell r="C1723" t="str">
            <v>合晶</v>
          </cell>
        </row>
        <row r="1724">
          <cell r="A1724" t="str">
            <v>0010407321</v>
          </cell>
          <cell r="B1724" t="str">
            <v>单根线束</v>
          </cell>
          <cell r="C1724" t="str">
            <v>珠城</v>
          </cell>
        </row>
        <row r="1725">
          <cell r="A1725" t="str">
            <v>0011801427E</v>
          </cell>
          <cell r="B1725" t="str">
            <v>变频外电脑板-FR-4/</v>
          </cell>
          <cell r="C1725" t="str">
            <v>中家智康</v>
          </cell>
        </row>
        <row r="1726">
          <cell r="A1726" t="str">
            <v>0011801427F</v>
          </cell>
          <cell r="B1726" t="str">
            <v>变频外电脑板-FR-4</v>
          </cell>
          <cell r="C1726" t="str">
            <v>中家智康</v>
          </cell>
        </row>
        <row r="1728">
          <cell r="A1728" t="str">
            <v>0010400750A</v>
          </cell>
          <cell r="B1728" t="str">
            <v>连机线-0.75mm2（24/0.20）VDE标准3*0.75mm</v>
          </cell>
          <cell r="C1728" t="str">
            <v>华声</v>
          </cell>
        </row>
        <row r="1729">
          <cell r="A1729" t="str">
            <v>0010404531B</v>
          </cell>
          <cell r="B1729" t="str">
            <v>连机线-4*2.5mm2*4mVDEH07RN-F</v>
          </cell>
          <cell r="C1729" t="str">
            <v>华声</v>
          </cell>
        </row>
        <row r="1730">
          <cell r="A1730" t="str">
            <v>0010406609AA</v>
          </cell>
          <cell r="B1730" t="str">
            <v>遥控器</v>
          </cell>
          <cell r="C1730" t="str">
            <v>合晶</v>
          </cell>
        </row>
        <row r="1731">
          <cell r="A1731" t="str">
            <v>0010406875A</v>
          </cell>
          <cell r="B1731" t="str">
            <v>端子排-PBT</v>
          </cell>
          <cell r="C1731" t="str">
            <v>凯都</v>
          </cell>
        </row>
        <row r="1733">
          <cell r="A1733" t="str">
            <v>0010406609Y</v>
          </cell>
          <cell r="B1733" t="str">
            <v>遥控器-塑料</v>
          </cell>
          <cell r="C1733" t="str">
            <v>合晶</v>
          </cell>
        </row>
        <row r="1734">
          <cell r="A1734" t="str">
            <v>0011802004</v>
          </cell>
          <cell r="B1734" t="str">
            <v>变频外电脑板-FR-4</v>
          </cell>
          <cell r="C1734" t="str">
            <v>麦格米特</v>
          </cell>
        </row>
        <row r="1735">
          <cell r="A1735" t="str">
            <v>0011802020</v>
          </cell>
          <cell r="B1735" t="str">
            <v>室内电脑板-CEM-1</v>
          </cell>
          <cell r="C1735" t="str">
            <v>航嘉/领智//</v>
          </cell>
        </row>
        <row r="1736">
          <cell r="A1736" t="str">
            <v>0010402886Q</v>
          </cell>
          <cell r="B1736" t="str">
            <v>遥控器-塑料---</v>
          </cell>
          <cell r="C1736" t="str">
            <v>长虹</v>
          </cell>
        </row>
        <row r="1737">
          <cell r="A1737" t="str">
            <v>0010404096G</v>
          </cell>
          <cell r="B1737" t="str">
            <v>无插电源线</v>
          </cell>
          <cell r="C1737" t="str">
            <v>华声</v>
          </cell>
        </row>
        <row r="1738">
          <cell r="A1738" t="str">
            <v>0010406178AX</v>
          </cell>
          <cell r="B1738" t="str">
            <v>遥控器-塑料</v>
          </cell>
          <cell r="C1738" t="str">
            <v>思恩泰克</v>
          </cell>
        </row>
        <row r="1739">
          <cell r="A1739" t="str">
            <v>0010406609Y</v>
          </cell>
          <cell r="B1739" t="str">
            <v>遥控器-塑料</v>
          </cell>
          <cell r="C1739" t="str">
            <v>合晶</v>
          </cell>
        </row>
        <row r="1740">
          <cell r="A1740" t="str">
            <v>0011801330X</v>
          </cell>
          <cell r="B1740" t="str">
            <v>室内电脑板-CEM-1</v>
          </cell>
          <cell r="C1740" t="str">
            <v>康美特/领智//</v>
          </cell>
        </row>
        <row r="1741">
          <cell r="A1741" t="str">
            <v>0011801843X</v>
          </cell>
          <cell r="B1741" t="str">
            <v>变频外电脑板-FR-4</v>
          </cell>
          <cell r="C1741" t="str">
            <v>领智/和而泰//</v>
          </cell>
        </row>
        <row r="1743">
          <cell r="A1743" t="str">
            <v>0010406930</v>
          </cell>
          <cell r="B1743" t="str">
            <v>连接器-1.5mm2</v>
          </cell>
          <cell r="C1743" t="str">
            <v>亚陆</v>
          </cell>
        </row>
        <row r="1744">
          <cell r="A1744" t="str">
            <v>0010406930A</v>
          </cell>
          <cell r="B1744" t="str">
            <v>连接器-/</v>
          </cell>
          <cell r="C1744" t="str">
            <v>亚陆</v>
          </cell>
        </row>
        <row r="1745">
          <cell r="A1745" t="str">
            <v>0011801876X</v>
          </cell>
          <cell r="B1745" t="str">
            <v>变频外电脑板-FR-4</v>
          </cell>
          <cell r="C1745" t="str">
            <v>中家智康</v>
          </cell>
        </row>
        <row r="1746">
          <cell r="A1746" t="str">
            <v>0010402886Q</v>
          </cell>
          <cell r="B1746" t="str">
            <v>遥控器-塑料---</v>
          </cell>
          <cell r="C1746" t="str">
            <v>长虹</v>
          </cell>
        </row>
        <row r="1747">
          <cell r="A1747" t="str">
            <v>0010404653K</v>
          </cell>
          <cell r="B1747" t="str">
            <v>单根线束</v>
          </cell>
          <cell r="C1747" t="str">
            <v>桦晟/金龙//</v>
          </cell>
        </row>
        <row r="1748">
          <cell r="A1748" t="str">
            <v>0010407147A</v>
          </cell>
          <cell r="B1748" t="str">
            <v>单根线束-0.75mm2(24/0.20)通讯线</v>
          </cell>
          <cell r="C1748" t="str">
            <v>珠城</v>
          </cell>
        </row>
        <row r="1749">
          <cell r="A1749" t="str">
            <v>0011801675AB</v>
          </cell>
          <cell r="B1749" t="str">
            <v>室内电脑板-CEM-1</v>
          </cell>
          <cell r="C1749" t="str">
            <v>领智/和而泰//</v>
          </cell>
        </row>
        <row r="1750">
          <cell r="A1750" t="str">
            <v>0011801888</v>
          </cell>
          <cell r="B1750" t="str">
            <v>变频外电脑板-FR-4/</v>
          </cell>
          <cell r="C1750" t="str">
            <v>领智</v>
          </cell>
        </row>
        <row r="1752">
          <cell r="A1752" t="str">
            <v>0010402886Q</v>
          </cell>
          <cell r="B1752" t="str">
            <v>遥控器-塑料---</v>
          </cell>
          <cell r="C1752" t="str">
            <v>长虹</v>
          </cell>
        </row>
        <row r="1753">
          <cell r="A1753" t="str">
            <v>0010404653H</v>
          </cell>
          <cell r="B1753" t="str">
            <v>单根线束-UL317314#压机线</v>
          </cell>
          <cell r="C1753" t="str">
            <v>得润</v>
          </cell>
        </row>
        <row r="1754">
          <cell r="A1754" t="str">
            <v>0011800537K</v>
          </cell>
          <cell r="B1754" t="str">
            <v>室内电脑板-CEM-1</v>
          </cell>
          <cell r="C1754" t="str">
            <v>领智/和而泰//</v>
          </cell>
        </row>
        <row r="1756">
          <cell r="A1756" t="str">
            <v>0011801172DQ</v>
          </cell>
          <cell r="B1756" t="str">
            <v>变频外电脑板-FR-4</v>
          </cell>
          <cell r="C1756" t="str">
            <v>航嘉/尚研//</v>
          </cell>
        </row>
        <row r="1758">
          <cell r="A1758" t="str">
            <v>0010402017AE</v>
          </cell>
          <cell r="B1758" t="str">
            <v>无插电源线</v>
          </cell>
          <cell r="C1758" t="str">
            <v>珠城</v>
          </cell>
        </row>
        <row r="1760">
          <cell r="A1760" t="str">
            <v>0010402886Q</v>
          </cell>
          <cell r="B1760" t="str">
            <v>遥控器-塑料---</v>
          </cell>
          <cell r="C1760" t="str">
            <v>长虹</v>
          </cell>
        </row>
        <row r="1761">
          <cell r="A1761" t="str">
            <v>0010406178BF</v>
          </cell>
          <cell r="B1761" t="str">
            <v>遥控器-塑料冰雪白 HBWH-1404</v>
          </cell>
          <cell r="C1761" t="str">
            <v>合晶/思恩泰克//</v>
          </cell>
        </row>
        <row r="1762">
          <cell r="A1762" t="str">
            <v>0011801678AF</v>
          </cell>
          <cell r="B1762" t="str">
            <v>变频外电脑板-FR-4</v>
          </cell>
          <cell r="C1762" t="str">
            <v>中家智康</v>
          </cell>
        </row>
        <row r="1763">
          <cell r="A1763" t="str">
            <v>0011800997BS</v>
          </cell>
          <cell r="B1763" t="str">
            <v>变频外电脑板-FR-4</v>
          </cell>
          <cell r="C1763" t="str">
            <v>领智/尚研//</v>
          </cell>
        </row>
        <row r="1765">
          <cell r="A1765" t="str">
            <v>0011800209C</v>
          </cell>
          <cell r="B1765" t="str">
            <v>室外电脑板-CEM-3</v>
          </cell>
          <cell r="C1765" t="str">
            <v>领智</v>
          </cell>
        </row>
        <row r="1766">
          <cell r="A1766" t="str">
            <v>0011800209H</v>
          </cell>
          <cell r="B1766" t="str">
            <v>室外电脑板-CEM-3</v>
          </cell>
          <cell r="C1766" t="str">
            <v>领智</v>
          </cell>
        </row>
        <row r="1767">
          <cell r="A1767" t="str">
            <v>0011800524</v>
          </cell>
          <cell r="B1767" t="str">
            <v>室外电脑板-CEM-3</v>
          </cell>
          <cell r="C1767" t="str">
            <v>领智</v>
          </cell>
        </row>
        <row r="1769">
          <cell r="A1769" t="str">
            <v>0010403905M</v>
          </cell>
          <cell r="B1769" t="str">
            <v>单根线束</v>
          </cell>
          <cell r="C1769" t="str">
            <v>珠城</v>
          </cell>
        </row>
        <row r="1770">
          <cell r="A1770" t="str">
            <v>0011800537F</v>
          </cell>
          <cell r="B1770" t="str">
            <v>室内电脑板-CEM-1</v>
          </cell>
          <cell r="C1770" t="str">
            <v>领智/和而泰//</v>
          </cell>
        </row>
        <row r="1771">
          <cell r="A1771" t="str">
            <v>0011801490AX</v>
          </cell>
          <cell r="B1771" t="str">
            <v>变频外电脑板-FR-4</v>
          </cell>
          <cell r="C1771" t="str">
            <v>领智/尚研//</v>
          </cell>
        </row>
        <row r="1772">
          <cell r="A1772" t="str">
            <v>0011801675AD</v>
          </cell>
          <cell r="B1772" t="str">
            <v>室内电脑板-CEM-1130*162</v>
          </cell>
          <cell r="C1772" t="str">
            <v>领智/和而泰//</v>
          </cell>
        </row>
        <row r="1773">
          <cell r="A1773" t="str">
            <v>0011801675AE</v>
          </cell>
          <cell r="B1773" t="str">
            <v>室内电脑板-CEM-1165*136</v>
          </cell>
          <cell r="C1773" t="str">
            <v>领智/和而泰//</v>
          </cell>
        </row>
        <row r="1774">
          <cell r="A1774" t="str">
            <v>0011801843J</v>
          </cell>
          <cell r="B1774" t="str">
            <v>变频外电脑板-FR-4</v>
          </cell>
          <cell r="C1774" t="str">
            <v>领智</v>
          </cell>
        </row>
        <row r="1776">
          <cell r="A1776" t="str">
            <v>0011800359B</v>
          </cell>
          <cell r="B1776" t="str">
            <v>显示面板-CEM-1</v>
          </cell>
          <cell r="C1776" t="str">
            <v>鼎新</v>
          </cell>
        </row>
        <row r="1777">
          <cell r="A1777" t="str">
            <v>0010406995</v>
          </cell>
          <cell r="B1777" t="str">
            <v>空气开关-通用</v>
          </cell>
          <cell r="C1777" t="str">
            <v>宏发</v>
          </cell>
        </row>
        <row r="1778">
          <cell r="A1778" t="str">
            <v>0010406996</v>
          </cell>
          <cell r="B1778" t="str">
            <v>空气开关-通用</v>
          </cell>
          <cell r="C1778" t="str">
            <v>宏发</v>
          </cell>
        </row>
        <row r="1779">
          <cell r="A1779" t="str">
            <v>0011801843K</v>
          </cell>
          <cell r="B1779" t="str">
            <v>变频外电脑板-FR-4</v>
          </cell>
          <cell r="C1779" t="str">
            <v>领智</v>
          </cell>
        </row>
        <row r="1780">
          <cell r="A1780" t="str">
            <v>0010402633</v>
          </cell>
          <cell r="B1780" t="str">
            <v>端子排(JXW-11-T 600V 40A 5.5MM2)-N/A</v>
          </cell>
          <cell r="C1780" t="str">
            <v>华冠</v>
          </cell>
        </row>
        <row r="1782">
          <cell r="A1782" t="str">
            <v>0010401715AZ</v>
          </cell>
          <cell r="B1782" t="str">
            <v>遥控器-/海尔白HBWH-1404</v>
          </cell>
          <cell r="C1782" t="str">
            <v>福尼特/创新科技</v>
          </cell>
        </row>
        <row r="1783">
          <cell r="A1783" t="str">
            <v>0010406178AV</v>
          </cell>
          <cell r="B1783" t="str">
            <v>遥控器-塑料</v>
          </cell>
          <cell r="C1783" t="str">
            <v>长虹/思恩泰克//</v>
          </cell>
        </row>
        <row r="1784">
          <cell r="A1784" t="str">
            <v>0011801039AV</v>
          </cell>
          <cell r="B1784" t="str">
            <v>变频外电脑板-FR-4</v>
          </cell>
          <cell r="C1784" t="str">
            <v>中家/和而泰//</v>
          </cell>
        </row>
        <row r="1785">
          <cell r="A1785" t="str">
            <v>0011801123R</v>
          </cell>
          <cell r="B1785" t="str">
            <v>室内电脑板-FR-4136*165</v>
          </cell>
          <cell r="C1785" t="str">
            <v>领智/麦格米特//</v>
          </cell>
        </row>
        <row r="1787">
          <cell r="A1787" t="str">
            <v>0011802119</v>
          </cell>
          <cell r="B1787" t="str">
            <v>室内电脑板</v>
          </cell>
          <cell r="C1787" t="str">
            <v>和而泰</v>
          </cell>
        </row>
        <row r="1788">
          <cell r="A1788" t="str">
            <v>0010407256C</v>
          </cell>
          <cell r="B1788" t="str">
            <v>单根线束</v>
          </cell>
          <cell r="C1788" t="str">
            <v>珠城/得润//</v>
          </cell>
        </row>
        <row r="1789">
          <cell r="A1789" t="str">
            <v>0010407369</v>
          </cell>
          <cell r="B1789" t="str">
            <v>单根线束</v>
          </cell>
          <cell r="C1789" t="str">
            <v>桦晟/海华//</v>
          </cell>
        </row>
        <row r="1790">
          <cell r="A1790" t="str">
            <v>0011800594E</v>
          </cell>
          <cell r="B1790" t="str">
            <v>室内电脑板-FR-4165*136</v>
          </cell>
          <cell r="C1790" t="str">
            <v>领智</v>
          </cell>
        </row>
        <row r="1791">
          <cell r="A1791" t="str">
            <v>0011801048AN</v>
          </cell>
          <cell r="B1791" t="str">
            <v>变频外电脑板-FR-4</v>
          </cell>
          <cell r="C1791" t="str">
            <v>中家/和而泰//</v>
          </cell>
        </row>
        <row r="1792">
          <cell r="A1792" t="str">
            <v>0011801678U</v>
          </cell>
          <cell r="B1792" t="str">
            <v>变频外电脑板-FR-4/</v>
          </cell>
          <cell r="C1792" t="str">
            <v>中家</v>
          </cell>
        </row>
        <row r="1794">
          <cell r="A1794" t="str">
            <v>0010403905J</v>
          </cell>
          <cell r="B1794" t="str">
            <v>单根线束-/</v>
          </cell>
          <cell r="C1794" t="str">
            <v>重庆金龙</v>
          </cell>
        </row>
        <row r="1795">
          <cell r="A1795" t="str">
            <v>0010404653C</v>
          </cell>
          <cell r="B1795" t="str">
            <v>线束-压机端对接线束220mm带磁环</v>
          </cell>
          <cell r="C1795" t="str">
            <v>桦晟/珠城//</v>
          </cell>
        </row>
        <row r="1796">
          <cell r="A1796" t="str">
            <v>0010406929F</v>
          </cell>
          <cell r="B1796" t="str">
            <v>信号线</v>
          </cell>
          <cell r="C1796" t="str">
            <v>珠城</v>
          </cell>
        </row>
        <row r="1797">
          <cell r="A1797" t="str">
            <v>0011800537J</v>
          </cell>
          <cell r="B1797" t="str">
            <v>室内电脑板-CEM-1</v>
          </cell>
          <cell r="C1797" t="str">
            <v>领智/尚研//</v>
          </cell>
        </row>
        <row r="1798">
          <cell r="A1798" t="str">
            <v>0011801675AF</v>
          </cell>
          <cell r="B1798" t="str">
            <v>室内电脑板-CEM-1136mm*155mm</v>
          </cell>
          <cell r="C1798" t="str">
            <v>领智/和而泰//</v>
          </cell>
        </row>
        <row r="1799">
          <cell r="A1799" t="str">
            <v>0011801876AF</v>
          </cell>
          <cell r="B1799" t="str">
            <v>变频外电脑板-FR-4/</v>
          </cell>
          <cell r="C1799" t="str">
            <v>中家智康</v>
          </cell>
        </row>
        <row r="1800">
          <cell r="A1800" t="str">
            <v>0011801876AG</v>
          </cell>
          <cell r="B1800" t="str">
            <v>变频外电脑板-FR-4</v>
          </cell>
          <cell r="C1800" t="str">
            <v>中家智康</v>
          </cell>
        </row>
        <row r="1801">
          <cell r="A1801" t="str">
            <v>0011801888B</v>
          </cell>
          <cell r="B1801" t="str">
            <v>变频外电脑板-FR-4/</v>
          </cell>
          <cell r="C1801" t="str">
            <v>领智</v>
          </cell>
        </row>
        <row r="1802">
          <cell r="A1802" t="str">
            <v>0011801888C</v>
          </cell>
          <cell r="B1802" t="str">
            <v>变频外电脑板-FR-4/</v>
          </cell>
          <cell r="C1802" t="str">
            <v>领智</v>
          </cell>
        </row>
        <row r="1803">
          <cell r="A1803" t="str">
            <v>0011801945</v>
          </cell>
          <cell r="B1803" t="str">
            <v>显示板-FR-4/</v>
          </cell>
          <cell r="C1803" t="str">
            <v>领智/尚研//</v>
          </cell>
        </row>
        <row r="1804">
          <cell r="A1804" t="str">
            <v>0011801977G</v>
          </cell>
          <cell r="B1804" t="str">
            <v>室内电脑板-162mm*130mm</v>
          </cell>
          <cell r="C1804" t="str">
            <v>领智/和而泰//</v>
          </cell>
        </row>
        <row r="1805">
          <cell r="A1805" t="str">
            <v>0010405215</v>
          </cell>
          <cell r="B1805" t="str">
            <v>线束-/</v>
          </cell>
          <cell r="C1805" t="str">
            <v>桦晟</v>
          </cell>
        </row>
        <row r="1806">
          <cell r="A1806" t="str">
            <v>0011801922</v>
          </cell>
          <cell r="B1806" t="str">
            <v>室内电脑板-CEM-1</v>
          </cell>
          <cell r="C1806" t="str">
            <v>麦格米特/和而泰//</v>
          </cell>
        </row>
        <row r="1808">
          <cell r="A1808" t="str">
            <v>0010402017AF</v>
          </cell>
          <cell r="B1808" t="str">
            <v>单根线束</v>
          </cell>
          <cell r="C1808" t="str">
            <v>珠城</v>
          </cell>
        </row>
        <row r="1809">
          <cell r="A1809" t="str">
            <v>0010403338C</v>
          </cell>
          <cell r="B1809" t="str">
            <v>选择开关-金属</v>
          </cell>
          <cell r="C1809" t="str">
            <v>宏联</v>
          </cell>
        </row>
        <row r="1810">
          <cell r="A1810" t="str">
            <v>0010403515B</v>
          </cell>
          <cell r="B1810" t="str">
            <v>温控器-金属---</v>
          </cell>
          <cell r="C1810" t="str">
            <v>西玛特/通宝华通//</v>
          </cell>
        </row>
        <row r="1811">
          <cell r="A1811" t="str">
            <v>0010403543</v>
          </cell>
          <cell r="B1811" t="str">
            <v>线束组(ESA3105)</v>
          </cell>
          <cell r="C1811" t="str">
            <v>悠进</v>
          </cell>
        </row>
        <row r="1812">
          <cell r="A1812" t="str">
            <v>0010403813</v>
          </cell>
          <cell r="B1812" t="str">
            <v>美式电源线-/</v>
          </cell>
          <cell r="C1812" t="str">
            <v>益而益</v>
          </cell>
        </row>
        <row r="1813">
          <cell r="A1813" t="str">
            <v>0010403813D</v>
          </cell>
          <cell r="B1813" t="str">
            <v>美式电源线-/</v>
          </cell>
          <cell r="C1813" t="str">
            <v>悠进</v>
          </cell>
        </row>
        <row r="1814">
          <cell r="A1814" t="str">
            <v>0010406838</v>
          </cell>
          <cell r="B1814" t="str">
            <v>室内线束组-通用</v>
          </cell>
          <cell r="C1814" t="str">
            <v>悠进</v>
          </cell>
        </row>
        <row r="1815">
          <cell r="A1815" t="str">
            <v>0010407256B</v>
          </cell>
          <cell r="B1815" t="str">
            <v>单根线束</v>
          </cell>
          <cell r="C1815" t="str">
            <v>桦晟/珠城//</v>
          </cell>
        </row>
        <row r="1816">
          <cell r="A1816" t="str">
            <v>0011800607R</v>
          </cell>
          <cell r="B1816" t="str">
            <v>显示板-LED/</v>
          </cell>
          <cell r="C1816" t="str">
            <v>和而泰</v>
          </cell>
        </row>
        <row r="1817">
          <cell r="A1817" t="str">
            <v>0011801185V</v>
          </cell>
          <cell r="B1817" t="str">
            <v>变频外电脑板</v>
          </cell>
          <cell r="C1817" t="str">
            <v>儒竞</v>
          </cell>
        </row>
        <row r="1818">
          <cell r="A1818" t="str">
            <v>0011801843Y</v>
          </cell>
          <cell r="B1818" t="str">
            <v>变频外电脑板-FR-4</v>
          </cell>
          <cell r="C1818" t="str">
            <v>领智/和而泰//</v>
          </cell>
        </row>
        <row r="1819">
          <cell r="A1819" t="str">
            <v>0011802020A</v>
          </cell>
          <cell r="B1819" t="str">
            <v>室内电脑板-CEM-1</v>
          </cell>
          <cell r="C1819" t="str">
            <v>和而泰/康美特//</v>
          </cell>
        </row>
        <row r="1820">
          <cell r="A1820" t="str">
            <v>0010402236A</v>
          </cell>
          <cell r="B1820" t="str">
            <v>温控器</v>
          </cell>
          <cell r="C1820" t="str">
            <v>通宝华通/九江恒通//</v>
          </cell>
        </row>
        <row r="1821">
          <cell r="A1821" t="str">
            <v>0010403515D</v>
          </cell>
          <cell r="B1821" t="str">
            <v>温控器</v>
          </cell>
          <cell r="C1821" t="str">
            <v>通宝华通/西玛特//</v>
          </cell>
        </row>
        <row r="1822">
          <cell r="A1822" t="str">
            <v>0011801172DL</v>
          </cell>
          <cell r="B1822" t="str">
            <v>变频外电脑板-FR-4</v>
          </cell>
          <cell r="C1822" t="str">
            <v>和而泰/尚研//</v>
          </cell>
        </row>
        <row r="1823">
          <cell r="A1823" t="str">
            <v>0011801172DM</v>
          </cell>
          <cell r="B1823" t="str">
            <v>变频外电脑板-FR-4</v>
          </cell>
          <cell r="C1823" t="str">
            <v>和而泰/尚研//</v>
          </cell>
        </row>
        <row r="1824">
          <cell r="A1824" t="str">
            <v>0011801490BT</v>
          </cell>
          <cell r="B1824" t="str">
            <v>变频外电脑板-FR-4</v>
          </cell>
          <cell r="C1824" t="str">
            <v>领智/和而泰//</v>
          </cell>
        </row>
        <row r="1825">
          <cell r="A1825" t="str">
            <v>0011801977E</v>
          </cell>
          <cell r="B1825" t="str">
            <v>室内电脑板-165mm*136mm</v>
          </cell>
          <cell r="C1825" t="str">
            <v>领智/和而泰//</v>
          </cell>
        </row>
        <row r="1826">
          <cell r="A1826" t="str">
            <v>0011801977F</v>
          </cell>
          <cell r="B1826" t="str">
            <v>室内电脑板-165mm*136mm</v>
          </cell>
          <cell r="C1826" t="str">
            <v>领智/和而泰//</v>
          </cell>
        </row>
        <row r="1827">
          <cell r="A1827" t="str">
            <v>0011801843H</v>
          </cell>
          <cell r="B1827" t="str">
            <v>变频外电脑板-FR-4</v>
          </cell>
          <cell r="C1827" t="str">
            <v>领智</v>
          </cell>
        </row>
        <row r="1828">
          <cell r="A1828" t="str">
            <v>0010406609AB</v>
          </cell>
          <cell r="B1828" t="str">
            <v>遥控器-塑料</v>
          </cell>
          <cell r="C1828" t="str">
            <v>合晶</v>
          </cell>
        </row>
        <row r="1829">
          <cell r="A1829" t="str">
            <v>0011800195V</v>
          </cell>
          <cell r="B1829" t="str">
            <v>室内电脑板-GCCEM-1BHAC1.5</v>
          </cell>
          <cell r="C1829" t="str">
            <v>领智</v>
          </cell>
        </row>
        <row r="1831">
          <cell r="A1831" t="str">
            <v>0010407395</v>
          </cell>
          <cell r="B1831" t="str">
            <v>单根线束</v>
          </cell>
          <cell r="C1831" t="str">
            <v>桦晟</v>
          </cell>
        </row>
        <row r="1832">
          <cell r="A1832" t="str">
            <v>0011801184A</v>
          </cell>
          <cell r="B1832" t="str">
            <v>显示板-LED</v>
          </cell>
          <cell r="C1832" t="str">
            <v>领智/国冶星//</v>
          </cell>
        </row>
        <row r="1833">
          <cell r="A1833" t="str">
            <v>0011801185T</v>
          </cell>
          <cell r="B1833" t="str">
            <v>变频外电脑板-通用</v>
          </cell>
          <cell r="C1833" t="str">
            <v>儒竞</v>
          </cell>
        </row>
        <row r="1834">
          <cell r="A1834" t="str">
            <v>0011801766R</v>
          </cell>
          <cell r="B1834" t="str">
            <v>变频外电脑板-FR-4</v>
          </cell>
          <cell r="C1834" t="str">
            <v>中家智康</v>
          </cell>
        </row>
        <row r="1835">
          <cell r="A1835" t="str">
            <v>0010403569A</v>
          </cell>
          <cell r="B1835" t="str">
            <v>单根线束</v>
          </cell>
          <cell r="C1835" t="str">
            <v>得润</v>
          </cell>
        </row>
        <row r="1836">
          <cell r="A1836" t="str">
            <v>0010406609AD</v>
          </cell>
          <cell r="B1836" t="str">
            <v>遥控器-冰雪白 HBWH-1404</v>
          </cell>
          <cell r="C1836" t="str">
            <v>合晶</v>
          </cell>
        </row>
        <row r="1837">
          <cell r="A1837" t="str">
            <v>0010401715JN</v>
          </cell>
          <cell r="B1837" t="str">
            <v>遥控器</v>
          </cell>
          <cell r="C1837" t="str">
            <v>合晶</v>
          </cell>
        </row>
        <row r="1838">
          <cell r="A1838" t="str">
            <v>0011800292AQ</v>
          </cell>
          <cell r="B1838" t="str">
            <v>Wi-Fi模块</v>
          </cell>
          <cell r="C1838" t="str">
            <v>海尔科技</v>
          </cell>
        </row>
        <row r="1840">
          <cell r="A1840" t="str">
            <v>0010405985C</v>
          </cell>
          <cell r="B1840" t="str">
            <v>室内线束组-/</v>
          </cell>
          <cell r="C1840" t="str">
            <v>得润/珠城//</v>
          </cell>
        </row>
        <row r="1841">
          <cell r="A1841" t="str">
            <v>0010406605DJZ</v>
          </cell>
          <cell r="B1841" t="str">
            <v>遥控器-塑料</v>
          </cell>
          <cell r="C1841" t="str">
            <v>合晶/福尼特//</v>
          </cell>
        </row>
        <row r="1842">
          <cell r="A1842" t="str">
            <v>0011801172DK</v>
          </cell>
          <cell r="B1842" t="str">
            <v>变频外电脑板-FR-4240*180</v>
          </cell>
          <cell r="C1842" t="str">
            <v>和而泰/尚研//</v>
          </cell>
        </row>
        <row r="1843">
          <cell r="A1843" t="str">
            <v>0011801172DN</v>
          </cell>
          <cell r="B1843" t="str">
            <v>变频外电脑板-FR-4</v>
          </cell>
          <cell r="C1843" t="str">
            <v>和而泰/尚研//</v>
          </cell>
        </row>
        <row r="1844">
          <cell r="A1844" t="str">
            <v>0011801876AJ</v>
          </cell>
          <cell r="B1844" t="str">
            <v>变频外电脑板-FR-4240mm*180mm</v>
          </cell>
          <cell r="C1844" t="str">
            <v>中家智康</v>
          </cell>
        </row>
        <row r="1846">
          <cell r="A1846" t="str">
            <v>0011801425</v>
          </cell>
          <cell r="B1846" t="str">
            <v>变频外电脑板-FR-4</v>
          </cell>
          <cell r="C1846" t="str">
            <v>部品</v>
          </cell>
        </row>
        <row r="1847">
          <cell r="A1847" t="str">
            <v>0011801045</v>
          </cell>
          <cell r="B1847" t="str">
            <v>显示板-FR-460*50</v>
          </cell>
          <cell r="C1847" t="str">
            <v>部品/恒青/国冶星//</v>
          </cell>
        </row>
        <row r="1848">
          <cell r="A1848" t="str">
            <v>0011800989</v>
          </cell>
          <cell r="B1848" t="str">
            <v>显示板-FR-456*100--</v>
          </cell>
          <cell r="C1848" t="str">
            <v>部品/恒青/国冶星//</v>
          </cell>
        </row>
        <row r="1849">
          <cell r="A1849" t="str">
            <v>0011801825</v>
          </cell>
          <cell r="B1849" t="str">
            <v>室内电脑板-CEM-1</v>
          </cell>
          <cell r="C1849" t="str">
            <v>领智/和而泰//</v>
          </cell>
        </row>
        <row r="1850">
          <cell r="A1850" t="str">
            <v>0011801657A</v>
          </cell>
          <cell r="B1850" t="str">
            <v>变频外电脑板</v>
          </cell>
          <cell r="C1850" t="str">
            <v>领智/和而泰//</v>
          </cell>
        </row>
        <row r="1851">
          <cell r="A1851" t="str">
            <v>0011801850A</v>
          </cell>
          <cell r="B1851" t="str">
            <v>室内电脑板</v>
          </cell>
          <cell r="C1851" t="str">
            <v>领智/和而泰//</v>
          </cell>
        </row>
        <row r="1853">
          <cell r="A1853" t="str">
            <v>0010400189C</v>
          </cell>
          <cell r="B1853" t="str">
            <v>带插头电源线</v>
          </cell>
          <cell r="C1853" t="str">
            <v>广州环球</v>
          </cell>
        </row>
        <row r="1854">
          <cell r="A1854" t="str">
            <v>0010406608W</v>
          </cell>
          <cell r="B1854" t="str">
            <v>遥控器-塑料</v>
          </cell>
          <cell r="C1854" t="str">
            <v>长虹</v>
          </cell>
        </row>
        <row r="1855">
          <cell r="A1855" t="str">
            <v>0011800571TF</v>
          </cell>
          <cell r="B1855" t="str">
            <v>语音模块</v>
          </cell>
          <cell r="C1855" t="str">
            <v>海尔科技</v>
          </cell>
        </row>
        <row r="1856">
          <cell r="A1856" t="str">
            <v>0011801427G</v>
          </cell>
          <cell r="B1856" t="str">
            <v>变频外电脑板-FR-4/</v>
          </cell>
          <cell r="C1856" t="str">
            <v>中家智康</v>
          </cell>
        </row>
        <row r="1857">
          <cell r="A1857" t="str">
            <v>0011801490BM</v>
          </cell>
          <cell r="B1857" t="str">
            <v>变频外电脑板-FR-4</v>
          </cell>
          <cell r="C1857" t="str">
            <v>领智/尚研//</v>
          </cell>
        </row>
        <row r="1858">
          <cell r="A1858" t="str">
            <v>0011801490MA</v>
          </cell>
          <cell r="B1858" t="str">
            <v>变频外电脑板-FR-4</v>
          </cell>
          <cell r="C1858" t="str">
            <v>领智/尚研//</v>
          </cell>
        </row>
        <row r="1859">
          <cell r="A1859" t="str">
            <v>0011801843G</v>
          </cell>
          <cell r="B1859" t="str">
            <v>变频外电脑板-FR-4</v>
          </cell>
          <cell r="C1859" t="str">
            <v>领智</v>
          </cell>
        </row>
        <row r="1860">
          <cell r="A1860" t="str">
            <v>0011801876AH</v>
          </cell>
          <cell r="B1860" t="str">
            <v>变频外电脑板-FR-4240mm*180mm</v>
          </cell>
          <cell r="C1860" t="str">
            <v>中家智康</v>
          </cell>
        </row>
        <row r="1861">
          <cell r="A1861" t="str">
            <v>0011802068</v>
          </cell>
          <cell r="B1861" t="str">
            <v>室内电脑板-CEM-1</v>
          </cell>
          <cell r="C1861" t="str">
            <v>麦格米特/领智//</v>
          </cell>
        </row>
        <row r="1863">
          <cell r="A1863" t="str">
            <v>0011801490CF</v>
          </cell>
          <cell r="B1863" t="str">
            <v>变频外电脑板-FR-4</v>
          </cell>
          <cell r="C1863" t="str">
            <v>领智/康美特//</v>
          </cell>
        </row>
        <row r="1864">
          <cell r="A1864" t="str">
            <v>0011801675AL</v>
          </cell>
          <cell r="B1864" t="str">
            <v>室内电脑板-FR-4</v>
          </cell>
          <cell r="C1864" t="str">
            <v>领智/康美特//</v>
          </cell>
        </row>
        <row r="1865">
          <cell r="A1865" t="str">
            <v>0011801675AN</v>
          </cell>
          <cell r="B1865" t="str">
            <v>室内电脑板-FR-4</v>
          </cell>
          <cell r="C1865" t="str">
            <v>领智/康美特//</v>
          </cell>
        </row>
        <row r="1866">
          <cell r="A1866" t="str">
            <v>0011801808A</v>
          </cell>
          <cell r="B1866" t="str">
            <v>室内电脑板-FR-4</v>
          </cell>
          <cell r="C1866" t="str">
            <v>领智/康美特//</v>
          </cell>
        </row>
        <row r="1867">
          <cell r="A1867" t="str">
            <v>0011801843AJ</v>
          </cell>
          <cell r="B1867" t="str">
            <v>变频外电脑板-FR-4</v>
          </cell>
          <cell r="C1867" t="str">
            <v>领智/康美特//</v>
          </cell>
        </row>
        <row r="1868">
          <cell r="A1868" t="str">
            <v>0011801843AK</v>
          </cell>
          <cell r="B1868" t="str">
            <v>变频外电脑板-FR-4</v>
          </cell>
          <cell r="C1868" t="str">
            <v>领智/康美特//</v>
          </cell>
        </row>
        <row r="1869">
          <cell r="A1869" t="str">
            <v>0011801876AE</v>
          </cell>
          <cell r="B1869" t="str">
            <v>变频外电脑板-FR-4</v>
          </cell>
          <cell r="C1869" t="str">
            <v>中家智康</v>
          </cell>
        </row>
        <row r="1870">
          <cell r="A1870" t="str">
            <v>0011801876AM</v>
          </cell>
          <cell r="B1870" t="str">
            <v>变频外电脑板-FR-4</v>
          </cell>
          <cell r="C1870" t="str">
            <v>中家智康</v>
          </cell>
        </row>
        <row r="1871">
          <cell r="A1871" t="str">
            <v>0010405967H</v>
          </cell>
          <cell r="B1871" t="str">
            <v>遥控器</v>
          </cell>
          <cell r="C1871" t="str">
            <v>长虹</v>
          </cell>
        </row>
        <row r="1872">
          <cell r="A1872" t="str">
            <v>0011801678AJ</v>
          </cell>
          <cell r="B1872" t="str">
            <v>变频外电脑板-FR-4</v>
          </cell>
          <cell r="C1872" t="str">
            <v>中家智康</v>
          </cell>
        </row>
        <row r="1873">
          <cell r="A1873" t="str">
            <v>0011801890C</v>
          </cell>
          <cell r="B1873" t="str">
            <v>室内电脑板-CEM-1</v>
          </cell>
          <cell r="C1873" t="str">
            <v>领智/和而泰//</v>
          </cell>
        </row>
        <row r="1874">
          <cell r="A1874" t="str">
            <v>0010407147</v>
          </cell>
          <cell r="B1874" t="str">
            <v>单根线束-0.75mm2(24/0.20)通讯线</v>
          </cell>
          <cell r="C1874" t="str">
            <v>珠城</v>
          </cell>
        </row>
        <row r="1875">
          <cell r="A1875" t="str">
            <v>0011801888A</v>
          </cell>
          <cell r="B1875" t="str">
            <v>变频外电脑板-FR-4/</v>
          </cell>
          <cell r="C1875" t="str">
            <v>领智</v>
          </cell>
        </row>
        <row r="1876">
          <cell r="A1876" t="str">
            <v>0011800612K</v>
          </cell>
          <cell r="B1876" t="str">
            <v>电脑板-CEM-1\0011800612K共享空调-</v>
          </cell>
          <cell r="C1876" t="str">
            <v>领智</v>
          </cell>
        </row>
        <row r="1877">
          <cell r="A1877" t="str">
            <v>0011800594G</v>
          </cell>
          <cell r="B1877" t="str">
            <v>室内电脑板-FR-4</v>
          </cell>
          <cell r="C1877" t="str">
            <v>领智/康美特//</v>
          </cell>
        </row>
        <row r="1878">
          <cell r="A1878" t="str">
            <v>0011801123U</v>
          </cell>
          <cell r="B1878" t="str">
            <v>室内电脑板-FR-4</v>
          </cell>
          <cell r="C1878" t="str">
            <v>领智/康美特//</v>
          </cell>
        </row>
        <row r="1879">
          <cell r="A1879" t="str">
            <v>0011800292AP</v>
          </cell>
          <cell r="B1879" t="str">
            <v>Wi-Fi模块</v>
          </cell>
          <cell r="C1879" t="str">
            <v>爱联</v>
          </cell>
        </row>
        <row r="1880">
          <cell r="A1880" t="str">
            <v>0010403035AH</v>
          </cell>
          <cell r="B1880" t="str">
            <v>连机线-4*1.0</v>
          </cell>
          <cell r="C1880" t="str">
            <v>泓淋</v>
          </cell>
        </row>
        <row r="1881">
          <cell r="A1881" t="str">
            <v>0011801876M</v>
          </cell>
          <cell r="B1881" t="str">
            <v>变频外电脑板-FR-4</v>
          </cell>
          <cell r="C1881" t="str">
            <v>中家智康</v>
          </cell>
        </row>
        <row r="1882">
          <cell r="A1882" t="str">
            <v>0011801876P</v>
          </cell>
          <cell r="B1882" t="str">
            <v>变频外电脑板-FR-4</v>
          </cell>
          <cell r="C1882" t="str">
            <v>中家智康</v>
          </cell>
        </row>
        <row r="1883">
          <cell r="A1883" t="str">
            <v>0011801876Q</v>
          </cell>
          <cell r="B1883" t="str">
            <v>变频外电脑板-FR-4</v>
          </cell>
          <cell r="C1883" t="str">
            <v>中家智康</v>
          </cell>
        </row>
        <row r="1884">
          <cell r="A1884" t="str">
            <v>0011802004A</v>
          </cell>
          <cell r="B1884" t="str">
            <v>变频外电脑板-FR-4</v>
          </cell>
          <cell r="C1884" t="str">
            <v>麦格米特</v>
          </cell>
        </row>
        <row r="1885">
          <cell r="A1885" t="str">
            <v>0011802004B</v>
          </cell>
          <cell r="B1885" t="str">
            <v>变频外电脑板-FR-4</v>
          </cell>
          <cell r="C1885" t="str">
            <v>麦格米特</v>
          </cell>
        </row>
        <row r="1886">
          <cell r="A1886" t="str">
            <v>0011802004C</v>
          </cell>
          <cell r="B1886" t="str">
            <v>变频外电脑板-FR-4</v>
          </cell>
          <cell r="C1886" t="str">
            <v>麦格米特</v>
          </cell>
        </row>
        <row r="1887">
          <cell r="A1887" t="str">
            <v>0011801766Q</v>
          </cell>
          <cell r="B1887" t="str">
            <v>变频外电脑板-FR-4</v>
          </cell>
          <cell r="C1887" t="str">
            <v>中家智康</v>
          </cell>
        </row>
        <row r="1888">
          <cell r="A1888" t="str">
            <v>0010401789AB</v>
          </cell>
          <cell r="B1888" t="str">
            <v>连机线</v>
          </cell>
          <cell r="C1888" t="str">
            <v>华声</v>
          </cell>
        </row>
        <row r="1889">
          <cell r="A1889" t="str">
            <v>0150413478</v>
          </cell>
          <cell r="B1889" t="str">
            <v>线束</v>
          </cell>
          <cell r="C1889" t="str">
            <v>桦晟</v>
          </cell>
        </row>
        <row r="1890">
          <cell r="A1890" t="str">
            <v>0151801174</v>
          </cell>
          <cell r="B1890" t="str">
            <v>单相室外一体</v>
          </cell>
          <cell r="C1890" t="str">
            <v>广州希塔</v>
          </cell>
        </row>
        <row r="1891">
          <cell r="A1891" t="str">
            <v>0010405105Q</v>
          </cell>
          <cell r="B1891" t="str">
            <v>单根线束</v>
          </cell>
          <cell r="C1891" t="str">
            <v>桦晟</v>
          </cell>
        </row>
        <row r="1892">
          <cell r="A1892" t="str">
            <v>0011801330AF</v>
          </cell>
          <cell r="B1892" t="str">
            <v>室内电脑板-CEM-1</v>
          </cell>
          <cell r="C1892" t="str">
            <v>航嘉</v>
          </cell>
        </row>
        <row r="1893">
          <cell r="A1893" t="str">
            <v>0011801330AG</v>
          </cell>
          <cell r="B1893" t="str">
            <v>室内电脑板-CEM-1/</v>
          </cell>
          <cell r="C1893" t="str">
            <v>航嘉</v>
          </cell>
        </row>
        <row r="1894">
          <cell r="A1894" t="str">
            <v>0011801609S</v>
          </cell>
          <cell r="B1894" t="str">
            <v>变频外电脑板-FR-4379mm*230mm</v>
          </cell>
          <cell r="C1894" t="str">
            <v>斑科</v>
          </cell>
        </row>
        <row r="1895">
          <cell r="A1895" t="str">
            <v>0011801766T</v>
          </cell>
          <cell r="B1895" t="str">
            <v>变频外电脑板-FR-4</v>
          </cell>
          <cell r="C1895" t="str">
            <v>中家智康</v>
          </cell>
        </row>
        <row r="1896">
          <cell r="A1896" t="str">
            <v>0011801766U</v>
          </cell>
          <cell r="B1896" t="str">
            <v>变频外电脑板-FR-4</v>
          </cell>
          <cell r="C1896" t="str">
            <v>中家智康</v>
          </cell>
        </row>
        <row r="1897">
          <cell r="A1897" t="str">
            <v>0010406601D</v>
          </cell>
          <cell r="B1897" t="str">
            <v>单根线束</v>
          </cell>
          <cell r="C1897" t="str">
            <v>珠城</v>
          </cell>
        </row>
        <row r="1898">
          <cell r="A1898" t="str">
            <v>0011800410G</v>
          </cell>
          <cell r="B1898" t="str">
            <v>室外电脑板-CEM-1</v>
          </cell>
          <cell r="C1898" t="str">
            <v>领智</v>
          </cell>
        </row>
        <row r="1899">
          <cell r="A1899" t="str">
            <v>0011801675AP</v>
          </cell>
          <cell r="B1899" t="str">
            <v>室内电脑板-CEM-1</v>
          </cell>
          <cell r="C1899" t="str">
            <v>领智/和而泰//</v>
          </cell>
        </row>
        <row r="1900">
          <cell r="A1900" t="str">
            <v>0011801977H</v>
          </cell>
          <cell r="B1900" t="str">
            <v>室内电脑板-165mm*136mm</v>
          </cell>
          <cell r="C1900" t="str">
            <v>领智/和而泰//</v>
          </cell>
        </row>
        <row r="1901">
          <cell r="A1901" t="str">
            <v>0010400122E</v>
          </cell>
          <cell r="B1901" t="str">
            <v>美式电源线-金属</v>
          </cell>
          <cell r="C1901" t="str">
            <v>泓淋</v>
          </cell>
        </row>
        <row r="1902">
          <cell r="A1902" t="str">
            <v>0010404653P</v>
          </cell>
          <cell r="B1902" t="str">
            <v>单根线束-UL317314#压机线</v>
          </cell>
          <cell r="C1902" t="str">
            <v>桦晟</v>
          </cell>
        </row>
        <row r="1903">
          <cell r="A1903" t="str">
            <v>0010406784C</v>
          </cell>
          <cell r="B1903" t="str">
            <v>室外线束组-金属</v>
          </cell>
          <cell r="C1903" t="str">
            <v>桦晟</v>
          </cell>
        </row>
        <row r="1904">
          <cell r="A1904" t="str">
            <v>0010406925</v>
          </cell>
          <cell r="B1904" t="str">
            <v>单根线束-金属</v>
          </cell>
          <cell r="C1904" t="str">
            <v>珠城</v>
          </cell>
        </row>
        <row r="1905">
          <cell r="A1905" t="str">
            <v>0011800333E</v>
          </cell>
          <cell r="B1905" t="str">
            <v>电脑板-CEM-1---</v>
          </cell>
          <cell r="C1905" t="str">
            <v>领智</v>
          </cell>
        </row>
        <row r="1906">
          <cell r="A1906" t="str">
            <v>0011801675K</v>
          </cell>
          <cell r="B1906" t="str">
            <v>室内电脑板-FR-4165*136</v>
          </cell>
          <cell r="C1906" t="str">
            <v>领智/和而泰//</v>
          </cell>
        </row>
        <row r="1907">
          <cell r="A1907" t="str">
            <v>0011801876U</v>
          </cell>
          <cell r="B1907" t="str">
            <v>变频外电脑板-FR-4</v>
          </cell>
          <cell r="C1907" t="str">
            <v>中家智康</v>
          </cell>
        </row>
        <row r="1908">
          <cell r="A1908" t="str">
            <v>0010406178AU</v>
          </cell>
          <cell r="B1908" t="str">
            <v>遥控器-塑料</v>
          </cell>
          <cell r="C1908" t="str">
            <v>合晶</v>
          </cell>
        </row>
        <row r="1909">
          <cell r="A1909" t="str">
            <v>0010406721</v>
          </cell>
          <cell r="B1909" t="str">
            <v>端子排-/</v>
          </cell>
          <cell r="C1909" t="str">
            <v>乐清金龙电子</v>
          </cell>
        </row>
        <row r="1910">
          <cell r="A1910" t="str">
            <v>0010406721A</v>
          </cell>
          <cell r="B1910" t="str">
            <v>端子排-/</v>
          </cell>
          <cell r="C1910" t="str">
            <v>乐清金龙电子</v>
          </cell>
        </row>
        <row r="1911">
          <cell r="A1911" t="str">
            <v>0010406722</v>
          </cell>
          <cell r="B1911" t="str">
            <v>内销电源线-/</v>
          </cell>
          <cell r="C1911" t="str">
            <v>泓淋</v>
          </cell>
        </row>
        <row r="1912">
          <cell r="A1912" t="str">
            <v>0011801652</v>
          </cell>
          <cell r="B1912" t="str">
            <v>室内电脑板-/</v>
          </cell>
          <cell r="C1912" t="str">
            <v>领智/和而泰//</v>
          </cell>
        </row>
        <row r="1913">
          <cell r="A1913" t="str">
            <v>0011801656</v>
          </cell>
          <cell r="B1913" t="str">
            <v>变频外电脑板-/</v>
          </cell>
          <cell r="C1913" t="str">
            <v>领智/和而泰//</v>
          </cell>
        </row>
        <row r="1914">
          <cell r="A1914" t="str">
            <v>0011801659</v>
          </cell>
          <cell r="B1914" t="str">
            <v>显示板-LED</v>
          </cell>
          <cell r="C1914" t="str">
            <v>领智/和而泰//</v>
          </cell>
        </row>
        <row r="1915">
          <cell r="A1915" t="str">
            <v>0011801876V</v>
          </cell>
          <cell r="B1915" t="str">
            <v>变频外电脑板-FR-4</v>
          </cell>
          <cell r="C1915" t="str">
            <v>中家智康</v>
          </cell>
        </row>
        <row r="1916">
          <cell r="A1916" t="str">
            <v>0260402831D</v>
          </cell>
          <cell r="B1916" t="str">
            <v>单根线束</v>
          </cell>
          <cell r="C1916" t="str">
            <v>得润</v>
          </cell>
        </row>
        <row r="1917">
          <cell r="A1917" t="str">
            <v>0010401715JL</v>
          </cell>
          <cell r="C1917" t="str">
            <v>合晶</v>
          </cell>
        </row>
        <row r="1918">
          <cell r="A1918" t="str">
            <v>0011800292AV</v>
          </cell>
          <cell r="C1918" t="str">
            <v>爱联</v>
          </cell>
        </row>
        <row r="1919">
          <cell r="A1919" t="str">
            <v>0011801876AS</v>
          </cell>
          <cell r="C1919" t="str">
            <v>中家智康</v>
          </cell>
        </row>
        <row r="1920">
          <cell r="A1920" t="str">
            <v>0011801876T</v>
          </cell>
          <cell r="C1920" t="str">
            <v>中家智康</v>
          </cell>
        </row>
        <row r="1921">
          <cell r="A1921" t="str">
            <v>0011801490BF</v>
          </cell>
          <cell r="B1921" t="str">
            <v>变频外电脑板-FR-4</v>
          </cell>
          <cell r="C1921" t="str">
            <v>航嘉/领智</v>
          </cell>
        </row>
        <row r="1922">
          <cell r="A1922" t="str">
            <v>0011801172FC</v>
          </cell>
          <cell r="B1922" t="str">
            <v>变频外电脑板-FR-4</v>
          </cell>
          <cell r="C1922" t="str">
            <v>航嘉/领智//</v>
          </cell>
        </row>
        <row r="1923">
          <cell r="A1923" t="str">
            <v>0011801490R</v>
          </cell>
          <cell r="B1923" t="str">
            <v>变频外电脑板-FR-4</v>
          </cell>
          <cell r="C1923" t="str">
            <v>麦格米特/领智//</v>
          </cell>
        </row>
        <row r="1924">
          <cell r="A1924" t="str">
            <v>0011801678AH</v>
          </cell>
          <cell r="B1924" t="str">
            <v>变频外电脑板-FR-4</v>
          </cell>
          <cell r="C1924" t="str">
            <v>中家智康</v>
          </cell>
        </row>
        <row r="1925">
          <cell r="A1925" t="str">
            <v>0010402886BR</v>
          </cell>
          <cell r="B1925" t="str">
            <v>遥控器-塑料</v>
          </cell>
          <cell r="C1925" t="str">
            <v>长虹</v>
          </cell>
        </row>
        <row r="1926">
          <cell r="A1926" t="str">
            <v>0011801652A</v>
          </cell>
          <cell r="B1926" t="str">
            <v>室内电脑板-/</v>
          </cell>
          <cell r="C1926" t="str">
            <v>和而泰/领智</v>
          </cell>
        </row>
        <row r="1927">
          <cell r="A1927" t="str">
            <v>0011801656A</v>
          </cell>
          <cell r="B1927" t="str">
            <v>变频外电脑板</v>
          </cell>
          <cell r="C1927" t="str">
            <v>和而泰/领智</v>
          </cell>
        </row>
        <row r="1928">
          <cell r="A1928" t="str">
            <v>0011801657</v>
          </cell>
          <cell r="B1928" t="str">
            <v>变频外电脑板-/</v>
          </cell>
          <cell r="C1928" t="str">
            <v>和而泰/领智</v>
          </cell>
        </row>
        <row r="1929">
          <cell r="A1929" t="str">
            <v>0011801678AG</v>
          </cell>
          <cell r="B1929" t="str">
            <v>变频外电脑板-FR-4</v>
          </cell>
          <cell r="C1929" t="str">
            <v>中家智康</v>
          </cell>
        </row>
        <row r="1930">
          <cell r="A1930" t="str">
            <v>0011801685</v>
          </cell>
          <cell r="B1930" t="str">
            <v>显示板-LED</v>
          </cell>
          <cell r="C1930" t="str">
            <v>和而泰/领智</v>
          </cell>
        </row>
        <row r="1931">
          <cell r="A1931" t="str">
            <v>0011801850</v>
          </cell>
          <cell r="B1931" t="str">
            <v>室内电脑板</v>
          </cell>
          <cell r="C1931" t="str">
            <v>和而泰/领智</v>
          </cell>
        </row>
        <row r="1932">
          <cell r="A1932" t="str">
            <v>0011801675AJ</v>
          </cell>
          <cell r="B1932" t="str">
            <v>室内电脑板-155*136</v>
          </cell>
          <cell r="C1932" t="str">
            <v>领智/康美特</v>
          </cell>
        </row>
        <row r="1933">
          <cell r="A1933" t="str">
            <v>0011801876AC</v>
          </cell>
          <cell r="B1933" t="str">
            <v>变频外电脑板-FR-4/</v>
          </cell>
          <cell r="C1933" t="str">
            <v>中家智康</v>
          </cell>
        </row>
        <row r="1934">
          <cell r="A1934" t="str">
            <v>0011801039AU</v>
          </cell>
          <cell r="B1934" t="str">
            <v>变频外电脑板-FR-4</v>
          </cell>
          <cell r="C1934" t="str">
            <v>和而泰/中家智康//</v>
          </cell>
        </row>
        <row r="1935">
          <cell r="A1935" t="str">
            <v>0011801048AM</v>
          </cell>
          <cell r="B1935" t="str">
            <v>变频外电脑板-FR-4</v>
          </cell>
          <cell r="C1935" t="str">
            <v>和而泰/中家智康//</v>
          </cell>
        </row>
        <row r="1936">
          <cell r="A1936" t="str">
            <v>0011801482L</v>
          </cell>
          <cell r="B1936" t="str">
            <v>室内电脑板-CEM-1</v>
          </cell>
          <cell r="C1936" t="str">
            <v>麦格米特/领智//</v>
          </cell>
        </row>
        <row r="1937">
          <cell r="A1937" t="str">
            <v>0011801490BX</v>
          </cell>
          <cell r="B1937" t="str">
            <v>变频外电脑板</v>
          </cell>
          <cell r="C1937" t="str">
            <v>麦格米特/领智//</v>
          </cell>
        </row>
        <row r="1938">
          <cell r="A1938" t="str">
            <v>0011801490MC</v>
          </cell>
          <cell r="B1938" t="str">
            <v>变频外电脑板-FR-4</v>
          </cell>
          <cell r="C1938" t="str">
            <v>航嘉/领智//</v>
          </cell>
        </row>
        <row r="1939">
          <cell r="A1939" t="str">
            <v>0011801843AA</v>
          </cell>
          <cell r="B1939" t="str">
            <v>变频外电脑板-FR-4</v>
          </cell>
          <cell r="C1939" t="str">
            <v>航嘉/领智//</v>
          </cell>
        </row>
        <row r="1940">
          <cell r="A1940" t="str">
            <v>0011801922C</v>
          </cell>
          <cell r="B1940" t="str">
            <v>室内电脑板-CEM-1</v>
          </cell>
          <cell r="C1940" t="str">
            <v>麦格米特/领智//</v>
          </cell>
        </row>
        <row r="1941">
          <cell r="A1941" t="str">
            <v>0011802020B</v>
          </cell>
          <cell r="B1941" t="str">
            <v>室内电脑板-CEM-1</v>
          </cell>
          <cell r="C1941" t="str">
            <v>领智/和而泰//</v>
          </cell>
        </row>
        <row r="1942">
          <cell r="A1942" t="str">
            <v>0011801675J</v>
          </cell>
          <cell r="B1942" t="str">
            <v>室内电脑板-FR-4165*136</v>
          </cell>
          <cell r="C1942" t="str">
            <v>和而泰/领智//</v>
          </cell>
        </row>
        <row r="1943">
          <cell r="A1943" t="str">
            <v>0011801876N</v>
          </cell>
          <cell r="B1943" t="str">
            <v>变频外电脑板-FR-4</v>
          </cell>
          <cell r="C1943" t="str">
            <v>中家智康</v>
          </cell>
        </row>
        <row r="1944">
          <cell r="A1944" t="str">
            <v>0010403766</v>
          </cell>
          <cell r="B1944" t="str">
            <v>ROHS-电脑板(JA-18D)-塑料</v>
          </cell>
          <cell r="C1944" t="str">
            <v>领智</v>
          </cell>
        </row>
        <row r="1945">
          <cell r="A1945" t="str">
            <v>0010403767</v>
          </cell>
          <cell r="B1945" t="str">
            <v>遥控器-塑料/</v>
          </cell>
          <cell r="C1945" t="str">
            <v>长虹</v>
          </cell>
        </row>
        <row r="1946">
          <cell r="A1946" t="str">
            <v>0010405967E</v>
          </cell>
          <cell r="B1946" t="str">
            <v>遥控器-冰雪白 HBWH-1404</v>
          </cell>
          <cell r="C1946" t="str">
            <v>长虹</v>
          </cell>
        </row>
        <row r="1947">
          <cell r="A1947" t="str">
            <v>0011800371A</v>
          </cell>
          <cell r="B1947" t="str">
            <v>一体机电脑板-CEM-1</v>
          </cell>
          <cell r="C1947" t="str">
            <v>领智</v>
          </cell>
        </row>
        <row r="1948">
          <cell r="A1948" t="str">
            <v>0011801675AU</v>
          </cell>
          <cell r="B1948" t="str">
            <v>室内电脑板-CEM-1165*136</v>
          </cell>
          <cell r="C1948" t="str">
            <v>领智/康美特//</v>
          </cell>
        </row>
        <row r="1949">
          <cell r="A1949" t="str">
            <v>0011801675AV</v>
          </cell>
          <cell r="B1949" t="str">
            <v>室内电脑板-CEM-1162mm*130mm</v>
          </cell>
          <cell r="C1949" t="str">
            <v>领智/康美特//</v>
          </cell>
        </row>
        <row r="1950">
          <cell r="A1950" t="str">
            <v>0010402208E</v>
          </cell>
          <cell r="B1950" t="str">
            <v>端子排</v>
          </cell>
          <cell r="C1950" t="str">
            <v>源峰/凯都//</v>
          </cell>
        </row>
        <row r="1951">
          <cell r="A1951" t="str">
            <v>0010406178XA</v>
          </cell>
          <cell r="B1951" t="str">
            <v>遥控器-冰雪白 HBWH-1404</v>
          </cell>
          <cell r="C1951" t="str">
            <v>合晶/思恩泰克//</v>
          </cell>
        </row>
        <row r="1952">
          <cell r="A1952" t="str">
            <v>0011801683A</v>
          </cell>
          <cell r="B1952" t="str">
            <v>变频外电脑板</v>
          </cell>
          <cell r="C1952" t="str">
            <v>康美特/尚研//</v>
          </cell>
        </row>
        <row r="1953">
          <cell r="A1953" t="str">
            <v>0011801717B</v>
          </cell>
          <cell r="B1953" t="str">
            <v>变频外电脑板-FR-4</v>
          </cell>
          <cell r="C1953" t="str">
            <v>航嘉/领智//</v>
          </cell>
        </row>
        <row r="1954">
          <cell r="A1954" t="str">
            <v>0011801774A</v>
          </cell>
          <cell r="B1954" t="str">
            <v>室内电脑板-CEM-3</v>
          </cell>
          <cell r="C1954" t="str">
            <v>航嘉/康美特//</v>
          </cell>
        </row>
        <row r="1955">
          <cell r="A1955" t="str">
            <v>0011801876Z</v>
          </cell>
          <cell r="B1955" t="str">
            <v>变频外电脑板-FR-4/</v>
          </cell>
          <cell r="C1955" t="str">
            <v>中家智康</v>
          </cell>
        </row>
        <row r="1956">
          <cell r="A1956" t="str">
            <v>0010401715KG</v>
          </cell>
          <cell r="B1956" t="str">
            <v>遥控器-塑料冰雪白 HBWH-1404</v>
          </cell>
          <cell r="C1956" t="str">
            <v>合晶</v>
          </cell>
        </row>
        <row r="1957">
          <cell r="A1957" t="str">
            <v>0010406608WB</v>
          </cell>
          <cell r="B1957" t="str">
            <v>遥控器-塑料冰雪白 HBWH-1404</v>
          </cell>
          <cell r="C1957" t="str">
            <v>长虹</v>
          </cell>
        </row>
        <row r="1958">
          <cell r="A1958" t="str">
            <v>0011801876DA</v>
          </cell>
          <cell r="B1958" t="str">
            <v>变频外电脑板</v>
          </cell>
          <cell r="C1958" t="str">
            <v>中家智康</v>
          </cell>
        </row>
        <row r="1959">
          <cell r="A1959" t="str">
            <v>0010406178BD</v>
          </cell>
          <cell r="B1959" t="str">
            <v>遥控器-塑料冰雪白 HBWH-1404</v>
          </cell>
          <cell r="C1959" t="str">
            <v>思恩泰克</v>
          </cell>
        </row>
        <row r="1960">
          <cell r="A1960" t="str">
            <v>0011801490BA</v>
          </cell>
          <cell r="B1960" t="str">
            <v>变频外电脑板-FR-4</v>
          </cell>
          <cell r="C1960" t="str">
            <v>领智/麦格米特//</v>
          </cell>
        </row>
        <row r="1961">
          <cell r="A1961" t="str">
            <v>0011801490BS</v>
          </cell>
          <cell r="B1961" t="str">
            <v>变频外电脑板-FR-4</v>
          </cell>
          <cell r="C1961" t="str">
            <v>和而泰/领智//</v>
          </cell>
        </row>
        <row r="1962">
          <cell r="A1962" t="str">
            <v>0011801490CY</v>
          </cell>
          <cell r="B1962" t="str">
            <v>变频外电脑板-FR-4</v>
          </cell>
          <cell r="C1962" t="str">
            <v>领智/尚研//</v>
          </cell>
        </row>
        <row r="1964">
          <cell r="A1964" t="str">
            <v>0011801330AJ</v>
          </cell>
          <cell r="B1964" t="str">
            <v>室内电脑板-CEM-1</v>
          </cell>
          <cell r="C1964" t="str">
            <v>和而泰/领智//</v>
          </cell>
        </row>
        <row r="1965">
          <cell r="A1965" t="str">
            <v>0011801330AK</v>
          </cell>
          <cell r="B1965" t="str">
            <v>室内电脑板-CEM-1</v>
          </cell>
          <cell r="C1965" t="str">
            <v>和而泰/领智//</v>
          </cell>
        </row>
        <row r="1966">
          <cell r="A1966" t="str">
            <v>0010406178AQ</v>
          </cell>
          <cell r="B1966" t="str">
            <v>遥控器-塑料</v>
          </cell>
          <cell r="C1966" t="str">
            <v>合晶</v>
          </cell>
        </row>
        <row r="1967">
          <cell r="A1967" t="str">
            <v>0010407320</v>
          </cell>
          <cell r="B1967" t="str">
            <v>遥控器-塑料</v>
          </cell>
          <cell r="C1967" t="str">
            <v>合晶/长虹//</v>
          </cell>
        </row>
        <row r="1968">
          <cell r="A1968" t="str">
            <v>0011800722GCHB</v>
          </cell>
          <cell r="B1968" t="str">
            <v>室内电脑板-CEM-1</v>
          </cell>
          <cell r="C1968" t="str">
            <v>领智/康美特//</v>
          </cell>
        </row>
        <row r="1969">
          <cell r="A1969" t="str">
            <v>0011801843L</v>
          </cell>
          <cell r="B1969" t="str">
            <v>变频外电脑板-FR-4</v>
          </cell>
          <cell r="C1969" t="str">
            <v>视研/领智//</v>
          </cell>
        </row>
        <row r="1970">
          <cell r="A1970" t="str">
            <v>0011801876AA</v>
          </cell>
          <cell r="B1970" t="str">
            <v>变频外电脑板-FR-4/</v>
          </cell>
          <cell r="C1970" t="str">
            <v>中家智康</v>
          </cell>
        </row>
        <row r="1971">
          <cell r="A1971" t="str">
            <v>0011801876AB</v>
          </cell>
          <cell r="B1971" t="str">
            <v>变频外电脑板-FR-4/</v>
          </cell>
          <cell r="C1971" t="str">
            <v>中家智康</v>
          </cell>
        </row>
        <row r="1973">
          <cell r="A1973" t="str">
            <v>0011801677F</v>
          </cell>
          <cell r="B1973" t="str">
            <v>室内电脑板-FR-4/</v>
          </cell>
          <cell r="C1973" t="str">
            <v>麦格米特/领智//</v>
          </cell>
        </row>
        <row r="1974">
          <cell r="A1974" t="str">
            <v>0010403338</v>
          </cell>
          <cell r="B1974" t="str">
            <v>选择开关(HW-07CK03)-N/A</v>
          </cell>
          <cell r="C1974" t="str">
            <v>宏联</v>
          </cell>
        </row>
        <row r="1975">
          <cell r="A1975" t="str">
            <v>0010406608BX</v>
          </cell>
          <cell r="B1975" t="str">
            <v>遥控器-塑料冰雪白 HBWH-1404</v>
          </cell>
          <cell r="C1975" t="str">
            <v>福尼特/长虹//</v>
          </cell>
        </row>
        <row r="1976">
          <cell r="A1976" t="str">
            <v>0011800537H</v>
          </cell>
          <cell r="B1976" t="str">
            <v>室内电脑板-CEM-1</v>
          </cell>
          <cell r="C1976" t="str">
            <v>领智/尚研</v>
          </cell>
        </row>
        <row r="1977">
          <cell r="A1977" t="str">
            <v>0011801172DG</v>
          </cell>
          <cell r="B1977" t="str">
            <v>变频外电脑板-FR-4</v>
          </cell>
          <cell r="C1977" t="str">
            <v>和而泰/尚研//</v>
          </cell>
        </row>
        <row r="1978">
          <cell r="A1978" t="str">
            <v>0011801172DW</v>
          </cell>
          <cell r="B1978" t="str">
            <v>变频外电脑板</v>
          </cell>
          <cell r="C1978" t="str">
            <v>领智/航嘉//</v>
          </cell>
        </row>
        <row r="1979">
          <cell r="A1979" t="str">
            <v>0011801424BQ</v>
          </cell>
          <cell r="B1979" t="str">
            <v>变频外电脑板-FR-4/</v>
          </cell>
          <cell r="C1979" t="str">
            <v>领智/航嘉//</v>
          </cell>
        </row>
        <row r="1980">
          <cell r="A1980" t="str">
            <v>0011801490BN</v>
          </cell>
          <cell r="B1980" t="str">
            <v>变频外电脑板-FR-4</v>
          </cell>
          <cell r="C1980" t="str">
            <v>尚研/领智//</v>
          </cell>
        </row>
        <row r="1981">
          <cell r="A1981" t="str">
            <v>0010401715PG</v>
          </cell>
          <cell r="B1981" t="str">
            <v>遥控器-塑料冰雪白 WH-0114</v>
          </cell>
          <cell r="C1981" t="str">
            <v>合晶</v>
          </cell>
        </row>
        <row r="1982">
          <cell r="A1982" t="str">
            <v>0010402886BG</v>
          </cell>
          <cell r="B1982" t="str">
            <v>遥控器-塑料冰雪白 HBWH-1404</v>
          </cell>
          <cell r="C1982" t="str">
            <v>长虹</v>
          </cell>
        </row>
        <row r="1984">
          <cell r="A1984" t="str">
            <v>0011801907</v>
          </cell>
          <cell r="B1984" t="str">
            <v>一体机电脑板-CEM-1</v>
          </cell>
          <cell r="C1984" t="str">
            <v>领智/和而泰//</v>
          </cell>
        </row>
        <row r="1985">
          <cell r="A1985" t="str">
            <v>0011800950H</v>
          </cell>
          <cell r="B1985" t="str">
            <v>显示板-CEM-1</v>
          </cell>
          <cell r="C1985" t="str">
            <v>尚研/国冶星//</v>
          </cell>
        </row>
        <row r="1986">
          <cell r="A1986" t="str">
            <v>0011801185S</v>
          </cell>
          <cell r="B1986" t="str">
            <v>变频外电脑板</v>
          </cell>
          <cell r="C1986" t="str">
            <v>儒竞</v>
          </cell>
        </row>
        <row r="1987">
          <cell r="A1987" t="str">
            <v>0011801490BW</v>
          </cell>
          <cell r="B1987" t="str">
            <v>变频外电脑板</v>
          </cell>
          <cell r="C1987" t="str">
            <v>领智/麦格米特//</v>
          </cell>
        </row>
        <row r="1988">
          <cell r="A1988" t="str">
            <v>0011801490CA</v>
          </cell>
          <cell r="B1988" t="str">
            <v>变频外电脑板</v>
          </cell>
          <cell r="C1988" t="str">
            <v>领智/麦格米特//</v>
          </cell>
        </row>
        <row r="1989">
          <cell r="A1989" t="str">
            <v>0011801843B</v>
          </cell>
          <cell r="B1989" t="str">
            <v>变频外电脑板-FR-4</v>
          </cell>
          <cell r="C1989" t="str">
            <v>领智</v>
          </cell>
        </row>
        <row r="1990">
          <cell r="A1990" t="str">
            <v>0011801977D</v>
          </cell>
          <cell r="B1990" t="str">
            <v>室内电脑板-CEM-1</v>
          </cell>
          <cell r="C1990" t="str">
            <v>航嘉</v>
          </cell>
        </row>
        <row r="1992">
          <cell r="A1992" t="str">
            <v>0011801675AH</v>
          </cell>
          <cell r="B1992" t="str">
            <v>室内电脑板-155*136</v>
          </cell>
          <cell r="C1992" t="str">
            <v>康美特/领智//</v>
          </cell>
        </row>
        <row r="1993">
          <cell r="A1993" t="str">
            <v>0011801678AU</v>
          </cell>
          <cell r="B1993" t="str">
            <v>变频外电脑板</v>
          </cell>
          <cell r="C1993" t="str">
            <v>中家智康</v>
          </cell>
        </row>
        <row r="1994">
          <cell r="A1994" t="str">
            <v>0011801678AW</v>
          </cell>
          <cell r="B1994" t="str">
            <v>变频外电脑板</v>
          </cell>
          <cell r="C1994" t="str">
            <v>中家智康</v>
          </cell>
        </row>
        <row r="1995">
          <cell r="A1995" t="str">
            <v>0011801678AX</v>
          </cell>
          <cell r="B1995" t="str">
            <v>变频外电脑板-FR-4</v>
          </cell>
          <cell r="C1995" t="str">
            <v>中家智康</v>
          </cell>
        </row>
        <row r="1996">
          <cell r="A1996" t="str">
            <v>0011801876AN</v>
          </cell>
          <cell r="B1996" t="str">
            <v>变频外电脑板-FR-4</v>
          </cell>
          <cell r="C1996" t="str">
            <v>中家智康</v>
          </cell>
        </row>
        <row r="1997">
          <cell r="A1997" t="str">
            <v>0011801876AP</v>
          </cell>
          <cell r="B1997" t="str">
            <v>变频外电脑板-FR-4</v>
          </cell>
          <cell r="C1997" t="str">
            <v>中家智康</v>
          </cell>
        </row>
        <row r="1998">
          <cell r="A1998" t="str">
            <v>0011800722GCH</v>
          </cell>
          <cell r="B1998" t="e">
            <v>#REF!</v>
          </cell>
          <cell r="C1998" t="str">
            <v>和而泰/康美特//</v>
          </cell>
        </row>
        <row r="1999">
          <cell r="A1999" t="str">
            <v>0011800722GCHA</v>
          </cell>
          <cell r="B1999" t="e">
            <v>#REF!</v>
          </cell>
          <cell r="C1999" t="str">
            <v>和而泰/康美特//</v>
          </cell>
        </row>
        <row r="2000">
          <cell r="A2000" t="str">
            <v>0011800997CD</v>
          </cell>
          <cell r="B2000" t="e">
            <v>#REF!</v>
          </cell>
          <cell r="C2000" t="str">
            <v>领智/尚研//</v>
          </cell>
        </row>
        <row r="2001">
          <cell r="A2001" t="str">
            <v>0011801850AA</v>
          </cell>
          <cell r="B2001" t="str">
            <v>室内电脑板-FR-4</v>
          </cell>
          <cell r="C2001" t="str">
            <v>和而泰/领智//</v>
          </cell>
        </row>
        <row r="2002">
          <cell r="A2002" t="str">
            <v>0011801850B</v>
          </cell>
          <cell r="B2002" t="str">
            <v>室内电脑板-FR-4</v>
          </cell>
          <cell r="C2002" t="str">
            <v>和而泰/领智//</v>
          </cell>
        </row>
        <row r="2003">
          <cell r="A2003" t="str">
            <v>0011801766H</v>
          </cell>
          <cell r="B2003" t="str">
            <v>变频外电脑板-FR-4-</v>
          </cell>
          <cell r="C2003" t="str">
            <v>中家智康</v>
          </cell>
        </row>
        <row r="2004">
          <cell r="A2004" t="str">
            <v>0011801766W</v>
          </cell>
          <cell r="B2004" t="str">
            <v>变频外电脑板-其他\FR-4-</v>
          </cell>
          <cell r="C2004" t="str">
            <v>中家智康</v>
          </cell>
        </row>
        <row r="2005">
          <cell r="A2005" t="str">
            <v>0010406178BM</v>
          </cell>
          <cell r="B2005" t="str">
            <v>遥控器-冰雪白 WH-0114</v>
          </cell>
          <cell r="C2005" t="str">
            <v>合晶/思恩泰克//</v>
          </cell>
        </row>
        <row r="2006">
          <cell r="A2006" t="str">
            <v>0011801424BP</v>
          </cell>
          <cell r="B2006" t="str">
            <v>变频外电脑板-FR-4/</v>
          </cell>
          <cell r="C2006" t="str">
            <v>和而泰/尚研//</v>
          </cell>
        </row>
        <row r="2007">
          <cell r="A2007" t="str">
            <v>0011801675M</v>
          </cell>
          <cell r="B2007" t="str">
            <v>室内电脑板-CEM-1165*136</v>
          </cell>
          <cell r="C2007" t="str">
            <v>领智</v>
          </cell>
        </row>
        <row r="2008">
          <cell r="A2008" t="str">
            <v>0011801843AN</v>
          </cell>
          <cell r="B2008" t="str">
            <v>变频外电脑板-FR-4</v>
          </cell>
          <cell r="C2008" t="str">
            <v>和而泰/航嘉//</v>
          </cell>
        </row>
        <row r="2009">
          <cell r="A2009" t="str">
            <v>0010406178BXCKD</v>
          </cell>
          <cell r="B2009" t="str">
            <v>遥控器-塑料冰雪白 WH-0114</v>
          </cell>
          <cell r="C2009" t="str">
            <v>长虹</v>
          </cell>
        </row>
        <row r="2010">
          <cell r="A2010" t="str">
            <v>0011801843BXCKD</v>
          </cell>
          <cell r="B2010" t="str">
            <v>变频外电脑板-FR-4</v>
          </cell>
          <cell r="C2010" t="str">
            <v>领智</v>
          </cell>
        </row>
        <row r="2011">
          <cell r="A2011" t="str">
            <v>0011801876BXCKD</v>
          </cell>
          <cell r="B2011" t="str">
            <v>变频外电脑板-FR-4</v>
          </cell>
          <cell r="C2011" t="str">
            <v>中家智康</v>
          </cell>
        </row>
        <row r="2012">
          <cell r="A2012" t="str">
            <v>0011801330AC</v>
          </cell>
          <cell r="B2012" t="str">
            <v>室内电脑板-CEM-1</v>
          </cell>
          <cell r="C2012" t="str">
            <v>领智/康美特</v>
          </cell>
        </row>
        <row r="2013">
          <cell r="A2013" t="str">
            <v>0011801675M</v>
          </cell>
          <cell r="B2013" t="str">
            <v>室内电脑板-CEM-1165*136</v>
          </cell>
          <cell r="C2013" t="str">
            <v>领智</v>
          </cell>
        </row>
        <row r="2014">
          <cell r="A2014" t="str">
            <v>0011801727</v>
          </cell>
          <cell r="B2014" t="str">
            <v>一体机电脑板-CEM-3</v>
          </cell>
          <cell r="C2014" t="str">
            <v>鼎新</v>
          </cell>
        </row>
        <row r="2015">
          <cell r="A2015" t="str">
            <v>0011801766X</v>
          </cell>
          <cell r="B2015" t="str">
            <v>变频外电脑板-FR-4</v>
          </cell>
          <cell r="C2015" t="str">
            <v>中家智康</v>
          </cell>
        </row>
        <row r="2016">
          <cell r="A2016" t="str">
            <v>0011801922A</v>
          </cell>
          <cell r="B2016" t="str">
            <v>室内电脑板-CEM-1</v>
          </cell>
          <cell r="C2016" t="str">
            <v>麦格米特/领智//</v>
          </cell>
        </row>
        <row r="2018">
          <cell r="A2018" t="str">
            <v>0011801185U</v>
          </cell>
          <cell r="B2018" t="e">
            <v>#REF!</v>
          </cell>
          <cell r="C2018" t="str">
            <v>麦格米特</v>
          </cell>
        </row>
        <row r="2019">
          <cell r="A2019" t="str">
            <v>0010406932A</v>
          </cell>
          <cell r="B2019" t="str">
            <v>端子排</v>
          </cell>
          <cell r="C2019" t="str">
            <v>凯都</v>
          </cell>
        </row>
        <row r="2020">
          <cell r="A2020" t="str">
            <v>0011801628A</v>
          </cell>
          <cell r="B2020" t="str">
            <v>电源智能检测板-FR-4</v>
          </cell>
          <cell r="C2020" t="str">
            <v>恒青</v>
          </cell>
        </row>
        <row r="2021">
          <cell r="A2021" t="str">
            <v>0011801890D</v>
          </cell>
          <cell r="B2021" t="str">
            <v>室内电脑板</v>
          </cell>
          <cell r="C2021" t="str">
            <v>麦格米特/领智//</v>
          </cell>
        </row>
        <row r="2022">
          <cell r="A2022" t="str">
            <v>0011801981A</v>
          </cell>
          <cell r="B2022" t="str">
            <v>室内电脑板-FR-4</v>
          </cell>
          <cell r="C2022" t="str">
            <v>领智</v>
          </cell>
        </row>
        <row r="2024">
          <cell r="A2024" t="str">
            <v>0010405967N　</v>
          </cell>
          <cell r="B2024" t="e">
            <v>#N/A</v>
          </cell>
          <cell r="C2024" t="e">
            <v>#N/A</v>
          </cell>
        </row>
        <row r="2025">
          <cell r="A2025" t="str">
            <v>0011801490DA</v>
          </cell>
          <cell r="B2025" t="e">
            <v>#N/A</v>
          </cell>
          <cell r="C2025" t="e">
            <v>#N/A</v>
          </cell>
        </row>
        <row r="2026">
          <cell r="A2026" t="str">
            <v>0011801490DB</v>
          </cell>
          <cell r="B2026" t="e">
            <v>#N/A</v>
          </cell>
          <cell r="C2026" t="e">
            <v>#N/A</v>
          </cell>
        </row>
        <row r="2027">
          <cell r="A2027" t="str">
            <v>0011801766W</v>
          </cell>
          <cell r="B2027" t="str">
            <v>变频外电脑板</v>
          </cell>
          <cell r="C2027" t="str">
            <v>中家智康</v>
          </cell>
        </row>
        <row r="2028">
          <cell r="A2028" t="str">
            <v>0011801843BB</v>
          </cell>
          <cell r="B2028" t="e">
            <v>#N/A</v>
          </cell>
          <cell r="C2028" t="e">
            <v>#N/A</v>
          </cell>
        </row>
        <row r="2029">
          <cell r="A2029" t="str">
            <v>0011801843Q</v>
          </cell>
          <cell r="B2029" t="str">
            <v>变频外电脑板</v>
          </cell>
          <cell r="C2029" t="str">
            <v>领智/视研</v>
          </cell>
        </row>
        <row r="2030">
          <cell r="A2030" t="str">
            <v>0011801843R</v>
          </cell>
          <cell r="B2030" t="str">
            <v>变频外电脑板</v>
          </cell>
          <cell r="C2030" t="str">
            <v>领智/视研</v>
          </cell>
        </row>
        <row r="2031">
          <cell r="A2031" t="str">
            <v>0011801843W</v>
          </cell>
          <cell r="B2031" t="str">
            <v>变频外电脑板</v>
          </cell>
          <cell r="C2031" t="str">
            <v>领智/和而泰//</v>
          </cell>
        </row>
        <row r="2032">
          <cell r="A2032" t="str">
            <v>0011801850AA</v>
          </cell>
          <cell r="B2032" t="str">
            <v>室内电脑板-FR-4</v>
          </cell>
          <cell r="C2032" t="str">
            <v>和而泰/领智//</v>
          </cell>
        </row>
        <row r="2033">
          <cell r="A2033" t="str">
            <v>0011801850B</v>
          </cell>
          <cell r="B2033" t="str">
            <v>室内电脑板-FR-4</v>
          </cell>
          <cell r="C2033" t="str">
            <v>和而泰/领智//</v>
          </cell>
        </row>
        <row r="2034">
          <cell r="A2034" t="str">
            <v>0011801922F</v>
          </cell>
          <cell r="B2034" t="str">
            <v>室内电脑板-CEM-1</v>
          </cell>
          <cell r="C2034" t="str">
            <v>和而泰/尚研//</v>
          </cell>
        </row>
        <row r="2035">
          <cell r="A2035" t="str">
            <v>0011801922G</v>
          </cell>
          <cell r="B2035" t="str">
            <v>室内电脑板-CEM-1</v>
          </cell>
          <cell r="C2035" t="str">
            <v>和而泰/尚研//</v>
          </cell>
        </row>
        <row r="2036">
          <cell r="A2036" t="str">
            <v>0011801922H</v>
          </cell>
          <cell r="B2036" t="str">
            <v>室内电脑板-CEM-1</v>
          </cell>
          <cell r="C2036" t="str">
            <v>和而泰/尚研//</v>
          </cell>
        </row>
        <row r="2037">
          <cell r="A2037" t="str">
            <v>0011801922J</v>
          </cell>
          <cell r="B2037" t="str">
            <v>室内电脑板-CEM-1</v>
          </cell>
          <cell r="C2037" t="str">
            <v>和而泰/尚研//</v>
          </cell>
        </row>
        <row r="2038">
          <cell r="A2038" t="str">
            <v>0010405969C</v>
          </cell>
          <cell r="B2038" t="str">
            <v>遥控器</v>
          </cell>
          <cell r="C2038" t="str">
            <v>长虹</v>
          </cell>
        </row>
        <row r="2039">
          <cell r="A2039" t="str">
            <v>0011801482M</v>
          </cell>
          <cell r="B2039" t="str">
            <v>室内电脑板-CEM-1</v>
          </cell>
          <cell r="C2039" t="str">
            <v>康美特/麦格米特//</v>
          </cell>
        </row>
        <row r="2040">
          <cell r="A2040" t="str">
            <v>0011801891</v>
          </cell>
          <cell r="B2040" t="str">
            <v>一体机电脑板-CEM-1</v>
          </cell>
          <cell r="C2040" t="str">
            <v>领智/和而泰//</v>
          </cell>
        </row>
        <row r="2041">
          <cell r="A2041" t="str">
            <v>0011801910</v>
          </cell>
          <cell r="B2041" t="str">
            <v>显示板-LED</v>
          </cell>
          <cell r="C2041" t="str">
            <v>领智/和而泰//</v>
          </cell>
        </row>
        <row r="2043">
          <cell r="A2043" t="str">
            <v>0010406609AG</v>
          </cell>
          <cell r="B2043" t="e">
            <v>#REF!</v>
          </cell>
          <cell r="C2043" t="str">
            <v>合晶</v>
          </cell>
        </row>
        <row r="2044">
          <cell r="A2044" t="str">
            <v>0011801172DU</v>
          </cell>
          <cell r="B2044" t="str">
            <v>变频外电脑板-FR-4</v>
          </cell>
          <cell r="C2044" t="str">
            <v>中家智康/和而泰</v>
          </cell>
        </row>
        <row r="2045">
          <cell r="A2045" t="str">
            <v>0011801330AR</v>
          </cell>
          <cell r="B2045" t="str">
            <v>室内电脑板-CEM-1</v>
          </cell>
          <cell r="C2045" t="str">
            <v>康美特/领智//</v>
          </cell>
        </row>
        <row r="2046">
          <cell r="A2046" t="str">
            <v>0011801330AU</v>
          </cell>
          <cell r="B2046" t="str">
            <v>室内电脑板-CEM-1</v>
          </cell>
          <cell r="C2046" t="str">
            <v>领智/康美特</v>
          </cell>
        </row>
        <row r="2047">
          <cell r="A2047" t="str">
            <v>0011801330Q</v>
          </cell>
          <cell r="B2047" t="str">
            <v>室内电脑板-CEM-1</v>
          </cell>
          <cell r="C2047" t="str">
            <v>康美特/领智//</v>
          </cell>
        </row>
        <row r="2048">
          <cell r="A2048" t="str">
            <v>0010402886BJ</v>
          </cell>
          <cell r="B2048" t="str">
            <v>遥控器-塑料冰雪白 HBWH-1404</v>
          </cell>
          <cell r="C2048" t="str">
            <v>长虹</v>
          </cell>
        </row>
        <row r="2049">
          <cell r="A2049" t="str">
            <v>0010406178BH</v>
          </cell>
          <cell r="B2049" t="str">
            <v>遥控器-塑料冰雪白 WH-0114</v>
          </cell>
          <cell r="C2049" t="str">
            <v>长虹</v>
          </cell>
        </row>
        <row r="2050">
          <cell r="A2050" t="str">
            <v>0010406609V</v>
          </cell>
          <cell r="B2050" t="str">
            <v>遥控器-冰雪白 HBWH-1404</v>
          </cell>
          <cell r="C2050" t="str">
            <v>合晶</v>
          </cell>
        </row>
        <row r="2051">
          <cell r="A2051" t="str">
            <v>0011801657AA</v>
          </cell>
          <cell r="B2051" t="str">
            <v>变频外电脑板</v>
          </cell>
          <cell r="C2051" t="str">
            <v>和而泰/领智//</v>
          </cell>
        </row>
        <row r="2052">
          <cell r="A2052" t="str">
            <v>0011801675AT</v>
          </cell>
          <cell r="B2052" t="str">
            <v>室内电脑板-CEM-1</v>
          </cell>
          <cell r="C2052" t="str">
            <v>领智/康美特//</v>
          </cell>
        </row>
        <row r="2053">
          <cell r="A2053" t="str">
            <v>0011801977A</v>
          </cell>
          <cell r="B2053" t="str">
            <v>室内电脑板-CEM-1</v>
          </cell>
          <cell r="C2053" t="str">
            <v>领智/康美特//</v>
          </cell>
        </row>
        <row r="2054">
          <cell r="A2054" t="str">
            <v>0010406178BN</v>
          </cell>
          <cell r="B2054" t="str">
            <v>遥控器-冰雪白 WH-0114</v>
          </cell>
          <cell r="C2054" t="str">
            <v>合晶/思恩泰克//</v>
          </cell>
        </row>
        <row r="2055">
          <cell r="A2055" t="str">
            <v>0010406609Q</v>
          </cell>
          <cell r="B2055" t="str">
            <v>遥控器</v>
          </cell>
          <cell r="C2055" t="str">
            <v>合晶</v>
          </cell>
        </row>
        <row r="2056">
          <cell r="A2056" t="str">
            <v>0011801824N</v>
          </cell>
          <cell r="B2056" t="str">
            <v>室内电脑板</v>
          </cell>
          <cell r="C2056" t="str">
            <v>领智</v>
          </cell>
        </row>
        <row r="2057">
          <cell r="A2057" t="str">
            <v>0011801843AB</v>
          </cell>
          <cell r="B2057" t="str">
            <v>变频外电脑板-FR-4</v>
          </cell>
          <cell r="C2057" t="str">
            <v>尚研/领智//</v>
          </cell>
        </row>
        <row r="2058">
          <cell r="A2058" t="str">
            <v>0011801843AQ</v>
          </cell>
          <cell r="B2058" t="str">
            <v>变频外电脑板-FR-4</v>
          </cell>
          <cell r="C2058" t="str">
            <v>尚研/智能</v>
          </cell>
        </row>
        <row r="2059">
          <cell r="A2059" t="str">
            <v>0011801843BB</v>
          </cell>
          <cell r="B2059" t="str">
            <v>变频外电脑板-FR-4</v>
          </cell>
          <cell r="C2059" t="str">
            <v>领智/尚研</v>
          </cell>
        </row>
        <row r="2061">
          <cell r="A2061" t="str">
            <v>0011801100</v>
          </cell>
          <cell r="B2061" t="str">
            <v>显示板-/50*92</v>
          </cell>
          <cell r="C2061" t="str">
            <v>国冶星/尚研</v>
          </cell>
        </row>
        <row r="2062">
          <cell r="A2062" t="str">
            <v>0011801490CN</v>
          </cell>
          <cell r="B2062" t="str">
            <v>变频外电脑板-FR-4</v>
          </cell>
          <cell r="C2062" t="str">
            <v>领智/航嘉//</v>
          </cell>
        </row>
        <row r="2063">
          <cell r="A2063" t="str">
            <v>0011801490CQ</v>
          </cell>
          <cell r="B2063" t="str">
            <v>变频外电脑板</v>
          </cell>
          <cell r="C2063" t="str">
            <v>领智/航嘉//</v>
          </cell>
        </row>
        <row r="2064">
          <cell r="A2064" t="str">
            <v>0011801490DB</v>
          </cell>
          <cell r="B2064" t="str">
            <v>变频外电脑板-FR-4</v>
          </cell>
          <cell r="C2064" t="str">
            <v>领智</v>
          </cell>
        </row>
        <row r="2065">
          <cell r="A2065" t="str">
            <v>0011801677</v>
          </cell>
          <cell r="B2065" t="str">
            <v>室内电脑板-FR-4/</v>
          </cell>
          <cell r="C2065" t="str">
            <v>领智/尚研</v>
          </cell>
        </row>
        <row r="2066">
          <cell r="A2066" t="str">
            <v>0011801824E</v>
          </cell>
          <cell r="B2066" t="str">
            <v>室内电脑板</v>
          </cell>
          <cell r="C2066" t="str">
            <v>领智/航嘉//</v>
          </cell>
        </row>
        <row r="2067">
          <cell r="A2067" t="str">
            <v>0010406178BXCKDA</v>
          </cell>
          <cell r="B2067" t="str">
            <v>遥控器-塑料冰雪白 WH-0114</v>
          </cell>
          <cell r="C2067" t="str">
            <v>长虹</v>
          </cell>
        </row>
        <row r="2068">
          <cell r="A2068" t="str">
            <v>0011801843BXCKDA</v>
          </cell>
          <cell r="B2068" t="str">
            <v>变频外电脑板-FR-4</v>
          </cell>
          <cell r="C2068" t="str">
            <v>领智</v>
          </cell>
        </row>
        <row r="2069">
          <cell r="A2069" t="str">
            <v>0011801490DA</v>
          </cell>
          <cell r="B2069" t="str">
            <v>变频外电脑板-FR-4</v>
          </cell>
          <cell r="C2069" t="str">
            <v>领智</v>
          </cell>
        </row>
        <row r="2070">
          <cell r="A2070" t="str">
            <v>0011801490DB</v>
          </cell>
          <cell r="B2070" t="str">
            <v>变频外电脑板-FR-4</v>
          </cell>
          <cell r="C2070" t="str">
            <v>领智</v>
          </cell>
        </row>
        <row r="2071">
          <cell r="A2071" t="str">
            <v>0011801716B</v>
          </cell>
          <cell r="B2071" t="str">
            <v>显示板</v>
          </cell>
          <cell r="C2071" t="str">
            <v>部品</v>
          </cell>
        </row>
        <row r="2072">
          <cell r="A2072" t="str">
            <v>0011801824F</v>
          </cell>
          <cell r="B2072" t="str">
            <v>室内电脑板-CEM-1</v>
          </cell>
          <cell r="C2072" t="str">
            <v>领智/航嘉//</v>
          </cell>
        </row>
        <row r="2073">
          <cell r="A2073" t="str">
            <v>0011801843BB</v>
          </cell>
          <cell r="B2073" t="str">
            <v>变频外电脑板-FR-4</v>
          </cell>
          <cell r="C2073" t="str">
            <v>领智/尚研</v>
          </cell>
        </row>
        <row r="2074">
          <cell r="A2074" t="str">
            <v>0011801876AK</v>
          </cell>
          <cell r="B2074" t="str">
            <v>变频外电脑板-FR-4</v>
          </cell>
          <cell r="C2074" t="str">
            <v>中家智康</v>
          </cell>
        </row>
        <row r="2075">
          <cell r="A2075" t="str">
            <v>0011801876AL</v>
          </cell>
          <cell r="B2075" t="str">
            <v>变频外电脑板-FR-4</v>
          </cell>
          <cell r="C2075" t="str">
            <v>中家智康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物料价格查询导出"/>
    </sheetNames>
    <sheetDataSet>
      <sheetData sheetId="0">
        <row r="1">
          <cell r="B1" t="str">
            <v>物料号</v>
          </cell>
          <cell r="C1" t="str">
            <v>物料描述</v>
          </cell>
          <cell r="D1" t="str">
            <v>采购组织</v>
          </cell>
          <cell r="E1" t="str">
            <v>采购组织描述</v>
          </cell>
          <cell r="F1" t="str">
            <v>类型</v>
          </cell>
          <cell r="G1" t="str">
            <v>结束时间</v>
          </cell>
          <cell r="H1" t="str">
            <v>计划交货天数</v>
          </cell>
          <cell r="I1" t="str">
            <v>单价(不含税)</v>
          </cell>
        </row>
        <row r="2">
          <cell r="B2" t="str">
            <v>0041801970A</v>
          </cell>
          <cell r="C2" t="str">
            <v>主控板-其他\/-热泵</v>
          </cell>
          <cell r="D2" t="str">
            <v>91C1</v>
          </cell>
          <cell r="E2" t="str">
            <v>青岛海达源国内A股采购组织</v>
          </cell>
          <cell r="F2" t="str">
            <v>寄售</v>
          </cell>
          <cell r="G2" t="str">
            <v>2026-12-31</v>
          </cell>
          <cell r="H2" t="str">
            <v>14</v>
          </cell>
          <cell r="I2" t="str">
            <v>17.97</v>
          </cell>
        </row>
        <row r="3">
          <cell r="B3" t="str">
            <v>0011801045D</v>
          </cell>
          <cell r="C3" t="str">
            <v>显示板-FR-4</v>
          </cell>
          <cell r="D3" t="str">
            <v>91C1</v>
          </cell>
          <cell r="E3" t="str">
            <v>青岛海达源国内A股采购组织</v>
          </cell>
          <cell r="F3" t="str">
            <v>寄售</v>
          </cell>
          <cell r="G3" t="str">
            <v>2026-12-31</v>
          </cell>
          <cell r="H3" t="str">
            <v>15</v>
          </cell>
          <cell r="I3" t="str">
            <v>10.33</v>
          </cell>
        </row>
        <row r="4">
          <cell r="B4" t="str">
            <v>0011801522A</v>
          </cell>
          <cell r="C4" t="str">
            <v>室内电脑板-CEM-1室内电脑板俄罗斯22年DAICHI客户定频12P系列室内电</v>
          </cell>
          <cell r="D4" t="str">
            <v>91C1</v>
          </cell>
          <cell r="E4" t="str">
            <v>青岛海达源国内A股采购组织</v>
          </cell>
          <cell r="F4" t="str">
            <v>寄售</v>
          </cell>
          <cell r="G4" t="str">
            <v>2026-12-31</v>
          </cell>
          <cell r="H4" t="str">
            <v>30</v>
          </cell>
          <cell r="I4" t="str">
            <v>49.66</v>
          </cell>
        </row>
        <row r="5">
          <cell r="B5" t="str">
            <v>0011801123G</v>
          </cell>
          <cell r="C5" t="str">
            <v>室内电脑板-FR-4136*165</v>
          </cell>
          <cell r="D5" t="str">
            <v>91C1</v>
          </cell>
          <cell r="E5" t="str">
            <v>青岛海达源国内A股采购组织</v>
          </cell>
          <cell r="F5" t="str">
            <v>寄售</v>
          </cell>
          <cell r="G5" t="str">
            <v>2026-12-31</v>
          </cell>
          <cell r="H5" t="str">
            <v>30</v>
          </cell>
          <cell r="I5" t="str">
            <v>47.64</v>
          </cell>
        </row>
        <row r="6">
          <cell r="B6" t="str">
            <v>0011800607S</v>
          </cell>
          <cell r="C6" t="str">
            <v>显示板-LED</v>
          </cell>
          <cell r="D6" t="str">
            <v>9163</v>
          </cell>
          <cell r="E6" t="str">
            <v>大连保税人民币采购组织</v>
          </cell>
          <cell r="F6" t="str">
            <v>标准</v>
          </cell>
          <cell r="G6" t="str">
            <v>2026-12-31</v>
          </cell>
          <cell r="H6" t="str">
            <v>30</v>
          </cell>
          <cell r="I6" t="str">
            <v>23.05</v>
          </cell>
        </row>
        <row r="7">
          <cell r="B7" t="str">
            <v>0041801545</v>
          </cell>
          <cell r="C7" t="str">
            <v>电脑板控制板-通用热泵两匹变频2.0平台</v>
          </cell>
          <cell r="D7" t="str">
            <v>91C1</v>
          </cell>
          <cell r="E7" t="str">
            <v>青岛海达源国内A股采购组织</v>
          </cell>
          <cell r="F7" t="str">
            <v>寄售</v>
          </cell>
          <cell r="G7" t="str">
            <v>2026-12-31</v>
          </cell>
          <cell r="H7" t="str">
            <v>14</v>
          </cell>
          <cell r="I7" t="str">
            <v>216.00</v>
          </cell>
        </row>
        <row r="8">
          <cell r="B8" t="str">
            <v>0011800977R</v>
          </cell>
          <cell r="C8" t="str">
            <v>室内电脑板-CEM-1/</v>
          </cell>
          <cell r="D8" t="str">
            <v>91C1</v>
          </cell>
          <cell r="E8" t="str">
            <v>青岛海达源国内A股采购组织</v>
          </cell>
          <cell r="F8" t="str">
            <v>寄售</v>
          </cell>
          <cell r="G8" t="str">
            <v>2026-12-31</v>
          </cell>
          <cell r="H8" t="str">
            <v>30</v>
          </cell>
          <cell r="I8" t="str">
            <v>27.96</v>
          </cell>
        </row>
        <row r="9">
          <cell r="B9" t="str">
            <v>0011800923F</v>
          </cell>
          <cell r="C9" t="str">
            <v>室内电脑板-CEM-1电脑板尺寸为105*208</v>
          </cell>
          <cell r="D9" t="str">
            <v>91C1</v>
          </cell>
          <cell r="E9" t="str">
            <v>青岛海达源国内A股采购组织</v>
          </cell>
          <cell r="F9" t="str">
            <v>寄售</v>
          </cell>
          <cell r="G9" t="str">
            <v>2026-12-31</v>
          </cell>
          <cell r="H9" t="str">
            <v>30</v>
          </cell>
          <cell r="I9" t="str">
            <v>46.65</v>
          </cell>
        </row>
        <row r="10">
          <cell r="B10" t="str">
            <v>0011801522</v>
          </cell>
          <cell r="C10" t="str">
            <v>室内电脑板-CEM-1室内电脑板俄罗斯22年DAICHI客户定频07/09P系列</v>
          </cell>
          <cell r="D10" t="str">
            <v>91C1</v>
          </cell>
          <cell r="E10" t="str">
            <v>青岛海达源国内A股采购组织</v>
          </cell>
          <cell r="F10" t="str">
            <v>寄售</v>
          </cell>
          <cell r="G10" t="str">
            <v>2026-12-31</v>
          </cell>
          <cell r="H10" t="str">
            <v>30</v>
          </cell>
          <cell r="I10" t="str">
            <v>49.16</v>
          </cell>
        </row>
        <row r="11">
          <cell r="B11" t="str">
            <v>0011801123H</v>
          </cell>
          <cell r="C11" t="str">
            <v>室内电脑板-FR-4136*165</v>
          </cell>
          <cell r="D11" t="str">
            <v>91C1</v>
          </cell>
          <cell r="E11" t="str">
            <v>青岛海达源国内A股采购组织</v>
          </cell>
          <cell r="F11" t="str">
            <v>寄售</v>
          </cell>
          <cell r="G11" t="str">
            <v>2026-12-31</v>
          </cell>
          <cell r="H11" t="str">
            <v>30</v>
          </cell>
          <cell r="I11" t="str">
            <v>42.40</v>
          </cell>
        </row>
        <row r="12">
          <cell r="B12" t="str">
            <v>0151800561BBA</v>
          </cell>
          <cell r="C12" t="str">
            <v>室内电脑板-/FR-4180*155</v>
          </cell>
          <cell r="D12" t="str">
            <v>91C1</v>
          </cell>
          <cell r="E12" t="str">
            <v>青岛海达源国内A股采购组织</v>
          </cell>
          <cell r="F12" t="str">
            <v>寄售</v>
          </cell>
          <cell r="G12" t="str">
            <v>2026-12-31</v>
          </cell>
          <cell r="H12" t="str">
            <v>15</v>
          </cell>
          <cell r="I12" t="str">
            <v>88.44</v>
          </cell>
        </row>
        <row r="13">
          <cell r="B13" t="str">
            <v>0011801425W</v>
          </cell>
          <cell r="C13" t="str">
            <v>变频外电脑板-FR-4</v>
          </cell>
          <cell r="D13" t="str">
            <v>91C1</v>
          </cell>
          <cell r="E13" t="str">
            <v>青岛海达源国内A股采购组织</v>
          </cell>
          <cell r="F13" t="str">
            <v>寄售</v>
          </cell>
          <cell r="G13" t="str">
            <v>2026-12-31</v>
          </cell>
          <cell r="H13" t="str">
            <v>30</v>
          </cell>
          <cell r="I13" t="str">
            <v>109.12</v>
          </cell>
        </row>
        <row r="14">
          <cell r="B14" t="str">
            <v>0151800561BBB</v>
          </cell>
          <cell r="C14" t="str">
            <v>室内电脑板-/FR-4180*155</v>
          </cell>
          <cell r="D14" t="str">
            <v>91C1</v>
          </cell>
          <cell r="E14" t="str">
            <v>青岛海达源国内A股采购组织</v>
          </cell>
          <cell r="F14" t="str">
            <v>寄售</v>
          </cell>
          <cell r="G14" t="str">
            <v>2026-12-31</v>
          </cell>
          <cell r="H14" t="str">
            <v>15</v>
          </cell>
          <cell r="I14" t="str">
            <v>86.64</v>
          </cell>
        </row>
        <row r="15">
          <cell r="B15" t="str">
            <v>0011801123J</v>
          </cell>
          <cell r="C15" t="str">
            <v>室内电脑板-FR-4136*165</v>
          </cell>
          <cell r="D15" t="str">
            <v>91C1</v>
          </cell>
          <cell r="E15" t="str">
            <v>青岛海达源国内A股采购组织</v>
          </cell>
          <cell r="F15" t="str">
            <v>寄售</v>
          </cell>
          <cell r="G15" t="str">
            <v>2026-12-31</v>
          </cell>
          <cell r="H15" t="str">
            <v>30</v>
          </cell>
          <cell r="I15" t="str">
            <v>42.40</v>
          </cell>
        </row>
        <row r="16">
          <cell r="B16" t="str">
            <v>0011801583C</v>
          </cell>
          <cell r="C16" t="str">
            <v>室内电脑板-/162mm*130mm</v>
          </cell>
          <cell r="D16" t="str">
            <v>91C1</v>
          </cell>
          <cell r="E16" t="str">
            <v>青岛海达源国内A股采购组织</v>
          </cell>
          <cell r="F16" t="str">
            <v>寄售</v>
          </cell>
          <cell r="G16" t="str">
            <v>2026-12-31</v>
          </cell>
          <cell r="H16" t="str">
            <v>30</v>
          </cell>
          <cell r="I16" t="str">
            <v>31.63</v>
          </cell>
        </row>
        <row r="17">
          <cell r="B17" t="str">
            <v>0011801302</v>
          </cell>
          <cell r="C17" t="str">
            <v>变频外电脑板-通用/</v>
          </cell>
          <cell r="D17" t="str">
            <v>91C1</v>
          </cell>
          <cell r="E17" t="str">
            <v>青岛海达源国内A股采购组织</v>
          </cell>
          <cell r="F17" t="str">
            <v>寄售</v>
          </cell>
          <cell r="G17" t="str">
            <v>2026-12-31</v>
          </cell>
          <cell r="H17" t="str">
            <v>30</v>
          </cell>
          <cell r="I17" t="str">
            <v>73.80</v>
          </cell>
        </row>
        <row r="18">
          <cell r="B18" t="str">
            <v>0190400340</v>
          </cell>
          <cell r="C18" t="str">
            <v>主控板-通用净水厨下即热项目使用,双面板板材FR-4,CTI=600,尺寸172</v>
          </cell>
          <cell r="D18" t="str">
            <v>91C1</v>
          </cell>
          <cell r="E18" t="str">
            <v>青岛海达源国内A股采购组织</v>
          </cell>
          <cell r="F18" t="str">
            <v>寄售</v>
          </cell>
          <cell r="G18" t="str">
            <v>2026-12-31</v>
          </cell>
          <cell r="H18" t="str">
            <v>7</v>
          </cell>
          <cell r="I18" t="str">
            <v>64.60</v>
          </cell>
        </row>
        <row r="19">
          <cell r="B19" t="str">
            <v>0011801606</v>
          </cell>
          <cell r="C19" t="str">
            <v>室内电脑板-FR-4340*88mm</v>
          </cell>
          <cell r="D19" t="str">
            <v>91C1</v>
          </cell>
          <cell r="E19" t="str">
            <v>青岛海达源国内A股采购组织</v>
          </cell>
          <cell r="F19" t="str">
            <v>寄售</v>
          </cell>
          <cell r="G19" t="str">
            <v>2026-12-31</v>
          </cell>
          <cell r="H19" t="str">
            <v>30</v>
          </cell>
          <cell r="I19" t="str">
            <v>95.40</v>
          </cell>
        </row>
        <row r="20">
          <cell r="B20" t="str">
            <v>0011800879P</v>
          </cell>
          <cell r="C20" t="str">
            <v>变频外电脑板-FR-4室外电脑板</v>
          </cell>
          <cell r="D20" t="str">
            <v>91C1</v>
          </cell>
          <cell r="E20" t="str">
            <v>青岛海达源国内A股采购组织</v>
          </cell>
          <cell r="F20" t="str">
            <v>寄售</v>
          </cell>
          <cell r="G20" t="str">
            <v>2026-12-31</v>
          </cell>
          <cell r="H20" t="str">
            <v>30</v>
          </cell>
          <cell r="I20" t="str">
            <v>160.75</v>
          </cell>
        </row>
        <row r="21">
          <cell r="B21" t="str">
            <v>0011801425X</v>
          </cell>
          <cell r="C21" t="str">
            <v>变频外电脑板-FR-4</v>
          </cell>
          <cell r="D21" t="str">
            <v>91C1</v>
          </cell>
          <cell r="E21" t="str">
            <v>青岛海达源国内A股采购组织</v>
          </cell>
          <cell r="F21" t="str">
            <v>寄售</v>
          </cell>
          <cell r="G21" t="str">
            <v>2026-12-31</v>
          </cell>
          <cell r="H21" t="str">
            <v>30</v>
          </cell>
          <cell r="I21" t="str">
            <v>108.85</v>
          </cell>
        </row>
        <row r="22">
          <cell r="B22" t="str">
            <v>0041800751HYS</v>
          </cell>
          <cell r="C22" t="str">
            <v>AD显示板-LED-电热</v>
          </cell>
          <cell r="D22" t="str">
            <v>91C1</v>
          </cell>
          <cell r="E22" t="str">
            <v>青岛海达源国内A股采购组织</v>
          </cell>
          <cell r="F22" t="str">
            <v>寄售</v>
          </cell>
          <cell r="G22" t="str">
            <v>2026-12-31</v>
          </cell>
          <cell r="H22" t="str">
            <v>14</v>
          </cell>
          <cell r="I22" t="str">
            <v>17.43</v>
          </cell>
        </row>
        <row r="23">
          <cell r="B23" t="str">
            <v>0011801652</v>
          </cell>
          <cell r="C23" t="str">
            <v>室内电脑板-/</v>
          </cell>
          <cell r="D23" t="str">
            <v>9163</v>
          </cell>
          <cell r="E23" t="str">
            <v>大连保税人民币采购组织</v>
          </cell>
          <cell r="F23" t="str">
            <v>标准</v>
          </cell>
          <cell r="G23" t="str">
            <v>2026-12-31</v>
          </cell>
          <cell r="H23" t="str">
            <v>15</v>
          </cell>
          <cell r="I23" t="str">
            <v>47.16</v>
          </cell>
        </row>
        <row r="24">
          <cell r="B24" t="str">
            <v>0041801117AE</v>
          </cell>
          <cell r="C24" t="str">
            <v>AD显示板-LED显示板尺寸330mm*40mm*9mm,支架尺寸38mm*34</v>
          </cell>
          <cell r="D24" t="str">
            <v>91C1</v>
          </cell>
          <cell r="E24" t="str">
            <v>青岛海达源国内A股采购组织</v>
          </cell>
          <cell r="F24" t="str">
            <v>寄售</v>
          </cell>
          <cell r="G24" t="str">
            <v>2026-12-31</v>
          </cell>
          <cell r="H24" t="str">
            <v>14</v>
          </cell>
          <cell r="I24" t="str">
            <v>23.30</v>
          </cell>
        </row>
        <row r="25">
          <cell r="B25" t="str">
            <v>0011801172CJ</v>
          </cell>
          <cell r="C25" t="str">
            <v>变频外电脑板-FR-4240*180</v>
          </cell>
          <cell r="D25" t="str">
            <v>91C1</v>
          </cell>
          <cell r="E25" t="str">
            <v>青岛海达源国内A股采购组织</v>
          </cell>
          <cell r="F25" t="str">
            <v>寄售</v>
          </cell>
          <cell r="G25" t="str">
            <v>2026-12-31</v>
          </cell>
          <cell r="H25" t="str">
            <v>30</v>
          </cell>
          <cell r="I25" t="str">
            <v>187.50</v>
          </cell>
        </row>
        <row r="26">
          <cell r="B26" t="str">
            <v>0011801424AP</v>
          </cell>
          <cell r="C26" t="str">
            <v>变频外电脑板-FR-4/</v>
          </cell>
          <cell r="D26" t="str">
            <v>91C1</v>
          </cell>
          <cell r="E26" t="str">
            <v>青岛海达源国内A股采购组织</v>
          </cell>
          <cell r="F26" t="str">
            <v>寄售</v>
          </cell>
          <cell r="G26" t="str">
            <v>2026-12-31</v>
          </cell>
          <cell r="H26" t="str">
            <v>3</v>
          </cell>
          <cell r="I26" t="str">
            <v>115.64</v>
          </cell>
        </row>
        <row r="27">
          <cell r="B27" t="str">
            <v>0041801117A</v>
          </cell>
          <cell r="C27" t="str">
            <v>AD显示板-LED显示板尺寸330mm*40mm*9mm,支架尺寸38mm*34</v>
          </cell>
          <cell r="D27" t="str">
            <v>91C1</v>
          </cell>
          <cell r="E27" t="str">
            <v>青岛海达源国内A股采购组织</v>
          </cell>
          <cell r="F27" t="str">
            <v>寄售</v>
          </cell>
          <cell r="G27" t="str">
            <v>2026-12-31</v>
          </cell>
          <cell r="H27" t="str">
            <v>14</v>
          </cell>
          <cell r="I27" t="str">
            <v>24.50</v>
          </cell>
        </row>
        <row r="28">
          <cell r="B28" t="str">
            <v>0151800561CA</v>
          </cell>
          <cell r="C28" t="str">
            <v>电脑板-/FR-4180mm风管机直流外置驱动+交流线控器</v>
          </cell>
          <cell r="D28" t="str">
            <v>91C1</v>
          </cell>
          <cell r="E28" t="str">
            <v>青岛海达源国内A股采购组织</v>
          </cell>
          <cell r="F28" t="str">
            <v>寄售</v>
          </cell>
          <cell r="G28" t="str">
            <v>2026-12-31</v>
          </cell>
          <cell r="H28" t="str">
            <v>45</v>
          </cell>
          <cell r="I28" t="str">
            <v>120.60</v>
          </cell>
        </row>
        <row r="29">
          <cell r="B29" t="str">
            <v>0041800751DYS</v>
          </cell>
          <cell r="C29" t="str">
            <v>AD显示板-LEDAD显示板-电热</v>
          </cell>
          <cell r="D29" t="str">
            <v>91C1</v>
          </cell>
          <cell r="E29" t="str">
            <v>青岛海达源国内A股采购组织</v>
          </cell>
          <cell r="F29" t="str">
            <v>寄售</v>
          </cell>
          <cell r="G29" t="str">
            <v>2026-12-31</v>
          </cell>
          <cell r="H29" t="str">
            <v>14</v>
          </cell>
          <cell r="I29" t="str">
            <v>16.97</v>
          </cell>
        </row>
        <row r="30">
          <cell r="B30" t="str">
            <v>0041800751JYS</v>
          </cell>
          <cell r="C30" t="str">
            <v>AD显示板-LED-电热</v>
          </cell>
          <cell r="D30" t="str">
            <v>91C1</v>
          </cell>
          <cell r="E30" t="str">
            <v>青岛海达源国内A股采购组织</v>
          </cell>
          <cell r="F30" t="str">
            <v>寄售</v>
          </cell>
          <cell r="G30" t="str">
            <v>2026-12-31</v>
          </cell>
          <cell r="H30" t="str">
            <v>14</v>
          </cell>
          <cell r="I30" t="str">
            <v>17.39</v>
          </cell>
        </row>
        <row r="31">
          <cell r="B31" t="str">
            <v>0151801003A</v>
          </cell>
          <cell r="C31" t="str">
            <v>电脑板-FR-4</v>
          </cell>
          <cell r="D31" t="str">
            <v>91C1</v>
          </cell>
          <cell r="E31" t="str">
            <v>青岛海达源国内A股采购组织</v>
          </cell>
          <cell r="F31" t="str">
            <v>寄售</v>
          </cell>
          <cell r="G31" t="str">
            <v>2026-12-31</v>
          </cell>
          <cell r="H31" t="str">
            <v>45</v>
          </cell>
          <cell r="I31" t="str">
            <v>77.79</v>
          </cell>
        </row>
        <row r="32">
          <cell r="B32" t="str">
            <v>0011801659</v>
          </cell>
          <cell r="C32" t="str">
            <v>显示板-LED</v>
          </cell>
          <cell r="D32" t="str">
            <v>9163</v>
          </cell>
          <cell r="E32" t="str">
            <v>大连保税人民币采购组织</v>
          </cell>
          <cell r="F32" t="str">
            <v>标准</v>
          </cell>
          <cell r="G32" t="str">
            <v>2026-12-31</v>
          </cell>
          <cell r="H32" t="str">
            <v>15</v>
          </cell>
          <cell r="I32" t="str">
            <v>7.37</v>
          </cell>
        </row>
        <row r="33">
          <cell r="B33" t="str">
            <v>0041800751SA</v>
          </cell>
          <cell r="C33" t="str">
            <v>AD显示板-LED板尺寸:340*45mm,支架尺寸:56.45*36*11.2</v>
          </cell>
          <cell r="D33" t="str">
            <v>91C1</v>
          </cell>
          <cell r="E33" t="str">
            <v>青岛海达源国内A股采购组织</v>
          </cell>
          <cell r="F33" t="str">
            <v>寄售</v>
          </cell>
          <cell r="G33" t="str">
            <v>2026-12-31</v>
          </cell>
          <cell r="H33" t="str">
            <v>14</v>
          </cell>
          <cell r="I33" t="str">
            <v>17.48</v>
          </cell>
        </row>
        <row r="34">
          <cell r="B34" t="str">
            <v>0041800751GYS</v>
          </cell>
          <cell r="C34" t="str">
            <v>AD显示板-LED显示板--MG5/MG7-电热</v>
          </cell>
          <cell r="D34" t="str">
            <v>91C1</v>
          </cell>
          <cell r="E34" t="str">
            <v>青岛海达源国内A股采购组织</v>
          </cell>
          <cell r="F34" t="str">
            <v>寄售</v>
          </cell>
          <cell r="G34" t="str">
            <v>2026-12-31</v>
          </cell>
          <cell r="H34" t="str">
            <v>14</v>
          </cell>
          <cell r="I34" t="str">
            <v>18.40</v>
          </cell>
        </row>
        <row r="35">
          <cell r="B35" t="str">
            <v>0021800615</v>
          </cell>
          <cell r="C35" t="str">
            <v>显示板-LED5V</v>
          </cell>
          <cell r="D35" t="str">
            <v>91C1</v>
          </cell>
          <cell r="E35" t="str">
            <v>青岛海达源国内A股采购组织</v>
          </cell>
          <cell r="F35" t="str">
            <v>寄售</v>
          </cell>
          <cell r="G35" t="str">
            <v>2026-12-31</v>
          </cell>
          <cell r="H35" t="str">
            <v>10</v>
          </cell>
          <cell r="I35" t="str">
            <v>67.19</v>
          </cell>
        </row>
        <row r="36">
          <cell r="B36" t="str">
            <v>0041801117AD</v>
          </cell>
          <cell r="C36" t="str">
            <v>AD显示板-LED显示板尺寸330mm*40mm*9mm,支架尺寸38mm*34</v>
          </cell>
          <cell r="D36" t="str">
            <v>91C1</v>
          </cell>
          <cell r="E36" t="str">
            <v>青岛海达源国内A股采购组织</v>
          </cell>
          <cell r="F36" t="str">
            <v>寄售</v>
          </cell>
          <cell r="G36" t="str">
            <v>2026-12-31</v>
          </cell>
          <cell r="H36" t="str">
            <v>14</v>
          </cell>
          <cell r="I36" t="str">
            <v>24.50</v>
          </cell>
        </row>
        <row r="37">
          <cell r="B37" t="str">
            <v>0151800228CA</v>
          </cell>
          <cell r="C37" t="str">
            <v>电脑板-FR-4嵌入机转合肥直流外置驱动断电关阀及2芯无极性</v>
          </cell>
          <cell r="D37" t="str">
            <v>91C1</v>
          </cell>
          <cell r="E37" t="str">
            <v>青岛海达源国内A股采购组织</v>
          </cell>
          <cell r="F37" t="str">
            <v>寄售</v>
          </cell>
          <cell r="G37" t="str">
            <v>2026-12-31</v>
          </cell>
          <cell r="H37" t="str">
            <v>45</v>
          </cell>
          <cell r="I37" t="str">
            <v>103.00</v>
          </cell>
        </row>
        <row r="38">
          <cell r="B38" t="str">
            <v>0011801644</v>
          </cell>
          <cell r="C38" t="str">
            <v>一体机电脑板-FR-4</v>
          </cell>
          <cell r="D38" t="str">
            <v>9163</v>
          </cell>
          <cell r="E38" t="str">
            <v>大连保税人民币采购组织</v>
          </cell>
          <cell r="F38" t="str">
            <v>标准</v>
          </cell>
          <cell r="G38" t="str">
            <v>2026-12-31</v>
          </cell>
          <cell r="H38" t="str">
            <v>30</v>
          </cell>
          <cell r="I38" t="str">
            <v>132.62</v>
          </cell>
        </row>
        <row r="39">
          <cell r="B39" t="str">
            <v>0011801516</v>
          </cell>
          <cell r="C39" t="str">
            <v>变频外电脑板-FR-4300mm*180mm</v>
          </cell>
          <cell r="D39" t="str">
            <v>91C1</v>
          </cell>
          <cell r="E39" t="str">
            <v>青岛海达源国内A股采购组织</v>
          </cell>
          <cell r="F39" t="str">
            <v>寄售</v>
          </cell>
          <cell r="G39" t="str">
            <v>2026-12-31</v>
          </cell>
          <cell r="H39" t="str">
            <v>15</v>
          </cell>
          <cell r="I39" t="str">
            <v>236.16</v>
          </cell>
        </row>
        <row r="40">
          <cell r="B40" t="str">
            <v>0041801136E</v>
          </cell>
          <cell r="C40" t="str">
            <v>AD显示板-LED-燃气</v>
          </cell>
          <cell r="D40" t="str">
            <v>91C1</v>
          </cell>
          <cell r="E40" t="str">
            <v>青岛海达源国内A股采购组织</v>
          </cell>
          <cell r="F40" t="str">
            <v>寄售</v>
          </cell>
          <cell r="G40" t="str">
            <v>2026-12-31</v>
          </cell>
          <cell r="H40" t="str">
            <v>7</v>
          </cell>
          <cell r="I40" t="str">
            <v>31.22</v>
          </cell>
        </row>
        <row r="41">
          <cell r="B41" t="str">
            <v>0011800977P</v>
          </cell>
          <cell r="C41" t="str">
            <v>室内电脑板-CEM-1/</v>
          </cell>
          <cell r="D41" t="str">
            <v>91C1</v>
          </cell>
          <cell r="E41" t="str">
            <v>青岛海达源国内A股采购组织</v>
          </cell>
          <cell r="F41" t="str">
            <v>寄售</v>
          </cell>
          <cell r="G41" t="str">
            <v>2026-12-31</v>
          </cell>
          <cell r="H41" t="str">
            <v>30</v>
          </cell>
          <cell r="I41" t="str">
            <v>27.96</v>
          </cell>
        </row>
        <row r="42">
          <cell r="B42" t="str">
            <v>0190400556</v>
          </cell>
          <cell r="C42" t="str">
            <v>主控板-通用净水主控板-台式机凉白开净水主控板-台式机凉白开</v>
          </cell>
          <cell r="D42" t="str">
            <v>91C1</v>
          </cell>
          <cell r="E42" t="str">
            <v>青岛海达源国内A股采购组织</v>
          </cell>
          <cell r="F42" t="str">
            <v>寄售</v>
          </cell>
          <cell r="G42" t="str">
            <v>2026-12-31</v>
          </cell>
          <cell r="H42" t="str">
            <v>7</v>
          </cell>
          <cell r="I42" t="str">
            <v>56.34</v>
          </cell>
        </row>
        <row r="43">
          <cell r="B43" t="str">
            <v>0011800980D</v>
          </cell>
          <cell r="C43" t="str">
            <v>室内电脑板-FR-4136*165</v>
          </cell>
          <cell r="D43" t="str">
            <v>91C1</v>
          </cell>
          <cell r="E43" t="str">
            <v>青岛海达源国内A股采购组织</v>
          </cell>
          <cell r="F43" t="str">
            <v>寄售</v>
          </cell>
          <cell r="G43" t="str">
            <v>2026-12-31</v>
          </cell>
          <cell r="H43" t="str">
            <v>30</v>
          </cell>
          <cell r="I43" t="str">
            <v>65.90</v>
          </cell>
        </row>
        <row r="44">
          <cell r="B44" t="str">
            <v>0011801123K</v>
          </cell>
          <cell r="C44" t="str">
            <v>室内电脑板-FR-4136*165</v>
          </cell>
          <cell r="D44" t="str">
            <v>91C1</v>
          </cell>
          <cell r="E44" t="str">
            <v>青岛海达源国内A股采购组织</v>
          </cell>
          <cell r="F44" t="str">
            <v>寄售</v>
          </cell>
          <cell r="G44" t="str">
            <v>2026-12-31</v>
          </cell>
          <cell r="H44" t="str">
            <v>15</v>
          </cell>
          <cell r="I44" t="str">
            <v>47.23</v>
          </cell>
        </row>
        <row r="45">
          <cell r="B45" t="str">
            <v>0011800691AN</v>
          </cell>
          <cell r="C45" t="str">
            <v>室内电脑板-/162mm*130mm</v>
          </cell>
          <cell r="D45" t="str">
            <v>91C1</v>
          </cell>
          <cell r="E45" t="str">
            <v>青岛海达源国内A股采购组织</v>
          </cell>
          <cell r="F45" t="str">
            <v>寄售</v>
          </cell>
          <cell r="G45" t="str">
            <v>2026-12-31</v>
          </cell>
          <cell r="H45" t="str">
            <v>15</v>
          </cell>
          <cell r="I45" t="str">
            <v>27.73</v>
          </cell>
        </row>
        <row r="46">
          <cell r="B46" t="str">
            <v>0011801826</v>
          </cell>
          <cell r="C46" t="str">
            <v>室内电脑板-FR-4136*165</v>
          </cell>
          <cell r="D46" t="str">
            <v>91C1</v>
          </cell>
          <cell r="E46" t="str">
            <v>青岛海达源国内A股采购组织</v>
          </cell>
          <cell r="F46" t="str">
            <v>寄售</v>
          </cell>
          <cell r="G46" t="str">
            <v>2026-12-31</v>
          </cell>
          <cell r="H46" t="str">
            <v>15</v>
          </cell>
          <cell r="I46" t="str">
            <v>51.02</v>
          </cell>
        </row>
        <row r="47">
          <cell r="B47" t="str">
            <v>0121800174D</v>
          </cell>
          <cell r="C47" t="str">
            <v>显示板-LED</v>
          </cell>
          <cell r="D47" t="str">
            <v>91C1</v>
          </cell>
          <cell r="E47" t="str">
            <v>青岛海达源国内A股采购组织</v>
          </cell>
          <cell r="F47" t="str">
            <v>寄售</v>
          </cell>
          <cell r="G47" t="str">
            <v>0000-00-00</v>
          </cell>
          <cell r="H47" t="str">
            <v>7</v>
          </cell>
          <cell r="I47" t="str">
            <v>0.00</v>
          </cell>
        </row>
        <row r="48">
          <cell r="B48" t="str">
            <v>0011800977T</v>
          </cell>
          <cell r="C48" t="str">
            <v>室内电脑板-CEM-1/</v>
          </cell>
          <cell r="D48" t="str">
            <v>91C1</v>
          </cell>
          <cell r="E48" t="str">
            <v>青岛海达源国内A股采购组织</v>
          </cell>
          <cell r="F48" t="str">
            <v>寄售</v>
          </cell>
          <cell r="G48" t="str">
            <v>2026-12-31</v>
          </cell>
          <cell r="H48" t="str">
            <v>15</v>
          </cell>
          <cell r="I48" t="str">
            <v>28.41</v>
          </cell>
        </row>
        <row r="49">
          <cell r="B49" t="str">
            <v>0011801716</v>
          </cell>
          <cell r="C49" t="str">
            <v>显示板-LED</v>
          </cell>
          <cell r="D49" t="str">
            <v>91C1</v>
          </cell>
          <cell r="E49" t="str">
            <v>青岛海达源国内A股采购组织</v>
          </cell>
          <cell r="F49" t="str">
            <v>寄售</v>
          </cell>
          <cell r="G49" t="str">
            <v>2026-12-31</v>
          </cell>
          <cell r="H49" t="str">
            <v>15</v>
          </cell>
          <cell r="I49" t="str">
            <v>11.79</v>
          </cell>
        </row>
        <row r="50">
          <cell r="B50" t="str">
            <v>0011801424AT</v>
          </cell>
          <cell r="C50" t="str">
            <v>变频外电脑板-FR-4/</v>
          </cell>
          <cell r="D50" t="str">
            <v>91C1</v>
          </cell>
          <cell r="E50" t="str">
            <v>青岛海达源国内A股采购组织</v>
          </cell>
          <cell r="F50" t="str">
            <v>寄售</v>
          </cell>
          <cell r="G50" t="str">
            <v>2026-12-31</v>
          </cell>
          <cell r="H50" t="str">
            <v>15</v>
          </cell>
          <cell r="I50" t="str">
            <v>113.71</v>
          </cell>
        </row>
        <row r="51">
          <cell r="B51" t="str">
            <v>0041800773E</v>
          </cell>
          <cell r="C51" t="str">
            <v>AD显示板-LEDPCB尺寸45mm*215mm*14mm,支架尺寸35mm*4</v>
          </cell>
          <cell r="D51" t="str">
            <v>91C1</v>
          </cell>
          <cell r="E51" t="str">
            <v>青岛海达源国内A股采购组织</v>
          </cell>
          <cell r="F51" t="str">
            <v>寄售</v>
          </cell>
          <cell r="G51" t="str">
            <v>2026-12-31</v>
          </cell>
          <cell r="H51" t="str">
            <v>14</v>
          </cell>
          <cell r="I51" t="str">
            <v>12.74</v>
          </cell>
        </row>
        <row r="52">
          <cell r="B52" t="str">
            <v>0011801119N</v>
          </cell>
          <cell r="C52" t="str">
            <v>变频外电脑板-FR-4215mm*157mm</v>
          </cell>
          <cell r="D52" t="str">
            <v>91C1</v>
          </cell>
          <cell r="E52" t="str">
            <v>青岛海达源国内A股采购组织</v>
          </cell>
          <cell r="F52" t="str">
            <v>寄售</v>
          </cell>
          <cell r="G52" t="str">
            <v>2026-12-31</v>
          </cell>
          <cell r="H52" t="str">
            <v>15</v>
          </cell>
          <cell r="I52" t="str">
            <v>94.85</v>
          </cell>
        </row>
        <row r="53">
          <cell r="B53" t="str">
            <v>0041801136D</v>
          </cell>
          <cell r="C53" t="str">
            <v>AD显示板-LED-燃气</v>
          </cell>
          <cell r="D53" t="str">
            <v>91C1</v>
          </cell>
          <cell r="E53" t="str">
            <v>青岛海达源国内A股采购组织</v>
          </cell>
          <cell r="F53" t="str">
            <v>寄售</v>
          </cell>
          <cell r="G53" t="str">
            <v>2026-12-31</v>
          </cell>
          <cell r="H53" t="str">
            <v>7</v>
          </cell>
          <cell r="I53" t="str">
            <v>31.90</v>
          </cell>
        </row>
        <row r="54">
          <cell r="B54" t="str">
            <v>0041800569</v>
          </cell>
          <cell r="C54" t="str">
            <v>AD电源板-CEM-3海尔通用-2继电器</v>
          </cell>
          <cell r="D54" t="str">
            <v>91C1</v>
          </cell>
          <cell r="E54" t="str">
            <v>青岛海达源国内A股采购组织</v>
          </cell>
          <cell r="F54" t="str">
            <v>寄售</v>
          </cell>
          <cell r="G54" t="str">
            <v>2026-12-31</v>
          </cell>
          <cell r="H54" t="str">
            <v>14</v>
          </cell>
          <cell r="I54" t="str">
            <v>17.00</v>
          </cell>
        </row>
        <row r="55">
          <cell r="B55" t="str">
            <v>0011801119P</v>
          </cell>
          <cell r="C55" t="str">
            <v>变频外电脑板-FR-4215mm*157mm</v>
          </cell>
          <cell r="D55" t="str">
            <v>91C1</v>
          </cell>
          <cell r="E55" t="str">
            <v>青岛海达源国内A股采购组织</v>
          </cell>
          <cell r="F55" t="str">
            <v>寄售</v>
          </cell>
          <cell r="G55" t="str">
            <v>2026-12-31</v>
          </cell>
          <cell r="H55" t="str">
            <v>15</v>
          </cell>
          <cell r="I55" t="str">
            <v>93.80</v>
          </cell>
        </row>
        <row r="56">
          <cell r="B56" t="str">
            <v>0011801256S</v>
          </cell>
          <cell r="C56" t="str">
            <v>室内电脑板-CEM-1</v>
          </cell>
          <cell r="D56" t="str">
            <v>91C1</v>
          </cell>
          <cell r="E56" t="str">
            <v>青岛海达源国内A股采购组织</v>
          </cell>
          <cell r="F56" t="str">
            <v>寄售</v>
          </cell>
          <cell r="G56" t="str">
            <v>2026-12-31</v>
          </cell>
          <cell r="H56" t="str">
            <v>15</v>
          </cell>
          <cell r="I56" t="str">
            <v>37.11</v>
          </cell>
        </row>
        <row r="57">
          <cell r="B57" t="str">
            <v>0011801424AX</v>
          </cell>
          <cell r="C57" t="str">
            <v>变频外电脑板-FR-4/</v>
          </cell>
          <cell r="D57" t="str">
            <v>91C1</v>
          </cell>
          <cell r="E57" t="str">
            <v>青岛海达源国内A股采购组织</v>
          </cell>
          <cell r="F57" t="str">
            <v>寄售</v>
          </cell>
          <cell r="G57" t="str">
            <v>2026-12-31</v>
          </cell>
          <cell r="H57" t="str">
            <v>15</v>
          </cell>
          <cell r="I57" t="str">
            <v>115.43</v>
          </cell>
        </row>
        <row r="58">
          <cell r="B58" t="str">
            <v>0190400527B</v>
          </cell>
          <cell r="C58" t="str">
            <v>显示板-通用</v>
          </cell>
          <cell r="D58" t="str">
            <v>91C1</v>
          </cell>
          <cell r="E58" t="str">
            <v>青岛海达源国内A股采购组织</v>
          </cell>
          <cell r="F58" t="str">
            <v>寄售</v>
          </cell>
          <cell r="G58" t="str">
            <v>2026-12-31</v>
          </cell>
          <cell r="H58" t="str">
            <v>7</v>
          </cell>
          <cell r="I58" t="str">
            <v>19.12</v>
          </cell>
        </row>
        <row r="59">
          <cell r="B59" t="str">
            <v>0021800615A</v>
          </cell>
          <cell r="C59" t="str">
            <v>显示板-LED5V</v>
          </cell>
          <cell r="D59" t="str">
            <v>91C1</v>
          </cell>
          <cell r="E59" t="str">
            <v>青岛海达源国内A股采购组织</v>
          </cell>
          <cell r="F59" t="str">
            <v>寄售</v>
          </cell>
          <cell r="G59" t="str">
            <v>2026-12-31</v>
          </cell>
          <cell r="H59" t="str">
            <v>10</v>
          </cell>
          <cell r="I59" t="str">
            <v>67.19</v>
          </cell>
        </row>
        <row r="60">
          <cell r="B60" t="str">
            <v>0011801424AY</v>
          </cell>
          <cell r="C60" t="str">
            <v>变频外电脑板-FR-4</v>
          </cell>
          <cell r="D60" t="str">
            <v>91C1</v>
          </cell>
          <cell r="E60" t="str">
            <v>青岛海达源国内A股采购组织</v>
          </cell>
          <cell r="F60" t="str">
            <v>寄售</v>
          </cell>
          <cell r="G60" t="str">
            <v>2026-12-31</v>
          </cell>
          <cell r="H60" t="str">
            <v>15</v>
          </cell>
          <cell r="I60" t="str">
            <v>122.40</v>
          </cell>
        </row>
        <row r="61">
          <cell r="B61" t="str">
            <v>0190400507A</v>
          </cell>
          <cell r="C61" t="str">
            <v>主控板-通用双面板,245*93mm净水</v>
          </cell>
          <cell r="D61" t="str">
            <v>91C1</v>
          </cell>
          <cell r="E61" t="str">
            <v>青岛海达源国内A股采购组织</v>
          </cell>
          <cell r="F61" t="str">
            <v>寄售</v>
          </cell>
          <cell r="G61" t="str">
            <v>2026-12-31</v>
          </cell>
          <cell r="H61" t="str">
            <v>7</v>
          </cell>
          <cell r="I61" t="str">
            <v>68.57</v>
          </cell>
        </row>
        <row r="62">
          <cell r="B62" t="str">
            <v>0011801606E</v>
          </cell>
          <cell r="C62" t="str">
            <v>室内电脑板-FR-4340*88mm</v>
          </cell>
          <cell r="D62" t="str">
            <v>91C1</v>
          </cell>
          <cell r="E62" t="str">
            <v>青岛海达源国内A股采购组织</v>
          </cell>
          <cell r="F62" t="str">
            <v>寄售</v>
          </cell>
          <cell r="G62" t="str">
            <v>2026-12-31</v>
          </cell>
          <cell r="H62" t="str">
            <v>15</v>
          </cell>
          <cell r="I62" t="str">
            <v>73.61</v>
          </cell>
        </row>
        <row r="63">
          <cell r="B63" t="str">
            <v>0121800104W</v>
          </cell>
          <cell r="C63" t="str">
            <v>显示板-LED</v>
          </cell>
          <cell r="D63" t="str">
            <v>91C1</v>
          </cell>
          <cell r="E63" t="str">
            <v>青岛海达源国内A股采购组织</v>
          </cell>
          <cell r="F63" t="str">
            <v>寄售</v>
          </cell>
          <cell r="G63" t="str">
            <v>2026-12-31</v>
          </cell>
          <cell r="H63" t="str">
            <v>7</v>
          </cell>
          <cell r="I63" t="str">
            <v>61.10</v>
          </cell>
        </row>
        <row r="64">
          <cell r="B64" t="str">
            <v>0011801048AE</v>
          </cell>
          <cell r="C64" t="str">
            <v>变频外电脑板-FR-4/</v>
          </cell>
          <cell r="D64" t="str">
            <v>91C1</v>
          </cell>
          <cell r="E64" t="str">
            <v>青岛海达源国内A股采购组织</v>
          </cell>
          <cell r="F64" t="str">
            <v>寄售</v>
          </cell>
          <cell r="G64" t="str">
            <v>2026-12-31</v>
          </cell>
          <cell r="H64" t="str">
            <v>15</v>
          </cell>
          <cell r="I64" t="str">
            <v>131.77</v>
          </cell>
        </row>
        <row r="65">
          <cell r="B65" t="str">
            <v>0011800607T</v>
          </cell>
          <cell r="C65" t="str">
            <v>显示板-LED/</v>
          </cell>
          <cell r="D65" t="str">
            <v>9163</v>
          </cell>
          <cell r="E65" t="str">
            <v>大连保税人民币采购组织</v>
          </cell>
          <cell r="F65" t="str">
            <v>标准</v>
          </cell>
          <cell r="G65" t="str">
            <v>2026-12-31</v>
          </cell>
          <cell r="H65" t="str">
            <v>30</v>
          </cell>
          <cell r="I65" t="str">
            <v>21.76</v>
          </cell>
        </row>
        <row r="66">
          <cell r="B66" t="str">
            <v>0011801737A</v>
          </cell>
          <cell r="C66" t="str">
            <v>显示板-LED166*93mm</v>
          </cell>
          <cell r="D66" t="str">
            <v>91C1</v>
          </cell>
          <cell r="E66" t="str">
            <v>青岛海达源国内A股采购组织</v>
          </cell>
          <cell r="F66" t="str">
            <v>寄售</v>
          </cell>
          <cell r="G66" t="str">
            <v>2026-12-31</v>
          </cell>
          <cell r="H66" t="str">
            <v>30</v>
          </cell>
          <cell r="I66" t="str">
            <v>28.50</v>
          </cell>
        </row>
        <row r="67">
          <cell r="B67" t="str">
            <v>0011800977J</v>
          </cell>
          <cell r="C67" t="str">
            <v>室内电脑板-CEM-1/</v>
          </cell>
          <cell r="D67" t="str">
            <v>91C1</v>
          </cell>
          <cell r="E67" t="str">
            <v>青岛海达源国内A股采购组织</v>
          </cell>
          <cell r="F67" t="str">
            <v>寄售</v>
          </cell>
          <cell r="G67" t="str">
            <v>2026-12-31</v>
          </cell>
          <cell r="H67" t="str">
            <v>30</v>
          </cell>
          <cell r="I67" t="str">
            <v>29.42</v>
          </cell>
        </row>
        <row r="68">
          <cell r="B68" t="str">
            <v>0011801713</v>
          </cell>
          <cell r="C68" t="str">
            <v>显示板-LED</v>
          </cell>
          <cell r="D68" t="str">
            <v>9163</v>
          </cell>
          <cell r="E68" t="str">
            <v>大连保税人民币采购组织</v>
          </cell>
          <cell r="F68" t="str">
            <v>标准</v>
          </cell>
          <cell r="G68" t="str">
            <v>2026-12-31</v>
          </cell>
          <cell r="H68" t="str">
            <v>30</v>
          </cell>
          <cell r="I68" t="str">
            <v>19.65</v>
          </cell>
        </row>
        <row r="69">
          <cell r="B69" t="str">
            <v>0011801330C</v>
          </cell>
          <cell r="C69" t="str">
            <v>室内电脑板-CEM-1</v>
          </cell>
          <cell r="D69" t="str">
            <v>91C1</v>
          </cell>
          <cell r="E69" t="str">
            <v>青岛海达源国内A股采购组织</v>
          </cell>
          <cell r="F69" t="str">
            <v>寄售</v>
          </cell>
          <cell r="G69" t="str">
            <v>2026-12-31</v>
          </cell>
          <cell r="H69" t="str">
            <v>15</v>
          </cell>
          <cell r="I69" t="str">
            <v>37.33</v>
          </cell>
        </row>
        <row r="70">
          <cell r="B70" t="str">
            <v>0041801117D</v>
          </cell>
          <cell r="C70" t="str">
            <v>AD显示板-LED330*39.95*10mm电热</v>
          </cell>
          <cell r="D70" t="str">
            <v>91C1</v>
          </cell>
          <cell r="E70" t="str">
            <v>青岛海达源国内A股采购组织</v>
          </cell>
          <cell r="F70" t="str">
            <v>寄售</v>
          </cell>
          <cell r="G70" t="str">
            <v>2026-12-31</v>
          </cell>
          <cell r="H70" t="str">
            <v>14</v>
          </cell>
          <cell r="I70" t="str">
            <v>24.80</v>
          </cell>
        </row>
        <row r="71">
          <cell r="B71" t="str">
            <v>0211800001</v>
          </cell>
          <cell r="C71" t="str">
            <v>电源板-/</v>
          </cell>
          <cell r="D71" t="str">
            <v>91C1</v>
          </cell>
          <cell r="E71" t="str">
            <v>青岛海达源国内A股采购组织</v>
          </cell>
          <cell r="F71" t="str">
            <v>寄售</v>
          </cell>
          <cell r="G71" t="str">
            <v>2026-12-31</v>
          </cell>
          <cell r="H71" t="str">
            <v>10</v>
          </cell>
          <cell r="I71" t="str">
            <v>66.76</v>
          </cell>
        </row>
        <row r="72">
          <cell r="B72" t="str">
            <v>0011801738</v>
          </cell>
          <cell r="C72" t="str">
            <v>室内电脑板-CEM-3200x150mm</v>
          </cell>
          <cell r="D72" t="str">
            <v>91C1</v>
          </cell>
          <cell r="E72" t="str">
            <v>青岛海达源国内A股采购组织</v>
          </cell>
          <cell r="F72" t="str">
            <v>寄售</v>
          </cell>
          <cell r="G72" t="str">
            <v>2026-12-31</v>
          </cell>
          <cell r="H72" t="str">
            <v>3</v>
          </cell>
          <cell r="I72" t="str">
            <v>61.60</v>
          </cell>
        </row>
        <row r="73">
          <cell r="B73" t="str">
            <v>0011801048AF</v>
          </cell>
          <cell r="C73" t="str">
            <v>变频外电脑板-FR-4/</v>
          </cell>
          <cell r="D73" t="str">
            <v>91C1</v>
          </cell>
          <cell r="E73" t="str">
            <v>青岛海达源国内A股采购组织</v>
          </cell>
          <cell r="F73" t="str">
            <v>寄售</v>
          </cell>
          <cell r="G73" t="str">
            <v>2026-12-31</v>
          </cell>
          <cell r="H73" t="str">
            <v>15</v>
          </cell>
          <cell r="I73" t="str">
            <v>132.74</v>
          </cell>
        </row>
        <row r="74">
          <cell r="B74" t="str">
            <v>0190400507</v>
          </cell>
          <cell r="C74" t="str">
            <v>主控板-通用净水主控板净水主控板</v>
          </cell>
          <cell r="D74" t="str">
            <v>91C1</v>
          </cell>
          <cell r="E74" t="str">
            <v>青岛海达源国内A股采购组织</v>
          </cell>
          <cell r="F74" t="str">
            <v>寄售</v>
          </cell>
          <cell r="G74" t="str">
            <v>2026-12-31</v>
          </cell>
          <cell r="H74" t="str">
            <v>7</v>
          </cell>
          <cell r="I74" t="str">
            <v>75.60</v>
          </cell>
        </row>
        <row r="75">
          <cell r="B75" t="str">
            <v>0011801423AB</v>
          </cell>
          <cell r="C75" t="str">
            <v>变频外电脑板-FR-4240*180</v>
          </cell>
          <cell r="D75" t="str">
            <v>91C1</v>
          </cell>
          <cell r="E75" t="str">
            <v>青岛海达源国内A股采购组织</v>
          </cell>
          <cell r="F75" t="str">
            <v>寄售</v>
          </cell>
          <cell r="G75" t="str">
            <v>2026-12-31</v>
          </cell>
          <cell r="H75" t="str">
            <v>3</v>
          </cell>
          <cell r="I75" t="str">
            <v>141.18</v>
          </cell>
        </row>
        <row r="76">
          <cell r="B76" t="str">
            <v>0041800569B</v>
          </cell>
          <cell r="C76" t="str">
            <v>AD电源板-通用AD电源板-AD电源板</v>
          </cell>
          <cell r="D76" t="str">
            <v>91C1</v>
          </cell>
          <cell r="E76" t="str">
            <v>青岛海达源国内A股采购组织</v>
          </cell>
          <cell r="F76" t="str">
            <v>寄售</v>
          </cell>
          <cell r="G76" t="str">
            <v>2026-12-31</v>
          </cell>
          <cell r="H76" t="str">
            <v>14</v>
          </cell>
          <cell r="I76" t="str">
            <v>20.43</v>
          </cell>
        </row>
        <row r="77">
          <cell r="B77" t="str">
            <v>0190400534</v>
          </cell>
          <cell r="C77" t="str">
            <v>主控板-通用210*55mm净水</v>
          </cell>
          <cell r="D77" t="str">
            <v>91C1</v>
          </cell>
          <cell r="E77" t="str">
            <v>青岛海达源国内A股采购组织</v>
          </cell>
          <cell r="F77" t="str">
            <v>寄售</v>
          </cell>
          <cell r="G77" t="str">
            <v>2026-12-31</v>
          </cell>
          <cell r="H77" t="str">
            <v>7</v>
          </cell>
          <cell r="I77" t="str">
            <v>37.39</v>
          </cell>
        </row>
        <row r="78">
          <cell r="B78" t="str">
            <v>0151800648D</v>
          </cell>
          <cell r="C78" t="str">
            <v>室内电脑板-通用</v>
          </cell>
          <cell r="D78" t="str">
            <v>91C1</v>
          </cell>
          <cell r="E78" t="str">
            <v>青岛海达源国内A股采购组织</v>
          </cell>
          <cell r="F78" t="str">
            <v>寄售</v>
          </cell>
          <cell r="G78" t="str">
            <v>2026-12-31</v>
          </cell>
          <cell r="H78" t="str">
            <v>15</v>
          </cell>
          <cell r="I78" t="str">
            <v>80.78</v>
          </cell>
        </row>
        <row r="79">
          <cell r="B79" t="str">
            <v>0190400340A</v>
          </cell>
          <cell r="C79" t="str">
            <v>主控板-通用净水厨下即热项目使用,双面板板材FR-4,CTI=600,尺寸172</v>
          </cell>
          <cell r="D79" t="str">
            <v>91C1</v>
          </cell>
          <cell r="E79" t="str">
            <v>青岛海达源国内A股采购组织</v>
          </cell>
          <cell r="F79" t="str">
            <v>寄售</v>
          </cell>
          <cell r="G79" t="str">
            <v>2026-12-31</v>
          </cell>
          <cell r="H79" t="str">
            <v>7</v>
          </cell>
          <cell r="I79" t="str">
            <v>64.60</v>
          </cell>
        </row>
        <row r="80">
          <cell r="B80" t="str">
            <v>0011801736</v>
          </cell>
          <cell r="C80" t="str">
            <v>显示板-LED166*93mm</v>
          </cell>
          <cell r="D80" t="str">
            <v>91C1</v>
          </cell>
          <cell r="E80" t="str">
            <v>青岛海达源国内A股采购组织</v>
          </cell>
          <cell r="F80" t="str">
            <v>寄售</v>
          </cell>
          <cell r="G80" t="str">
            <v>2026-12-31</v>
          </cell>
          <cell r="H80" t="str">
            <v>3</v>
          </cell>
          <cell r="I80" t="str">
            <v>25.59</v>
          </cell>
        </row>
        <row r="81">
          <cell r="B81" t="str">
            <v>0011801652A</v>
          </cell>
          <cell r="C81" t="str">
            <v>室内电脑板-/</v>
          </cell>
          <cell r="D81" t="str">
            <v>9163</v>
          </cell>
          <cell r="E81" t="str">
            <v>大连保税人民币采购组织</v>
          </cell>
          <cell r="F81" t="str">
            <v>标准</v>
          </cell>
          <cell r="G81" t="str">
            <v>2026-12-31</v>
          </cell>
          <cell r="H81" t="str">
            <v>15</v>
          </cell>
          <cell r="I81" t="str">
            <v>47.78</v>
          </cell>
        </row>
        <row r="82">
          <cell r="B82" t="str">
            <v>0011801825</v>
          </cell>
          <cell r="C82" t="str">
            <v>室内电脑板-CEM-1</v>
          </cell>
          <cell r="D82" t="str">
            <v>91C1</v>
          </cell>
          <cell r="E82" t="str">
            <v>青岛海达源国内A股采购组织</v>
          </cell>
          <cell r="F82" t="str">
            <v>寄售</v>
          </cell>
          <cell r="G82" t="str">
            <v>2026-12-31</v>
          </cell>
          <cell r="H82" t="str">
            <v>15</v>
          </cell>
          <cell r="I82" t="str">
            <v>34.81</v>
          </cell>
        </row>
        <row r="83">
          <cell r="B83" t="str">
            <v>0011801330G</v>
          </cell>
          <cell r="C83" t="str">
            <v>室内电脑板-CEM-1</v>
          </cell>
          <cell r="D83" t="str">
            <v>91C1</v>
          </cell>
          <cell r="E83" t="str">
            <v>青岛海达源国内A股采购组织</v>
          </cell>
          <cell r="F83" t="str">
            <v>寄售</v>
          </cell>
          <cell r="G83" t="str">
            <v>2026-12-31</v>
          </cell>
          <cell r="H83" t="str">
            <v>15</v>
          </cell>
          <cell r="I83" t="str">
            <v>35.67</v>
          </cell>
        </row>
        <row r="84">
          <cell r="B84" t="str">
            <v>0011800980E</v>
          </cell>
          <cell r="C84" t="str">
            <v>室内电脑板-FR-4P平台内机板</v>
          </cell>
          <cell r="D84" t="str">
            <v>91C1</v>
          </cell>
          <cell r="E84" t="str">
            <v>青岛海达源国内A股采购组织</v>
          </cell>
          <cell r="F84" t="str">
            <v>寄售</v>
          </cell>
          <cell r="G84" t="str">
            <v>2026-12-31</v>
          </cell>
          <cell r="H84" t="str">
            <v>15</v>
          </cell>
          <cell r="I84" t="str">
            <v>56.52</v>
          </cell>
        </row>
        <row r="85">
          <cell r="B85" t="str">
            <v>0190400527A</v>
          </cell>
          <cell r="C85" t="str">
            <v>显示板-通用茶吧机显示板净水</v>
          </cell>
          <cell r="D85" t="str">
            <v>91C1</v>
          </cell>
          <cell r="E85" t="str">
            <v>青岛海达源国内A股采购组织</v>
          </cell>
          <cell r="F85" t="str">
            <v>寄售</v>
          </cell>
          <cell r="G85" t="str">
            <v>2026-12-31</v>
          </cell>
          <cell r="H85" t="str">
            <v>7</v>
          </cell>
          <cell r="I85" t="str">
            <v>13.36</v>
          </cell>
        </row>
        <row r="86">
          <cell r="B86" t="str">
            <v>0011801737</v>
          </cell>
          <cell r="C86" t="str">
            <v>显示板-LED166*93mm</v>
          </cell>
          <cell r="D86" t="str">
            <v>91C1</v>
          </cell>
          <cell r="E86" t="str">
            <v>青岛海达源国内A股采购组织</v>
          </cell>
          <cell r="F86" t="str">
            <v>寄售</v>
          </cell>
          <cell r="G86" t="str">
            <v>2026-12-31</v>
          </cell>
          <cell r="H86" t="str">
            <v>30</v>
          </cell>
          <cell r="I86" t="str">
            <v>33.31</v>
          </cell>
        </row>
        <row r="87">
          <cell r="B87" t="str">
            <v>0041800773H</v>
          </cell>
          <cell r="C87" t="str">
            <v>AD显示板-LED长215mm,宽45mm电热</v>
          </cell>
          <cell r="D87" t="str">
            <v>91C1</v>
          </cell>
          <cell r="E87" t="str">
            <v>青岛海达源国内A股采购组织</v>
          </cell>
          <cell r="F87" t="str">
            <v>寄售</v>
          </cell>
          <cell r="G87" t="str">
            <v>2026-12-31</v>
          </cell>
          <cell r="H87" t="str">
            <v>14</v>
          </cell>
          <cell r="I87" t="str">
            <v>12.49</v>
          </cell>
        </row>
        <row r="88">
          <cell r="B88" t="str">
            <v>0041801117</v>
          </cell>
          <cell r="C88" t="str">
            <v>AD显示板-LED显示板尺寸330mm*40mm*9mm,支架尺寸38mm*34</v>
          </cell>
          <cell r="D88" t="str">
            <v>91C1</v>
          </cell>
          <cell r="E88" t="str">
            <v>青岛海达源国内A股采购组织</v>
          </cell>
          <cell r="F88" t="str">
            <v>寄售</v>
          </cell>
          <cell r="G88" t="str">
            <v>2026-12-31</v>
          </cell>
          <cell r="H88" t="str">
            <v>14</v>
          </cell>
          <cell r="I88" t="str">
            <v>24.50</v>
          </cell>
        </row>
        <row r="89">
          <cell r="B89" t="str">
            <v>0041800728E</v>
          </cell>
          <cell r="C89" t="str">
            <v>电脑板显示板-CEM-1-热泵</v>
          </cell>
          <cell r="D89" t="str">
            <v>91C1</v>
          </cell>
          <cell r="E89" t="str">
            <v>青岛海达源国内A股采购组织</v>
          </cell>
          <cell r="F89" t="str">
            <v>寄售</v>
          </cell>
          <cell r="G89" t="str">
            <v>2026-12-31</v>
          </cell>
          <cell r="H89" t="str">
            <v>14</v>
          </cell>
          <cell r="I89" t="str">
            <v>11.52</v>
          </cell>
        </row>
        <row r="90">
          <cell r="B90" t="str">
            <v>0011801593</v>
          </cell>
          <cell r="C90" t="str">
            <v>室内电脑板-FR-4136*165</v>
          </cell>
          <cell r="D90" t="str">
            <v>91C1</v>
          </cell>
          <cell r="E90" t="str">
            <v>青岛海达源国内A股采购组织</v>
          </cell>
          <cell r="F90" t="str">
            <v>寄售</v>
          </cell>
          <cell r="G90" t="str">
            <v>2026-12-31</v>
          </cell>
          <cell r="H90" t="str">
            <v>15</v>
          </cell>
          <cell r="I90" t="str">
            <v>76.20</v>
          </cell>
        </row>
        <row r="91">
          <cell r="B91" t="str">
            <v>0011801716A</v>
          </cell>
          <cell r="C91" t="str">
            <v>显示板-LED</v>
          </cell>
          <cell r="D91" t="str">
            <v>91C1</v>
          </cell>
          <cell r="E91" t="str">
            <v>青岛海达源国内A股采购组织</v>
          </cell>
          <cell r="F91" t="str">
            <v>寄售</v>
          </cell>
          <cell r="G91" t="str">
            <v>2026-12-31</v>
          </cell>
          <cell r="H91" t="str">
            <v>15</v>
          </cell>
          <cell r="I91" t="str">
            <v>8.16</v>
          </cell>
        </row>
        <row r="92">
          <cell r="B92" t="str">
            <v>0011801303</v>
          </cell>
          <cell r="C92" t="str">
            <v>室内电脑板-FR-4</v>
          </cell>
          <cell r="D92" t="str">
            <v>91C1</v>
          </cell>
          <cell r="E92" t="str">
            <v>青岛海达源国内A股采购组织</v>
          </cell>
          <cell r="F92" t="str">
            <v>寄售</v>
          </cell>
          <cell r="G92" t="str">
            <v>2026-12-31</v>
          </cell>
          <cell r="H92" t="str">
            <v>15</v>
          </cell>
          <cell r="I92" t="str">
            <v>196.83</v>
          </cell>
        </row>
        <row r="93">
          <cell r="B93" t="str">
            <v>0011801583K</v>
          </cell>
          <cell r="C93" t="str">
            <v>室内电脑板-FR-4</v>
          </cell>
          <cell r="D93" t="str">
            <v>91C1</v>
          </cell>
          <cell r="E93" t="str">
            <v>青岛海达源国内A股采购组织</v>
          </cell>
          <cell r="F93" t="str">
            <v>寄售</v>
          </cell>
          <cell r="G93" t="str">
            <v>2026-12-31</v>
          </cell>
          <cell r="H93" t="str">
            <v>15</v>
          </cell>
          <cell r="I93" t="str">
            <v>31.18</v>
          </cell>
        </row>
        <row r="94">
          <cell r="B94" t="str">
            <v>0011801657</v>
          </cell>
          <cell r="C94" t="str">
            <v>变频外电脑板-/</v>
          </cell>
          <cell r="D94" t="str">
            <v>9163</v>
          </cell>
          <cell r="E94" t="str">
            <v>大连保税人民币采购组织</v>
          </cell>
          <cell r="F94" t="str">
            <v>标准</v>
          </cell>
          <cell r="G94" t="str">
            <v>2026-12-31</v>
          </cell>
          <cell r="H94" t="str">
            <v>15</v>
          </cell>
          <cell r="I94" t="str">
            <v>166.71</v>
          </cell>
        </row>
        <row r="95">
          <cell r="B95" t="str">
            <v>0031800386JL</v>
          </cell>
          <cell r="C95" t="str">
            <v>DP一体板-通用</v>
          </cell>
          <cell r="D95" t="str">
            <v>91C1</v>
          </cell>
          <cell r="E95" t="str">
            <v>青岛海达源国内A股采购组织</v>
          </cell>
          <cell r="F95" t="str">
            <v>寄售</v>
          </cell>
          <cell r="G95" t="str">
            <v>2026-12-31</v>
          </cell>
          <cell r="H95" t="str">
            <v>10</v>
          </cell>
          <cell r="I95" t="str">
            <v>29.80</v>
          </cell>
        </row>
        <row r="96">
          <cell r="B96" t="str">
            <v>0011801606D</v>
          </cell>
          <cell r="C96" t="str">
            <v>室内电脑板-FR-4340*88mm</v>
          </cell>
          <cell r="D96" t="str">
            <v>91C1</v>
          </cell>
          <cell r="E96" t="str">
            <v>青岛海达源国内A股采购组织</v>
          </cell>
          <cell r="F96" t="str">
            <v>寄售</v>
          </cell>
          <cell r="G96" t="str">
            <v>2026-12-31</v>
          </cell>
          <cell r="H96" t="str">
            <v>15</v>
          </cell>
          <cell r="I96" t="str">
            <v>75.21</v>
          </cell>
        </row>
        <row r="97">
          <cell r="B97" t="str">
            <v>0011800923G</v>
          </cell>
          <cell r="C97" t="str">
            <v>室内电脑板-CEM-1电脑板尺寸为105*208</v>
          </cell>
          <cell r="D97" t="str">
            <v>91C1</v>
          </cell>
          <cell r="E97" t="str">
            <v>青岛海达源国内A股采购组织</v>
          </cell>
          <cell r="F97" t="str">
            <v>寄售</v>
          </cell>
          <cell r="G97" t="str">
            <v>2026-12-31</v>
          </cell>
          <cell r="H97" t="str">
            <v>30</v>
          </cell>
          <cell r="I97" t="str">
            <v>44.85</v>
          </cell>
        </row>
        <row r="98">
          <cell r="B98" t="str">
            <v>0031800374</v>
          </cell>
          <cell r="C98" t="str">
            <v>显示板-通用/</v>
          </cell>
          <cell r="D98" t="str">
            <v>91C1</v>
          </cell>
          <cell r="E98" t="str">
            <v>青岛海达源国内A股采购组织</v>
          </cell>
          <cell r="F98" t="str">
            <v>寄售</v>
          </cell>
          <cell r="G98" t="str">
            <v>2026-12-31</v>
          </cell>
          <cell r="H98" t="str">
            <v>10</v>
          </cell>
          <cell r="I98" t="str">
            <v>56.78</v>
          </cell>
        </row>
        <row r="99">
          <cell r="B99" t="str">
            <v>0011801606F</v>
          </cell>
          <cell r="C99" t="str">
            <v>室内电脑板-FR-4340*88mm</v>
          </cell>
          <cell r="D99" t="str">
            <v>91C1</v>
          </cell>
          <cell r="E99" t="str">
            <v>青岛海达源国内A股采购组织</v>
          </cell>
          <cell r="F99" t="str">
            <v>寄售</v>
          </cell>
          <cell r="G99" t="str">
            <v>2026-12-31</v>
          </cell>
          <cell r="H99" t="str">
            <v>15</v>
          </cell>
          <cell r="I99" t="str">
            <v>83.92</v>
          </cell>
        </row>
        <row r="100">
          <cell r="B100" t="str">
            <v>0151801031</v>
          </cell>
          <cell r="C100" t="str">
            <v>电脑板-FR-4</v>
          </cell>
          <cell r="D100" t="str">
            <v>91C1</v>
          </cell>
          <cell r="E100" t="str">
            <v>青岛海达源国内A股采购组织</v>
          </cell>
          <cell r="F100" t="str">
            <v>寄售</v>
          </cell>
          <cell r="G100" t="str">
            <v>2026-12-31</v>
          </cell>
          <cell r="H100" t="str">
            <v>45</v>
          </cell>
          <cell r="I100" t="str">
            <v>337.15</v>
          </cell>
        </row>
        <row r="101">
          <cell r="B101" t="str">
            <v>0011801172CW</v>
          </cell>
          <cell r="C101" t="str">
            <v>变频外电脑板-FR-4</v>
          </cell>
          <cell r="D101" t="str">
            <v>91C1</v>
          </cell>
          <cell r="E101" t="str">
            <v>青岛海达源国内A股采购组织</v>
          </cell>
          <cell r="F101" t="str">
            <v>寄售</v>
          </cell>
          <cell r="G101" t="str">
            <v>2026-12-31</v>
          </cell>
          <cell r="H101" t="str">
            <v>15</v>
          </cell>
          <cell r="I101" t="str">
            <v>174.74</v>
          </cell>
        </row>
        <row r="102">
          <cell r="B102" t="str">
            <v>0011801682</v>
          </cell>
          <cell r="C102" t="str">
            <v>一体机电脑板-FR-4</v>
          </cell>
          <cell r="D102" t="str">
            <v>9163</v>
          </cell>
          <cell r="E102" t="str">
            <v>大连保税人民币采购组织</v>
          </cell>
          <cell r="F102" t="str">
            <v>标准</v>
          </cell>
          <cell r="G102" t="str">
            <v>2026-12-31</v>
          </cell>
          <cell r="H102" t="str">
            <v>15</v>
          </cell>
          <cell r="I102" t="str">
            <v>75.95</v>
          </cell>
        </row>
        <row r="103">
          <cell r="B103" t="str">
            <v>0011801048AB</v>
          </cell>
          <cell r="C103" t="str">
            <v>变频外电脑板-FR-4/</v>
          </cell>
          <cell r="D103" t="str">
            <v>91C1</v>
          </cell>
          <cell r="E103" t="str">
            <v>青岛海达源国内A股采购组织</v>
          </cell>
          <cell r="F103" t="str">
            <v>寄售</v>
          </cell>
          <cell r="G103" t="str">
            <v>2026-12-31</v>
          </cell>
          <cell r="H103" t="str">
            <v>15</v>
          </cell>
          <cell r="I103" t="str">
            <v>142.75</v>
          </cell>
        </row>
        <row r="104">
          <cell r="B104" t="str">
            <v>0011801425T</v>
          </cell>
          <cell r="C104" t="str">
            <v>变频外电脑板-FR-4</v>
          </cell>
          <cell r="D104" t="str">
            <v>91C1</v>
          </cell>
          <cell r="E104" t="str">
            <v>青岛海达源国内A股采购组织</v>
          </cell>
          <cell r="F104" t="str">
            <v>寄售</v>
          </cell>
          <cell r="G104" t="str">
            <v>2026-12-31</v>
          </cell>
          <cell r="H104" t="str">
            <v>15</v>
          </cell>
          <cell r="I104" t="str">
            <v>127.30</v>
          </cell>
        </row>
        <row r="105">
          <cell r="B105" t="str">
            <v>0011800646A</v>
          </cell>
          <cell r="C105" t="str">
            <v>室内电脑板-FR-4</v>
          </cell>
          <cell r="D105" t="str">
            <v>91C1</v>
          </cell>
          <cell r="E105" t="str">
            <v>青岛海达源国内A股采购组织</v>
          </cell>
          <cell r="F105" t="str">
            <v>寄售</v>
          </cell>
          <cell r="G105" t="str">
            <v>2026-12-31</v>
          </cell>
          <cell r="H105" t="str">
            <v>15</v>
          </cell>
          <cell r="I105" t="str">
            <v>40.69</v>
          </cell>
        </row>
        <row r="106">
          <cell r="B106" t="str">
            <v>0011800827Y</v>
          </cell>
          <cell r="C106" t="str">
            <v>变频外电脑板-FR-4</v>
          </cell>
          <cell r="D106" t="str">
            <v>91C1</v>
          </cell>
          <cell r="E106" t="str">
            <v>青岛海达源国内A股采购组织</v>
          </cell>
          <cell r="F106" t="str">
            <v>寄售</v>
          </cell>
          <cell r="G106" t="str">
            <v>2026-12-31</v>
          </cell>
          <cell r="H106" t="str">
            <v>15</v>
          </cell>
          <cell r="I106" t="str">
            <v>152.45</v>
          </cell>
        </row>
        <row r="107">
          <cell r="B107" t="str">
            <v>0011800977K</v>
          </cell>
          <cell r="C107" t="str">
            <v>室内电脑板-CEM-1/</v>
          </cell>
          <cell r="D107" t="str">
            <v>91C1</v>
          </cell>
          <cell r="E107" t="str">
            <v>青岛海达源国内A股采购组织</v>
          </cell>
          <cell r="F107" t="str">
            <v>寄售</v>
          </cell>
          <cell r="G107" t="str">
            <v>2026-12-31</v>
          </cell>
          <cell r="H107" t="str">
            <v>15</v>
          </cell>
          <cell r="I107" t="str">
            <v>28.53</v>
          </cell>
        </row>
        <row r="108">
          <cell r="B108" t="str">
            <v>0011801256M</v>
          </cell>
          <cell r="C108" t="str">
            <v>室内电脑板-CEM-1</v>
          </cell>
          <cell r="D108" t="str">
            <v>91C1</v>
          </cell>
          <cell r="E108" t="str">
            <v>青岛海达源国内A股采购组织</v>
          </cell>
          <cell r="F108" t="str">
            <v>寄售</v>
          </cell>
          <cell r="G108" t="str">
            <v>2026-12-31</v>
          </cell>
          <cell r="H108" t="str">
            <v>15</v>
          </cell>
          <cell r="I108" t="str">
            <v>33.30</v>
          </cell>
        </row>
        <row r="109">
          <cell r="B109" t="str">
            <v>0011801270A</v>
          </cell>
          <cell r="C109" t="str">
            <v>变频外电脑板-/</v>
          </cell>
          <cell r="D109" t="str">
            <v>91C1</v>
          </cell>
          <cell r="E109" t="str">
            <v>青岛海达源国内A股采购组织</v>
          </cell>
          <cell r="F109" t="str">
            <v>寄售</v>
          </cell>
          <cell r="G109" t="str">
            <v>2026-12-31</v>
          </cell>
          <cell r="H109" t="str">
            <v>15</v>
          </cell>
          <cell r="I109" t="str">
            <v>181.40</v>
          </cell>
        </row>
        <row r="110">
          <cell r="B110" t="str">
            <v>0011801424B</v>
          </cell>
          <cell r="C110" t="str">
            <v>变频外电脑板-FR-4/</v>
          </cell>
          <cell r="D110" t="str">
            <v>91C1</v>
          </cell>
          <cell r="E110" t="str">
            <v>青岛海达源国内A股采购组织</v>
          </cell>
          <cell r="F110" t="str">
            <v>寄售</v>
          </cell>
          <cell r="G110" t="str">
            <v>2026-12-31</v>
          </cell>
          <cell r="H110" t="str">
            <v>15</v>
          </cell>
          <cell r="I110" t="str">
            <v>116.12</v>
          </cell>
        </row>
        <row r="111">
          <cell r="B111" t="str">
            <v>0011801424V</v>
          </cell>
          <cell r="C111" t="str">
            <v>变频外电脑板-FR-4/</v>
          </cell>
          <cell r="D111" t="str">
            <v>91C1</v>
          </cell>
          <cell r="E111" t="str">
            <v>青岛海达源国内A股采购组织</v>
          </cell>
          <cell r="F111" t="str">
            <v>寄售</v>
          </cell>
          <cell r="G111" t="str">
            <v>2026-12-31</v>
          </cell>
          <cell r="H111" t="str">
            <v>15</v>
          </cell>
          <cell r="I111" t="str">
            <v>139.77</v>
          </cell>
        </row>
        <row r="112">
          <cell r="B112" t="str">
            <v>0011800387A</v>
          </cell>
          <cell r="C112" t="str">
            <v>显示面板-FR-4</v>
          </cell>
          <cell r="D112" t="str">
            <v>91C1</v>
          </cell>
          <cell r="E112" t="str">
            <v>青岛海达源国内A股采购组织</v>
          </cell>
          <cell r="F112" t="str">
            <v>寄售</v>
          </cell>
          <cell r="G112" t="str">
            <v>2026-12-31</v>
          </cell>
          <cell r="H112" t="str">
            <v>15</v>
          </cell>
          <cell r="I112" t="str">
            <v>11.70</v>
          </cell>
        </row>
        <row r="113">
          <cell r="B113" t="str">
            <v>0011800612AC</v>
          </cell>
          <cell r="C113" t="str">
            <v>室内电脑板-CEM-1\</v>
          </cell>
          <cell r="D113" t="str">
            <v>91C1</v>
          </cell>
          <cell r="E113" t="str">
            <v>青岛海达源国内A股采购组织</v>
          </cell>
          <cell r="F113" t="str">
            <v>寄售</v>
          </cell>
          <cell r="G113" t="str">
            <v>2026-12-31</v>
          </cell>
          <cell r="H113" t="str">
            <v>15</v>
          </cell>
          <cell r="I113" t="str">
            <v>30.03</v>
          </cell>
        </row>
        <row r="114">
          <cell r="B114" t="str">
            <v>0011800612V</v>
          </cell>
          <cell r="C114" t="str">
            <v>室内电脑板-/</v>
          </cell>
          <cell r="D114" t="str">
            <v>91C1</v>
          </cell>
          <cell r="E114" t="str">
            <v>青岛海达源国内A股采购组织</v>
          </cell>
          <cell r="F114" t="str">
            <v>寄售</v>
          </cell>
          <cell r="G114" t="str">
            <v>2026-12-31</v>
          </cell>
          <cell r="H114" t="str">
            <v>15</v>
          </cell>
          <cell r="I114" t="str">
            <v>24.63</v>
          </cell>
        </row>
        <row r="115">
          <cell r="B115" t="str">
            <v>0011800630P</v>
          </cell>
          <cell r="C115" t="str">
            <v>室内电脑板-CEM-1室内电脑板(压敏、保险和继电器防爆)印尼290项目室内电脑</v>
          </cell>
          <cell r="D115" t="str">
            <v>91C1</v>
          </cell>
          <cell r="E115" t="str">
            <v>青岛海达源国内A股采购组织</v>
          </cell>
          <cell r="F115" t="str">
            <v>寄售</v>
          </cell>
          <cell r="G115" t="str">
            <v>2026-12-31</v>
          </cell>
          <cell r="H115" t="str">
            <v>15</v>
          </cell>
          <cell r="I115" t="str">
            <v>25.90</v>
          </cell>
        </row>
        <row r="116">
          <cell r="B116" t="str">
            <v>0011801036</v>
          </cell>
          <cell r="C116" t="str">
            <v>一体机电脑板-FR-4强电板</v>
          </cell>
          <cell r="D116" t="str">
            <v>91C1</v>
          </cell>
          <cell r="E116" t="str">
            <v>青岛海达源国内A股采购组织</v>
          </cell>
          <cell r="F116" t="str">
            <v>寄售</v>
          </cell>
          <cell r="G116" t="str">
            <v>2026-12-31</v>
          </cell>
          <cell r="H116" t="str">
            <v>15</v>
          </cell>
          <cell r="I116" t="str">
            <v>142.05</v>
          </cell>
        </row>
        <row r="117">
          <cell r="B117" t="str">
            <v>0011800612M</v>
          </cell>
          <cell r="C117" t="str">
            <v>室内电脑板-CEM-1</v>
          </cell>
          <cell r="D117" t="str">
            <v>91C1</v>
          </cell>
          <cell r="E117" t="str">
            <v>青岛海达源国内A股采购组织</v>
          </cell>
          <cell r="F117" t="str">
            <v>寄售</v>
          </cell>
          <cell r="G117" t="str">
            <v>2026-12-31</v>
          </cell>
          <cell r="H117" t="str">
            <v>15</v>
          </cell>
          <cell r="I117" t="str">
            <v>27.02</v>
          </cell>
        </row>
        <row r="118">
          <cell r="B118" t="str">
            <v>0011800630E</v>
          </cell>
          <cell r="C118" t="str">
            <v>室内电脑板-CEM-1室内电脑板马来18k室内电脑板-</v>
          </cell>
          <cell r="D118" t="str">
            <v>91C1</v>
          </cell>
          <cell r="E118" t="str">
            <v>青岛海达源国内A股采购组织</v>
          </cell>
          <cell r="F118" t="str">
            <v>寄售</v>
          </cell>
          <cell r="G118" t="str">
            <v>2026-12-31</v>
          </cell>
          <cell r="H118" t="str">
            <v>15</v>
          </cell>
          <cell r="I118" t="str">
            <v>29.61</v>
          </cell>
        </row>
        <row r="119">
          <cell r="B119" t="str">
            <v>0011800646B</v>
          </cell>
          <cell r="C119" t="str">
            <v>室内电脑板-FR-4</v>
          </cell>
          <cell r="D119" t="str">
            <v>91C1</v>
          </cell>
          <cell r="E119" t="str">
            <v>青岛海达源国内A股采购组织</v>
          </cell>
          <cell r="F119" t="str">
            <v>寄售</v>
          </cell>
          <cell r="G119" t="str">
            <v>2026-12-31</v>
          </cell>
          <cell r="H119" t="str">
            <v>15</v>
          </cell>
          <cell r="I119" t="str">
            <v>48.97</v>
          </cell>
        </row>
        <row r="120">
          <cell r="B120" t="str">
            <v>0011800977S</v>
          </cell>
          <cell r="C120" t="str">
            <v>室内电脑板-CEM-1/</v>
          </cell>
          <cell r="D120" t="str">
            <v>91C1</v>
          </cell>
          <cell r="E120" t="str">
            <v>青岛海达源国内A股采购组织</v>
          </cell>
          <cell r="F120" t="str">
            <v>寄售</v>
          </cell>
          <cell r="G120" t="str">
            <v>2026-12-31</v>
          </cell>
          <cell r="H120" t="str">
            <v>15</v>
          </cell>
          <cell r="I120" t="str">
            <v>27.80</v>
          </cell>
        </row>
        <row r="121">
          <cell r="B121" t="str">
            <v>0011801118BYD</v>
          </cell>
          <cell r="C121" t="str">
            <v>变频外电脑板-FR-4240*180</v>
          </cell>
          <cell r="D121" t="str">
            <v>91C1</v>
          </cell>
          <cell r="E121" t="str">
            <v>青岛海达源国内A股采购组织</v>
          </cell>
          <cell r="F121" t="str">
            <v>寄售</v>
          </cell>
          <cell r="G121" t="str">
            <v>2026-12-31</v>
          </cell>
          <cell r="H121" t="str">
            <v>15</v>
          </cell>
          <cell r="I121" t="str">
            <v>160.99</v>
          </cell>
        </row>
        <row r="122">
          <cell r="B122" t="str">
            <v>0011801424W</v>
          </cell>
          <cell r="C122" t="str">
            <v>变频外电脑板-FR-4/</v>
          </cell>
          <cell r="D122" t="str">
            <v>91C1</v>
          </cell>
          <cell r="E122" t="str">
            <v>青岛海达源国内A股采购组织</v>
          </cell>
          <cell r="F122" t="str">
            <v>寄售</v>
          </cell>
          <cell r="G122" t="str">
            <v>2026-12-31</v>
          </cell>
          <cell r="H122" t="str">
            <v>15</v>
          </cell>
          <cell r="I122" t="str">
            <v>133.88</v>
          </cell>
        </row>
        <row r="123">
          <cell r="B123" t="str">
            <v>0011801425P</v>
          </cell>
          <cell r="C123" t="str">
            <v>变频外电脑板-FR-4</v>
          </cell>
          <cell r="D123" t="str">
            <v>91C1</v>
          </cell>
          <cell r="E123" t="str">
            <v>青岛海达源国内A股采购组织</v>
          </cell>
          <cell r="F123" t="str">
            <v>寄售</v>
          </cell>
          <cell r="G123" t="str">
            <v>2026-12-31</v>
          </cell>
          <cell r="H123" t="str">
            <v>15</v>
          </cell>
          <cell r="I123" t="str">
            <v>109.09</v>
          </cell>
        </row>
        <row r="124">
          <cell r="B124" t="str">
            <v>0011800387B</v>
          </cell>
          <cell r="C124" t="str">
            <v>显示面板-FR-4</v>
          </cell>
          <cell r="D124" t="str">
            <v>91C1</v>
          </cell>
          <cell r="E124" t="str">
            <v>青岛海达源国内A股采购组织</v>
          </cell>
          <cell r="F124" t="str">
            <v>寄售</v>
          </cell>
          <cell r="G124" t="str">
            <v>2026-12-31</v>
          </cell>
          <cell r="H124" t="str">
            <v>15</v>
          </cell>
          <cell r="I124" t="str">
            <v>16.79</v>
          </cell>
        </row>
        <row r="125">
          <cell r="B125" t="str">
            <v>0011801172BD</v>
          </cell>
          <cell r="C125" t="str">
            <v>变频外电脑板-FR-4240*180</v>
          </cell>
          <cell r="D125" t="str">
            <v>91C1</v>
          </cell>
          <cell r="E125" t="str">
            <v>青岛海达源国内A股采购组织</v>
          </cell>
          <cell r="F125" t="str">
            <v>寄售</v>
          </cell>
          <cell r="G125" t="str">
            <v>2026-12-31</v>
          </cell>
          <cell r="H125" t="str">
            <v>15</v>
          </cell>
          <cell r="I125" t="str">
            <v>152.05</v>
          </cell>
        </row>
        <row r="126">
          <cell r="B126" t="str">
            <v>0011801172BK</v>
          </cell>
          <cell r="C126" t="str">
            <v>变频外电脑板-FR-4</v>
          </cell>
          <cell r="D126" t="str">
            <v>91C1</v>
          </cell>
          <cell r="E126" t="str">
            <v>青岛海达源国内A股采购组织</v>
          </cell>
          <cell r="F126" t="str">
            <v>寄售</v>
          </cell>
          <cell r="G126" t="str">
            <v>2026-12-31</v>
          </cell>
          <cell r="H126" t="str">
            <v>15</v>
          </cell>
          <cell r="I126" t="str">
            <v>161.24</v>
          </cell>
        </row>
        <row r="127">
          <cell r="B127" t="str">
            <v>0011800612C</v>
          </cell>
          <cell r="C127" t="str">
            <v>室内电脑板-CEM-1</v>
          </cell>
          <cell r="D127" t="str">
            <v>91C1</v>
          </cell>
          <cell r="E127" t="str">
            <v>青岛海达源国内A股采购组织</v>
          </cell>
          <cell r="F127" t="str">
            <v>寄售</v>
          </cell>
          <cell r="G127" t="str">
            <v>2026-12-31</v>
          </cell>
          <cell r="H127" t="str">
            <v>15</v>
          </cell>
          <cell r="I127" t="str">
            <v>27.75</v>
          </cell>
        </row>
        <row r="128">
          <cell r="B128" t="str">
            <v>0011800630R</v>
          </cell>
          <cell r="C128" t="str">
            <v>室内电脑板-/</v>
          </cell>
          <cell r="D128" t="str">
            <v>91C1</v>
          </cell>
          <cell r="E128" t="str">
            <v>青岛海达源国内A股采购组织</v>
          </cell>
          <cell r="F128" t="str">
            <v>寄售</v>
          </cell>
          <cell r="G128" t="str">
            <v>2026-12-31</v>
          </cell>
          <cell r="H128" t="str">
            <v>15</v>
          </cell>
          <cell r="I128" t="str">
            <v>39.48</v>
          </cell>
        </row>
        <row r="129">
          <cell r="B129" t="str">
            <v>0011800646K</v>
          </cell>
          <cell r="C129" t="str">
            <v>室内电脑板-FR-4208*105</v>
          </cell>
          <cell r="D129" t="str">
            <v>91C1</v>
          </cell>
          <cell r="E129" t="str">
            <v>青岛海达源国内A股采购组织</v>
          </cell>
          <cell r="F129" t="str">
            <v>寄售</v>
          </cell>
          <cell r="G129" t="str">
            <v>2026-12-31</v>
          </cell>
          <cell r="H129" t="str">
            <v>15</v>
          </cell>
          <cell r="I129" t="str">
            <v>49.73</v>
          </cell>
        </row>
        <row r="130">
          <cell r="B130" t="str">
            <v>0011800970L</v>
          </cell>
          <cell r="C130" t="str">
            <v>变频外电脑板-通用23T直流变频</v>
          </cell>
          <cell r="D130" t="str">
            <v>91C1</v>
          </cell>
          <cell r="E130" t="str">
            <v>青岛海达源国内A股采购组织</v>
          </cell>
          <cell r="F130" t="str">
            <v>寄售</v>
          </cell>
          <cell r="G130" t="str">
            <v>2026-12-31</v>
          </cell>
          <cell r="H130" t="str">
            <v>15</v>
          </cell>
          <cell r="I130" t="str">
            <v>106.67</v>
          </cell>
        </row>
        <row r="131">
          <cell r="B131" t="str">
            <v>0011801424A</v>
          </cell>
          <cell r="C131" t="str">
            <v>变频外电脑板-FR-4/</v>
          </cell>
          <cell r="D131" t="str">
            <v>91C1</v>
          </cell>
          <cell r="E131" t="str">
            <v>青岛海达源国内A股采购组织</v>
          </cell>
          <cell r="F131" t="str">
            <v>寄售</v>
          </cell>
          <cell r="G131" t="str">
            <v>2026-12-31</v>
          </cell>
          <cell r="H131" t="str">
            <v>15</v>
          </cell>
          <cell r="I131" t="str">
            <v>116.55</v>
          </cell>
        </row>
        <row r="132">
          <cell r="B132" t="str">
            <v>0011801424J</v>
          </cell>
          <cell r="C132" t="str">
            <v>变频外电脑板-FR-4/</v>
          </cell>
          <cell r="D132" t="str">
            <v>91C1</v>
          </cell>
          <cell r="E132" t="str">
            <v>青岛海达源国内A股采购组织</v>
          </cell>
          <cell r="F132" t="str">
            <v>寄售</v>
          </cell>
          <cell r="G132" t="str">
            <v>2026-12-31</v>
          </cell>
          <cell r="H132" t="str">
            <v>15</v>
          </cell>
          <cell r="I132" t="str">
            <v>128.87</v>
          </cell>
        </row>
        <row r="133">
          <cell r="B133" t="str">
            <v>0011801424Z</v>
          </cell>
          <cell r="C133" t="str">
            <v>变频外电脑板-FR-4/</v>
          </cell>
          <cell r="D133" t="str">
            <v>91C1</v>
          </cell>
          <cell r="E133" t="str">
            <v>青岛海达源国内A股采购组织</v>
          </cell>
          <cell r="F133" t="str">
            <v>寄售</v>
          </cell>
          <cell r="G133" t="str">
            <v>2026-12-31</v>
          </cell>
          <cell r="H133" t="str">
            <v>15</v>
          </cell>
          <cell r="I133" t="str">
            <v>137.83</v>
          </cell>
        </row>
        <row r="134">
          <cell r="B134" t="str">
            <v>0011800387D</v>
          </cell>
          <cell r="C134" t="str">
            <v>显示面板-FR-4</v>
          </cell>
          <cell r="D134" t="str">
            <v>91C1</v>
          </cell>
          <cell r="E134" t="str">
            <v>青岛海达源国内A股采购组织</v>
          </cell>
          <cell r="F134" t="str">
            <v>寄售</v>
          </cell>
          <cell r="G134" t="str">
            <v>2026-12-31</v>
          </cell>
          <cell r="H134" t="str">
            <v>15</v>
          </cell>
          <cell r="I134" t="str">
            <v>4.50</v>
          </cell>
        </row>
        <row r="135">
          <cell r="B135" t="str">
            <v>0011800612W</v>
          </cell>
          <cell r="C135" t="str">
            <v>室内电脑板-CEM-1\</v>
          </cell>
          <cell r="D135" t="str">
            <v>91C1</v>
          </cell>
          <cell r="E135" t="str">
            <v>青岛海达源国内A股采购组织</v>
          </cell>
          <cell r="F135" t="str">
            <v>寄售</v>
          </cell>
          <cell r="G135" t="str">
            <v>2026-12-31</v>
          </cell>
          <cell r="H135" t="str">
            <v>15</v>
          </cell>
          <cell r="I135" t="str">
            <v>26.66</v>
          </cell>
        </row>
        <row r="136">
          <cell r="B136" t="str">
            <v>0011800630S</v>
          </cell>
          <cell r="C136" t="str">
            <v>室内电脑板-/</v>
          </cell>
          <cell r="D136" t="str">
            <v>91C1</v>
          </cell>
          <cell r="E136" t="str">
            <v>青岛海达源国内A股采购组织</v>
          </cell>
          <cell r="F136" t="str">
            <v>寄售</v>
          </cell>
          <cell r="G136" t="str">
            <v>2026-12-31</v>
          </cell>
          <cell r="H136" t="str">
            <v>15</v>
          </cell>
          <cell r="I136" t="str">
            <v>29.25</v>
          </cell>
        </row>
        <row r="137">
          <cell r="B137" t="str">
            <v>0011800646L</v>
          </cell>
          <cell r="C137" t="str">
            <v>室内电脑板-FR-4/</v>
          </cell>
          <cell r="D137" t="str">
            <v>91C1</v>
          </cell>
          <cell r="E137" t="str">
            <v>青岛海达源国内A股采购组织</v>
          </cell>
          <cell r="F137" t="str">
            <v>寄售</v>
          </cell>
          <cell r="G137" t="str">
            <v>2026-12-31</v>
          </cell>
          <cell r="H137" t="str">
            <v>15</v>
          </cell>
          <cell r="I137" t="str">
            <v>40.97</v>
          </cell>
        </row>
        <row r="138">
          <cell r="B138" t="str">
            <v>0011800970M</v>
          </cell>
          <cell r="C138" t="str">
            <v>变频外电脑板-通用23T直流变频</v>
          </cell>
          <cell r="D138" t="str">
            <v>91C1</v>
          </cell>
          <cell r="E138" t="str">
            <v>青岛海达源国内A股采购组织</v>
          </cell>
          <cell r="F138" t="str">
            <v>寄售</v>
          </cell>
          <cell r="G138" t="str">
            <v>2026-12-31</v>
          </cell>
          <cell r="H138" t="str">
            <v>15</v>
          </cell>
          <cell r="I138" t="str">
            <v>109.66</v>
          </cell>
        </row>
        <row r="139">
          <cell r="B139" t="str">
            <v>0011801424AA</v>
          </cell>
          <cell r="C139" t="str">
            <v>变频外电脑板-FR-4/</v>
          </cell>
          <cell r="D139" t="str">
            <v>91C1</v>
          </cell>
          <cell r="E139" t="str">
            <v>青岛海达源国内A股采购组织</v>
          </cell>
          <cell r="F139" t="str">
            <v>寄售</v>
          </cell>
          <cell r="G139" t="str">
            <v>2026-12-31</v>
          </cell>
          <cell r="H139" t="str">
            <v>15</v>
          </cell>
          <cell r="I139" t="str">
            <v>133.21</v>
          </cell>
        </row>
        <row r="140">
          <cell r="B140" t="str">
            <v>0011801424K</v>
          </cell>
          <cell r="C140" t="str">
            <v>变频外电脑板-FR-4/</v>
          </cell>
          <cell r="D140" t="str">
            <v>91C1</v>
          </cell>
          <cell r="E140" t="str">
            <v>青岛海达源国内A股采购组织</v>
          </cell>
          <cell r="F140" t="str">
            <v>寄售</v>
          </cell>
          <cell r="G140" t="str">
            <v>2026-12-31</v>
          </cell>
          <cell r="H140" t="str">
            <v>15</v>
          </cell>
          <cell r="I140" t="str">
            <v>114.63</v>
          </cell>
        </row>
        <row r="141">
          <cell r="B141" t="str">
            <v>0011801522B</v>
          </cell>
          <cell r="C141" t="str">
            <v>室内电脑板-CEM-1室内电脑板俄罗斯22年DAICHI客户定频12P系列室内电</v>
          </cell>
          <cell r="D141" t="str">
            <v>91C1</v>
          </cell>
          <cell r="E141" t="str">
            <v>青岛海达源国内A股采购组织</v>
          </cell>
          <cell r="F141" t="str">
            <v>寄售</v>
          </cell>
          <cell r="G141" t="str">
            <v>2026-12-31</v>
          </cell>
          <cell r="H141" t="str">
            <v>30</v>
          </cell>
          <cell r="I141" t="str">
            <v>49.99</v>
          </cell>
        </row>
        <row r="142">
          <cell r="B142" t="str">
            <v>0011800932E</v>
          </cell>
          <cell r="C142" t="str">
            <v>变频外电脑板-FR-4270*180</v>
          </cell>
          <cell r="D142" t="str">
            <v>91C1</v>
          </cell>
          <cell r="E142" t="str">
            <v>青岛海达源国内A股采购组织</v>
          </cell>
          <cell r="F142" t="str">
            <v>寄售</v>
          </cell>
          <cell r="G142" t="str">
            <v>2026-12-31</v>
          </cell>
          <cell r="H142" t="str">
            <v>15</v>
          </cell>
          <cell r="I142" t="str">
            <v>202.48</v>
          </cell>
        </row>
        <row r="143">
          <cell r="B143" t="str">
            <v>0011800970AA</v>
          </cell>
          <cell r="C143" t="str">
            <v>变频外电脑板-通用23T直流变频</v>
          </cell>
          <cell r="D143" t="str">
            <v>91C1</v>
          </cell>
          <cell r="E143" t="str">
            <v>青岛海达源国内A股采购组织</v>
          </cell>
          <cell r="F143" t="str">
            <v>寄售</v>
          </cell>
          <cell r="G143" t="str">
            <v>2026-12-31</v>
          </cell>
          <cell r="H143" t="str">
            <v>15</v>
          </cell>
          <cell r="I143" t="str">
            <v>106.76</v>
          </cell>
        </row>
        <row r="144">
          <cell r="B144" t="str">
            <v>0011800646J</v>
          </cell>
          <cell r="C144" t="str">
            <v>室内电脑板-FR-4</v>
          </cell>
          <cell r="D144" t="str">
            <v>91C1</v>
          </cell>
          <cell r="E144" t="str">
            <v>青岛海达源国内A股采购组织</v>
          </cell>
          <cell r="F144" t="str">
            <v>寄售</v>
          </cell>
          <cell r="G144" t="str">
            <v>2026-12-31</v>
          </cell>
          <cell r="H144" t="str">
            <v>15</v>
          </cell>
          <cell r="I144" t="str">
            <v>49.01</v>
          </cell>
        </row>
        <row r="145">
          <cell r="B145" t="str">
            <v>0011801172BC</v>
          </cell>
          <cell r="C145" t="str">
            <v>变频外电脑板-FR-4240*180</v>
          </cell>
          <cell r="D145" t="str">
            <v>91C1</v>
          </cell>
          <cell r="E145" t="str">
            <v>青岛海达源国内A股采购组织</v>
          </cell>
          <cell r="F145" t="str">
            <v>寄售</v>
          </cell>
          <cell r="G145" t="str">
            <v>2026-12-31</v>
          </cell>
          <cell r="H145" t="str">
            <v>15</v>
          </cell>
          <cell r="I145" t="str">
            <v>166.08</v>
          </cell>
        </row>
        <row r="146">
          <cell r="B146" t="str">
            <v>0011801172BG</v>
          </cell>
          <cell r="C146" t="str">
            <v>变频外电脑板-FR-4240*180</v>
          </cell>
          <cell r="D146" t="str">
            <v>91C1</v>
          </cell>
          <cell r="E146" t="str">
            <v>青岛海达源国内A股采购组织</v>
          </cell>
          <cell r="F146" t="str">
            <v>寄售</v>
          </cell>
          <cell r="G146" t="str">
            <v>2026-12-31</v>
          </cell>
          <cell r="H146" t="str">
            <v>15</v>
          </cell>
          <cell r="I146" t="str">
            <v>182.27</v>
          </cell>
        </row>
        <row r="147">
          <cell r="B147" t="str">
            <v>0011801372G</v>
          </cell>
          <cell r="C147" t="str">
            <v>变频外电脑板-FR-4205mm*157mm</v>
          </cell>
          <cell r="D147" t="str">
            <v>91C1</v>
          </cell>
          <cell r="E147" t="str">
            <v>青岛海达源国内A股采购组织</v>
          </cell>
          <cell r="F147" t="str">
            <v>寄售</v>
          </cell>
          <cell r="G147" t="str">
            <v>2026-12-31</v>
          </cell>
          <cell r="H147" t="str">
            <v>15</v>
          </cell>
          <cell r="I147" t="str">
            <v>93.51</v>
          </cell>
        </row>
        <row r="148">
          <cell r="B148" t="str">
            <v>0011801424H</v>
          </cell>
          <cell r="C148" t="str">
            <v>变频外电脑板-FR-4/</v>
          </cell>
          <cell r="D148" t="str">
            <v>91C1</v>
          </cell>
          <cell r="E148" t="str">
            <v>青岛海达源国内A股采购组织</v>
          </cell>
          <cell r="F148" t="str">
            <v>寄售</v>
          </cell>
          <cell r="G148" t="str">
            <v>2026-12-31</v>
          </cell>
          <cell r="H148" t="str">
            <v>15</v>
          </cell>
          <cell r="I148" t="str">
            <v>115.49</v>
          </cell>
        </row>
        <row r="149">
          <cell r="B149" t="str">
            <v>0011800879N</v>
          </cell>
          <cell r="C149" t="str">
            <v>变频外电脑板-FR-4室外电脑板</v>
          </cell>
          <cell r="D149" t="str">
            <v>91C1</v>
          </cell>
          <cell r="E149" t="str">
            <v>青岛海达源国内A股采购组织</v>
          </cell>
          <cell r="F149" t="str">
            <v>寄售</v>
          </cell>
          <cell r="G149" t="str">
            <v>2026-12-31</v>
          </cell>
          <cell r="H149" t="str">
            <v>30</v>
          </cell>
          <cell r="I149" t="str">
            <v>160.75</v>
          </cell>
        </row>
        <row r="150">
          <cell r="B150" t="str">
            <v>0011801123F</v>
          </cell>
          <cell r="C150" t="str">
            <v>室内电脑板-FR-4136*165</v>
          </cell>
          <cell r="D150" t="str">
            <v>91C1</v>
          </cell>
          <cell r="E150" t="str">
            <v>青岛海达源国内A股采购组织</v>
          </cell>
          <cell r="F150" t="str">
            <v>寄售</v>
          </cell>
          <cell r="G150" t="str">
            <v>2026-12-31</v>
          </cell>
          <cell r="H150" t="str">
            <v>30</v>
          </cell>
          <cell r="I150" t="str">
            <v>55.85</v>
          </cell>
        </row>
        <row r="151">
          <cell r="B151" t="str">
            <v>0011800612P</v>
          </cell>
          <cell r="C151" t="str">
            <v>室内电脑板-CEM-1---</v>
          </cell>
          <cell r="D151" t="str">
            <v>91C1</v>
          </cell>
          <cell r="E151" t="str">
            <v>青岛海达源国内A股采购组织</v>
          </cell>
          <cell r="F151" t="str">
            <v>寄售</v>
          </cell>
          <cell r="G151" t="str">
            <v>2026-12-31</v>
          </cell>
          <cell r="H151" t="str">
            <v>15</v>
          </cell>
          <cell r="I151" t="str">
            <v>30.46</v>
          </cell>
        </row>
        <row r="152">
          <cell r="B152" t="str">
            <v>0011800537B</v>
          </cell>
          <cell r="C152" t="str">
            <v>室内电脑板-CEM-1</v>
          </cell>
          <cell r="D152" t="str">
            <v>91C1</v>
          </cell>
          <cell r="E152" t="str">
            <v>青岛海达源国内A股采购组织</v>
          </cell>
          <cell r="F152" t="str">
            <v>寄售</v>
          </cell>
          <cell r="G152" t="str">
            <v>2026-12-31</v>
          </cell>
          <cell r="H152" t="str">
            <v>15</v>
          </cell>
          <cell r="I152" t="str">
            <v>23.62</v>
          </cell>
        </row>
        <row r="153">
          <cell r="B153" t="str">
            <v>0011800970AB</v>
          </cell>
          <cell r="C153" t="str">
            <v>变频外电脑板-通用23T直流变频</v>
          </cell>
          <cell r="D153" t="str">
            <v>91C1</v>
          </cell>
          <cell r="E153" t="str">
            <v>青岛海达源国内A股采购组织</v>
          </cell>
          <cell r="F153" t="str">
            <v>寄售</v>
          </cell>
          <cell r="G153" t="str">
            <v>2026-12-31</v>
          </cell>
          <cell r="H153" t="str">
            <v>15</v>
          </cell>
          <cell r="I153" t="str">
            <v>114.94</v>
          </cell>
        </row>
        <row r="154">
          <cell r="B154" t="str">
            <v>0011801150G</v>
          </cell>
          <cell r="C154" t="str">
            <v>变频外电脑板-FR-4230mm*157mm</v>
          </cell>
          <cell r="D154" t="str">
            <v>91C1</v>
          </cell>
          <cell r="E154" t="str">
            <v>青岛海达源国内A股采购组织</v>
          </cell>
          <cell r="F154" t="str">
            <v>寄售</v>
          </cell>
          <cell r="G154" t="str">
            <v>2026-12-31</v>
          </cell>
          <cell r="H154" t="str">
            <v>15</v>
          </cell>
          <cell r="I154" t="str">
            <v>134.12</v>
          </cell>
        </row>
        <row r="155">
          <cell r="B155" t="str">
            <v>0011801256L</v>
          </cell>
          <cell r="C155" t="str">
            <v>室内电脑板-CEM-1</v>
          </cell>
          <cell r="D155" t="str">
            <v>91C1</v>
          </cell>
          <cell r="E155" t="str">
            <v>青岛海达源国内A股采购组织</v>
          </cell>
          <cell r="F155" t="str">
            <v>寄售</v>
          </cell>
          <cell r="G155" t="str">
            <v>2026-12-31</v>
          </cell>
          <cell r="H155" t="str">
            <v>15</v>
          </cell>
          <cell r="I155" t="str">
            <v>32.40</v>
          </cell>
        </row>
        <row r="156">
          <cell r="B156" t="str">
            <v>0011801256R</v>
          </cell>
          <cell r="C156" t="str">
            <v>室内电脑板-CEM-1</v>
          </cell>
          <cell r="D156" t="str">
            <v>91C1</v>
          </cell>
          <cell r="E156" t="str">
            <v>青岛海达源国内A股采购组织</v>
          </cell>
          <cell r="F156" t="str">
            <v>寄售</v>
          </cell>
          <cell r="G156" t="str">
            <v>2026-12-31</v>
          </cell>
          <cell r="H156" t="str">
            <v>15</v>
          </cell>
          <cell r="I156" t="str">
            <v>32.93</v>
          </cell>
        </row>
        <row r="157">
          <cell r="B157" t="str">
            <v>0011800630J</v>
          </cell>
          <cell r="C157" t="str">
            <v>室内电脑板-CEM-1室内电脑板俄罗斯07/09/12P系列室内电脑板</v>
          </cell>
          <cell r="D157" t="str">
            <v>91C1</v>
          </cell>
          <cell r="E157" t="str">
            <v>青岛海达源国内A股采购组织</v>
          </cell>
          <cell r="F157" t="str">
            <v>寄售</v>
          </cell>
          <cell r="G157" t="str">
            <v>2026-12-31</v>
          </cell>
          <cell r="H157" t="str">
            <v>15</v>
          </cell>
          <cell r="I157" t="str">
            <v>27.66</v>
          </cell>
        </row>
        <row r="158">
          <cell r="B158" t="str">
            <v>0011800646C</v>
          </cell>
          <cell r="C158" t="str">
            <v>室内电脑板-FR-4</v>
          </cell>
          <cell r="D158" t="str">
            <v>91C1</v>
          </cell>
          <cell r="E158" t="str">
            <v>青岛海达源国内A股采购组织</v>
          </cell>
          <cell r="F158" t="str">
            <v>寄售</v>
          </cell>
          <cell r="G158" t="str">
            <v>2026-12-31</v>
          </cell>
          <cell r="H158" t="str">
            <v>15</v>
          </cell>
          <cell r="I158" t="str">
            <v>51.32</v>
          </cell>
        </row>
        <row r="159">
          <cell r="B159" t="str">
            <v>0011800933S</v>
          </cell>
          <cell r="C159" t="str">
            <v>变频外电脑板-FR-4215mm*157mm</v>
          </cell>
          <cell r="D159" t="str">
            <v>91C1</v>
          </cell>
          <cell r="E159" t="str">
            <v>青岛海达源国内A股采购组织</v>
          </cell>
          <cell r="F159" t="str">
            <v>寄售</v>
          </cell>
          <cell r="G159" t="str">
            <v>2026-12-31</v>
          </cell>
          <cell r="H159" t="str">
            <v>15</v>
          </cell>
          <cell r="I159" t="str">
            <v>133.00</v>
          </cell>
        </row>
        <row r="160">
          <cell r="B160" t="str">
            <v>0011800980C</v>
          </cell>
          <cell r="C160" t="str">
            <v>室内电脑板-FR-4F平台内机板</v>
          </cell>
          <cell r="D160" t="str">
            <v>91C1</v>
          </cell>
          <cell r="E160" t="str">
            <v>青岛海达源国内A股采购组织</v>
          </cell>
          <cell r="F160" t="str">
            <v>寄售</v>
          </cell>
          <cell r="G160" t="str">
            <v>2026-12-31</v>
          </cell>
          <cell r="H160" t="str">
            <v>15</v>
          </cell>
          <cell r="I160" t="str">
            <v>62.60</v>
          </cell>
        </row>
        <row r="161">
          <cell r="B161" t="str">
            <v>0011801424D</v>
          </cell>
          <cell r="C161" t="str">
            <v>变频外电脑板-FR-4/</v>
          </cell>
          <cell r="D161" t="str">
            <v>91C1</v>
          </cell>
          <cell r="E161" t="str">
            <v>青岛海达源国内A股采购组织</v>
          </cell>
          <cell r="F161" t="str">
            <v>寄售</v>
          </cell>
          <cell r="G161" t="str">
            <v>2026-12-31</v>
          </cell>
          <cell r="H161" t="str">
            <v>15</v>
          </cell>
          <cell r="I161" t="str">
            <v>136.88</v>
          </cell>
        </row>
        <row r="162">
          <cell r="B162" t="str">
            <v>0011801424X</v>
          </cell>
          <cell r="C162" t="str">
            <v>变频外电脑板-FR-4/</v>
          </cell>
          <cell r="D162" t="str">
            <v>91C1</v>
          </cell>
          <cell r="E162" t="str">
            <v>青岛海达源国内A股采购组织</v>
          </cell>
          <cell r="F162" t="str">
            <v>寄售</v>
          </cell>
          <cell r="G162" t="str">
            <v>2026-12-31</v>
          </cell>
          <cell r="H162" t="str">
            <v>15</v>
          </cell>
          <cell r="I162" t="str">
            <v>130.21</v>
          </cell>
        </row>
        <row r="163">
          <cell r="B163" t="str">
            <v>0011801425E</v>
          </cell>
          <cell r="C163" t="str">
            <v>变频外电脑板-FR-4</v>
          </cell>
          <cell r="D163" t="str">
            <v>91C1</v>
          </cell>
          <cell r="E163" t="str">
            <v>青岛海达源国内A股采购组织</v>
          </cell>
          <cell r="F163" t="str">
            <v>寄售</v>
          </cell>
          <cell r="G163" t="str">
            <v>2026-12-31</v>
          </cell>
          <cell r="H163" t="str">
            <v>15</v>
          </cell>
          <cell r="I163" t="str">
            <v>121.87</v>
          </cell>
        </row>
        <row r="164">
          <cell r="B164" t="str">
            <v>0011800537A</v>
          </cell>
          <cell r="C164" t="str">
            <v>室内电脑板-CEM-1</v>
          </cell>
          <cell r="D164" t="str">
            <v>91C1</v>
          </cell>
          <cell r="E164" t="str">
            <v>青岛海达源国内A股采购组织</v>
          </cell>
          <cell r="F164" t="str">
            <v>寄售</v>
          </cell>
          <cell r="G164" t="str">
            <v>2026-12-31</v>
          </cell>
          <cell r="H164" t="str">
            <v>15</v>
          </cell>
          <cell r="I164" t="str">
            <v>19.89</v>
          </cell>
        </row>
        <row r="165">
          <cell r="B165" t="str">
            <v>0011801424C</v>
          </cell>
          <cell r="C165" t="str">
            <v>变频外电脑板-FR-4/</v>
          </cell>
          <cell r="D165" t="str">
            <v>91C1</v>
          </cell>
          <cell r="E165" t="str">
            <v>青岛海达源国内A股采购组织</v>
          </cell>
          <cell r="F165" t="str">
            <v>寄售</v>
          </cell>
          <cell r="G165" t="str">
            <v>2026-12-31</v>
          </cell>
          <cell r="H165" t="str">
            <v>15</v>
          </cell>
          <cell r="I165" t="str">
            <v>118.50</v>
          </cell>
        </row>
        <row r="166">
          <cell r="B166" t="str">
            <v>0011800612D</v>
          </cell>
          <cell r="C166" t="str">
            <v>室内电脑板-CEM-1</v>
          </cell>
          <cell r="D166" t="str">
            <v>91C1</v>
          </cell>
          <cell r="E166" t="str">
            <v>青岛海达源国内A股采购组织</v>
          </cell>
          <cell r="F166" t="str">
            <v>寄售</v>
          </cell>
          <cell r="G166" t="str">
            <v>2026-12-31</v>
          </cell>
          <cell r="H166" t="str">
            <v>15</v>
          </cell>
          <cell r="I166" t="str">
            <v>31.46</v>
          </cell>
        </row>
        <row r="167">
          <cell r="B167" t="str">
            <v>0011801425N</v>
          </cell>
          <cell r="C167" t="str">
            <v>变频外电脑板-FR-4</v>
          </cell>
          <cell r="D167" t="str">
            <v>91C1</v>
          </cell>
          <cell r="E167" t="str">
            <v>青岛海达源国内A股采购组织</v>
          </cell>
          <cell r="F167" t="str">
            <v>寄售</v>
          </cell>
          <cell r="G167" t="str">
            <v>2026-12-31</v>
          </cell>
          <cell r="H167" t="str">
            <v>15</v>
          </cell>
          <cell r="I167" t="str">
            <v>107.24</v>
          </cell>
        </row>
        <row r="168">
          <cell r="B168" t="str">
            <v>0011800537</v>
          </cell>
          <cell r="C168" t="str">
            <v>室内电脑板-CEM-1</v>
          </cell>
          <cell r="D168" t="str">
            <v>91C1</v>
          </cell>
          <cell r="E168" t="str">
            <v>青岛海达源国内A股采购组织</v>
          </cell>
          <cell r="F168" t="str">
            <v>寄售</v>
          </cell>
          <cell r="G168" t="str">
            <v>2026-12-31</v>
          </cell>
          <cell r="H168" t="str">
            <v>15</v>
          </cell>
          <cell r="I168" t="str">
            <v>20.70</v>
          </cell>
        </row>
        <row r="169">
          <cell r="B169" t="str">
            <v>0011800612L</v>
          </cell>
          <cell r="C169" t="str">
            <v>室内电脑板-CEM-1\</v>
          </cell>
          <cell r="D169" t="str">
            <v>91C1</v>
          </cell>
          <cell r="E169" t="str">
            <v>青岛海达源国内A股采购组织</v>
          </cell>
          <cell r="F169" t="str">
            <v>寄售</v>
          </cell>
          <cell r="G169" t="str">
            <v>2026-12-31</v>
          </cell>
          <cell r="H169" t="str">
            <v>15</v>
          </cell>
          <cell r="I169" t="str">
            <v>29.58</v>
          </cell>
        </row>
        <row r="170">
          <cell r="B170" t="str">
            <v>0011800630</v>
          </cell>
          <cell r="C170" t="str">
            <v>室内电脑板-CEM-1</v>
          </cell>
          <cell r="D170" t="str">
            <v>91C1</v>
          </cell>
          <cell r="E170" t="str">
            <v>青岛海达源国内A股采购组织</v>
          </cell>
          <cell r="F170" t="str">
            <v>寄售</v>
          </cell>
          <cell r="G170" t="str">
            <v>2026-12-31</v>
          </cell>
          <cell r="H170" t="str">
            <v>15</v>
          </cell>
          <cell r="I170" t="str">
            <v>31.30</v>
          </cell>
        </row>
        <row r="171">
          <cell r="B171" t="str">
            <v>0011801118AH</v>
          </cell>
          <cell r="C171" t="str">
            <v>变频外电脑板-FR-4240*180</v>
          </cell>
          <cell r="D171" t="str">
            <v>91C1</v>
          </cell>
          <cell r="E171" t="str">
            <v>青岛海达源国内A股采购组织</v>
          </cell>
          <cell r="F171" t="str">
            <v>寄售</v>
          </cell>
          <cell r="G171" t="str">
            <v>2026-12-31</v>
          </cell>
          <cell r="H171" t="str">
            <v>15</v>
          </cell>
          <cell r="I171" t="str">
            <v>157.28</v>
          </cell>
        </row>
        <row r="172">
          <cell r="B172" t="str">
            <v>0011800612E</v>
          </cell>
          <cell r="C172" t="str">
            <v>室内电脑板-CEM-1</v>
          </cell>
          <cell r="D172" t="str">
            <v>91C1</v>
          </cell>
          <cell r="E172" t="str">
            <v>青岛海达源国内A股采购组织</v>
          </cell>
          <cell r="F172" t="str">
            <v>寄售</v>
          </cell>
          <cell r="G172" t="str">
            <v>2026-12-31</v>
          </cell>
          <cell r="H172" t="str">
            <v>15</v>
          </cell>
          <cell r="I172" t="str">
            <v>33.35</v>
          </cell>
        </row>
        <row r="173">
          <cell r="B173" t="str">
            <v>0011800950D</v>
          </cell>
          <cell r="C173" t="str">
            <v>显示板-LED/</v>
          </cell>
          <cell r="D173" t="str">
            <v>91C1</v>
          </cell>
          <cell r="E173" t="str">
            <v>青岛海达源国内A股采购组织</v>
          </cell>
          <cell r="F173" t="str">
            <v>寄售</v>
          </cell>
          <cell r="G173" t="str">
            <v>2026-12-31</v>
          </cell>
          <cell r="H173" t="str">
            <v>15</v>
          </cell>
          <cell r="I173" t="str">
            <v>19.90</v>
          </cell>
        </row>
        <row r="174">
          <cell r="B174" t="str">
            <v>0011801424AB</v>
          </cell>
          <cell r="C174" t="str">
            <v>变频外电脑板-FR-4/</v>
          </cell>
          <cell r="D174" t="str">
            <v>91C1</v>
          </cell>
          <cell r="E174" t="str">
            <v>青岛海达源国内A股采购组织</v>
          </cell>
          <cell r="F174" t="str">
            <v>寄售</v>
          </cell>
          <cell r="G174" t="str">
            <v>2026-12-31</v>
          </cell>
          <cell r="H174" t="str">
            <v>15</v>
          </cell>
          <cell r="I174" t="str">
            <v>109.23</v>
          </cell>
        </row>
        <row r="175">
          <cell r="B175" t="str">
            <v>0011801424L</v>
          </cell>
          <cell r="C175" t="str">
            <v>变频外电脑板-FR-4/</v>
          </cell>
          <cell r="D175" t="str">
            <v>91C1</v>
          </cell>
          <cell r="E175" t="str">
            <v>青岛海达源国内A股采购组织</v>
          </cell>
          <cell r="F175" t="str">
            <v>寄售</v>
          </cell>
          <cell r="G175" t="str">
            <v>2026-12-31</v>
          </cell>
          <cell r="H175" t="str">
            <v>15</v>
          </cell>
          <cell r="I175" t="str">
            <v>130.83</v>
          </cell>
        </row>
        <row r="176">
          <cell r="B176" t="str">
            <v>0011800612F</v>
          </cell>
          <cell r="C176" t="str">
            <v>室内电脑板-CEM-1</v>
          </cell>
          <cell r="D176" t="str">
            <v>91C1</v>
          </cell>
          <cell r="E176" t="str">
            <v>青岛海达源国内A股采购组织</v>
          </cell>
          <cell r="F176" t="str">
            <v>寄售</v>
          </cell>
          <cell r="G176" t="str">
            <v>2026-12-31</v>
          </cell>
          <cell r="H176" t="str">
            <v>15</v>
          </cell>
          <cell r="I176" t="str">
            <v>31.73</v>
          </cell>
        </row>
        <row r="177">
          <cell r="B177" t="str">
            <v>0011801327</v>
          </cell>
          <cell r="C177" t="str">
            <v>变频外电脑板-FR-4</v>
          </cell>
          <cell r="D177" t="str">
            <v>91C1</v>
          </cell>
          <cell r="E177" t="str">
            <v>青岛海达源国内A股采购组织</v>
          </cell>
          <cell r="F177" t="str">
            <v>寄售</v>
          </cell>
          <cell r="G177" t="str">
            <v>2026-12-31</v>
          </cell>
          <cell r="H177" t="str">
            <v>15</v>
          </cell>
          <cell r="I177" t="str">
            <v>54.92</v>
          </cell>
        </row>
        <row r="178">
          <cell r="B178" t="str">
            <v>0011801330</v>
          </cell>
          <cell r="C178" t="str">
            <v>室内电脑板-CEM-1</v>
          </cell>
          <cell r="D178" t="str">
            <v>91C1</v>
          </cell>
          <cell r="E178" t="str">
            <v>青岛海达源国内A股采购组织</v>
          </cell>
          <cell r="F178" t="str">
            <v>标准</v>
          </cell>
          <cell r="G178" t="str">
            <v>2026-12-31</v>
          </cell>
          <cell r="H178" t="str">
            <v>15</v>
          </cell>
          <cell r="I178" t="str">
            <v>51.27</v>
          </cell>
        </row>
        <row r="179">
          <cell r="B179" t="str">
            <v>0011801330A</v>
          </cell>
          <cell r="C179" t="str">
            <v>室内电脑板-CEM-1</v>
          </cell>
          <cell r="D179" t="str">
            <v>91C1</v>
          </cell>
          <cell r="E179" t="str">
            <v>青岛海达源国内A股采购组织</v>
          </cell>
          <cell r="F179" t="str">
            <v>寄售</v>
          </cell>
          <cell r="G179" t="str">
            <v>2026-12-31</v>
          </cell>
          <cell r="H179" t="str">
            <v>15</v>
          </cell>
          <cell r="I179" t="str">
            <v>51.44</v>
          </cell>
        </row>
        <row r="180">
          <cell r="B180" t="str">
            <v>0011801424AE</v>
          </cell>
          <cell r="C180" t="str">
            <v>变频外电脑板-FR-4/</v>
          </cell>
          <cell r="D180" t="str">
            <v>91C1</v>
          </cell>
          <cell r="E180" t="str">
            <v>青岛海达源国内A股采购组织</v>
          </cell>
          <cell r="F180" t="str">
            <v>寄售</v>
          </cell>
          <cell r="G180" t="str">
            <v>2026-12-31</v>
          </cell>
          <cell r="H180" t="str">
            <v>15</v>
          </cell>
          <cell r="I180" t="str">
            <v>116.13</v>
          </cell>
        </row>
        <row r="181">
          <cell r="B181" t="str">
            <v>0011801424M</v>
          </cell>
          <cell r="C181" t="str">
            <v>变频外电脑板-FR-4/</v>
          </cell>
          <cell r="D181" t="str">
            <v>91C1</v>
          </cell>
          <cell r="E181" t="str">
            <v>青岛海达源国内A股采购组织</v>
          </cell>
          <cell r="F181" t="str">
            <v>寄售</v>
          </cell>
          <cell r="G181" t="str">
            <v>2026-12-31</v>
          </cell>
          <cell r="H181" t="str">
            <v>15</v>
          </cell>
          <cell r="I181" t="str">
            <v>139.19</v>
          </cell>
        </row>
        <row r="182">
          <cell r="B182" t="str">
            <v>0011800387</v>
          </cell>
          <cell r="C182" t="str">
            <v>显示面板-FR-4</v>
          </cell>
          <cell r="D182" t="str">
            <v>91C1</v>
          </cell>
          <cell r="E182" t="str">
            <v>青岛海达源国内A股采购组织</v>
          </cell>
          <cell r="F182" t="str">
            <v>标准</v>
          </cell>
          <cell r="G182" t="str">
            <v>2026-12-31</v>
          </cell>
          <cell r="H182" t="str">
            <v>15</v>
          </cell>
          <cell r="I182" t="str">
            <v>6.66</v>
          </cell>
        </row>
        <row r="183">
          <cell r="B183" t="str">
            <v>0011800612R</v>
          </cell>
          <cell r="C183" t="str">
            <v>室内电脑板-/---</v>
          </cell>
          <cell r="D183" t="str">
            <v>91C1</v>
          </cell>
          <cell r="E183" t="str">
            <v>青岛海达源国内A股采购组织</v>
          </cell>
          <cell r="F183" t="str">
            <v>寄售</v>
          </cell>
          <cell r="G183" t="str">
            <v>2026-12-31</v>
          </cell>
          <cell r="H183" t="str">
            <v>15</v>
          </cell>
          <cell r="I183" t="str">
            <v>28.67</v>
          </cell>
        </row>
        <row r="184">
          <cell r="B184" t="str">
            <v>0011800630L</v>
          </cell>
          <cell r="C184" t="str">
            <v>室内电脑板-CEM-1室内电脑板泰国09/12P系列定频室内电脑板</v>
          </cell>
          <cell r="D184" t="str">
            <v>91C1</v>
          </cell>
          <cell r="E184" t="str">
            <v>青岛海达源国内A股采购组织</v>
          </cell>
          <cell r="F184" t="str">
            <v>寄售</v>
          </cell>
          <cell r="G184" t="str">
            <v>2026-12-31</v>
          </cell>
          <cell r="H184" t="str">
            <v>15</v>
          </cell>
          <cell r="I184" t="str">
            <v>23.85</v>
          </cell>
        </row>
        <row r="185">
          <cell r="B185" t="str">
            <v>0011800981H</v>
          </cell>
          <cell r="C185" t="str">
            <v>变频外电脑板-FR-4230*196</v>
          </cell>
          <cell r="D185" t="str">
            <v>91C1</v>
          </cell>
          <cell r="E185" t="str">
            <v>青岛海达源国内A股采购组织</v>
          </cell>
          <cell r="F185" t="str">
            <v>寄售</v>
          </cell>
          <cell r="G185" t="str">
            <v>2026-12-31</v>
          </cell>
          <cell r="H185" t="str">
            <v>15</v>
          </cell>
          <cell r="I185" t="str">
            <v>126.30</v>
          </cell>
        </row>
        <row r="186">
          <cell r="B186" t="str">
            <v>0011801172AV</v>
          </cell>
          <cell r="C186" t="str">
            <v>变频外电脑板-FR-4240*180</v>
          </cell>
          <cell r="D186" t="str">
            <v>91C1</v>
          </cell>
          <cell r="E186" t="str">
            <v>青岛海达源国内A股采购组织</v>
          </cell>
          <cell r="F186" t="str">
            <v>寄售</v>
          </cell>
          <cell r="G186" t="str">
            <v>2026-12-31</v>
          </cell>
          <cell r="H186" t="str">
            <v>15</v>
          </cell>
          <cell r="I186" t="str">
            <v>168.47</v>
          </cell>
        </row>
        <row r="187">
          <cell r="B187" t="str">
            <v>0011801372A</v>
          </cell>
          <cell r="C187" t="str">
            <v>变频外电脑板-FR-4205mm*157mm</v>
          </cell>
          <cell r="D187" t="str">
            <v>91C1</v>
          </cell>
          <cell r="E187" t="str">
            <v>青岛海达源国内A股采购组织</v>
          </cell>
          <cell r="F187" t="str">
            <v>寄售</v>
          </cell>
          <cell r="G187" t="str">
            <v>2026-12-31</v>
          </cell>
          <cell r="H187" t="str">
            <v>15</v>
          </cell>
          <cell r="I187" t="str">
            <v>91.59</v>
          </cell>
        </row>
        <row r="188">
          <cell r="B188" t="str">
            <v>0011801497</v>
          </cell>
          <cell r="C188" t="str">
            <v>变频外电脑板-FR-4/</v>
          </cell>
          <cell r="D188" t="str">
            <v>91C1</v>
          </cell>
          <cell r="E188" t="str">
            <v>青岛海达源国内A股采购组织</v>
          </cell>
          <cell r="F188" t="str">
            <v>寄售</v>
          </cell>
          <cell r="G188" t="str">
            <v>2026-12-31</v>
          </cell>
          <cell r="H188" t="str">
            <v>15</v>
          </cell>
          <cell r="I188" t="str">
            <v>125.32</v>
          </cell>
        </row>
        <row r="189">
          <cell r="B189" t="str">
            <v>0011801424AF</v>
          </cell>
          <cell r="C189" t="str">
            <v>变频外电脑板-FR-4/</v>
          </cell>
          <cell r="D189" t="str">
            <v>91C1</v>
          </cell>
          <cell r="E189" t="str">
            <v>青岛海达源国内A股采购组织</v>
          </cell>
          <cell r="F189" t="str">
            <v>寄售</v>
          </cell>
          <cell r="G189" t="str">
            <v>2026-12-31</v>
          </cell>
          <cell r="H189" t="str">
            <v>15</v>
          </cell>
          <cell r="I189" t="str">
            <v>116.13</v>
          </cell>
        </row>
        <row r="190">
          <cell r="B190" t="str">
            <v>0011801424N</v>
          </cell>
          <cell r="C190" t="str">
            <v>变频外电脑板-FR-4/</v>
          </cell>
          <cell r="D190" t="str">
            <v>91C1</v>
          </cell>
          <cell r="E190" t="str">
            <v>青岛海达源国内A股采购组织</v>
          </cell>
          <cell r="F190" t="str">
            <v>寄售</v>
          </cell>
          <cell r="G190" t="str">
            <v>2026-12-31</v>
          </cell>
          <cell r="H190" t="str">
            <v>15</v>
          </cell>
          <cell r="I190" t="str">
            <v>120.03</v>
          </cell>
        </row>
        <row r="191">
          <cell r="B191" t="str">
            <v>0011801425D</v>
          </cell>
          <cell r="C191" t="str">
            <v>变频外电脑板-FR-4</v>
          </cell>
          <cell r="D191" t="str">
            <v>91C1</v>
          </cell>
          <cell r="E191" t="str">
            <v>青岛海达源国内A股采购组织</v>
          </cell>
          <cell r="F191" t="str">
            <v>寄售</v>
          </cell>
          <cell r="G191" t="str">
            <v>2026-12-31</v>
          </cell>
          <cell r="H191" t="str">
            <v>15</v>
          </cell>
          <cell r="I191" t="str">
            <v>107.73</v>
          </cell>
        </row>
        <row r="192">
          <cell r="B192" t="str">
            <v>0011800646D</v>
          </cell>
          <cell r="C192" t="str">
            <v>室内电脑板-FR-4---</v>
          </cell>
          <cell r="D192" t="str">
            <v>91C1</v>
          </cell>
          <cell r="E192" t="str">
            <v>青岛海达源国内A股采购组织</v>
          </cell>
          <cell r="F192" t="str">
            <v>寄售</v>
          </cell>
          <cell r="G192" t="str">
            <v>2026-12-31</v>
          </cell>
          <cell r="H192" t="str">
            <v>15</v>
          </cell>
          <cell r="I192" t="str">
            <v>40.97</v>
          </cell>
        </row>
        <row r="193">
          <cell r="B193" t="str">
            <v>0011800933Y</v>
          </cell>
          <cell r="C193" t="str">
            <v>变频外电脑板-FR-4215mm*157mm</v>
          </cell>
          <cell r="D193" t="str">
            <v>91C1</v>
          </cell>
          <cell r="E193" t="str">
            <v>青岛海达源国内A股采购组织</v>
          </cell>
          <cell r="F193" t="str">
            <v>寄售</v>
          </cell>
          <cell r="G193" t="str">
            <v>2026-12-31</v>
          </cell>
          <cell r="H193" t="str">
            <v>15</v>
          </cell>
          <cell r="I193" t="str">
            <v>127.89</v>
          </cell>
        </row>
        <row r="194">
          <cell r="B194" t="str">
            <v>0011800980J</v>
          </cell>
          <cell r="C194" t="str">
            <v>室内电脑板-FR-4P平台内机板</v>
          </cell>
          <cell r="D194" t="str">
            <v>91C1</v>
          </cell>
          <cell r="E194" t="str">
            <v>青岛海达源国内A股采购组织</v>
          </cell>
          <cell r="F194" t="str">
            <v>寄售</v>
          </cell>
          <cell r="G194" t="str">
            <v>2026-12-31</v>
          </cell>
          <cell r="H194" t="str">
            <v>15</v>
          </cell>
          <cell r="I194" t="str">
            <v>63.54</v>
          </cell>
        </row>
        <row r="195">
          <cell r="B195" t="str">
            <v>0011801172CG</v>
          </cell>
          <cell r="C195" t="str">
            <v>变频外电脑板-FR-4240*180</v>
          </cell>
          <cell r="D195" t="str">
            <v>91C1</v>
          </cell>
          <cell r="E195" t="str">
            <v>青岛海达源国内A股采购组织</v>
          </cell>
          <cell r="F195" t="str">
            <v>寄售</v>
          </cell>
          <cell r="G195" t="str">
            <v>2026-12-31</v>
          </cell>
          <cell r="H195" t="str">
            <v>15</v>
          </cell>
          <cell r="I195" t="str">
            <v>187.96</v>
          </cell>
        </row>
        <row r="196">
          <cell r="B196" t="str">
            <v>0011801172CH</v>
          </cell>
          <cell r="C196" t="str">
            <v>变频外电脑板-FR-4240*180</v>
          </cell>
          <cell r="D196" t="str">
            <v>91C1</v>
          </cell>
          <cell r="E196" t="str">
            <v>青岛海达源国内A股采购组织</v>
          </cell>
          <cell r="F196" t="str">
            <v>寄售</v>
          </cell>
          <cell r="G196" t="str">
            <v>2026-12-31</v>
          </cell>
          <cell r="H196" t="str">
            <v>15</v>
          </cell>
          <cell r="I196" t="str">
            <v>172.04</v>
          </cell>
        </row>
        <row r="197">
          <cell r="B197" t="str">
            <v>0011801256B</v>
          </cell>
          <cell r="C197" t="str">
            <v>室内电脑板-CEM-1</v>
          </cell>
          <cell r="D197" t="str">
            <v>91C1</v>
          </cell>
          <cell r="E197" t="str">
            <v>青岛海达源国内A股采购组织</v>
          </cell>
          <cell r="F197" t="str">
            <v>寄售</v>
          </cell>
          <cell r="G197" t="str">
            <v>2026-12-31</v>
          </cell>
          <cell r="H197" t="str">
            <v>15</v>
          </cell>
          <cell r="I197" t="str">
            <v>33.01</v>
          </cell>
        </row>
        <row r="198">
          <cell r="B198" t="str">
            <v>0011801372C</v>
          </cell>
          <cell r="C198" t="str">
            <v>变频外电脑板-FR-4205mm*157mm</v>
          </cell>
          <cell r="D198" t="str">
            <v>91C1</v>
          </cell>
          <cell r="E198" t="str">
            <v>青岛海达源国内A股采购组织</v>
          </cell>
          <cell r="F198" t="str">
            <v>寄售</v>
          </cell>
          <cell r="G198" t="str">
            <v>2026-12-31</v>
          </cell>
          <cell r="H198" t="str">
            <v>15</v>
          </cell>
          <cell r="I198" t="str">
            <v>91.75</v>
          </cell>
        </row>
        <row r="199">
          <cell r="B199" t="str">
            <v>0011801424E</v>
          </cell>
          <cell r="C199" t="str">
            <v>变频外电脑板-FR-4/</v>
          </cell>
          <cell r="D199" t="str">
            <v>91C1</v>
          </cell>
          <cell r="E199" t="str">
            <v>青岛海达源国内A股采购组织</v>
          </cell>
          <cell r="F199" t="str">
            <v>寄售</v>
          </cell>
          <cell r="G199" t="str">
            <v>2026-12-31</v>
          </cell>
          <cell r="H199" t="str">
            <v>15</v>
          </cell>
          <cell r="I199" t="str">
            <v>144.39</v>
          </cell>
        </row>
        <row r="200">
          <cell r="B200" t="str">
            <v>0011800387J</v>
          </cell>
          <cell r="C200" t="str">
            <v>显示面板-/</v>
          </cell>
          <cell r="D200" t="str">
            <v>91C1</v>
          </cell>
          <cell r="E200" t="str">
            <v>青岛海达源国内A股采购组织</v>
          </cell>
          <cell r="F200" t="str">
            <v>寄售</v>
          </cell>
          <cell r="G200" t="str">
            <v>2026-12-31</v>
          </cell>
          <cell r="H200" t="str">
            <v>15</v>
          </cell>
          <cell r="I200" t="str">
            <v>6.22</v>
          </cell>
        </row>
        <row r="201">
          <cell r="B201" t="str">
            <v>0011800977C</v>
          </cell>
          <cell r="C201" t="str">
            <v>室内电脑板-CEM-1/</v>
          </cell>
          <cell r="D201" t="str">
            <v>91C1</v>
          </cell>
          <cell r="E201" t="str">
            <v>青岛海达源国内A股采购组织</v>
          </cell>
          <cell r="F201" t="str">
            <v>寄售</v>
          </cell>
          <cell r="G201" t="str">
            <v>2026-12-31</v>
          </cell>
          <cell r="H201" t="str">
            <v>15</v>
          </cell>
          <cell r="I201" t="str">
            <v>28.59</v>
          </cell>
        </row>
        <row r="202">
          <cell r="B202" t="str">
            <v>0011801118AE</v>
          </cell>
          <cell r="C202" t="str">
            <v>变频外电脑板-FR-4240*180</v>
          </cell>
          <cell r="D202" t="str">
            <v>91C1</v>
          </cell>
          <cell r="E202" t="str">
            <v>青岛海达源国内A股采购组织</v>
          </cell>
          <cell r="F202" t="str">
            <v>寄售</v>
          </cell>
          <cell r="G202" t="str">
            <v>2026-12-31</v>
          </cell>
          <cell r="H202" t="str">
            <v>15</v>
          </cell>
          <cell r="I202" t="str">
            <v>172.64</v>
          </cell>
        </row>
        <row r="203">
          <cell r="B203" t="str">
            <v>0011800324H</v>
          </cell>
          <cell r="C203" t="str">
            <v>显示面板-CEM-1</v>
          </cell>
          <cell r="D203" t="str">
            <v>91C1</v>
          </cell>
          <cell r="E203" t="str">
            <v>青岛海达源国内A股采购组织</v>
          </cell>
          <cell r="F203" t="str">
            <v>寄售</v>
          </cell>
          <cell r="G203" t="str">
            <v>2026-12-31</v>
          </cell>
          <cell r="H203" t="str">
            <v>15</v>
          </cell>
          <cell r="I203" t="str">
            <v>7.37</v>
          </cell>
        </row>
        <row r="204">
          <cell r="B204" t="str">
            <v>0011801424Y</v>
          </cell>
          <cell r="C204" t="str">
            <v>变频外电脑板-FR-4/</v>
          </cell>
          <cell r="D204" t="str">
            <v>91C1</v>
          </cell>
          <cell r="E204" t="str">
            <v>青岛海达源国内A股采购组织</v>
          </cell>
          <cell r="F204" t="str">
            <v>寄售</v>
          </cell>
          <cell r="G204" t="str">
            <v>2026-12-31</v>
          </cell>
          <cell r="H204" t="str">
            <v>15</v>
          </cell>
          <cell r="I204" t="str">
            <v>144.35</v>
          </cell>
        </row>
        <row r="205">
          <cell r="B205" t="str">
            <v>0011801425F</v>
          </cell>
          <cell r="C205" t="str">
            <v>变频外电脑板-FR-4</v>
          </cell>
          <cell r="D205" t="str">
            <v>91C1</v>
          </cell>
          <cell r="E205" t="str">
            <v>青岛海达源国内A股采购组织</v>
          </cell>
          <cell r="F205" t="str">
            <v>寄售</v>
          </cell>
          <cell r="G205" t="str">
            <v>2026-12-31</v>
          </cell>
          <cell r="H205" t="str">
            <v>15</v>
          </cell>
          <cell r="I205" t="str">
            <v>107.24</v>
          </cell>
        </row>
        <row r="206">
          <cell r="B206" t="str">
            <v>0011801150J</v>
          </cell>
          <cell r="C206" t="str">
            <v>变频外电脑板-FR-4230mm*157mm</v>
          </cell>
          <cell r="D206" t="str">
            <v>91C1</v>
          </cell>
          <cell r="E206" t="str">
            <v>青岛海达源国内A股采购组织</v>
          </cell>
          <cell r="F206" t="str">
            <v>寄售</v>
          </cell>
          <cell r="G206" t="str">
            <v>2026-12-31</v>
          </cell>
          <cell r="H206" t="str">
            <v>15</v>
          </cell>
          <cell r="I206" t="str">
            <v>135.85</v>
          </cell>
        </row>
        <row r="207">
          <cell r="B207" t="str">
            <v>0011800387H</v>
          </cell>
          <cell r="C207" t="str">
            <v>显示面板-FR-4</v>
          </cell>
          <cell r="D207" t="str">
            <v>91C1</v>
          </cell>
          <cell r="E207" t="str">
            <v>青岛海达源国内A股采购组织</v>
          </cell>
          <cell r="F207" t="str">
            <v>寄售</v>
          </cell>
          <cell r="G207" t="str">
            <v>2026-12-31</v>
          </cell>
          <cell r="H207" t="str">
            <v>15</v>
          </cell>
          <cell r="I207" t="str">
            <v>10.30</v>
          </cell>
        </row>
        <row r="208">
          <cell r="B208" t="str">
            <v>0011800612Y</v>
          </cell>
          <cell r="C208" t="str">
            <v>室内电脑板-CEM-1\--</v>
          </cell>
          <cell r="D208" t="str">
            <v>91C1</v>
          </cell>
          <cell r="E208" t="str">
            <v>青岛海达源国内A股采购组织</v>
          </cell>
          <cell r="F208" t="str">
            <v>寄售</v>
          </cell>
          <cell r="G208" t="str">
            <v>2026-12-31</v>
          </cell>
          <cell r="H208" t="str">
            <v>15</v>
          </cell>
          <cell r="I208" t="str">
            <v>31.44</v>
          </cell>
        </row>
        <row r="209">
          <cell r="B209" t="str">
            <v>0011800630Z</v>
          </cell>
          <cell r="C209" t="str">
            <v>室内电脑板-CEM-3室内电脑板马来09/12室内电脑板</v>
          </cell>
          <cell r="D209" t="str">
            <v>91C1</v>
          </cell>
          <cell r="E209" t="str">
            <v>青岛海达源国内A股采购组织</v>
          </cell>
          <cell r="F209" t="str">
            <v>寄售</v>
          </cell>
          <cell r="G209" t="str">
            <v>2026-12-31</v>
          </cell>
          <cell r="H209" t="str">
            <v>15</v>
          </cell>
          <cell r="I209" t="str">
            <v>34.68</v>
          </cell>
        </row>
        <row r="210">
          <cell r="B210" t="str">
            <v>0011800691AF</v>
          </cell>
          <cell r="C210" t="str">
            <v>室内电脑板-/162mm*130mm</v>
          </cell>
          <cell r="D210" t="str">
            <v>91C1</v>
          </cell>
          <cell r="E210" t="str">
            <v>青岛海达源国内A股采购组织</v>
          </cell>
          <cell r="F210" t="str">
            <v>寄售</v>
          </cell>
          <cell r="G210" t="str">
            <v>2026-12-31</v>
          </cell>
          <cell r="H210" t="str">
            <v>15</v>
          </cell>
          <cell r="I210" t="str">
            <v>40.64</v>
          </cell>
        </row>
        <row r="211">
          <cell r="B211" t="str">
            <v>0011800977B</v>
          </cell>
          <cell r="C211" t="str">
            <v>室内电脑板-CEM-1/</v>
          </cell>
          <cell r="D211" t="str">
            <v>91C1</v>
          </cell>
          <cell r="E211" t="str">
            <v>青岛海达源国内A股采购组织</v>
          </cell>
          <cell r="F211" t="str">
            <v>寄售</v>
          </cell>
          <cell r="G211" t="str">
            <v>2026-12-31</v>
          </cell>
          <cell r="H211" t="str">
            <v>15</v>
          </cell>
          <cell r="I211" t="str">
            <v>28.99</v>
          </cell>
        </row>
        <row r="212">
          <cell r="B212" t="str">
            <v>0011800324N</v>
          </cell>
          <cell r="C212" t="str">
            <v>显示面板-CEM-1</v>
          </cell>
          <cell r="D212" t="str">
            <v>91C1</v>
          </cell>
          <cell r="E212" t="str">
            <v>青岛海达源国内A股采购组织</v>
          </cell>
          <cell r="F212" t="str">
            <v>寄售</v>
          </cell>
          <cell r="G212" t="str">
            <v>2026-12-31</v>
          </cell>
          <cell r="H212" t="str">
            <v>15</v>
          </cell>
          <cell r="I212" t="str">
            <v>8.59</v>
          </cell>
        </row>
        <row r="213">
          <cell r="B213" t="str">
            <v>0011800376AD</v>
          </cell>
          <cell r="C213" t="str">
            <v>室内电脑板-CEM-3208mm*105mm</v>
          </cell>
          <cell r="D213" t="str">
            <v>91C1</v>
          </cell>
          <cell r="E213" t="str">
            <v>青岛海达源国内A股采购组织</v>
          </cell>
          <cell r="F213" t="str">
            <v>寄售</v>
          </cell>
          <cell r="G213" t="str">
            <v>2026-12-31</v>
          </cell>
          <cell r="H213" t="str">
            <v>15</v>
          </cell>
          <cell r="I213" t="str">
            <v>42.39</v>
          </cell>
        </row>
        <row r="214">
          <cell r="B214" t="str">
            <v>0011800377Y</v>
          </cell>
          <cell r="C214" t="str">
            <v>功率驱动板-FR-4SNB130FYQMC压缩机30ARX62T模块驱动板30A</v>
          </cell>
          <cell r="D214" t="str">
            <v>91C1</v>
          </cell>
          <cell r="E214" t="str">
            <v>青岛海达源国内A股采购组织</v>
          </cell>
          <cell r="F214" t="str">
            <v>寄售</v>
          </cell>
          <cell r="G214" t="str">
            <v>2026-12-31</v>
          </cell>
          <cell r="H214" t="str">
            <v>15</v>
          </cell>
          <cell r="I214" t="str">
            <v>109.88</v>
          </cell>
        </row>
        <row r="215">
          <cell r="B215" t="str">
            <v>0011800537C</v>
          </cell>
          <cell r="C215" t="str">
            <v>室内电脑板-CEM-1</v>
          </cell>
          <cell r="D215" t="str">
            <v>91C1</v>
          </cell>
          <cell r="E215" t="str">
            <v>青岛海达源国内A股采购组织</v>
          </cell>
          <cell r="F215" t="str">
            <v>寄售</v>
          </cell>
          <cell r="G215" t="str">
            <v>2026-12-31</v>
          </cell>
          <cell r="H215" t="str">
            <v>15</v>
          </cell>
          <cell r="I215" t="str">
            <v>19.28</v>
          </cell>
        </row>
        <row r="216">
          <cell r="B216" t="str">
            <v>0011800970F</v>
          </cell>
          <cell r="C216" t="str">
            <v>变频外电脑板-通用23T直流变频</v>
          </cell>
          <cell r="D216" t="str">
            <v>91C1</v>
          </cell>
          <cell r="E216" t="str">
            <v>青岛海达源国内A股采购组织</v>
          </cell>
          <cell r="F216" t="str">
            <v>寄售</v>
          </cell>
          <cell r="G216" t="str">
            <v>2026-12-31</v>
          </cell>
          <cell r="H216" t="str">
            <v>15</v>
          </cell>
          <cell r="I216" t="str">
            <v>109.67</v>
          </cell>
        </row>
        <row r="217">
          <cell r="B217" t="str">
            <v>0011800970G</v>
          </cell>
          <cell r="C217" t="str">
            <v>变频外电脑板-通用23T直流变频</v>
          </cell>
          <cell r="D217" t="str">
            <v>91C1</v>
          </cell>
          <cell r="E217" t="str">
            <v>青岛海达源国内A股采购组织</v>
          </cell>
          <cell r="F217" t="str">
            <v>寄售</v>
          </cell>
          <cell r="G217" t="str">
            <v>2026-12-31</v>
          </cell>
          <cell r="H217" t="str">
            <v>15</v>
          </cell>
          <cell r="I217" t="str">
            <v>117.76</v>
          </cell>
        </row>
        <row r="218">
          <cell r="B218" t="str">
            <v>0011801172BA</v>
          </cell>
          <cell r="C218" t="str">
            <v>变频外电脑板-FR-4240*180</v>
          </cell>
          <cell r="D218" t="str">
            <v>91C1</v>
          </cell>
          <cell r="E218" t="str">
            <v>青岛海达源国内A股采购组织</v>
          </cell>
          <cell r="F218" t="str">
            <v>寄售</v>
          </cell>
          <cell r="G218" t="str">
            <v>2026-12-31</v>
          </cell>
          <cell r="H218" t="str">
            <v>15</v>
          </cell>
          <cell r="I218" t="str">
            <v>151.95</v>
          </cell>
        </row>
        <row r="219">
          <cell r="B219" t="str">
            <v>0011801424G</v>
          </cell>
          <cell r="C219" t="str">
            <v>变频外电脑板-FR-4/</v>
          </cell>
          <cell r="D219" t="str">
            <v>91C1</v>
          </cell>
          <cell r="E219" t="str">
            <v>青岛海达源国内A股采购组织</v>
          </cell>
          <cell r="F219" t="str">
            <v>寄售</v>
          </cell>
          <cell r="G219" t="str">
            <v>2026-12-31</v>
          </cell>
          <cell r="H219" t="str">
            <v>15</v>
          </cell>
          <cell r="I219" t="str">
            <v>108.33</v>
          </cell>
        </row>
        <row r="220">
          <cell r="B220" t="str">
            <v>0011801583A</v>
          </cell>
          <cell r="C220" t="str">
            <v>室内电脑板-/162mm*130mm</v>
          </cell>
          <cell r="D220" t="str">
            <v>91C1</v>
          </cell>
          <cell r="E220" t="str">
            <v>青岛海达源国内A股采购组织</v>
          </cell>
          <cell r="F220" t="str">
            <v>寄售</v>
          </cell>
          <cell r="G220" t="str">
            <v>2026-12-31</v>
          </cell>
          <cell r="H220" t="str">
            <v>15</v>
          </cell>
          <cell r="I220" t="str">
            <v>29.83</v>
          </cell>
        </row>
        <row r="221">
          <cell r="B221" t="str">
            <v>0011800387D</v>
          </cell>
          <cell r="C221" t="str">
            <v>显示面板-FR-4</v>
          </cell>
          <cell r="D221" t="str">
            <v>91C1</v>
          </cell>
          <cell r="E221" t="str">
            <v>青岛海达源国内A股采购组织</v>
          </cell>
          <cell r="F221" t="str">
            <v>标准</v>
          </cell>
          <cell r="G221" t="str">
            <v>2026-12-31</v>
          </cell>
          <cell r="H221" t="str">
            <v>15</v>
          </cell>
          <cell r="I221" t="str">
            <v>4.50</v>
          </cell>
        </row>
        <row r="222">
          <cell r="B222" t="str">
            <v>0011800612X</v>
          </cell>
          <cell r="C222" t="str">
            <v>室内电脑板-CEM-1\\</v>
          </cell>
          <cell r="D222" t="str">
            <v>91C1</v>
          </cell>
          <cell r="E222" t="str">
            <v>青岛海达源国内A股采购组织</v>
          </cell>
          <cell r="F222" t="str">
            <v>寄售</v>
          </cell>
          <cell r="G222" t="str">
            <v>2026-12-31</v>
          </cell>
          <cell r="H222" t="str">
            <v>15</v>
          </cell>
          <cell r="I222" t="str">
            <v>28.57</v>
          </cell>
        </row>
        <row r="223">
          <cell r="B223" t="str">
            <v>0011800630Y</v>
          </cell>
          <cell r="C223" t="str">
            <v>室内电脑板-CEM-3室内电脑板巴基斯坦09/12室内电脑板</v>
          </cell>
          <cell r="D223" t="str">
            <v>91C1</v>
          </cell>
          <cell r="E223" t="str">
            <v>青岛海达源国内A股采购组织</v>
          </cell>
          <cell r="F223" t="str">
            <v>寄售</v>
          </cell>
          <cell r="G223" t="str">
            <v>2026-12-31</v>
          </cell>
          <cell r="H223" t="str">
            <v>15</v>
          </cell>
          <cell r="I223" t="str">
            <v>33.86</v>
          </cell>
        </row>
        <row r="224">
          <cell r="B224" t="str">
            <v>0011800646M</v>
          </cell>
          <cell r="C224" t="str">
            <v>室内电脑板-FR-4/</v>
          </cell>
          <cell r="D224" t="str">
            <v>91C1</v>
          </cell>
          <cell r="E224" t="str">
            <v>青岛海达源国内A股采购组织</v>
          </cell>
          <cell r="F224" t="str">
            <v>寄售</v>
          </cell>
          <cell r="G224" t="str">
            <v>2026-12-31</v>
          </cell>
          <cell r="H224" t="str">
            <v>15</v>
          </cell>
          <cell r="I224" t="str">
            <v>47.28</v>
          </cell>
        </row>
        <row r="225">
          <cell r="B225" t="str">
            <v>0011800970N</v>
          </cell>
          <cell r="C225" t="str">
            <v>变频外电脑板-通用23T直流变频</v>
          </cell>
          <cell r="D225" t="str">
            <v>91C1</v>
          </cell>
          <cell r="E225" t="str">
            <v>青岛海达源国内A股采购组织</v>
          </cell>
          <cell r="F225" t="str">
            <v>寄售</v>
          </cell>
          <cell r="G225" t="str">
            <v>2026-12-31</v>
          </cell>
          <cell r="H225" t="str">
            <v>15</v>
          </cell>
          <cell r="I225" t="str">
            <v>110.16</v>
          </cell>
        </row>
        <row r="226">
          <cell r="B226" t="str">
            <v>0011801172BT</v>
          </cell>
          <cell r="C226" t="str">
            <v>变频外电脑板-FR-4</v>
          </cell>
          <cell r="D226" t="str">
            <v>91C1</v>
          </cell>
          <cell r="E226" t="str">
            <v>青岛海达源国内A股采购组织</v>
          </cell>
          <cell r="F226" t="str">
            <v>寄售</v>
          </cell>
          <cell r="G226" t="str">
            <v>2026-12-31</v>
          </cell>
          <cell r="H226" t="str">
            <v>15</v>
          </cell>
          <cell r="I226" t="str">
            <v>183.31</v>
          </cell>
        </row>
        <row r="227">
          <cell r="B227" t="str">
            <v>0011800324</v>
          </cell>
          <cell r="C227" t="str">
            <v>显示面板-CEM-1</v>
          </cell>
          <cell r="D227" t="str">
            <v>91C1</v>
          </cell>
          <cell r="E227" t="str">
            <v>青岛海达源国内A股采购组织</v>
          </cell>
          <cell r="F227" t="str">
            <v>寄售</v>
          </cell>
          <cell r="G227" t="str">
            <v>2026-12-31</v>
          </cell>
          <cell r="H227" t="str">
            <v>15</v>
          </cell>
          <cell r="I227" t="str">
            <v>8.38</v>
          </cell>
        </row>
        <row r="228">
          <cell r="B228" t="str">
            <v>0011800324S</v>
          </cell>
          <cell r="C228" t="str">
            <v>显示面板-CEM-3</v>
          </cell>
          <cell r="D228" t="str">
            <v>91C1</v>
          </cell>
          <cell r="E228" t="str">
            <v>青岛海达源国内A股采购组织</v>
          </cell>
          <cell r="F228" t="str">
            <v>寄售</v>
          </cell>
          <cell r="G228" t="str">
            <v>2026-12-31</v>
          </cell>
          <cell r="H228" t="str">
            <v>15</v>
          </cell>
          <cell r="I228" t="str">
            <v>5.10</v>
          </cell>
        </row>
        <row r="229">
          <cell r="B229" t="str">
            <v>0011800376AG</v>
          </cell>
          <cell r="C229" t="str">
            <v>室内电脑板-CEM-1</v>
          </cell>
          <cell r="D229" t="str">
            <v>91C1</v>
          </cell>
          <cell r="E229" t="str">
            <v>青岛海达源国内A股采购组织</v>
          </cell>
          <cell r="F229" t="str">
            <v>寄售</v>
          </cell>
          <cell r="G229" t="str">
            <v>2026-12-31</v>
          </cell>
          <cell r="H229" t="str">
            <v>15</v>
          </cell>
          <cell r="I229" t="str">
            <v>41.11</v>
          </cell>
        </row>
        <row r="230">
          <cell r="B230" t="str">
            <v>0011800646F</v>
          </cell>
          <cell r="C230" t="str">
            <v>室内电脑板-FR-4</v>
          </cell>
          <cell r="D230" t="str">
            <v>91C1</v>
          </cell>
          <cell r="E230" t="str">
            <v>青岛海达源国内A股采购组织</v>
          </cell>
          <cell r="F230" t="str">
            <v>寄售</v>
          </cell>
          <cell r="G230" t="str">
            <v>2026-12-31</v>
          </cell>
          <cell r="H230" t="str">
            <v>15</v>
          </cell>
          <cell r="I230" t="str">
            <v>40.38</v>
          </cell>
        </row>
        <row r="231">
          <cell r="B231" t="str">
            <v>0011801372D</v>
          </cell>
          <cell r="C231" t="str">
            <v>变频外电脑板-FR-4205mm*157mm</v>
          </cell>
          <cell r="D231" t="str">
            <v>91C1</v>
          </cell>
          <cell r="E231" t="str">
            <v>青岛海达源国内A股采购组织</v>
          </cell>
          <cell r="F231" t="str">
            <v>寄售</v>
          </cell>
          <cell r="G231" t="str">
            <v>2026-12-31</v>
          </cell>
          <cell r="H231" t="str">
            <v>15</v>
          </cell>
          <cell r="I231" t="str">
            <v>96.53</v>
          </cell>
        </row>
        <row r="232">
          <cell r="B232" t="str">
            <v>0011801424F</v>
          </cell>
          <cell r="C232" t="str">
            <v>变频外电脑板-FR-4/</v>
          </cell>
          <cell r="D232" t="str">
            <v>91C1</v>
          </cell>
          <cell r="E232" t="str">
            <v>青岛海达源国内A股采购组织</v>
          </cell>
          <cell r="F232" t="str">
            <v>寄售</v>
          </cell>
          <cell r="G232" t="str">
            <v>2026-12-31</v>
          </cell>
          <cell r="H232" t="str">
            <v>15</v>
          </cell>
          <cell r="I232" t="str">
            <v>145.49</v>
          </cell>
        </row>
        <row r="233">
          <cell r="B233" t="str">
            <v>0011800612Q</v>
          </cell>
          <cell r="C233" t="str">
            <v>室内电脑板-CEM-1</v>
          </cell>
          <cell r="D233" t="str">
            <v>91C1</v>
          </cell>
          <cell r="E233" t="str">
            <v>青岛海达源国内A股采购组织</v>
          </cell>
          <cell r="F233" t="str">
            <v>寄售</v>
          </cell>
          <cell r="G233" t="str">
            <v>2026-12-31</v>
          </cell>
          <cell r="H233" t="str">
            <v>15</v>
          </cell>
          <cell r="I233" t="str">
            <v>29.09</v>
          </cell>
        </row>
        <row r="234">
          <cell r="B234" t="str">
            <v>0011800630K</v>
          </cell>
          <cell r="C234" t="str">
            <v>室内电脑板-CEM-1室内电脑板</v>
          </cell>
          <cell r="D234" t="str">
            <v>91C1</v>
          </cell>
          <cell r="E234" t="str">
            <v>青岛海达源国内A股采购组织</v>
          </cell>
          <cell r="F234" t="str">
            <v>寄售</v>
          </cell>
          <cell r="G234" t="str">
            <v>2026-12-31</v>
          </cell>
          <cell r="H234" t="str">
            <v>15</v>
          </cell>
          <cell r="I234" t="str">
            <v>25.65</v>
          </cell>
        </row>
        <row r="235">
          <cell r="B235" t="str">
            <v>0011800612H</v>
          </cell>
          <cell r="C235" t="str">
            <v>室内电脑板-/---</v>
          </cell>
          <cell r="D235" t="str">
            <v>91C1</v>
          </cell>
          <cell r="E235" t="str">
            <v>青岛海达源国内A股采购组织</v>
          </cell>
          <cell r="F235" t="str">
            <v>寄售</v>
          </cell>
          <cell r="G235" t="str">
            <v>2026-12-31</v>
          </cell>
          <cell r="H235" t="str">
            <v>15</v>
          </cell>
          <cell r="I235" t="str">
            <v>23.91</v>
          </cell>
        </row>
        <row r="236">
          <cell r="B236" t="str">
            <v>0011800612Z</v>
          </cell>
          <cell r="C236" t="str">
            <v>室内电脑板-CEM-1\--</v>
          </cell>
          <cell r="D236" t="str">
            <v>91C1</v>
          </cell>
          <cell r="E236" t="str">
            <v>青岛海达源国内A股采购组织</v>
          </cell>
          <cell r="F236" t="str">
            <v>寄售</v>
          </cell>
          <cell r="G236" t="str">
            <v>2026-12-31</v>
          </cell>
          <cell r="H236" t="str">
            <v>15</v>
          </cell>
          <cell r="I236" t="str">
            <v>25.75</v>
          </cell>
        </row>
        <row r="237">
          <cell r="B237" t="str">
            <v>0011800646</v>
          </cell>
          <cell r="C237" t="str">
            <v>室内电脑板-FR-4</v>
          </cell>
          <cell r="D237" t="str">
            <v>91C1</v>
          </cell>
          <cell r="E237" t="str">
            <v>青岛海达源国内A股采购组织</v>
          </cell>
          <cell r="F237" t="str">
            <v>寄售</v>
          </cell>
          <cell r="G237" t="str">
            <v>2026-12-31</v>
          </cell>
          <cell r="H237" t="str">
            <v>15</v>
          </cell>
          <cell r="I237" t="str">
            <v>45.63</v>
          </cell>
        </row>
        <row r="238">
          <cell r="B238" t="str">
            <v>0011800807</v>
          </cell>
          <cell r="C238" t="str">
            <v>室内电脑板-FR-4</v>
          </cell>
          <cell r="D238" t="str">
            <v>91C1</v>
          </cell>
          <cell r="E238" t="str">
            <v>青岛海达源国内A股采购组织</v>
          </cell>
          <cell r="F238" t="str">
            <v>寄售</v>
          </cell>
          <cell r="G238" t="str">
            <v>2026-12-31</v>
          </cell>
          <cell r="H238" t="str">
            <v>15</v>
          </cell>
          <cell r="I238" t="str">
            <v>41.75</v>
          </cell>
        </row>
        <row r="239">
          <cell r="B239" t="str">
            <v>0011800950D</v>
          </cell>
          <cell r="C239" t="str">
            <v>显示板-LED/</v>
          </cell>
          <cell r="D239" t="str">
            <v>91C1</v>
          </cell>
          <cell r="E239" t="str">
            <v>青岛海达源国内A股采购组织</v>
          </cell>
          <cell r="F239" t="str">
            <v>标准</v>
          </cell>
          <cell r="G239" t="str">
            <v>2026-12-31</v>
          </cell>
          <cell r="H239" t="str">
            <v>15</v>
          </cell>
          <cell r="I239" t="str">
            <v>19.90</v>
          </cell>
        </row>
        <row r="240">
          <cell r="B240" t="str">
            <v>0011800324T</v>
          </cell>
          <cell r="C240" t="str">
            <v>显示面板-CEM-1/--</v>
          </cell>
          <cell r="D240" t="str">
            <v>91C1</v>
          </cell>
          <cell r="E240" t="str">
            <v>青岛海达源国内A股采购组织</v>
          </cell>
          <cell r="F240" t="str">
            <v>寄售</v>
          </cell>
          <cell r="G240" t="str">
            <v>2026-12-31</v>
          </cell>
          <cell r="H240" t="str">
            <v>15</v>
          </cell>
          <cell r="I240" t="str">
            <v>6.34</v>
          </cell>
        </row>
        <row r="241">
          <cell r="B241" t="str">
            <v>0011800377X</v>
          </cell>
          <cell r="C241" t="str">
            <v>功率驱动板-FR-4SNB130FYQMC压缩机30ARX62T模块驱动板30A</v>
          </cell>
          <cell r="D241" t="str">
            <v>91C1</v>
          </cell>
          <cell r="E241" t="str">
            <v>青岛海达源国内A股采购组织</v>
          </cell>
          <cell r="F241" t="str">
            <v>寄售</v>
          </cell>
          <cell r="G241" t="str">
            <v>2026-12-31</v>
          </cell>
          <cell r="H241" t="str">
            <v>15</v>
          </cell>
          <cell r="I241" t="str">
            <v>107.38</v>
          </cell>
        </row>
        <row r="242">
          <cell r="B242" t="str">
            <v>0011800387</v>
          </cell>
          <cell r="C242" t="str">
            <v>显示面板-FR-4</v>
          </cell>
          <cell r="D242" t="str">
            <v>91C1</v>
          </cell>
          <cell r="E242" t="str">
            <v>青岛海达源国内A股采购组织</v>
          </cell>
          <cell r="F242" t="str">
            <v>寄售</v>
          </cell>
          <cell r="G242" t="str">
            <v>2026-12-31</v>
          </cell>
          <cell r="H242" t="str">
            <v>15</v>
          </cell>
          <cell r="I242" t="str">
            <v>6.66</v>
          </cell>
        </row>
        <row r="243">
          <cell r="B243" t="str">
            <v>0011800612AB</v>
          </cell>
          <cell r="C243" t="str">
            <v>室内电脑板-CEM-1\\</v>
          </cell>
          <cell r="D243" t="str">
            <v>91C1</v>
          </cell>
          <cell r="E243" t="str">
            <v>青岛海达源国内A股采购组织</v>
          </cell>
          <cell r="F243" t="str">
            <v>寄售</v>
          </cell>
          <cell r="G243" t="str">
            <v>2026-12-31</v>
          </cell>
          <cell r="H243" t="str">
            <v>15</v>
          </cell>
          <cell r="I243" t="str">
            <v>28.63</v>
          </cell>
        </row>
        <row r="244">
          <cell r="B244" t="str">
            <v>0011800612T</v>
          </cell>
          <cell r="C244" t="str">
            <v>室内电脑板-CEM-1</v>
          </cell>
          <cell r="D244" t="str">
            <v>91C1</v>
          </cell>
          <cell r="E244" t="str">
            <v>青岛海达源国内A股采购组织</v>
          </cell>
          <cell r="F244" t="str">
            <v>寄售</v>
          </cell>
          <cell r="G244" t="str">
            <v>2026-12-31</v>
          </cell>
          <cell r="H244" t="str">
            <v>15</v>
          </cell>
          <cell r="I244" t="str">
            <v>32.87</v>
          </cell>
        </row>
        <row r="245">
          <cell r="B245" t="str">
            <v>0011800630M</v>
          </cell>
          <cell r="C245" t="str">
            <v>室内电脑板-CEM-1室内电脑板俄罗斯07/09/12P系列室内电脑板</v>
          </cell>
          <cell r="D245" t="str">
            <v>91C1</v>
          </cell>
          <cell r="E245" t="str">
            <v>青岛海达源国内A股采购组织</v>
          </cell>
          <cell r="F245" t="str">
            <v>寄售</v>
          </cell>
          <cell r="G245" t="str">
            <v>2026-12-31</v>
          </cell>
          <cell r="H245" t="str">
            <v>15</v>
          </cell>
          <cell r="I245" t="str">
            <v>27.69</v>
          </cell>
        </row>
        <row r="246">
          <cell r="B246" t="str">
            <v>0011800646G</v>
          </cell>
          <cell r="C246" t="str">
            <v>室内电脑板-FR-4---</v>
          </cell>
          <cell r="D246" t="str">
            <v>91C1</v>
          </cell>
          <cell r="E246" t="str">
            <v>青岛海达源国内A股采购组织</v>
          </cell>
          <cell r="F246" t="str">
            <v>寄售</v>
          </cell>
          <cell r="G246" t="str">
            <v>2026-12-31</v>
          </cell>
          <cell r="H246" t="str">
            <v>15</v>
          </cell>
          <cell r="I246" t="str">
            <v>49.66</v>
          </cell>
        </row>
        <row r="247">
          <cell r="B247" t="str">
            <v>0011801372B</v>
          </cell>
          <cell r="C247" t="str">
            <v>变频外电脑板-FR-4205mm*157mm</v>
          </cell>
          <cell r="D247" t="str">
            <v>91C1</v>
          </cell>
          <cell r="E247" t="str">
            <v>青岛海达源国内A股采购组织</v>
          </cell>
          <cell r="F247" t="str">
            <v>寄售</v>
          </cell>
          <cell r="G247" t="str">
            <v>2026-12-31</v>
          </cell>
          <cell r="H247" t="str">
            <v>15</v>
          </cell>
          <cell r="I247" t="str">
            <v>88.06</v>
          </cell>
        </row>
        <row r="248">
          <cell r="B248" t="str">
            <v>0011801372F</v>
          </cell>
          <cell r="C248" t="str">
            <v>变频外电脑板-FR-4205mm*157mm</v>
          </cell>
          <cell r="D248" t="str">
            <v>91C1</v>
          </cell>
          <cell r="E248" t="str">
            <v>青岛海达源国内A股采购组织</v>
          </cell>
          <cell r="F248" t="str">
            <v>寄售</v>
          </cell>
          <cell r="G248" t="str">
            <v>2026-12-31</v>
          </cell>
          <cell r="H248" t="str">
            <v>15</v>
          </cell>
          <cell r="I248" t="str">
            <v>90.60</v>
          </cell>
        </row>
        <row r="249">
          <cell r="B249" t="str">
            <v>0011801490Y</v>
          </cell>
          <cell r="C249" t="str">
            <v>变频外电脑板-FR-4</v>
          </cell>
          <cell r="D249" t="str">
            <v>91C1</v>
          </cell>
          <cell r="E249" t="str">
            <v>青岛海达源国内A股采购组织</v>
          </cell>
          <cell r="F249" t="str">
            <v>寄售</v>
          </cell>
          <cell r="G249" t="str">
            <v>2026-12-31</v>
          </cell>
          <cell r="H249" t="str">
            <v>15</v>
          </cell>
          <cell r="I249" t="str">
            <v>101.27</v>
          </cell>
        </row>
        <row r="250">
          <cell r="B250" t="str">
            <v>0021800616A</v>
          </cell>
          <cell r="C250" t="str">
            <v>显示板-组件</v>
          </cell>
          <cell r="D250" t="str">
            <v>91C1</v>
          </cell>
          <cell r="E250" t="str">
            <v>青岛海达源国内A股采购组织</v>
          </cell>
          <cell r="F250" t="str">
            <v>寄售</v>
          </cell>
          <cell r="G250" t="str">
            <v>2026-12-31</v>
          </cell>
          <cell r="H250" t="str">
            <v>10</v>
          </cell>
          <cell r="I250" t="str">
            <v>57.15</v>
          </cell>
        </row>
        <row r="251">
          <cell r="B251" t="str">
            <v>0011800977AA</v>
          </cell>
          <cell r="C251" t="str">
            <v>室内电脑板-FR-4</v>
          </cell>
          <cell r="D251" t="str">
            <v>91C1</v>
          </cell>
          <cell r="E251" t="str">
            <v>青岛海达源国内A股采购组织</v>
          </cell>
          <cell r="F251" t="str">
            <v>寄售</v>
          </cell>
          <cell r="G251" t="str">
            <v>2026-12-31</v>
          </cell>
          <cell r="H251" t="str">
            <v>15</v>
          </cell>
          <cell r="I251" t="str">
            <v>29.30</v>
          </cell>
        </row>
        <row r="252">
          <cell r="B252" t="str">
            <v>0011800997BZ</v>
          </cell>
          <cell r="C252" t="str">
            <v>变频外电脑板</v>
          </cell>
          <cell r="D252" t="str">
            <v>91C1</v>
          </cell>
          <cell r="E252" t="str">
            <v>青岛海达源国内A股采购组织</v>
          </cell>
          <cell r="F252" t="str">
            <v>寄售</v>
          </cell>
          <cell r="G252" t="str">
            <v>2026-12-31</v>
          </cell>
          <cell r="H252" t="str">
            <v>15</v>
          </cell>
          <cell r="I252" t="str">
            <v>101.74</v>
          </cell>
        </row>
        <row r="253">
          <cell r="B253" t="str">
            <v>0011801890</v>
          </cell>
          <cell r="C253" t="str">
            <v>室内电脑板-CEM-1</v>
          </cell>
          <cell r="D253" t="str">
            <v>91C1</v>
          </cell>
          <cell r="E253" t="str">
            <v>青岛海达源国内A股采购组织</v>
          </cell>
          <cell r="F253" t="str">
            <v>寄售</v>
          </cell>
          <cell r="G253" t="str">
            <v>2026-12-31</v>
          </cell>
          <cell r="H253" t="str">
            <v>15</v>
          </cell>
          <cell r="I253" t="str">
            <v>43.96</v>
          </cell>
        </row>
        <row r="254">
          <cell r="B254" t="str">
            <v>0011801917D</v>
          </cell>
          <cell r="C254" t="str">
            <v>显示板</v>
          </cell>
          <cell r="D254" t="str">
            <v>91C1</v>
          </cell>
          <cell r="E254" t="str">
            <v>青岛海达源国内A股采购组织</v>
          </cell>
          <cell r="F254" t="str">
            <v>寄售</v>
          </cell>
          <cell r="G254" t="str">
            <v>2026-12-31</v>
          </cell>
          <cell r="H254" t="str">
            <v>15</v>
          </cell>
          <cell r="I254" t="str">
            <v>38.00</v>
          </cell>
        </row>
        <row r="255">
          <cell r="B255" t="str">
            <v>0031800004FP</v>
          </cell>
          <cell r="C255" t="str">
            <v>DP一体板-通用</v>
          </cell>
          <cell r="D255" t="str">
            <v>91C1</v>
          </cell>
          <cell r="E255" t="str">
            <v>青岛海达源国内A股采购组织</v>
          </cell>
          <cell r="F255" t="str">
            <v>寄售</v>
          </cell>
          <cell r="G255" t="str">
            <v>2026-12-31</v>
          </cell>
          <cell r="H255" t="str">
            <v>10</v>
          </cell>
          <cell r="I255" t="str">
            <v>33.81</v>
          </cell>
        </row>
        <row r="256">
          <cell r="B256" t="str">
            <v>0011801838</v>
          </cell>
          <cell r="C256" t="str">
            <v>室内电脑板-FR-4</v>
          </cell>
          <cell r="D256" t="str">
            <v>9163</v>
          </cell>
          <cell r="E256" t="str">
            <v>大连保税人民币采购组织</v>
          </cell>
          <cell r="F256" t="str">
            <v>标准</v>
          </cell>
          <cell r="G256" t="str">
            <v>2026-12-31</v>
          </cell>
          <cell r="H256" t="str">
            <v>15</v>
          </cell>
          <cell r="I256" t="str">
            <v>128.96</v>
          </cell>
        </row>
        <row r="257">
          <cell r="B257" t="str">
            <v>0011801973</v>
          </cell>
          <cell r="C257" t="str">
            <v>室内电脑板-CEM-3</v>
          </cell>
          <cell r="D257" t="str">
            <v>91C1</v>
          </cell>
          <cell r="E257" t="str">
            <v>青岛海达源国内A股采购组织</v>
          </cell>
          <cell r="F257" t="str">
            <v>寄售</v>
          </cell>
          <cell r="G257" t="str">
            <v>2026-12-31</v>
          </cell>
          <cell r="H257" t="str">
            <v>15</v>
          </cell>
          <cell r="I257" t="str">
            <v>59.46</v>
          </cell>
        </row>
        <row r="258">
          <cell r="B258" t="str">
            <v>0011801973A</v>
          </cell>
          <cell r="C258" t="str">
            <v>室内电脑板-CEM-3</v>
          </cell>
          <cell r="D258" t="str">
            <v>91C1</v>
          </cell>
          <cell r="E258" t="str">
            <v>青岛海达源国内A股采购组织</v>
          </cell>
          <cell r="F258" t="str">
            <v>寄售</v>
          </cell>
          <cell r="G258" t="str">
            <v>2026-12-31</v>
          </cell>
          <cell r="H258" t="str">
            <v>15</v>
          </cell>
          <cell r="I258" t="str">
            <v>59.46</v>
          </cell>
        </row>
        <row r="259">
          <cell r="B259" t="str">
            <v>0190400534AA</v>
          </cell>
          <cell r="C259" t="str">
            <v>主控板</v>
          </cell>
          <cell r="D259" t="str">
            <v>91C1</v>
          </cell>
          <cell r="E259" t="str">
            <v>青岛海达源国内A股采购组织</v>
          </cell>
          <cell r="F259" t="str">
            <v>寄售</v>
          </cell>
          <cell r="G259" t="str">
            <v>2026-12-31</v>
          </cell>
          <cell r="H259" t="str">
            <v>7</v>
          </cell>
          <cell r="I259" t="str">
            <v>37.39</v>
          </cell>
        </row>
        <row r="260">
          <cell r="B260" t="str">
            <v>0011801889A</v>
          </cell>
          <cell r="C260" t="str">
            <v>室内电脑板-FR-4</v>
          </cell>
          <cell r="D260" t="str">
            <v>91C1</v>
          </cell>
          <cell r="E260" t="str">
            <v>青岛海达源国内A股采购组织</v>
          </cell>
          <cell r="F260" t="str">
            <v>寄售</v>
          </cell>
          <cell r="G260" t="str">
            <v>2026-12-31</v>
          </cell>
          <cell r="H260" t="str">
            <v>15</v>
          </cell>
          <cell r="I260" t="str">
            <v>99.37</v>
          </cell>
        </row>
        <row r="261">
          <cell r="B261" t="str">
            <v>0011801583X</v>
          </cell>
          <cell r="C261" t="str">
            <v>室内电脑板</v>
          </cell>
          <cell r="D261" t="str">
            <v>91C1</v>
          </cell>
          <cell r="E261" t="str">
            <v>青岛海达源国内A股采购组织</v>
          </cell>
          <cell r="F261" t="str">
            <v>寄售</v>
          </cell>
          <cell r="G261" t="str">
            <v>2026-12-31</v>
          </cell>
          <cell r="H261" t="str">
            <v>15</v>
          </cell>
          <cell r="I261" t="str">
            <v>31.22</v>
          </cell>
        </row>
        <row r="262">
          <cell r="B262" t="str">
            <v>0011801172FB</v>
          </cell>
          <cell r="C262" t="str">
            <v>变频外电脑板-FR-4</v>
          </cell>
          <cell r="D262" t="str">
            <v>91C1</v>
          </cell>
          <cell r="E262" t="str">
            <v>青岛海达源国内A股采购组织</v>
          </cell>
          <cell r="F262" t="str">
            <v>寄售</v>
          </cell>
          <cell r="G262" t="str">
            <v>2026-12-31</v>
          </cell>
          <cell r="H262" t="str">
            <v>15</v>
          </cell>
          <cell r="I262" t="str">
            <v>160.17</v>
          </cell>
        </row>
        <row r="263">
          <cell r="B263" t="str">
            <v>0011801424BD</v>
          </cell>
          <cell r="C263" t="str">
            <v>变频外电脑板-FR-4</v>
          </cell>
          <cell r="D263" t="str">
            <v>91C1</v>
          </cell>
          <cell r="E263" t="str">
            <v>青岛海达源国内A股采购组织</v>
          </cell>
          <cell r="F263" t="str">
            <v>寄售</v>
          </cell>
          <cell r="G263" t="str">
            <v>2026-12-31</v>
          </cell>
          <cell r="H263" t="str">
            <v>15</v>
          </cell>
          <cell r="I263" t="str">
            <v>124.18</v>
          </cell>
        </row>
        <row r="264">
          <cell r="B264" t="str">
            <v>0011801859</v>
          </cell>
          <cell r="C264" t="str">
            <v>室内电脑板-FR-4</v>
          </cell>
          <cell r="D264" t="str">
            <v>91C1</v>
          </cell>
          <cell r="E264" t="str">
            <v>青岛海达源国内A股采购组织</v>
          </cell>
          <cell r="F264" t="str">
            <v>寄售</v>
          </cell>
          <cell r="G264" t="str">
            <v>2026-12-31</v>
          </cell>
          <cell r="H264" t="str">
            <v>15</v>
          </cell>
          <cell r="I264" t="str">
            <v>115.72</v>
          </cell>
        </row>
        <row r="265">
          <cell r="B265" t="str">
            <v>0011801710H</v>
          </cell>
          <cell r="C265" t="str">
            <v>室内电脑板-FR-4240*120mm</v>
          </cell>
          <cell r="D265" t="str">
            <v>91C1</v>
          </cell>
          <cell r="E265" t="str">
            <v>青岛海达源国内A股采购组织</v>
          </cell>
          <cell r="F265" t="str">
            <v>寄售</v>
          </cell>
          <cell r="G265" t="str">
            <v>2026-12-31</v>
          </cell>
          <cell r="H265" t="str">
            <v>15</v>
          </cell>
          <cell r="I265" t="str">
            <v>73.12</v>
          </cell>
        </row>
        <row r="266">
          <cell r="B266" t="str">
            <v>0011801859A</v>
          </cell>
          <cell r="C266" t="str">
            <v>室内电脑板-FR-4</v>
          </cell>
          <cell r="D266" t="str">
            <v>91C1</v>
          </cell>
          <cell r="E266" t="str">
            <v>青岛海达源国内A股采购组织</v>
          </cell>
          <cell r="F266" t="str">
            <v>寄售</v>
          </cell>
          <cell r="G266" t="str">
            <v>2026-12-31</v>
          </cell>
          <cell r="H266" t="str">
            <v>15</v>
          </cell>
          <cell r="I266" t="str">
            <v>105.72</v>
          </cell>
        </row>
        <row r="267">
          <cell r="B267" t="str">
            <v>0011801423AV</v>
          </cell>
          <cell r="C267" t="str">
            <v>变频外电脑板-FR-4</v>
          </cell>
          <cell r="D267" t="str">
            <v>91C1</v>
          </cell>
          <cell r="E267" t="str">
            <v>青岛海达源国内A股采购组织</v>
          </cell>
          <cell r="F267" t="str">
            <v>寄售</v>
          </cell>
          <cell r="G267" t="str">
            <v>2026-12-31</v>
          </cell>
          <cell r="H267" t="str">
            <v>15</v>
          </cell>
          <cell r="I267" t="str">
            <v>128.61</v>
          </cell>
        </row>
        <row r="268">
          <cell r="B268" t="str">
            <v>0190400340CA</v>
          </cell>
          <cell r="C268" t="str">
            <v>主控板-硬件增加继电器，增加高压开关流量计电路净水</v>
          </cell>
          <cell r="D268" t="str">
            <v>91C1</v>
          </cell>
          <cell r="E268" t="str">
            <v>青岛海达源国内A股采购组织</v>
          </cell>
          <cell r="F268" t="str">
            <v>寄售</v>
          </cell>
          <cell r="G268" t="str">
            <v>2026-12-31</v>
          </cell>
          <cell r="H268" t="str">
            <v>7</v>
          </cell>
          <cell r="I268" t="str">
            <v>58.84</v>
          </cell>
        </row>
        <row r="269">
          <cell r="B269" t="str">
            <v>0011801606M</v>
          </cell>
          <cell r="C269" t="str">
            <v>室内电脑板-FR-4</v>
          </cell>
          <cell r="D269" t="str">
            <v>91C1</v>
          </cell>
          <cell r="E269" t="str">
            <v>青岛海达源国内A股采购组织</v>
          </cell>
          <cell r="F269" t="str">
            <v>寄售</v>
          </cell>
          <cell r="G269" t="str">
            <v>2026-12-31</v>
          </cell>
          <cell r="H269" t="str">
            <v>15</v>
          </cell>
          <cell r="I269" t="str">
            <v>80.10</v>
          </cell>
        </row>
        <row r="270">
          <cell r="B270" t="str">
            <v>0011801903C</v>
          </cell>
          <cell r="C270" t="str">
            <v>室内电脑板-CEM-3</v>
          </cell>
          <cell r="D270" t="str">
            <v>91C1</v>
          </cell>
          <cell r="E270" t="str">
            <v>青岛海达源国内A股采购组织</v>
          </cell>
          <cell r="F270" t="str">
            <v>寄售</v>
          </cell>
          <cell r="G270" t="str">
            <v>2026-12-31</v>
          </cell>
          <cell r="H270" t="str">
            <v>15</v>
          </cell>
          <cell r="I270" t="str">
            <v>74.79</v>
          </cell>
        </row>
        <row r="271">
          <cell r="B271" t="str">
            <v>0011801917C</v>
          </cell>
          <cell r="C271" t="str">
            <v>显示板</v>
          </cell>
          <cell r="D271" t="str">
            <v>91C1</v>
          </cell>
          <cell r="E271" t="str">
            <v>青岛海达源国内A股采购组织</v>
          </cell>
          <cell r="F271" t="str">
            <v>寄售</v>
          </cell>
          <cell r="G271" t="str">
            <v>2026-12-31</v>
          </cell>
          <cell r="H271" t="str">
            <v>15</v>
          </cell>
          <cell r="I271" t="str">
            <v>39.00</v>
          </cell>
        </row>
        <row r="272">
          <cell r="B272" t="str">
            <v>0011801889</v>
          </cell>
          <cell r="C272" t="str">
            <v>室内电脑板-FR-4</v>
          </cell>
          <cell r="D272" t="str">
            <v>91C1</v>
          </cell>
          <cell r="E272" t="str">
            <v>青岛海达源国内A股采购组织</v>
          </cell>
          <cell r="F272" t="str">
            <v>寄售</v>
          </cell>
          <cell r="G272" t="str">
            <v>2026-12-31</v>
          </cell>
          <cell r="H272" t="str">
            <v>15</v>
          </cell>
          <cell r="I272" t="str">
            <v>101.50</v>
          </cell>
        </row>
        <row r="273">
          <cell r="B273" t="str">
            <v>0011801911A</v>
          </cell>
          <cell r="C273" t="str">
            <v>显示板-LED</v>
          </cell>
          <cell r="D273" t="str">
            <v>91C1</v>
          </cell>
          <cell r="E273" t="str">
            <v>青岛海达源国内A股采购组织</v>
          </cell>
          <cell r="F273" t="str">
            <v>寄售</v>
          </cell>
          <cell r="G273" t="str">
            <v>2026-12-31</v>
          </cell>
          <cell r="H273" t="str">
            <v>15</v>
          </cell>
          <cell r="I273" t="str">
            <v>8.72</v>
          </cell>
        </row>
        <row r="274">
          <cell r="B274" t="str">
            <v>0011801423AQ</v>
          </cell>
          <cell r="C274" t="str">
            <v>变频外电脑板-FR-4</v>
          </cell>
          <cell r="D274" t="str">
            <v>91C1</v>
          </cell>
          <cell r="E274" t="str">
            <v>青岛海达源国内A股采购组织</v>
          </cell>
          <cell r="F274" t="str">
            <v>寄售</v>
          </cell>
          <cell r="G274" t="str">
            <v>2026-12-31</v>
          </cell>
          <cell r="H274" t="str">
            <v>15</v>
          </cell>
          <cell r="I274" t="str">
            <v>141.18</v>
          </cell>
        </row>
        <row r="275">
          <cell r="B275" t="str">
            <v>0011801423AC</v>
          </cell>
          <cell r="C275" t="str">
            <v>变频外电脑板-FR-4</v>
          </cell>
          <cell r="D275" t="str">
            <v>91C1</v>
          </cell>
          <cell r="E275" t="str">
            <v>青岛海达源国内A股采购组织</v>
          </cell>
          <cell r="F275" t="str">
            <v>寄售</v>
          </cell>
          <cell r="G275" t="str">
            <v>2026-12-31</v>
          </cell>
          <cell r="H275" t="str">
            <v>15</v>
          </cell>
          <cell r="I275" t="str">
            <v>141.18</v>
          </cell>
        </row>
        <row r="276">
          <cell r="B276" t="str">
            <v>0151800208CM</v>
          </cell>
          <cell r="C276" t="str">
            <v>电脑板-FR-4AB25S2SC2FA</v>
          </cell>
          <cell r="D276" t="str">
            <v>91C1</v>
          </cell>
          <cell r="E276" t="str">
            <v>青岛海达源国内A股采购组织</v>
          </cell>
          <cell r="F276" t="str">
            <v>寄售</v>
          </cell>
          <cell r="G276" t="str">
            <v>2026-12-31</v>
          </cell>
          <cell r="H276" t="str">
            <v>30</v>
          </cell>
          <cell r="I276" t="str">
            <v>89.60</v>
          </cell>
        </row>
        <row r="277">
          <cell r="B277" t="str">
            <v>0011801685</v>
          </cell>
          <cell r="C277" t="str">
            <v>显示板-LED</v>
          </cell>
          <cell r="D277" t="str">
            <v>9163</v>
          </cell>
          <cell r="E277" t="str">
            <v>大连保税人民币采购组织</v>
          </cell>
          <cell r="F277" t="str">
            <v>标准</v>
          </cell>
          <cell r="G277" t="str">
            <v>2026-12-31</v>
          </cell>
          <cell r="H277" t="str">
            <v>15</v>
          </cell>
          <cell r="I277" t="str">
            <v>9.34</v>
          </cell>
        </row>
        <row r="278">
          <cell r="B278" t="str">
            <v>0151801003</v>
          </cell>
          <cell r="C278" t="str">
            <v>电脑板-FR-4</v>
          </cell>
          <cell r="D278" t="str">
            <v>91C1</v>
          </cell>
          <cell r="E278" t="str">
            <v>青岛海达源国内A股采购组织</v>
          </cell>
          <cell r="F278" t="str">
            <v>寄售</v>
          </cell>
          <cell r="G278" t="str">
            <v>2026-12-31</v>
          </cell>
          <cell r="H278" t="str">
            <v>30</v>
          </cell>
          <cell r="I278" t="str">
            <v>112.99</v>
          </cell>
        </row>
        <row r="279">
          <cell r="B279" t="str">
            <v>0011801583R</v>
          </cell>
          <cell r="C279" t="str">
            <v>室内电脑板-162mm*130mm</v>
          </cell>
          <cell r="D279" t="str">
            <v>91C1</v>
          </cell>
          <cell r="E279" t="str">
            <v>青岛海达源国内A股采购组织</v>
          </cell>
          <cell r="F279" t="str">
            <v>寄售</v>
          </cell>
          <cell r="G279" t="str">
            <v>2026-12-31</v>
          </cell>
          <cell r="H279" t="str">
            <v>15</v>
          </cell>
          <cell r="I279" t="str">
            <v>29.83</v>
          </cell>
        </row>
        <row r="280">
          <cell r="B280" t="str">
            <v>0151801031E</v>
          </cell>
          <cell r="C280" t="str">
            <v>单相室外一体板</v>
          </cell>
          <cell r="D280" t="str">
            <v>91C1</v>
          </cell>
          <cell r="E280" t="str">
            <v>青岛海达源国内A股采购组织</v>
          </cell>
          <cell r="F280" t="str">
            <v>寄售</v>
          </cell>
          <cell r="G280" t="str">
            <v>2026-12-31</v>
          </cell>
          <cell r="H280" t="str">
            <v>30</v>
          </cell>
          <cell r="I280" t="str">
            <v>362.18</v>
          </cell>
        </row>
        <row r="281">
          <cell r="B281" t="str">
            <v>0011801917</v>
          </cell>
          <cell r="C281" t="str">
            <v>显示板-FR-4/</v>
          </cell>
          <cell r="D281" t="str">
            <v>91C1</v>
          </cell>
          <cell r="E281" t="str">
            <v>青岛海达源国内A股采购组织</v>
          </cell>
          <cell r="F281" t="str">
            <v>寄售</v>
          </cell>
          <cell r="G281" t="str">
            <v>2026-12-31</v>
          </cell>
          <cell r="H281" t="str">
            <v>15</v>
          </cell>
          <cell r="I281" t="str">
            <v>36.00</v>
          </cell>
        </row>
        <row r="282">
          <cell r="B282" t="str">
            <v>0011801713A</v>
          </cell>
          <cell r="C282" t="str">
            <v>显示板</v>
          </cell>
          <cell r="D282" t="str">
            <v>9163</v>
          </cell>
          <cell r="E282" t="str">
            <v>大连保税人民币采购组织</v>
          </cell>
          <cell r="F282" t="str">
            <v>标准</v>
          </cell>
          <cell r="G282" t="str">
            <v>2026-12-31</v>
          </cell>
          <cell r="H282" t="str">
            <v>15</v>
          </cell>
          <cell r="I282" t="str">
            <v>19.54</v>
          </cell>
        </row>
        <row r="283">
          <cell r="B283" t="str">
            <v>0011801903A</v>
          </cell>
          <cell r="C283" t="str">
            <v>室内电脑板-CEM-3</v>
          </cell>
          <cell r="D283" t="str">
            <v>91C1</v>
          </cell>
          <cell r="E283" t="str">
            <v>青岛海达源国内A股采购组织</v>
          </cell>
          <cell r="F283" t="str">
            <v>寄售</v>
          </cell>
          <cell r="G283" t="str">
            <v>2026-12-31</v>
          </cell>
          <cell r="H283" t="str">
            <v>15</v>
          </cell>
          <cell r="I283" t="str">
            <v>74.95</v>
          </cell>
        </row>
        <row r="284">
          <cell r="B284" t="str">
            <v>0011801903B</v>
          </cell>
          <cell r="C284" t="str">
            <v>室内电脑板-CEM-3</v>
          </cell>
          <cell r="D284" t="str">
            <v>91C1</v>
          </cell>
          <cell r="E284" t="str">
            <v>青岛海达源国内A股采购组织</v>
          </cell>
          <cell r="F284" t="str">
            <v>寄售</v>
          </cell>
          <cell r="G284" t="str">
            <v>2026-12-31</v>
          </cell>
          <cell r="H284" t="str">
            <v>15</v>
          </cell>
          <cell r="I284" t="str">
            <v>75.23</v>
          </cell>
        </row>
        <row r="285">
          <cell r="B285" t="str">
            <v>0011801737B</v>
          </cell>
          <cell r="C285" t="str">
            <v>显示板-LED166*93mm</v>
          </cell>
          <cell r="D285" t="str">
            <v>91C1</v>
          </cell>
          <cell r="E285" t="str">
            <v>青岛海达源国内A股采购组织</v>
          </cell>
          <cell r="F285" t="str">
            <v>寄售</v>
          </cell>
          <cell r="G285" t="str">
            <v>2026-12-31</v>
          </cell>
          <cell r="H285" t="str">
            <v>15</v>
          </cell>
          <cell r="I285" t="str">
            <v>26.00</v>
          </cell>
        </row>
        <row r="286">
          <cell r="B286" t="str">
            <v>0011801852</v>
          </cell>
          <cell r="C286" t="str">
            <v>室内电脑板-220V</v>
          </cell>
          <cell r="D286" t="str">
            <v>91C1</v>
          </cell>
          <cell r="E286" t="str">
            <v>青岛海达源国内A股采购组织</v>
          </cell>
          <cell r="F286" t="str">
            <v>寄售</v>
          </cell>
          <cell r="G286" t="str">
            <v>2026-12-31</v>
          </cell>
          <cell r="H286" t="str">
            <v>15</v>
          </cell>
          <cell r="I286" t="str">
            <v>90.75</v>
          </cell>
        </row>
        <row r="287">
          <cell r="B287" t="str">
            <v>0011801675A</v>
          </cell>
          <cell r="C287" t="str">
            <v>室内电脑板-CEM-1165*136</v>
          </cell>
          <cell r="D287" t="str">
            <v>91C1</v>
          </cell>
          <cell r="E287" t="str">
            <v>青岛海达源国内A股采购组织</v>
          </cell>
          <cell r="F287" t="str">
            <v>寄售</v>
          </cell>
          <cell r="G287" t="str">
            <v>2026-12-31</v>
          </cell>
          <cell r="H287" t="str">
            <v>15</v>
          </cell>
          <cell r="I287" t="str">
            <v>37.82</v>
          </cell>
        </row>
        <row r="288">
          <cell r="B288" t="str">
            <v>0011801490B</v>
          </cell>
          <cell r="C288" t="str">
            <v>变频外电脑板-FR-4</v>
          </cell>
          <cell r="D288" t="str">
            <v>91C1</v>
          </cell>
          <cell r="E288" t="str">
            <v>青岛海达源国内A股采购组织</v>
          </cell>
          <cell r="F288" t="str">
            <v>寄售</v>
          </cell>
          <cell r="G288" t="str">
            <v>2026-12-31</v>
          </cell>
          <cell r="H288" t="str">
            <v>15</v>
          </cell>
          <cell r="I288" t="str">
            <v>106.57</v>
          </cell>
        </row>
        <row r="289">
          <cell r="B289" t="str">
            <v>0011801859E</v>
          </cell>
          <cell r="C289" t="str">
            <v>室内电脑板-FR-4</v>
          </cell>
          <cell r="D289" t="str">
            <v>91C1</v>
          </cell>
          <cell r="E289" t="str">
            <v>青岛海达源国内A股采购组织</v>
          </cell>
          <cell r="F289" t="str">
            <v>寄售</v>
          </cell>
          <cell r="G289" t="str">
            <v>2026-12-31</v>
          </cell>
          <cell r="H289" t="str">
            <v>15</v>
          </cell>
          <cell r="I289" t="str">
            <v>87.89</v>
          </cell>
        </row>
        <row r="290">
          <cell r="B290" t="str">
            <v>0151801003C</v>
          </cell>
          <cell r="C290" t="str">
            <v>室外控制板</v>
          </cell>
          <cell r="D290" t="str">
            <v>91C1</v>
          </cell>
          <cell r="E290" t="str">
            <v>青岛海达源国内A股采购组织</v>
          </cell>
          <cell r="F290" t="str">
            <v>寄售</v>
          </cell>
          <cell r="G290" t="str">
            <v>2026-12-31</v>
          </cell>
          <cell r="H290" t="str">
            <v>30</v>
          </cell>
          <cell r="I290" t="str">
            <v>84.43</v>
          </cell>
        </row>
        <row r="291">
          <cell r="B291" t="str">
            <v>0151801031D</v>
          </cell>
          <cell r="C291" t="str">
            <v>单相室外一体板-FR-4</v>
          </cell>
          <cell r="D291" t="str">
            <v>91C1</v>
          </cell>
          <cell r="E291" t="str">
            <v>青岛海达源国内A股采购组织</v>
          </cell>
          <cell r="F291" t="str">
            <v>寄售</v>
          </cell>
          <cell r="G291" t="str">
            <v>2026-12-31</v>
          </cell>
          <cell r="H291" t="str">
            <v>30</v>
          </cell>
          <cell r="I291" t="str">
            <v>362.18</v>
          </cell>
        </row>
        <row r="292">
          <cell r="B292" t="str">
            <v>0011801423T</v>
          </cell>
          <cell r="C292" t="str">
            <v>变频外电脑板-FR-4240*180</v>
          </cell>
          <cell r="D292" t="str">
            <v>91C1</v>
          </cell>
          <cell r="E292" t="str">
            <v>青岛海达源国内A股采购组织</v>
          </cell>
          <cell r="F292" t="str">
            <v>寄售</v>
          </cell>
          <cell r="G292" t="str">
            <v>2026-12-31</v>
          </cell>
          <cell r="H292" t="str">
            <v>15</v>
          </cell>
          <cell r="I292" t="str">
            <v>135.57</v>
          </cell>
        </row>
        <row r="293">
          <cell r="B293" t="str">
            <v>0011800607V</v>
          </cell>
          <cell r="C293" t="str">
            <v>显示板</v>
          </cell>
          <cell r="D293" t="str">
            <v>9163</v>
          </cell>
          <cell r="E293" t="str">
            <v>大连保税人民币采购组织</v>
          </cell>
          <cell r="F293" t="str">
            <v>标准</v>
          </cell>
          <cell r="G293" t="str">
            <v>2026-12-31</v>
          </cell>
          <cell r="H293" t="str">
            <v>15</v>
          </cell>
          <cell r="I293" t="str">
            <v>21.27</v>
          </cell>
        </row>
        <row r="294">
          <cell r="B294" t="str">
            <v>0011801852A</v>
          </cell>
          <cell r="C294" t="str">
            <v>室内电脑板</v>
          </cell>
          <cell r="D294" t="str">
            <v>91C1</v>
          </cell>
          <cell r="E294" t="str">
            <v>青岛海达源国内A股采购组织</v>
          </cell>
          <cell r="F294" t="str">
            <v>寄售</v>
          </cell>
          <cell r="G294" t="str">
            <v>2026-12-31</v>
          </cell>
          <cell r="H294" t="str">
            <v>15</v>
          </cell>
          <cell r="I294" t="str">
            <v>82.87</v>
          </cell>
        </row>
        <row r="295">
          <cell r="B295" t="str">
            <v>0151801031C</v>
          </cell>
          <cell r="C295" t="str">
            <v>单相室外一体板-FR-4</v>
          </cell>
          <cell r="D295" t="str">
            <v>91C1</v>
          </cell>
          <cell r="E295" t="str">
            <v>青岛海达源国内A股采购组织</v>
          </cell>
          <cell r="F295" t="str">
            <v>寄售</v>
          </cell>
          <cell r="G295" t="str">
            <v>2026-12-31</v>
          </cell>
          <cell r="H295" t="str">
            <v>30</v>
          </cell>
          <cell r="I295" t="str">
            <v>344.04</v>
          </cell>
        </row>
        <row r="296">
          <cell r="B296" t="str">
            <v>0011801911</v>
          </cell>
          <cell r="C296" t="str">
            <v>显示板-LED</v>
          </cell>
          <cell r="D296" t="str">
            <v>91C1</v>
          </cell>
          <cell r="E296" t="str">
            <v>青岛海达源国内A股采购组织</v>
          </cell>
          <cell r="F296" t="str">
            <v>寄售</v>
          </cell>
          <cell r="G296" t="str">
            <v>2026-12-31</v>
          </cell>
          <cell r="H296" t="str">
            <v>15</v>
          </cell>
          <cell r="I296" t="str">
            <v>13.32</v>
          </cell>
        </row>
        <row r="297">
          <cell r="B297" t="str">
            <v>0011801606L</v>
          </cell>
          <cell r="C297" t="str">
            <v>室内电脑板-FR-4340*88mm</v>
          </cell>
          <cell r="D297" t="str">
            <v>91C1</v>
          </cell>
          <cell r="E297" t="str">
            <v>青岛海达源国内A股采购组织</v>
          </cell>
          <cell r="F297" t="str">
            <v>寄售</v>
          </cell>
          <cell r="G297" t="str">
            <v>2026-12-31</v>
          </cell>
          <cell r="H297" t="str">
            <v>15</v>
          </cell>
          <cell r="I297" t="str">
            <v>75.21</v>
          </cell>
        </row>
        <row r="298">
          <cell r="B298" t="str">
            <v>0011801172DG</v>
          </cell>
          <cell r="C298" t="str">
            <v>变频外电脑板-FR-4</v>
          </cell>
          <cell r="D298" t="str">
            <v>91C1</v>
          </cell>
          <cell r="E298" t="str">
            <v>青岛海达源国内A股采购组织</v>
          </cell>
          <cell r="F298" t="str">
            <v>寄售</v>
          </cell>
          <cell r="G298" t="str">
            <v>2026-12-31</v>
          </cell>
          <cell r="H298" t="str">
            <v>15</v>
          </cell>
          <cell r="I298" t="str">
            <v>162.90</v>
          </cell>
        </row>
        <row r="299">
          <cell r="B299" t="str">
            <v>0021800616C</v>
          </cell>
          <cell r="C299" t="str">
            <v>显示板-电脑版\LED</v>
          </cell>
          <cell r="D299" t="str">
            <v>91C1</v>
          </cell>
          <cell r="E299" t="str">
            <v>青岛海达源国内A股采购组织</v>
          </cell>
          <cell r="F299" t="str">
            <v>寄售</v>
          </cell>
          <cell r="G299" t="str">
            <v>2026-12-31</v>
          </cell>
          <cell r="H299" t="str">
            <v>10</v>
          </cell>
          <cell r="I299" t="str">
            <v>57.15</v>
          </cell>
        </row>
        <row r="300">
          <cell r="B300" t="str">
            <v>0011801423AP</v>
          </cell>
          <cell r="C300" t="str">
            <v>变频外电脑板-FR-4</v>
          </cell>
          <cell r="D300" t="str">
            <v>91C1</v>
          </cell>
          <cell r="E300" t="str">
            <v>青岛海达源国内A股采购组织</v>
          </cell>
          <cell r="F300" t="str">
            <v>寄售</v>
          </cell>
          <cell r="G300" t="str">
            <v>2026-12-31</v>
          </cell>
          <cell r="H300" t="str">
            <v>15</v>
          </cell>
          <cell r="I300" t="str">
            <v>128.13</v>
          </cell>
        </row>
        <row r="301">
          <cell r="B301" t="str">
            <v>0021800615C</v>
          </cell>
          <cell r="C301" t="str">
            <v>显示板-电脑版\LED</v>
          </cell>
          <cell r="D301" t="str">
            <v>91C1</v>
          </cell>
          <cell r="E301" t="str">
            <v>青岛海达源国内A股采购组织</v>
          </cell>
          <cell r="F301" t="str">
            <v>寄售</v>
          </cell>
          <cell r="G301" t="str">
            <v>2026-12-31</v>
          </cell>
          <cell r="H301" t="str">
            <v>10</v>
          </cell>
          <cell r="I301" t="str">
            <v>68.37</v>
          </cell>
        </row>
        <row r="302">
          <cell r="B302" t="str">
            <v>0011801423AW</v>
          </cell>
          <cell r="C302" t="str">
            <v>变频外电脑板-FR-4</v>
          </cell>
          <cell r="D302" t="str">
            <v>91C1</v>
          </cell>
          <cell r="E302" t="str">
            <v>青岛海达源国内A股采购组织</v>
          </cell>
          <cell r="F302" t="str">
            <v>寄售</v>
          </cell>
          <cell r="G302" t="str">
            <v>2026-12-31</v>
          </cell>
          <cell r="H302" t="str">
            <v>15</v>
          </cell>
          <cell r="I302" t="str">
            <v>158.97</v>
          </cell>
        </row>
        <row r="303">
          <cell r="B303" t="str">
            <v>0011801859F</v>
          </cell>
          <cell r="C303" t="str">
            <v>室内电脑板-FR-4</v>
          </cell>
          <cell r="D303" t="str">
            <v>91C1</v>
          </cell>
          <cell r="E303" t="str">
            <v>青岛海达源国内A股采购组织</v>
          </cell>
          <cell r="F303" t="str">
            <v>寄售</v>
          </cell>
          <cell r="G303" t="str">
            <v>2026-12-31</v>
          </cell>
          <cell r="H303" t="str">
            <v>15</v>
          </cell>
          <cell r="I303" t="str">
            <v>89.67</v>
          </cell>
        </row>
        <row r="304">
          <cell r="B304" t="str">
            <v>0011801917E</v>
          </cell>
          <cell r="C304" t="str">
            <v>显示板</v>
          </cell>
          <cell r="D304" t="str">
            <v>91C1</v>
          </cell>
          <cell r="E304" t="str">
            <v>青岛海达源国内A股采购组织</v>
          </cell>
          <cell r="F304" t="str">
            <v>寄售</v>
          </cell>
          <cell r="G304" t="str">
            <v>2026-12-31</v>
          </cell>
          <cell r="H304" t="str">
            <v>15</v>
          </cell>
          <cell r="I304" t="str">
            <v>35.67</v>
          </cell>
        </row>
        <row r="305">
          <cell r="B305" t="str">
            <v>0011801172FD</v>
          </cell>
          <cell r="C305" t="str">
            <v>变频外电脑板-FR-4</v>
          </cell>
          <cell r="D305" t="str">
            <v>91C1</v>
          </cell>
          <cell r="E305" t="str">
            <v>青岛海达源国内A股采购组织</v>
          </cell>
          <cell r="F305" t="str">
            <v>寄售</v>
          </cell>
          <cell r="G305" t="str">
            <v>2026-12-31</v>
          </cell>
          <cell r="H305" t="str">
            <v>15</v>
          </cell>
          <cell r="I305" t="str">
            <v>155.09</v>
          </cell>
        </row>
        <row r="306">
          <cell r="B306" t="str">
            <v>0021800150EA</v>
          </cell>
          <cell r="C306" t="str">
            <v>显示板-LED12V</v>
          </cell>
          <cell r="D306" t="str">
            <v>91C1</v>
          </cell>
          <cell r="E306" t="str">
            <v>青岛海达源国内A股采购组织</v>
          </cell>
          <cell r="F306" t="str">
            <v>寄售</v>
          </cell>
          <cell r="G306" t="str">
            <v>2026-12-31</v>
          </cell>
          <cell r="H306" t="str">
            <v>14</v>
          </cell>
          <cell r="I306" t="str">
            <v>20.69</v>
          </cell>
        </row>
        <row r="307">
          <cell r="B307" t="str">
            <v>0011801583AE</v>
          </cell>
          <cell r="C307" t="str">
            <v>室内电脑板-CEM-1</v>
          </cell>
          <cell r="D307" t="str">
            <v>91C1</v>
          </cell>
          <cell r="E307" t="str">
            <v>青岛海达源国内A股采购组织</v>
          </cell>
          <cell r="F307" t="str">
            <v>寄售</v>
          </cell>
          <cell r="G307" t="str">
            <v>2026-12-31</v>
          </cell>
          <cell r="H307" t="str">
            <v>15</v>
          </cell>
          <cell r="I307" t="str">
            <v>31.22</v>
          </cell>
        </row>
        <row r="308">
          <cell r="B308" t="str">
            <v>0011801490BP</v>
          </cell>
          <cell r="C308" t="str">
            <v>变频外电脑板-FR-4</v>
          </cell>
          <cell r="D308" t="str">
            <v>91C1</v>
          </cell>
          <cell r="E308" t="str">
            <v>青岛海达源国内A股采购组织</v>
          </cell>
          <cell r="F308" t="str">
            <v>寄售</v>
          </cell>
          <cell r="G308" t="str">
            <v>2026-12-31</v>
          </cell>
          <cell r="H308" t="str">
            <v>15</v>
          </cell>
          <cell r="I308" t="str">
            <v>98.93</v>
          </cell>
        </row>
        <row r="309">
          <cell r="B309" t="str">
            <v>0011800697AC</v>
          </cell>
          <cell r="C309" t="str">
            <v>室内电脑板-CEM-1</v>
          </cell>
          <cell r="D309" t="str">
            <v>91C1</v>
          </cell>
          <cell r="E309" t="str">
            <v>青岛海达源国内A股采购组织</v>
          </cell>
          <cell r="F309" t="str">
            <v>寄售</v>
          </cell>
          <cell r="G309" t="str">
            <v>2026-12-31</v>
          </cell>
          <cell r="H309" t="str">
            <v>15</v>
          </cell>
          <cell r="I309" t="str">
            <v>36.99</v>
          </cell>
        </row>
        <row r="310">
          <cell r="B310" t="str">
            <v>0011801125A</v>
          </cell>
          <cell r="C310" t="str">
            <v>显示板-LED53*95</v>
          </cell>
          <cell r="D310" t="str">
            <v>91C1</v>
          </cell>
          <cell r="E310" t="str">
            <v>青岛海达源国内A股采购组织</v>
          </cell>
          <cell r="F310" t="str">
            <v>寄售</v>
          </cell>
          <cell r="G310" t="str">
            <v>2026-12-31</v>
          </cell>
          <cell r="H310" t="str">
            <v>15</v>
          </cell>
          <cell r="I310" t="str">
            <v>4.90</v>
          </cell>
        </row>
        <row r="311">
          <cell r="B311" t="str">
            <v>0021800442GA</v>
          </cell>
          <cell r="C311" t="str">
            <v>显示板-LED12VDC12VDC</v>
          </cell>
          <cell r="D311" t="str">
            <v>91C1</v>
          </cell>
          <cell r="E311" t="str">
            <v>青岛海达源国内A股采购组织</v>
          </cell>
          <cell r="F311" t="str">
            <v>寄售</v>
          </cell>
          <cell r="G311" t="str">
            <v>2026-12-31</v>
          </cell>
          <cell r="H311" t="str">
            <v>14</v>
          </cell>
          <cell r="I311" t="str">
            <v>27.72</v>
          </cell>
        </row>
        <row r="312">
          <cell r="B312" t="str">
            <v>0011801071K</v>
          </cell>
          <cell r="C312" t="str">
            <v>室内电脑板-CEM-1</v>
          </cell>
          <cell r="D312" t="str">
            <v>91C1</v>
          </cell>
          <cell r="E312" t="str">
            <v>青岛海达源国内A股采购组织</v>
          </cell>
          <cell r="F312" t="str">
            <v>寄售</v>
          </cell>
          <cell r="G312" t="str">
            <v>2026-12-31</v>
          </cell>
          <cell r="H312" t="str">
            <v>15</v>
          </cell>
          <cell r="I312" t="str">
            <v>37.72</v>
          </cell>
        </row>
        <row r="313">
          <cell r="B313" t="str">
            <v>0011801903D</v>
          </cell>
          <cell r="C313" t="str">
            <v>室内电脑板-FR-4</v>
          </cell>
          <cell r="D313" t="str">
            <v>91C1</v>
          </cell>
          <cell r="E313" t="str">
            <v>青岛海达源国内A股采购组织</v>
          </cell>
          <cell r="F313" t="str">
            <v>寄售</v>
          </cell>
          <cell r="G313" t="str">
            <v>2026-12-31</v>
          </cell>
          <cell r="H313" t="str">
            <v>15</v>
          </cell>
          <cell r="I313" t="str">
            <v>74.95</v>
          </cell>
        </row>
        <row r="314">
          <cell r="B314" t="str">
            <v>0011801675H</v>
          </cell>
          <cell r="C314" t="str">
            <v>室内电脑板-FR-4162mm*130mm</v>
          </cell>
          <cell r="D314" t="str">
            <v>91C1</v>
          </cell>
          <cell r="E314" t="str">
            <v>青岛海达源国内A股采购组织</v>
          </cell>
          <cell r="F314" t="str">
            <v>寄售</v>
          </cell>
          <cell r="G314" t="str">
            <v>2026-12-31</v>
          </cell>
          <cell r="H314" t="str">
            <v>15</v>
          </cell>
          <cell r="I314" t="str">
            <v>43.53</v>
          </cell>
        </row>
        <row r="315">
          <cell r="B315" t="str">
            <v>0011801843E</v>
          </cell>
          <cell r="C315" t="str">
            <v>变频外电脑板-FR-4</v>
          </cell>
          <cell r="D315" t="str">
            <v>91C1</v>
          </cell>
          <cell r="E315" t="str">
            <v>青岛海达源国内A股采购组织</v>
          </cell>
          <cell r="F315" t="str">
            <v>寄售</v>
          </cell>
          <cell r="G315" t="str">
            <v>2026-12-31</v>
          </cell>
          <cell r="H315" t="str">
            <v>15</v>
          </cell>
          <cell r="I315" t="str">
            <v>141.59</v>
          </cell>
        </row>
        <row r="316">
          <cell r="B316" t="str">
            <v>0021800442GB</v>
          </cell>
          <cell r="C316" t="str">
            <v>显示板-LED</v>
          </cell>
          <cell r="D316" t="str">
            <v>91C1</v>
          </cell>
          <cell r="E316" t="str">
            <v>青岛海达源国内A股采购组织</v>
          </cell>
          <cell r="F316" t="str">
            <v>寄售</v>
          </cell>
          <cell r="G316" t="str">
            <v>2026-12-31</v>
          </cell>
          <cell r="H316" t="str">
            <v>14</v>
          </cell>
          <cell r="I316" t="str">
            <v>27.72</v>
          </cell>
        </row>
        <row r="317">
          <cell r="B317" t="str">
            <v>0021800442G</v>
          </cell>
          <cell r="C317" t="str">
            <v>显示板-LED12VDC12VDC</v>
          </cell>
          <cell r="D317" t="str">
            <v>91C1</v>
          </cell>
          <cell r="E317" t="str">
            <v>青岛海达源国内A股采购组织</v>
          </cell>
          <cell r="F317" t="str">
            <v>寄售</v>
          </cell>
          <cell r="G317" t="str">
            <v>2026-12-31</v>
          </cell>
          <cell r="H317" t="str">
            <v>14</v>
          </cell>
          <cell r="I317" t="str">
            <v>27.72</v>
          </cell>
        </row>
        <row r="318">
          <cell r="B318" t="str">
            <v>0011801675G</v>
          </cell>
          <cell r="C318" t="str">
            <v>室内电脑板-FR-4165*136</v>
          </cell>
          <cell r="D318" t="str">
            <v>91C1</v>
          </cell>
          <cell r="E318" t="str">
            <v>青岛海达源国内A股采购组织</v>
          </cell>
          <cell r="F318" t="str">
            <v>寄售</v>
          </cell>
          <cell r="G318" t="str">
            <v>2026-12-31</v>
          </cell>
          <cell r="H318" t="str">
            <v>15</v>
          </cell>
          <cell r="I318" t="str">
            <v>40.62</v>
          </cell>
        </row>
        <row r="319">
          <cell r="B319" t="str">
            <v>0011801490Z</v>
          </cell>
          <cell r="C319" t="str">
            <v>变频外电脑板-FR-4</v>
          </cell>
          <cell r="D319" t="str">
            <v>91C1</v>
          </cell>
          <cell r="E319" t="str">
            <v>青岛海达源国内A股采购组织</v>
          </cell>
          <cell r="F319" t="str">
            <v>寄售</v>
          </cell>
          <cell r="G319" t="str">
            <v>2026-12-31</v>
          </cell>
          <cell r="H319" t="str">
            <v>15</v>
          </cell>
          <cell r="I319" t="str">
            <v>107.50</v>
          </cell>
        </row>
        <row r="320">
          <cell r="B320" t="str">
            <v>0011801490AP</v>
          </cell>
          <cell r="C320" t="str">
            <v>变频外电脑板-FR-4</v>
          </cell>
          <cell r="D320" t="str">
            <v>91C1</v>
          </cell>
          <cell r="E320" t="str">
            <v>青岛海达源国内A股采购组织</v>
          </cell>
          <cell r="F320" t="str">
            <v>寄售</v>
          </cell>
          <cell r="G320" t="str">
            <v>2026-12-31</v>
          </cell>
          <cell r="H320" t="str">
            <v>15</v>
          </cell>
          <cell r="I320" t="str">
            <v>109.92</v>
          </cell>
        </row>
        <row r="321">
          <cell r="B321" t="str">
            <v>0021800616D</v>
          </cell>
          <cell r="C321" t="str">
            <v>显示板-LEDFR-4</v>
          </cell>
          <cell r="D321" t="str">
            <v>91C1</v>
          </cell>
          <cell r="E321" t="str">
            <v>青岛海达源国内A股采购组织</v>
          </cell>
          <cell r="F321" t="str">
            <v>寄售</v>
          </cell>
          <cell r="G321" t="str">
            <v>2026-12-31</v>
          </cell>
          <cell r="H321" t="str">
            <v>10</v>
          </cell>
          <cell r="I321" t="str">
            <v>57.15</v>
          </cell>
        </row>
        <row r="322">
          <cell r="B322" t="str">
            <v>0011801424BM</v>
          </cell>
          <cell r="C322" t="str">
            <v>变频外电脑板-FR-4</v>
          </cell>
          <cell r="D322" t="str">
            <v>91C1</v>
          </cell>
          <cell r="E322" t="str">
            <v>青岛海达源国内A股采购组织</v>
          </cell>
          <cell r="F322" t="str">
            <v>寄售</v>
          </cell>
          <cell r="G322" t="str">
            <v>2026-12-31</v>
          </cell>
          <cell r="H322" t="str">
            <v>15</v>
          </cell>
          <cell r="I322" t="str">
            <v>124.60</v>
          </cell>
        </row>
        <row r="323">
          <cell r="B323" t="str">
            <v>0151800648J</v>
          </cell>
          <cell r="C323" t="str">
            <v>室内电脑板-FR-4</v>
          </cell>
          <cell r="D323" t="str">
            <v>91C1</v>
          </cell>
          <cell r="E323" t="str">
            <v>青岛海达源国内A股采购组织</v>
          </cell>
          <cell r="F323" t="str">
            <v>寄售</v>
          </cell>
          <cell r="G323" t="str">
            <v>2026-12-31</v>
          </cell>
          <cell r="H323" t="str">
            <v>15</v>
          </cell>
          <cell r="I323" t="str">
            <v>90.99</v>
          </cell>
        </row>
        <row r="324">
          <cell r="B324" t="str">
            <v>0011801843F</v>
          </cell>
          <cell r="C324" t="str">
            <v>变频外电脑板-FR-4</v>
          </cell>
          <cell r="D324" t="str">
            <v>91C1</v>
          </cell>
          <cell r="E324" t="str">
            <v>青岛海达源国内A股采购组织</v>
          </cell>
          <cell r="F324" t="str">
            <v>寄售</v>
          </cell>
          <cell r="G324" t="str">
            <v>2026-12-31</v>
          </cell>
          <cell r="H324" t="str">
            <v>15</v>
          </cell>
          <cell r="I324" t="str">
            <v>141.59</v>
          </cell>
        </row>
        <row r="325">
          <cell r="B325" t="str">
            <v>0011801583AD</v>
          </cell>
          <cell r="C325" t="str">
            <v>室内电脑板</v>
          </cell>
          <cell r="D325" t="str">
            <v>91C1</v>
          </cell>
          <cell r="E325" t="str">
            <v>青岛海达源国内A股采购组织</v>
          </cell>
          <cell r="F325" t="str">
            <v>寄售</v>
          </cell>
          <cell r="G325" t="str">
            <v>2026-12-31</v>
          </cell>
          <cell r="H325" t="str">
            <v>15</v>
          </cell>
          <cell r="I325" t="str">
            <v>31.18</v>
          </cell>
        </row>
        <row r="326">
          <cell r="B326" t="str">
            <v>0011801843D</v>
          </cell>
          <cell r="C326" t="str">
            <v>变频外电脑板-FR-4</v>
          </cell>
          <cell r="D326" t="str">
            <v>91C1</v>
          </cell>
          <cell r="E326" t="str">
            <v>青岛海达源国内A股采购组织</v>
          </cell>
          <cell r="F326" t="str">
            <v>寄售</v>
          </cell>
          <cell r="G326" t="str">
            <v>2026-12-31</v>
          </cell>
          <cell r="H326" t="str">
            <v>15</v>
          </cell>
          <cell r="I326" t="str">
            <v>137.64</v>
          </cell>
        </row>
        <row r="327">
          <cell r="B327" t="str">
            <v>0011801490BY</v>
          </cell>
          <cell r="C327" t="str">
            <v>变频外电脑板-FR-4</v>
          </cell>
          <cell r="D327" t="str">
            <v>91C1</v>
          </cell>
          <cell r="E327" t="str">
            <v>青岛海达源国内A股采购组织</v>
          </cell>
          <cell r="F327" t="str">
            <v>寄售</v>
          </cell>
          <cell r="G327" t="str">
            <v>2026-12-31</v>
          </cell>
          <cell r="H327" t="str">
            <v>15</v>
          </cell>
          <cell r="I327" t="str">
            <v>100.06</v>
          </cell>
        </row>
        <row r="328">
          <cell r="B328" t="str">
            <v>0011801039AU</v>
          </cell>
          <cell r="C328" t="str">
            <v>变频外电脑板-FR-4</v>
          </cell>
          <cell r="D328" t="str">
            <v>91C1</v>
          </cell>
          <cell r="E328" t="str">
            <v>青岛海达源国内A股采购组织</v>
          </cell>
          <cell r="F328" t="str">
            <v>寄售</v>
          </cell>
          <cell r="G328" t="str">
            <v>2026-12-31</v>
          </cell>
          <cell r="H328" t="str">
            <v>15</v>
          </cell>
          <cell r="I328" t="str">
            <v>179.19</v>
          </cell>
        </row>
        <row r="329">
          <cell r="B329" t="str">
            <v>0021800615G</v>
          </cell>
          <cell r="C329" t="str">
            <v>显示板-TFT</v>
          </cell>
          <cell r="D329" t="str">
            <v>91C1</v>
          </cell>
          <cell r="E329" t="str">
            <v>青岛海达源国内A股采购组织</v>
          </cell>
          <cell r="F329" t="str">
            <v>寄售</v>
          </cell>
          <cell r="G329" t="str">
            <v>2026-12-31</v>
          </cell>
          <cell r="H329" t="str">
            <v>10</v>
          </cell>
          <cell r="I329" t="str">
            <v>67.19</v>
          </cell>
        </row>
        <row r="330">
          <cell r="B330" t="str">
            <v>0011802020A</v>
          </cell>
          <cell r="C330" t="str">
            <v>室内电脑板-CEM-1</v>
          </cell>
          <cell r="D330" t="str">
            <v>91C1</v>
          </cell>
          <cell r="E330" t="str">
            <v>青岛海达源国内A股采购组织</v>
          </cell>
          <cell r="F330" t="str">
            <v>寄售</v>
          </cell>
          <cell r="G330" t="str">
            <v>2026-12-31</v>
          </cell>
          <cell r="H330" t="str">
            <v>15</v>
          </cell>
          <cell r="I330" t="str">
            <v>29.50</v>
          </cell>
        </row>
        <row r="331">
          <cell r="B331" t="str">
            <v>0011801330S</v>
          </cell>
          <cell r="C331" t="str">
            <v>室内电脑板-CEM-1</v>
          </cell>
          <cell r="D331" t="str">
            <v>91C1</v>
          </cell>
          <cell r="E331" t="str">
            <v>青岛海达源国内A股采购组织</v>
          </cell>
          <cell r="F331" t="str">
            <v>寄售</v>
          </cell>
          <cell r="G331" t="str">
            <v>2026-12-31</v>
          </cell>
          <cell r="H331" t="str">
            <v>15</v>
          </cell>
          <cell r="I331" t="str">
            <v>36.73</v>
          </cell>
        </row>
        <row r="332">
          <cell r="B332" t="str">
            <v>0011801490AU</v>
          </cell>
          <cell r="C332" t="str">
            <v>变频外电脑板-FR-4</v>
          </cell>
          <cell r="D332" t="str">
            <v>91C1</v>
          </cell>
          <cell r="E332" t="str">
            <v>青岛海达源国内A股采购组织</v>
          </cell>
          <cell r="F332" t="str">
            <v>寄售</v>
          </cell>
          <cell r="G332" t="str">
            <v>2026-12-31</v>
          </cell>
          <cell r="H332" t="str">
            <v>15</v>
          </cell>
          <cell r="I332" t="str">
            <v>109.92</v>
          </cell>
        </row>
        <row r="333">
          <cell r="B333" t="str">
            <v>0011801675C</v>
          </cell>
          <cell r="C333" t="str">
            <v>室内电脑板-CEM-1165*136</v>
          </cell>
          <cell r="D333" t="str">
            <v>91C1</v>
          </cell>
          <cell r="E333" t="str">
            <v>青岛海达源国内A股采购组织</v>
          </cell>
          <cell r="F333" t="str">
            <v>寄售</v>
          </cell>
          <cell r="G333" t="str">
            <v>2026-12-31</v>
          </cell>
          <cell r="H333" t="str">
            <v>15</v>
          </cell>
          <cell r="I333" t="str">
            <v>42.28</v>
          </cell>
        </row>
        <row r="334">
          <cell r="B334" t="str">
            <v>0011801852D</v>
          </cell>
          <cell r="C334" t="str">
            <v>室内电脑板</v>
          </cell>
          <cell r="D334" t="str">
            <v>91C1</v>
          </cell>
          <cell r="E334" t="str">
            <v>青岛海达源国内A股采购组织</v>
          </cell>
          <cell r="F334" t="str">
            <v>寄售</v>
          </cell>
          <cell r="G334" t="str">
            <v>2026-12-31</v>
          </cell>
          <cell r="H334" t="str">
            <v>15</v>
          </cell>
          <cell r="I334" t="str">
            <v>90.22</v>
          </cell>
        </row>
        <row r="335">
          <cell r="B335" t="str">
            <v>0011801172DL</v>
          </cell>
          <cell r="C335" t="str">
            <v>变频外电脑板-FR-4</v>
          </cell>
          <cell r="D335" t="str">
            <v>91C1</v>
          </cell>
          <cell r="E335" t="str">
            <v>青岛海达源国内A股采购组织</v>
          </cell>
          <cell r="F335" t="str">
            <v>寄售</v>
          </cell>
          <cell r="G335" t="str">
            <v>2026-12-31</v>
          </cell>
          <cell r="H335" t="str">
            <v>15</v>
          </cell>
          <cell r="I335" t="str">
            <v>170.96</v>
          </cell>
        </row>
        <row r="336">
          <cell r="B336" t="str">
            <v>0021800442</v>
          </cell>
          <cell r="C336" t="str">
            <v>显示板-LED12VDC12VDC</v>
          </cell>
          <cell r="D336" t="str">
            <v>91C1</v>
          </cell>
          <cell r="E336" t="str">
            <v>青岛海达源国内A股采购组织</v>
          </cell>
          <cell r="F336" t="str">
            <v>寄售</v>
          </cell>
          <cell r="G336" t="str">
            <v>2026-12-31</v>
          </cell>
          <cell r="H336" t="str">
            <v>14</v>
          </cell>
          <cell r="I336" t="str">
            <v>27.00</v>
          </cell>
        </row>
        <row r="337">
          <cell r="B337" t="str">
            <v>0011801490AV</v>
          </cell>
          <cell r="C337" t="str">
            <v>变频外电脑板</v>
          </cell>
          <cell r="D337" t="str">
            <v>91C1</v>
          </cell>
          <cell r="E337" t="str">
            <v>青岛海达源国内A股采购组织</v>
          </cell>
          <cell r="F337" t="str">
            <v>寄售</v>
          </cell>
          <cell r="G337" t="str">
            <v>2026-12-31</v>
          </cell>
          <cell r="H337" t="str">
            <v>15</v>
          </cell>
          <cell r="I337" t="str">
            <v>99.67</v>
          </cell>
        </row>
        <row r="338">
          <cell r="B338" t="str">
            <v>0021800442A</v>
          </cell>
          <cell r="C338" t="str">
            <v>显示板-LED12VDC12VDC</v>
          </cell>
          <cell r="D338" t="str">
            <v>91C1</v>
          </cell>
          <cell r="E338" t="str">
            <v>青岛海达源国内A股采购组织</v>
          </cell>
          <cell r="F338" t="str">
            <v>寄售</v>
          </cell>
          <cell r="G338" t="str">
            <v>2026-12-31</v>
          </cell>
          <cell r="H338" t="str">
            <v>14</v>
          </cell>
          <cell r="I338" t="str">
            <v>27.72</v>
          </cell>
        </row>
        <row r="339">
          <cell r="B339" t="str">
            <v>0011801490AZ</v>
          </cell>
          <cell r="C339" t="str">
            <v>变频外电脑板-FR-4</v>
          </cell>
          <cell r="D339" t="str">
            <v>91C1</v>
          </cell>
          <cell r="E339" t="str">
            <v>青岛海达源国内A股采购组织</v>
          </cell>
          <cell r="F339" t="str">
            <v>寄售</v>
          </cell>
          <cell r="G339" t="str">
            <v>2026-12-31</v>
          </cell>
          <cell r="H339" t="str">
            <v>15</v>
          </cell>
          <cell r="I339" t="str">
            <v>98.32</v>
          </cell>
        </row>
        <row r="340">
          <cell r="B340" t="str">
            <v>0151801031F</v>
          </cell>
          <cell r="C340" t="str">
            <v>单相室外一体板</v>
          </cell>
          <cell r="D340" t="str">
            <v>91C1</v>
          </cell>
          <cell r="E340" t="str">
            <v>青岛海达源国内A股采购组织</v>
          </cell>
          <cell r="F340" t="str">
            <v>寄售</v>
          </cell>
          <cell r="G340" t="str">
            <v>2026-12-31</v>
          </cell>
          <cell r="H340" t="str">
            <v>30</v>
          </cell>
          <cell r="I340" t="str">
            <v>352.56</v>
          </cell>
        </row>
        <row r="341">
          <cell r="B341" t="str">
            <v>0041800693</v>
          </cell>
          <cell r="C341" t="str">
            <v>AD电源板-CEM-3单功率通用-单继电器-</v>
          </cell>
          <cell r="D341" t="str">
            <v>91C1</v>
          </cell>
          <cell r="E341" t="str">
            <v>青岛海达源国内A股采购组织</v>
          </cell>
          <cell r="F341" t="str">
            <v>寄售</v>
          </cell>
          <cell r="G341" t="str">
            <v>2026-12-31</v>
          </cell>
          <cell r="H341" t="str">
            <v>14</v>
          </cell>
          <cell r="I341" t="str">
            <v>12.52</v>
          </cell>
        </row>
        <row r="342">
          <cell r="B342" t="str">
            <v>0150410226</v>
          </cell>
          <cell r="C342" t="str">
            <v>电容-金属10个100uf/400V小电容串并联集成</v>
          </cell>
          <cell r="D342" t="str">
            <v>91C1</v>
          </cell>
          <cell r="E342" t="str">
            <v>青岛海达源国内A股采购组织</v>
          </cell>
          <cell r="F342" t="str">
            <v>寄售</v>
          </cell>
          <cell r="G342" t="str">
            <v>2026-12-31</v>
          </cell>
          <cell r="H342" t="str">
            <v>45</v>
          </cell>
          <cell r="I342" t="str">
            <v>169.00</v>
          </cell>
        </row>
        <row r="343">
          <cell r="B343" t="str">
            <v>0041800751S</v>
          </cell>
          <cell r="C343" t="str">
            <v>AD显示板-LED板尺寸:340*45mm,支架尺寸:56.45*36*8.5电</v>
          </cell>
          <cell r="D343" t="str">
            <v>91C1</v>
          </cell>
          <cell r="E343" t="str">
            <v>青岛海达源国内A股采购组织</v>
          </cell>
          <cell r="F343" t="str">
            <v>寄售</v>
          </cell>
          <cell r="G343" t="str">
            <v>2026-12-31</v>
          </cell>
          <cell r="H343" t="str">
            <v>14</v>
          </cell>
          <cell r="I343" t="str">
            <v>18.53</v>
          </cell>
        </row>
        <row r="344">
          <cell r="B344" t="str">
            <v>0041801117AC</v>
          </cell>
          <cell r="C344" t="str">
            <v>AD显示板-LED显示板尺寸330mm*40mm*9mm,支架尺寸38mm*34</v>
          </cell>
          <cell r="D344" t="str">
            <v>91C1</v>
          </cell>
          <cell r="E344" t="str">
            <v>青岛海达源国内A股采购组织</v>
          </cell>
          <cell r="F344" t="str">
            <v>寄售</v>
          </cell>
          <cell r="G344" t="str">
            <v>2026-12-31</v>
          </cell>
          <cell r="H344" t="str">
            <v>14</v>
          </cell>
          <cell r="I344" t="str">
            <v>24.50</v>
          </cell>
        </row>
        <row r="345">
          <cell r="B345" t="str">
            <v>0011801172CR</v>
          </cell>
          <cell r="C345" t="str">
            <v>变频外电脑板-FR-4240*180</v>
          </cell>
          <cell r="D345" t="str">
            <v>91C1</v>
          </cell>
          <cell r="E345" t="str">
            <v>青岛海达源国内A股采购组织</v>
          </cell>
          <cell r="F345" t="str">
            <v>寄售</v>
          </cell>
          <cell r="G345" t="str">
            <v>2026-12-31</v>
          </cell>
          <cell r="H345" t="str">
            <v>15</v>
          </cell>
          <cell r="I345" t="str">
            <v>197.54</v>
          </cell>
        </row>
        <row r="346">
          <cell r="B346" t="str">
            <v>0021800616</v>
          </cell>
          <cell r="C346" t="str">
            <v>显示板-LEDFR-4</v>
          </cell>
          <cell r="D346" t="str">
            <v>91C1</v>
          </cell>
          <cell r="E346" t="str">
            <v>青岛海达源国内A股采购组织</v>
          </cell>
          <cell r="F346" t="str">
            <v>寄售</v>
          </cell>
          <cell r="G346" t="str">
            <v>2026-12-31</v>
          </cell>
          <cell r="H346" t="str">
            <v>10</v>
          </cell>
          <cell r="I346" t="str">
            <v>57.15</v>
          </cell>
        </row>
        <row r="347">
          <cell r="B347" t="str">
            <v>0011801039AM</v>
          </cell>
          <cell r="C347" t="str">
            <v>变频外电脑板-FR-4/</v>
          </cell>
          <cell r="D347" t="str">
            <v>91C1</v>
          </cell>
          <cell r="E347" t="str">
            <v>青岛海达源国内A股采购组织</v>
          </cell>
          <cell r="F347" t="str">
            <v>寄售</v>
          </cell>
          <cell r="G347" t="str">
            <v>2026-12-31</v>
          </cell>
          <cell r="H347" t="str">
            <v>15</v>
          </cell>
          <cell r="I347" t="str">
            <v>173.03</v>
          </cell>
        </row>
        <row r="348">
          <cell r="B348" t="str">
            <v>0011801048AC</v>
          </cell>
          <cell r="C348" t="str">
            <v>变频外电脑板-FR-4/</v>
          </cell>
          <cell r="D348" t="str">
            <v>91C1</v>
          </cell>
          <cell r="E348" t="str">
            <v>青岛海达源国内A股采购组织</v>
          </cell>
          <cell r="F348" t="str">
            <v>寄售</v>
          </cell>
          <cell r="G348" t="str">
            <v>2026-12-31</v>
          </cell>
          <cell r="H348" t="str">
            <v>3</v>
          </cell>
          <cell r="I348" t="str">
            <v>143.98</v>
          </cell>
        </row>
        <row r="349">
          <cell r="B349" t="str">
            <v>0041801545D</v>
          </cell>
          <cell r="C349" t="str">
            <v>电脑板控制板-/</v>
          </cell>
          <cell r="D349" t="str">
            <v>91C1</v>
          </cell>
          <cell r="E349" t="str">
            <v>青岛海达源国内A股采购组织</v>
          </cell>
          <cell r="F349" t="str">
            <v>寄售</v>
          </cell>
          <cell r="G349" t="str">
            <v>2026-12-31</v>
          </cell>
          <cell r="H349" t="str">
            <v>14</v>
          </cell>
          <cell r="I349" t="str">
            <v>216.00</v>
          </cell>
        </row>
        <row r="350">
          <cell r="B350" t="str">
            <v>0011801424AW</v>
          </cell>
          <cell r="C350" t="str">
            <v>变频外电脑板-FR-4/</v>
          </cell>
          <cell r="D350" t="str">
            <v>91C1</v>
          </cell>
          <cell r="E350" t="str">
            <v>青岛海达源国内A股采购组织</v>
          </cell>
          <cell r="F350" t="str">
            <v>寄售</v>
          </cell>
          <cell r="G350" t="str">
            <v>2026-12-31</v>
          </cell>
          <cell r="H350" t="str">
            <v>15</v>
          </cell>
          <cell r="I350" t="str">
            <v>115.43</v>
          </cell>
        </row>
        <row r="351">
          <cell r="B351" t="str">
            <v>0011801119Q</v>
          </cell>
          <cell r="C351" t="str">
            <v>变频外电脑板-FR-4215mm*157mm</v>
          </cell>
          <cell r="D351" t="str">
            <v>91C1</v>
          </cell>
          <cell r="E351" t="str">
            <v>青岛海达源国内A股采购组织</v>
          </cell>
          <cell r="F351" t="str">
            <v>寄售</v>
          </cell>
          <cell r="G351" t="str">
            <v>2026-12-31</v>
          </cell>
          <cell r="H351" t="str">
            <v>15</v>
          </cell>
          <cell r="I351" t="str">
            <v>105.79</v>
          </cell>
        </row>
        <row r="352">
          <cell r="B352" t="str">
            <v>0190400377</v>
          </cell>
          <cell r="C352" t="str">
            <v>显示板-通用-净水5V,触摸弹簧,显示板,158*85mm</v>
          </cell>
          <cell r="D352" t="str">
            <v>91C1</v>
          </cell>
          <cell r="E352" t="str">
            <v>青岛海达源国内A股采购组织</v>
          </cell>
          <cell r="F352" t="str">
            <v>寄售</v>
          </cell>
          <cell r="G352" t="str">
            <v>2026-12-31</v>
          </cell>
          <cell r="H352" t="str">
            <v>7</v>
          </cell>
          <cell r="I352" t="str">
            <v>17.90</v>
          </cell>
        </row>
        <row r="353">
          <cell r="B353" t="str">
            <v>0011801172CT</v>
          </cell>
          <cell r="C353" t="str">
            <v>变频外电脑板-FR-4240*180</v>
          </cell>
          <cell r="D353" t="str">
            <v>91C1</v>
          </cell>
          <cell r="E353" t="str">
            <v>青岛海达源国内A股采购组织</v>
          </cell>
          <cell r="F353" t="str">
            <v>寄售</v>
          </cell>
          <cell r="G353" t="str">
            <v>2026-12-31</v>
          </cell>
          <cell r="H353" t="str">
            <v>15</v>
          </cell>
          <cell r="I353" t="str">
            <v>151.20</v>
          </cell>
        </row>
        <row r="354">
          <cell r="B354" t="str">
            <v>0011800980K</v>
          </cell>
          <cell r="C354" t="str">
            <v>室内电脑板-FR-4P平台内机板</v>
          </cell>
          <cell r="D354" t="str">
            <v>91C1</v>
          </cell>
          <cell r="E354" t="str">
            <v>青岛海达源国内A股采购组织</v>
          </cell>
          <cell r="F354" t="str">
            <v>寄售</v>
          </cell>
          <cell r="G354" t="str">
            <v>2026-12-31</v>
          </cell>
          <cell r="H354" t="str">
            <v>30</v>
          </cell>
          <cell r="I354" t="str">
            <v>62.53</v>
          </cell>
        </row>
        <row r="355">
          <cell r="B355" t="str">
            <v>0011801048AA</v>
          </cell>
          <cell r="C355" t="str">
            <v>变频外电脑板-FR-4/</v>
          </cell>
          <cell r="D355" t="str">
            <v>91C1</v>
          </cell>
          <cell r="E355" t="str">
            <v>青岛海达源国内A股采购组织</v>
          </cell>
          <cell r="F355" t="str">
            <v>寄售</v>
          </cell>
          <cell r="G355" t="str">
            <v>2026-12-31</v>
          </cell>
          <cell r="H355" t="str">
            <v>3</v>
          </cell>
          <cell r="I355" t="str">
            <v>143.98</v>
          </cell>
        </row>
        <row r="356">
          <cell r="B356" t="str">
            <v>0011801172CU</v>
          </cell>
          <cell r="C356" t="str">
            <v>变频外电脑板-FR-4240*180</v>
          </cell>
          <cell r="D356" t="str">
            <v>91C1</v>
          </cell>
          <cell r="E356" t="str">
            <v>青岛海达源国内A股采购组织</v>
          </cell>
          <cell r="F356" t="str">
            <v>寄售</v>
          </cell>
          <cell r="G356" t="str">
            <v>2026-12-31</v>
          </cell>
          <cell r="H356" t="str">
            <v>15</v>
          </cell>
          <cell r="I356" t="str">
            <v>190.00</v>
          </cell>
        </row>
        <row r="357">
          <cell r="B357" t="str">
            <v>0011800997TD</v>
          </cell>
          <cell r="C357" t="str">
            <v>变频外电脑板-FR-4</v>
          </cell>
          <cell r="D357" t="str">
            <v>91C1</v>
          </cell>
          <cell r="E357" t="str">
            <v>青岛海达源国内A股采购组织</v>
          </cell>
          <cell r="F357" t="str">
            <v>寄售</v>
          </cell>
          <cell r="G357" t="str">
            <v>2026-12-31</v>
          </cell>
          <cell r="H357" t="str">
            <v>15</v>
          </cell>
          <cell r="I357" t="str">
            <v>115.49</v>
          </cell>
        </row>
        <row r="358">
          <cell r="B358" t="str">
            <v>0011801424AV</v>
          </cell>
          <cell r="C358" t="str">
            <v>变频外电脑板-FR-4</v>
          </cell>
          <cell r="D358" t="str">
            <v>91C1</v>
          </cell>
          <cell r="E358" t="str">
            <v>青岛海达源国内A股采购组织</v>
          </cell>
          <cell r="F358" t="str">
            <v>寄售</v>
          </cell>
          <cell r="G358" t="str">
            <v>2026-12-31</v>
          </cell>
          <cell r="H358" t="str">
            <v>15</v>
          </cell>
          <cell r="I358" t="str">
            <v>116.37</v>
          </cell>
        </row>
        <row r="359">
          <cell r="B359" t="str">
            <v>0011801048AH</v>
          </cell>
          <cell r="C359" t="str">
            <v>变频外电脑板-FR-4/</v>
          </cell>
          <cell r="D359" t="str">
            <v>91C1</v>
          </cell>
          <cell r="E359" t="str">
            <v>青岛海达源国内A股采购组织</v>
          </cell>
          <cell r="F359" t="str">
            <v>寄售</v>
          </cell>
          <cell r="G359" t="str">
            <v>2026-12-31</v>
          </cell>
          <cell r="H359" t="str">
            <v>15</v>
          </cell>
          <cell r="I359" t="str">
            <v>134.23</v>
          </cell>
        </row>
        <row r="360">
          <cell r="B360" t="str">
            <v>0011801330J</v>
          </cell>
          <cell r="C360" t="str">
            <v>室内电脑板-CEM-1</v>
          </cell>
          <cell r="D360" t="str">
            <v>91C1</v>
          </cell>
          <cell r="E360" t="str">
            <v>青岛海达源国内A股采购组织</v>
          </cell>
          <cell r="F360" t="str">
            <v>寄售</v>
          </cell>
          <cell r="G360" t="str">
            <v>2026-12-31</v>
          </cell>
          <cell r="H360" t="str">
            <v>15</v>
          </cell>
          <cell r="I360" t="str">
            <v>36.30</v>
          </cell>
        </row>
        <row r="361">
          <cell r="B361" t="str">
            <v>0011801330H</v>
          </cell>
          <cell r="C361" t="str">
            <v>室内电脑板-CEM-1</v>
          </cell>
          <cell r="D361" t="str">
            <v>91C1</v>
          </cell>
          <cell r="E361" t="str">
            <v>青岛海达源国内A股采购组织</v>
          </cell>
          <cell r="F361" t="str">
            <v>寄售</v>
          </cell>
          <cell r="G361" t="str">
            <v>2026-12-31</v>
          </cell>
          <cell r="H361" t="str">
            <v>15</v>
          </cell>
          <cell r="I361" t="str">
            <v>36.12</v>
          </cell>
        </row>
        <row r="362">
          <cell r="B362" t="str">
            <v>0011801071E</v>
          </cell>
          <cell r="C362" t="str">
            <v>室内电脑板-CEM-1162mm*130mm</v>
          </cell>
          <cell r="D362" t="str">
            <v>91C1</v>
          </cell>
          <cell r="E362" t="str">
            <v>青岛海达源国内A股采购组织</v>
          </cell>
          <cell r="F362" t="str">
            <v>寄售</v>
          </cell>
          <cell r="G362" t="str">
            <v>2026-12-31</v>
          </cell>
          <cell r="H362" t="str">
            <v>15</v>
          </cell>
          <cell r="I362" t="str">
            <v>37.53</v>
          </cell>
        </row>
        <row r="363">
          <cell r="B363" t="str">
            <v>0041801117AJ</v>
          </cell>
          <cell r="C363" t="str">
            <v>AD显示板-LED显示板尺寸330mm*40mm*9mm,支架尺寸38mm*34</v>
          </cell>
          <cell r="D363" t="str">
            <v>91C1</v>
          </cell>
          <cell r="E363" t="str">
            <v>青岛海达源国内A股采购组织</v>
          </cell>
          <cell r="F363" t="str">
            <v>寄售</v>
          </cell>
          <cell r="G363" t="str">
            <v>2026-12-31</v>
          </cell>
          <cell r="H363" t="str">
            <v>14</v>
          </cell>
          <cell r="I363" t="str">
            <v>26.65</v>
          </cell>
        </row>
        <row r="364">
          <cell r="B364" t="str">
            <v>0011800997GCH</v>
          </cell>
          <cell r="C364" t="str">
            <v>变频外电脑板-/</v>
          </cell>
          <cell r="D364" t="str">
            <v>91C1</v>
          </cell>
          <cell r="E364" t="str">
            <v>青岛海达源国内A股采购组织</v>
          </cell>
          <cell r="F364" t="str">
            <v>寄售</v>
          </cell>
          <cell r="G364" t="str">
            <v>2026-12-31</v>
          </cell>
          <cell r="H364" t="str">
            <v>15</v>
          </cell>
          <cell r="I364" t="str">
            <v>130.23</v>
          </cell>
        </row>
        <row r="365">
          <cell r="B365" t="str">
            <v>0011801039AN</v>
          </cell>
          <cell r="C365" t="str">
            <v>变频外电脑板-FR-4/</v>
          </cell>
          <cell r="D365" t="str">
            <v>91C1</v>
          </cell>
          <cell r="E365" t="str">
            <v>青岛海达源国内A股采购组织</v>
          </cell>
          <cell r="F365" t="str">
            <v>寄售</v>
          </cell>
          <cell r="G365" t="str">
            <v>2026-12-31</v>
          </cell>
          <cell r="H365" t="str">
            <v>15</v>
          </cell>
          <cell r="I365" t="str">
            <v>179.50</v>
          </cell>
        </row>
        <row r="366">
          <cell r="B366" t="str">
            <v>0011801656</v>
          </cell>
          <cell r="C366" t="str">
            <v>变频外电脑板-/</v>
          </cell>
          <cell r="D366" t="str">
            <v>9163</v>
          </cell>
          <cell r="E366" t="str">
            <v>大连保税人民币采购组织</v>
          </cell>
          <cell r="F366" t="str">
            <v>标准</v>
          </cell>
          <cell r="G366" t="str">
            <v>2026-12-31</v>
          </cell>
          <cell r="H366" t="str">
            <v>15</v>
          </cell>
          <cell r="I366" t="str">
            <v>136.84</v>
          </cell>
        </row>
        <row r="367">
          <cell r="B367" t="str">
            <v>0011801424BA</v>
          </cell>
          <cell r="C367" t="str">
            <v>变频外电脑板-FR-4/</v>
          </cell>
          <cell r="D367" t="str">
            <v>91C1</v>
          </cell>
          <cell r="E367" t="str">
            <v>青岛海达源国内A股采购组织</v>
          </cell>
          <cell r="F367" t="str">
            <v>寄售</v>
          </cell>
          <cell r="G367" t="str">
            <v>2026-12-31</v>
          </cell>
          <cell r="H367" t="str">
            <v>15</v>
          </cell>
          <cell r="I367" t="str">
            <v>125.83</v>
          </cell>
        </row>
        <row r="368">
          <cell r="B368" t="str">
            <v>0040400451D</v>
          </cell>
          <cell r="C368" t="str">
            <v>电脑板电源板</v>
          </cell>
          <cell r="D368" t="str">
            <v>91C1</v>
          </cell>
          <cell r="E368" t="str">
            <v>青岛海达源国内A股采购组织</v>
          </cell>
          <cell r="F368" t="str">
            <v>寄售</v>
          </cell>
          <cell r="G368" t="str">
            <v>2026-12-31</v>
          </cell>
          <cell r="H368" t="str">
            <v>14</v>
          </cell>
          <cell r="I368" t="str">
            <v>10.90</v>
          </cell>
        </row>
        <row r="369">
          <cell r="B369" t="str">
            <v>0011801482</v>
          </cell>
          <cell r="C369" t="str">
            <v>室内电脑板-CEM-1</v>
          </cell>
          <cell r="D369" t="str">
            <v>91C1</v>
          </cell>
          <cell r="E369" t="str">
            <v>青岛海达源国内A股采购组织</v>
          </cell>
          <cell r="F369" t="str">
            <v>寄售</v>
          </cell>
          <cell r="G369" t="str">
            <v>2026-12-31</v>
          </cell>
          <cell r="H369" t="str">
            <v>15</v>
          </cell>
          <cell r="I369" t="str">
            <v>38.30</v>
          </cell>
        </row>
        <row r="370">
          <cell r="B370" t="str">
            <v>0011801048AG</v>
          </cell>
          <cell r="C370" t="str">
            <v>变频外电脑板-FR-4/</v>
          </cell>
          <cell r="D370" t="str">
            <v>91C1</v>
          </cell>
          <cell r="E370" t="str">
            <v>青岛海达源国内A股采购组织</v>
          </cell>
          <cell r="F370" t="str">
            <v>寄售</v>
          </cell>
          <cell r="G370" t="str">
            <v>2026-12-31</v>
          </cell>
          <cell r="H370" t="str">
            <v>15</v>
          </cell>
          <cell r="I370" t="str">
            <v>134.23</v>
          </cell>
        </row>
        <row r="371">
          <cell r="B371" t="str">
            <v>0190400534A</v>
          </cell>
          <cell r="C371" t="str">
            <v>主控板-通用</v>
          </cell>
          <cell r="D371" t="str">
            <v>91C1</v>
          </cell>
          <cell r="E371" t="str">
            <v>青岛海达源国内A股采购组织</v>
          </cell>
          <cell r="F371" t="str">
            <v>寄售</v>
          </cell>
          <cell r="G371" t="str">
            <v>2026-12-31</v>
          </cell>
          <cell r="H371" t="str">
            <v>7</v>
          </cell>
          <cell r="I371" t="str">
            <v>37.14</v>
          </cell>
        </row>
        <row r="372">
          <cell r="B372" t="str">
            <v>0151801031A</v>
          </cell>
          <cell r="C372" t="str">
            <v>电脑板-FR-4</v>
          </cell>
          <cell r="D372" t="str">
            <v>91C1</v>
          </cell>
          <cell r="E372" t="str">
            <v>青岛海达源国内A股采购组织</v>
          </cell>
          <cell r="F372" t="str">
            <v>寄售</v>
          </cell>
          <cell r="G372" t="str">
            <v>2026-12-31</v>
          </cell>
          <cell r="H372" t="str">
            <v>45</v>
          </cell>
          <cell r="I372" t="str">
            <v>337.15</v>
          </cell>
        </row>
        <row r="373">
          <cell r="B373" t="str">
            <v>0011801490E</v>
          </cell>
          <cell r="C373" t="str">
            <v>变频外电脑板-FR-4</v>
          </cell>
          <cell r="D373" t="str">
            <v>91C1</v>
          </cell>
          <cell r="E373" t="str">
            <v>青岛海达源国内A股采购组织</v>
          </cell>
          <cell r="F373" t="str">
            <v>寄售</v>
          </cell>
          <cell r="G373" t="str">
            <v>2026-12-31</v>
          </cell>
          <cell r="H373" t="str">
            <v>15</v>
          </cell>
          <cell r="I373" t="str">
            <v>102.17</v>
          </cell>
        </row>
        <row r="374">
          <cell r="B374" t="str">
            <v>0011801424BG</v>
          </cell>
          <cell r="C374" t="str">
            <v>变频外电脑板-FR-4</v>
          </cell>
          <cell r="D374" t="str">
            <v>91C1</v>
          </cell>
          <cell r="E374" t="str">
            <v>青岛海达源国内A股采购组织</v>
          </cell>
          <cell r="F374" t="str">
            <v>寄售</v>
          </cell>
          <cell r="G374" t="str">
            <v>2026-12-31</v>
          </cell>
          <cell r="H374" t="str">
            <v>15</v>
          </cell>
          <cell r="I374" t="str">
            <v>113.50</v>
          </cell>
        </row>
        <row r="375">
          <cell r="B375" t="str">
            <v>0011801640</v>
          </cell>
          <cell r="C375" t="str">
            <v>一体机电脑板-FR-4</v>
          </cell>
          <cell r="D375" t="str">
            <v>9163</v>
          </cell>
          <cell r="E375" t="str">
            <v>大连保税人民币采购组织</v>
          </cell>
          <cell r="F375" t="str">
            <v>标准</v>
          </cell>
          <cell r="G375" t="str">
            <v>2026-12-31</v>
          </cell>
          <cell r="H375" t="str">
            <v>15</v>
          </cell>
          <cell r="I375" t="str">
            <v>133.92</v>
          </cell>
        </row>
        <row r="376">
          <cell r="B376" t="str">
            <v>0061801410</v>
          </cell>
          <cell r="C376" t="str">
            <v>智能安卓显示模块-FR-4</v>
          </cell>
          <cell r="D376" t="str">
            <v>91C1</v>
          </cell>
          <cell r="E376" t="str">
            <v>青岛海达源国内A股采购组织</v>
          </cell>
          <cell r="F376" t="str">
            <v>标准</v>
          </cell>
          <cell r="G376" t="str">
            <v>2026-12-31</v>
          </cell>
          <cell r="H376" t="str">
            <v>60</v>
          </cell>
          <cell r="I376" t="str">
            <v>2158.00</v>
          </cell>
        </row>
        <row r="377">
          <cell r="B377" t="str">
            <v>0011801424AZ</v>
          </cell>
          <cell r="C377" t="str">
            <v>变频外电脑板-FR-4/</v>
          </cell>
          <cell r="D377" t="str">
            <v>91C1</v>
          </cell>
          <cell r="E377" t="str">
            <v>青岛海达源国内A股采购组织</v>
          </cell>
          <cell r="F377" t="str">
            <v>寄售</v>
          </cell>
          <cell r="G377" t="str">
            <v>2026-12-31</v>
          </cell>
          <cell r="H377" t="str">
            <v>15</v>
          </cell>
          <cell r="I377" t="str">
            <v>118.76</v>
          </cell>
        </row>
        <row r="378">
          <cell r="B378" t="str">
            <v>0031800004FH</v>
          </cell>
          <cell r="C378" t="str">
            <v>DP一体板-通用</v>
          </cell>
          <cell r="D378" t="str">
            <v>91C1</v>
          </cell>
          <cell r="E378" t="str">
            <v>青岛海达源国内A股采购组织</v>
          </cell>
          <cell r="F378" t="str">
            <v>寄售</v>
          </cell>
          <cell r="G378" t="str">
            <v>2026-12-31</v>
          </cell>
          <cell r="H378" t="str">
            <v>10</v>
          </cell>
          <cell r="I378" t="str">
            <v>33.81</v>
          </cell>
        </row>
        <row r="379">
          <cell r="B379" t="str">
            <v>0031800138R</v>
          </cell>
          <cell r="C379" t="str">
            <v>DP一体板-通用</v>
          </cell>
          <cell r="D379" t="str">
            <v>91C1</v>
          </cell>
          <cell r="E379" t="str">
            <v>青岛海达源国内A股采购组织</v>
          </cell>
          <cell r="F379" t="str">
            <v>寄售</v>
          </cell>
          <cell r="G379" t="str">
            <v>2026-12-31</v>
          </cell>
          <cell r="H379" t="str">
            <v>10</v>
          </cell>
          <cell r="I379" t="str">
            <v>55.23</v>
          </cell>
        </row>
        <row r="380">
          <cell r="B380" t="str">
            <v>0041800773YS</v>
          </cell>
          <cell r="C380" t="str">
            <v>AD显示板-LEDEC5001/6001-PM1-电热</v>
          </cell>
          <cell r="D380" t="str">
            <v>91C1</v>
          </cell>
          <cell r="E380" t="str">
            <v>青岛海达源国内A股采购组织</v>
          </cell>
          <cell r="F380" t="str">
            <v>寄售</v>
          </cell>
          <cell r="G380" t="str">
            <v>2026-12-31</v>
          </cell>
          <cell r="H380" t="str">
            <v>14</v>
          </cell>
          <cell r="I380" t="str">
            <v>12.49</v>
          </cell>
        </row>
        <row r="381">
          <cell r="B381" t="str">
            <v>0041800773AYS</v>
          </cell>
          <cell r="C381" t="str">
            <v>AD显示板-LEDLES60/80H-TH5A(2U1)/</v>
          </cell>
          <cell r="D381" t="str">
            <v>91C1</v>
          </cell>
          <cell r="E381" t="str">
            <v>青岛海达源国内A股采购组织</v>
          </cell>
          <cell r="F381" t="str">
            <v>寄售</v>
          </cell>
          <cell r="G381" t="str">
            <v>2026-12-31</v>
          </cell>
          <cell r="H381" t="str">
            <v>14</v>
          </cell>
          <cell r="I381" t="str">
            <v>12.49</v>
          </cell>
        </row>
        <row r="382">
          <cell r="B382" t="str">
            <v>0011801490F</v>
          </cell>
          <cell r="C382" t="str">
            <v>变频外电脑板-FR-4</v>
          </cell>
          <cell r="D382" t="str">
            <v>91C1</v>
          </cell>
          <cell r="E382" t="str">
            <v>青岛海达源国内A股采购组织</v>
          </cell>
          <cell r="F382" t="str">
            <v>寄售</v>
          </cell>
          <cell r="G382" t="str">
            <v>2026-12-31</v>
          </cell>
          <cell r="H382" t="str">
            <v>15</v>
          </cell>
          <cell r="I382" t="str">
            <v>97.05</v>
          </cell>
        </row>
        <row r="383">
          <cell r="B383" t="str">
            <v>0011801423AS</v>
          </cell>
          <cell r="C383" t="str">
            <v>变频外电脑板-FR-4</v>
          </cell>
          <cell r="D383" t="str">
            <v>91C1</v>
          </cell>
          <cell r="E383" t="str">
            <v>青岛海达源国内A股采购组织</v>
          </cell>
          <cell r="F383" t="str">
            <v>寄售</v>
          </cell>
          <cell r="G383" t="str">
            <v>2026-12-31</v>
          </cell>
          <cell r="H383" t="str">
            <v>15</v>
          </cell>
          <cell r="I383" t="str">
            <v>138.91</v>
          </cell>
        </row>
        <row r="384">
          <cell r="B384" t="str">
            <v>0011801583P</v>
          </cell>
          <cell r="C384" t="str">
            <v>室内电脑板-CEM-1</v>
          </cell>
          <cell r="D384" t="str">
            <v>91C1</v>
          </cell>
          <cell r="E384" t="str">
            <v>青岛海达源国内A股采购组织</v>
          </cell>
          <cell r="F384" t="str">
            <v>寄售</v>
          </cell>
          <cell r="G384" t="str">
            <v>2026-12-31</v>
          </cell>
          <cell r="H384" t="str">
            <v>15</v>
          </cell>
          <cell r="I384" t="str">
            <v>31.47</v>
          </cell>
        </row>
        <row r="385">
          <cell r="B385" t="str">
            <v>0011801850</v>
          </cell>
          <cell r="C385" t="str">
            <v>室内电脑板</v>
          </cell>
          <cell r="D385" t="str">
            <v>9163</v>
          </cell>
          <cell r="E385" t="str">
            <v>大连保税人民币采购组织</v>
          </cell>
          <cell r="F385" t="str">
            <v>标准</v>
          </cell>
          <cell r="G385" t="str">
            <v>2026-12-31</v>
          </cell>
          <cell r="H385" t="str">
            <v>15</v>
          </cell>
          <cell r="I385" t="str">
            <v>48.23</v>
          </cell>
        </row>
        <row r="386">
          <cell r="B386" t="str">
            <v>0011801112H</v>
          </cell>
          <cell r="C386" t="str">
            <v>显示板-LED166*93mm</v>
          </cell>
          <cell r="D386" t="str">
            <v>91C1</v>
          </cell>
          <cell r="E386" t="str">
            <v>青岛海达源国内A股采购组织</v>
          </cell>
          <cell r="F386" t="str">
            <v>寄售</v>
          </cell>
          <cell r="G386" t="str">
            <v>2026-12-31</v>
          </cell>
          <cell r="H386" t="str">
            <v>15</v>
          </cell>
          <cell r="I386" t="str">
            <v>37.78</v>
          </cell>
        </row>
        <row r="387">
          <cell r="B387" t="str">
            <v>0011800980F</v>
          </cell>
          <cell r="C387" t="str">
            <v>室内电脑板-FR-4P平台内机板</v>
          </cell>
          <cell r="D387" t="str">
            <v>91C1</v>
          </cell>
          <cell r="E387" t="str">
            <v>青岛海达源国内A股采购组织</v>
          </cell>
          <cell r="F387" t="str">
            <v>寄售</v>
          </cell>
          <cell r="G387" t="str">
            <v>2026-12-31</v>
          </cell>
          <cell r="H387" t="str">
            <v>15</v>
          </cell>
          <cell r="I387" t="str">
            <v>59.22</v>
          </cell>
        </row>
        <row r="388">
          <cell r="B388" t="str">
            <v>0011801482A</v>
          </cell>
          <cell r="C388" t="str">
            <v>室内电脑板-CEM-1</v>
          </cell>
          <cell r="D388" t="str">
            <v>91C1</v>
          </cell>
          <cell r="E388" t="str">
            <v>青岛海达源国内A股采购组织</v>
          </cell>
          <cell r="F388" t="str">
            <v>寄售</v>
          </cell>
          <cell r="G388" t="str">
            <v>2026-12-31</v>
          </cell>
          <cell r="H388" t="str">
            <v>15</v>
          </cell>
          <cell r="I388" t="str">
            <v>40.02</v>
          </cell>
        </row>
        <row r="389">
          <cell r="B389" t="str">
            <v>0011801850A</v>
          </cell>
          <cell r="C389" t="str">
            <v>室内电脑板</v>
          </cell>
          <cell r="D389" t="str">
            <v>9163</v>
          </cell>
          <cell r="E389" t="str">
            <v>大连保税人民币采购组织</v>
          </cell>
          <cell r="F389" t="str">
            <v>标准</v>
          </cell>
          <cell r="G389" t="str">
            <v>2026-12-31</v>
          </cell>
          <cell r="H389" t="str">
            <v>15</v>
          </cell>
          <cell r="I389" t="str">
            <v>48.23</v>
          </cell>
        </row>
        <row r="390">
          <cell r="B390" t="str">
            <v>0190400527D</v>
          </cell>
          <cell r="C390" t="str">
            <v>显示板-通用</v>
          </cell>
          <cell r="D390" t="str">
            <v>91C1</v>
          </cell>
          <cell r="E390" t="str">
            <v>青岛海达源国内A股采购组织</v>
          </cell>
          <cell r="F390" t="str">
            <v>寄售</v>
          </cell>
          <cell r="G390" t="str">
            <v>2026-12-31</v>
          </cell>
          <cell r="H390" t="str">
            <v>3</v>
          </cell>
          <cell r="I390" t="str">
            <v>19.15</v>
          </cell>
        </row>
        <row r="391">
          <cell r="B391" t="str">
            <v>0041801545A</v>
          </cell>
          <cell r="C391" t="str">
            <v>电脑板控制板-通用-热泵</v>
          </cell>
          <cell r="D391" t="str">
            <v>91C1</v>
          </cell>
          <cell r="E391" t="str">
            <v>青岛海达源国内A股采购组织</v>
          </cell>
          <cell r="F391" t="str">
            <v>寄售</v>
          </cell>
          <cell r="G391" t="str">
            <v>2026-12-31</v>
          </cell>
          <cell r="H391" t="str">
            <v>14</v>
          </cell>
          <cell r="I391" t="str">
            <v>216.00</v>
          </cell>
        </row>
        <row r="392">
          <cell r="B392" t="str">
            <v>0011800495W</v>
          </cell>
          <cell r="C392" t="str">
            <v>显示面板-CEM-1PCB</v>
          </cell>
          <cell r="D392" t="str">
            <v>91C1</v>
          </cell>
          <cell r="E392" t="str">
            <v>青岛海达源国内A股采购组织</v>
          </cell>
          <cell r="F392" t="str">
            <v>寄售</v>
          </cell>
          <cell r="G392" t="str">
            <v>2026-12-31</v>
          </cell>
          <cell r="H392" t="str">
            <v>15</v>
          </cell>
          <cell r="I392" t="str">
            <v>26.60</v>
          </cell>
        </row>
        <row r="393">
          <cell r="B393" t="str">
            <v>0011800495Z</v>
          </cell>
          <cell r="C393" t="str">
            <v>显示板-LEDPCB</v>
          </cell>
          <cell r="D393" t="str">
            <v>91C1</v>
          </cell>
          <cell r="E393" t="str">
            <v>青岛海达源国内A股采购组织</v>
          </cell>
          <cell r="F393" t="str">
            <v>寄售</v>
          </cell>
          <cell r="G393" t="str">
            <v>2026-12-31</v>
          </cell>
          <cell r="H393" t="str">
            <v>15</v>
          </cell>
          <cell r="I393" t="str">
            <v>27.00</v>
          </cell>
        </row>
        <row r="394">
          <cell r="B394" t="str">
            <v>0041800773ABYS</v>
          </cell>
          <cell r="C394" t="str">
            <v>AD显示板-LEDEC5001/6001-MC3(U1)-电热</v>
          </cell>
          <cell r="D394" t="str">
            <v>91C1</v>
          </cell>
          <cell r="E394" t="str">
            <v>青岛海达源国内A股采购组织</v>
          </cell>
          <cell r="F394" t="str">
            <v>寄售</v>
          </cell>
          <cell r="G394" t="str">
            <v>2026-12-31</v>
          </cell>
          <cell r="H394" t="str">
            <v>14</v>
          </cell>
          <cell r="I394" t="str">
            <v>12.49</v>
          </cell>
        </row>
        <row r="395">
          <cell r="B395" t="str">
            <v>0011801656A</v>
          </cell>
          <cell r="C395" t="str">
            <v>变频外电脑板</v>
          </cell>
          <cell r="D395" t="str">
            <v>9163</v>
          </cell>
          <cell r="E395" t="str">
            <v>大连保税人民币采购组织</v>
          </cell>
          <cell r="F395" t="str">
            <v>标准</v>
          </cell>
          <cell r="G395" t="str">
            <v>2026-12-31</v>
          </cell>
          <cell r="H395" t="str">
            <v>15</v>
          </cell>
          <cell r="I395" t="str">
            <v>136.84</v>
          </cell>
        </row>
        <row r="396">
          <cell r="B396" t="str">
            <v>0011801423AT</v>
          </cell>
          <cell r="C396" t="str">
            <v>变频外电脑板-FR-4</v>
          </cell>
          <cell r="D396" t="str">
            <v>91C1</v>
          </cell>
          <cell r="E396" t="str">
            <v>青岛海达源国内A股采购组织</v>
          </cell>
          <cell r="F396" t="str">
            <v>寄售</v>
          </cell>
          <cell r="G396" t="str">
            <v>2026-12-31</v>
          </cell>
          <cell r="H396" t="str">
            <v>15</v>
          </cell>
          <cell r="I396" t="str">
            <v>141.18</v>
          </cell>
        </row>
        <row r="397">
          <cell r="B397" t="str">
            <v>0011801490S</v>
          </cell>
          <cell r="C397" t="str">
            <v>变频外电脑板-FR-4</v>
          </cell>
          <cell r="D397" t="str">
            <v>91C1</v>
          </cell>
          <cell r="E397" t="str">
            <v>青岛海达源国内A股采购组织</v>
          </cell>
          <cell r="F397" t="str">
            <v>寄售</v>
          </cell>
          <cell r="G397" t="str">
            <v>2026-12-31</v>
          </cell>
          <cell r="H397" t="str">
            <v>15</v>
          </cell>
          <cell r="I397" t="str">
            <v>98.93</v>
          </cell>
        </row>
        <row r="398">
          <cell r="B398" t="str">
            <v>0190400340BA</v>
          </cell>
          <cell r="C398" t="str">
            <v>主控板-通用净水硬件同340，兼容60HZ，双面板板材FR-4,CTI=600,</v>
          </cell>
          <cell r="D398" t="str">
            <v>91C1</v>
          </cell>
          <cell r="E398" t="str">
            <v>青岛海达源国内A股采购组织</v>
          </cell>
          <cell r="F398" t="str">
            <v>寄售</v>
          </cell>
          <cell r="G398" t="str">
            <v>2026-12-31</v>
          </cell>
          <cell r="H398" t="str">
            <v>7</v>
          </cell>
          <cell r="I398" t="str">
            <v>69.60</v>
          </cell>
        </row>
        <row r="399">
          <cell r="B399" t="str">
            <v>0011801657A</v>
          </cell>
          <cell r="C399" t="str">
            <v>变频外电脑板</v>
          </cell>
          <cell r="D399" t="str">
            <v>9163</v>
          </cell>
          <cell r="E399" t="str">
            <v>大连保税人民币采购组织</v>
          </cell>
          <cell r="F399" t="str">
            <v>标准</v>
          </cell>
          <cell r="G399" t="str">
            <v>2026-12-31</v>
          </cell>
          <cell r="H399" t="str">
            <v>15</v>
          </cell>
          <cell r="I399" t="str">
            <v>166.92</v>
          </cell>
        </row>
        <row r="400">
          <cell r="B400" t="str">
            <v>0011801490D</v>
          </cell>
          <cell r="C400" t="str">
            <v>变频外电脑板-FR-4</v>
          </cell>
          <cell r="D400" t="str">
            <v>91C1</v>
          </cell>
          <cell r="E400" t="str">
            <v>青岛海达源国内A股采购组织</v>
          </cell>
          <cell r="F400" t="str">
            <v>寄售</v>
          </cell>
          <cell r="G400" t="str">
            <v>2026-12-31</v>
          </cell>
          <cell r="H400" t="str">
            <v>15</v>
          </cell>
          <cell r="I400" t="str">
            <v>112.19</v>
          </cell>
        </row>
        <row r="401">
          <cell r="B401" t="str">
            <v>0041801140</v>
          </cell>
          <cell r="C401" t="str">
            <v>AD电源板-/电热(电即热)</v>
          </cell>
          <cell r="D401" t="str">
            <v>91C1</v>
          </cell>
          <cell r="E401" t="str">
            <v>青岛海达源国内A股采购组织</v>
          </cell>
          <cell r="F401" t="str">
            <v>寄售</v>
          </cell>
          <cell r="G401" t="str">
            <v>2026-12-31</v>
          </cell>
          <cell r="H401" t="str">
            <v>14</v>
          </cell>
          <cell r="I401" t="str">
            <v>41.82</v>
          </cell>
        </row>
        <row r="402">
          <cell r="B402" t="str">
            <v>0021800616B</v>
          </cell>
          <cell r="C402" t="str">
            <v>显示板-电脑版\LED</v>
          </cell>
          <cell r="D402" t="str">
            <v>91C1</v>
          </cell>
          <cell r="E402" t="str">
            <v>青岛海达源国内A股采购组织</v>
          </cell>
          <cell r="F402" t="str">
            <v>寄售</v>
          </cell>
          <cell r="G402" t="str">
            <v>2026-12-31</v>
          </cell>
          <cell r="H402" t="str">
            <v>10</v>
          </cell>
          <cell r="I402" t="str">
            <v>57.15</v>
          </cell>
        </row>
        <row r="403">
          <cell r="B403" t="str">
            <v>0011800691AH</v>
          </cell>
          <cell r="C403" t="str">
            <v>室内电脑板-/162mm*130mm</v>
          </cell>
          <cell r="D403" t="str">
            <v>91C1</v>
          </cell>
          <cell r="E403" t="str">
            <v>青岛海达源国内A股采购组织</v>
          </cell>
          <cell r="F403" t="str">
            <v>寄售</v>
          </cell>
          <cell r="G403" t="str">
            <v>2026-12-31</v>
          </cell>
          <cell r="H403" t="str">
            <v>15</v>
          </cell>
          <cell r="I403" t="str">
            <v>29.27</v>
          </cell>
        </row>
        <row r="404">
          <cell r="B404" t="str">
            <v>0151800695</v>
          </cell>
          <cell r="C404" t="str">
            <v>电脑板-FR-4/</v>
          </cell>
          <cell r="D404" t="str">
            <v>91C1</v>
          </cell>
          <cell r="E404" t="str">
            <v>青岛海达源国内A股采购组织</v>
          </cell>
          <cell r="F404" t="str">
            <v>寄售</v>
          </cell>
          <cell r="G404" t="str">
            <v>2026-12-31</v>
          </cell>
          <cell r="H404" t="str">
            <v>30</v>
          </cell>
          <cell r="I404" t="str">
            <v>59.43</v>
          </cell>
        </row>
        <row r="405">
          <cell r="B405" t="str">
            <v>0121800104WD</v>
          </cell>
          <cell r="C405" t="str">
            <v>显示板-LED</v>
          </cell>
          <cell r="D405" t="str">
            <v>91C1</v>
          </cell>
          <cell r="E405" t="str">
            <v>青岛海达源国内A股采购组织</v>
          </cell>
          <cell r="F405" t="str">
            <v>寄售</v>
          </cell>
          <cell r="G405" t="str">
            <v>2026-12-31</v>
          </cell>
          <cell r="H405" t="str">
            <v>7</v>
          </cell>
          <cell r="I405" t="str">
            <v>61.10</v>
          </cell>
        </row>
        <row r="406">
          <cell r="B406" t="str">
            <v>0181800103</v>
          </cell>
          <cell r="C406" t="str">
            <v>驱动板-FR-4</v>
          </cell>
          <cell r="D406" t="str">
            <v>91C1</v>
          </cell>
          <cell r="E406" t="str">
            <v>青岛海达源国内A股采购组织</v>
          </cell>
          <cell r="F406" t="str">
            <v>寄售</v>
          </cell>
          <cell r="G406" t="str">
            <v>2026-12-31</v>
          </cell>
          <cell r="H406" t="str">
            <v>10</v>
          </cell>
          <cell r="I406" t="str">
            <v>67.63</v>
          </cell>
        </row>
        <row r="407">
          <cell r="B407" t="str">
            <v>0041801140A</v>
          </cell>
          <cell r="C407" t="str">
            <v>AD电源板-FR-4电热(电即热)</v>
          </cell>
          <cell r="D407" t="str">
            <v>91C1</v>
          </cell>
          <cell r="E407" t="str">
            <v>青岛海达源国内A股采购组织</v>
          </cell>
          <cell r="F407" t="str">
            <v>寄售</v>
          </cell>
          <cell r="G407" t="str">
            <v>2026-12-31</v>
          </cell>
          <cell r="H407" t="str">
            <v>14</v>
          </cell>
          <cell r="I407" t="str">
            <v>41.82</v>
          </cell>
        </row>
        <row r="408">
          <cell r="B408" t="str">
            <v>0011801425AA</v>
          </cell>
          <cell r="C408" t="str">
            <v>变频外电脑板-FR-4</v>
          </cell>
          <cell r="D408" t="str">
            <v>91C1</v>
          </cell>
          <cell r="E408" t="str">
            <v>青岛海达源国内A股采购组织</v>
          </cell>
          <cell r="F408" t="str">
            <v>寄售</v>
          </cell>
          <cell r="G408" t="str">
            <v>2026-12-31</v>
          </cell>
          <cell r="H408" t="str">
            <v>15</v>
          </cell>
          <cell r="I408" t="str">
            <v>105.94</v>
          </cell>
        </row>
        <row r="409">
          <cell r="B409" t="str">
            <v>0041801545C</v>
          </cell>
          <cell r="C409" t="str">
            <v>电脑板控制板-FR-4</v>
          </cell>
          <cell r="D409" t="str">
            <v>91C1</v>
          </cell>
          <cell r="E409" t="str">
            <v>青岛海达源国内A股采购组织</v>
          </cell>
          <cell r="F409" t="str">
            <v>寄售</v>
          </cell>
          <cell r="G409" t="str">
            <v>2026-12-31</v>
          </cell>
          <cell r="H409" t="str">
            <v>14</v>
          </cell>
          <cell r="I409" t="str">
            <v>216.00</v>
          </cell>
        </row>
        <row r="410">
          <cell r="B410" t="str">
            <v>0011801100</v>
          </cell>
          <cell r="C410" t="str">
            <v>显示板-/50*92</v>
          </cell>
          <cell r="D410" t="str">
            <v>91C1</v>
          </cell>
          <cell r="E410" t="str">
            <v>青岛海达源国内A股采购组织</v>
          </cell>
          <cell r="F410" t="str">
            <v>寄售</v>
          </cell>
          <cell r="G410" t="str">
            <v>2026-12-31</v>
          </cell>
          <cell r="H410" t="str">
            <v>15</v>
          </cell>
          <cell r="I410" t="str">
            <v>4.55</v>
          </cell>
        </row>
        <row r="411">
          <cell r="B411" t="str">
            <v>0041801687</v>
          </cell>
          <cell r="C411" t="str">
            <v>电脑板-220V140*108mm</v>
          </cell>
          <cell r="D411" t="str">
            <v>91C1</v>
          </cell>
          <cell r="E411" t="str">
            <v>青岛海达源国内A股采购组织</v>
          </cell>
          <cell r="F411" t="str">
            <v>寄售</v>
          </cell>
          <cell r="G411" t="str">
            <v>2026-12-31</v>
          </cell>
          <cell r="H411" t="str">
            <v>7</v>
          </cell>
          <cell r="I411" t="str">
            <v>61.38</v>
          </cell>
        </row>
        <row r="412">
          <cell r="B412" t="str">
            <v>0151800228BN</v>
          </cell>
          <cell r="C412" t="str">
            <v>电脑板-FR-4嵌入机转合肥直流外置驱动新磨具 1+N协议</v>
          </cell>
          <cell r="D412" t="str">
            <v>91C1</v>
          </cell>
          <cell r="E412" t="str">
            <v>青岛海达源国内A股采购组织</v>
          </cell>
          <cell r="F412" t="str">
            <v>寄售</v>
          </cell>
          <cell r="G412" t="str">
            <v>2026-12-31</v>
          </cell>
          <cell r="H412" t="str">
            <v>30</v>
          </cell>
          <cell r="I412" t="str">
            <v>111.12</v>
          </cell>
        </row>
        <row r="413">
          <cell r="B413" t="str">
            <v>0011801125</v>
          </cell>
          <cell r="C413" t="str">
            <v>显示板-/53*95</v>
          </cell>
          <cell r="D413" t="str">
            <v>91C1</v>
          </cell>
          <cell r="E413" t="str">
            <v>青岛海达源国内A股采购组织</v>
          </cell>
          <cell r="F413" t="str">
            <v>寄售</v>
          </cell>
          <cell r="G413" t="str">
            <v>2026-12-31</v>
          </cell>
          <cell r="H413" t="str">
            <v>15</v>
          </cell>
          <cell r="I413" t="str">
            <v>5.60</v>
          </cell>
        </row>
        <row r="414">
          <cell r="B414" t="str">
            <v>0190400534D</v>
          </cell>
          <cell r="C414" t="str">
            <v>主控板-通用</v>
          </cell>
          <cell r="D414" t="str">
            <v>91C1</v>
          </cell>
          <cell r="E414" t="str">
            <v>青岛海达源国内A股采购组织</v>
          </cell>
          <cell r="F414" t="str">
            <v>寄售</v>
          </cell>
          <cell r="G414" t="str">
            <v>2026-12-31</v>
          </cell>
          <cell r="H414" t="str">
            <v>3</v>
          </cell>
          <cell r="I414" t="str">
            <v>37.39</v>
          </cell>
        </row>
        <row r="415">
          <cell r="B415" t="str">
            <v>0021800615B</v>
          </cell>
          <cell r="C415" t="str">
            <v>显示板-LCD5V</v>
          </cell>
          <cell r="D415" t="str">
            <v>91C1</v>
          </cell>
          <cell r="E415" t="str">
            <v>青岛海达源国内A股采购组织</v>
          </cell>
          <cell r="F415" t="str">
            <v>寄售</v>
          </cell>
          <cell r="G415" t="str">
            <v>2026-12-31</v>
          </cell>
          <cell r="H415" t="str">
            <v>10</v>
          </cell>
          <cell r="I415" t="str">
            <v>67.19</v>
          </cell>
        </row>
        <row r="416">
          <cell r="B416" t="str">
            <v>0011801423AL</v>
          </cell>
          <cell r="C416" t="str">
            <v>变频外电脑板-FR-4</v>
          </cell>
          <cell r="D416" t="str">
            <v>91C1</v>
          </cell>
          <cell r="E416" t="str">
            <v>青岛海达源国内A股采购组织</v>
          </cell>
          <cell r="F416" t="str">
            <v>寄售</v>
          </cell>
          <cell r="G416" t="str">
            <v>2026-12-31</v>
          </cell>
          <cell r="H416" t="str">
            <v>15</v>
          </cell>
          <cell r="I416" t="str">
            <v>141.18</v>
          </cell>
        </row>
        <row r="417">
          <cell r="B417" t="str">
            <v>0021800472B</v>
          </cell>
          <cell r="C417" t="str">
            <v>显示板-FR-4</v>
          </cell>
          <cell r="D417" t="str">
            <v>91C1</v>
          </cell>
          <cell r="E417" t="str">
            <v>青岛海达源国内A股采购组织</v>
          </cell>
          <cell r="F417" t="str">
            <v>寄售</v>
          </cell>
          <cell r="G417" t="str">
            <v>2026-12-31</v>
          </cell>
          <cell r="H417" t="str">
            <v>10</v>
          </cell>
          <cell r="I417" t="str">
            <v>226.12</v>
          </cell>
        </row>
        <row r="418">
          <cell r="B418" t="str">
            <v>0011801330GCH</v>
          </cell>
          <cell r="C418" t="str">
            <v>室内电脑板-CEM-1</v>
          </cell>
          <cell r="D418" t="str">
            <v>91C1</v>
          </cell>
          <cell r="E418" t="str">
            <v>青岛海达源国内A股采购组织</v>
          </cell>
          <cell r="F418" t="str">
            <v>寄售</v>
          </cell>
          <cell r="G418" t="str">
            <v>2026-12-31</v>
          </cell>
          <cell r="H418" t="str">
            <v>15</v>
          </cell>
          <cell r="I418" t="str">
            <v>34.84</v>
          </cell>
        </row>
        <row r="419">
          <cell r="B419" t="str">
            <v>0011801917A</v>
          </cell>
          <cell r="C419" t="str">
            <v>显示板-CEM-3</v>
          </cell>
          <cell r="D419" t="str">
            <v>91C1</v>
          </cell>
          <cell r="E419" t="str">
            <v>青岛海达源国内A股采购组织</v>
          </cell>
          <cell r="F419" t="str">
            <v>寄售</v>
          </cell>
          <cell r="G419" t="str">
            <v>2026-12-31</v>
          </cell>
          <cell r="H419" t="str">
            <v>15</v>
          </cell>
          <cell r="I419" t="str">
            <v>33.00</v>
          </cell>
        </row>
        <row r="420">
          <cell r="B420" t="str">
            <v>0011801583U</v>
          </cell>
          <cell r="C420" t="str">
            <v>室内电脑板-CEM-1</v>
          </cell>
          <cell r="D420" t="str">
            <v>91C1</v>
          </cell>
          <cell r="E420" t="str">
            <v>青岛海达源国内A股采购组织</v>
          </cell>
          <cell r="F420" t="str">
            <v>寄售</v>
          </cell>
          <cell r="G420" t="str">
            <v>2026-12-31</v>
          </cell>
          <cell r="H420" t="str">
            <v>15</v>
          </cell>
          <cell r="I420" t="str">
            <v>38.82</v>
          </cell>
        </row>
        <row r="421">
          <cell r="B421" t="str">
            <v>0011801423AX</v>
          </cell>
          <cell r="C421" t="str">
            <v>变频外电脑板-FR-4</v>
          </cell>
          <cell r="D421" t="str">
            <v>91C1</v>
          </cell>
          <cell r="E421" t="str">
            <v>青岛海达源国内A股采购组织</v>
          </cell>
          <cell r="F421" t="str">
            <v>寄售</v>
          </cell>
          <cell r="G421" t="str">
            <v>2026-12-31</v>
          </cell>
          <cell r="H421" t="str">
            <v>15</v>
          </cell>
          <cell r="I421" t="str">
            <v>141.18</v>
          </cell>
        </row>
        <row r="422">
          <cell r="B422" t="str">
            <v>0190400556B</v>
          </cell>
          <cell r="C422" t="str">
            <v>主控板-净水在母本0190400556基础上，改标准电路及增加增压泵调压电路</v>
          </cell>
          <cell r="D422" t="str">
            <v>91C1</v>
          </cell>
          <cell r="E422" t="str">
            <v>青岛海达源国内A股采购组织</v>
          </cell>
          <cell r="F422" t="str">
            <v>寄售</v>
          </cell>
          <cell r="G422" t="str">
            <v>2026-12-31</v>
          </cell>
          <cell r="H422" t="str">
            <v>7</v>
          </cell>
          <cell r="I422" t="str">
            <v>56.34</v>
          </cell>
        </row>
        <row r="423">
          <cell r="B423" t="str">
            <v>0011801675B</v>
          </cell>
          <cell r="C423" t="str">
            <v>室内电脑板-CEM-1155*136</v>
          </cell>
          <cell r="D423" t="str">
            <v>91C1</v>
          </cell>
          <cell r="E423" t="str">
            <v>青岛海达源国内A股采购组织</v>
          </cell>
          <cell r="F423" t="str">
            <v>寄售</v>
          </cell>
          <cell r="G423" t="str">
            <v>2026-12-31</v>
          </cell>
          <cell r="H423" t="str">
            <v>15</v>
          </cell>
          <cell r="I423" t="str">
            <v>37.58</v>
          </cell>
        </row>
        <row r="424">
          <cell r="B424" t="str">
            <v>0020817461</v>
          </cell>
          <cell r="C424" t="str">
            <v>售后检测工装</v>
          </cell>
          <cell r="D424" t="str">
            <v>91C1</v>
          </cell>
          <cell r="E424" t="str">
            <v>青岛海达源国内A股采购组织</v>
          </cell>
          <cell r="F424" t="str">
            <v>寄售</v>
          </cell>
          <cell r="G424" t="str">
            <v>2026-12-31</v>
          </cell>
          <cell r="H424" t="str">
            <v>10</v>
          </cell>
          <cell r="I424" t="str">
            <v>797.98</v>
          </cell>
        </row>
        <row r="425">
          <cell r="B425" t="str">
            <v>0011801423AJ</v>
          </cell>
          <cell r="C425" t="str">
            <v>变频外电脑板-FR-4</v>
          </cell>
          <cell r="D425" t="str">
            <v>91C1</v>
          </cell>
          <cell r="E425" t="str">
            <v>青岛海达源国内A股采购组织</v>
          </cell>
          <cell r="F425" t="str">
            <v>寄售</v>
          </cell>
          <cell r="G425" t="str">
            <v>2026-12-31</v>
          </cell>
          <cell r="H425" t="str">
            <v>15</v>
          </cell>
          <cell r="I425" t="str">
            <v>128.13</v>
          </cell>
        </row>
        <row r="426">
          <cell r="B426" t="str">
            <v>0011800722GCHA</v>
          </cell>
          <cell r="C426" t="str">
            <v>室内电脑板-CEM-1</v>
          </cell>
          <cell r="D426" t="str">
            <v>91C1</v>
          </cell>
          <cell r="E426" t="str">
            <v>青岛海达源国内A股采购组织</v>
          </cell>
          <cell r="F426" t="str">
            <v>寄售</v>
          </cell>
          <cell r="G426" t="str">
            <v>2026-12-31</v>
          </cell>
          <cell r="H426" t="str">
            <v>15</v>
          </cell>
          <cell r="I426" t="str">
            <v>21.95</v>
          </cell>
        </row>
        <row r="427">
          <cell r="B427" t="str">
            <v>0011801675K</v>
          </cell>
          <cell r="C427" t="str">
            <v>室内电脑板-FR-4165*136</v>
          </cell>
          <cell r="D427" t="str">
            <v>91C1</v>
          </cell>
          <cell r="E427" t="str">
            <v>青岛海达源国内A股采购组织</v>
          </cell>
          <cell r="F427" t="str">
            <v>寄售</v>
          </cell>
          <cell r="G427" t="str">
            <v>2026-12-31</v>
          </cell>
          <cell r="H427" t="str">
            <v>15</v>
          </cell>
          <cell r="I427" t="str">
            <v>38.13</v>
          </cell>
        </row>
        <row r="428">
          <cell r="B428" t="str">
            <v>0151801061WA</v>
          </cell>
          <cell r="C428" t="str">
            <v>电脑板-FR-4</v>
          </cell>
          <cell r="D428" t="str">
            <v>91C1</v>
          </cell>
          <cell r="E428" t="str">
            <v>青岛海达源国内A股采购组织</v>
          </cell>
          <cell r="F428" t="str">
            <v>寄售</v>
          </cell>
          <cell r="G428" t="str">
            <v>2026-12-31</v>
          </cell>
          <cell r="H428" t="str">
            <v>30</v>
          </cell>
          <cell r="I428" t="str">
            <v>127.00</v>
          </cell>
        </row>
        <row r="429">
          <cell r="B429" t="str">
            <v>0011801843AN</v>
          </cell>
          <cell r="C429" t="str">
            <v>变频外电脑板-FR-4</v>
          </cell>
          <cell r="D429" t="str">
            <v>91C1</v>
          </cell>
          <cell r="E429" t="str">
            <v>青岛海达源国内A股采购组织</v>
          </cell>
          <cell r="F429" t="str">
            <v>寄售</v>
          </cell>
          <cell r="G429" t="str">
            <v>2026-12-31</v>
          </cell>
          <cell r="H429" t="str">
            <v>15</v>
          </cell>
          <cell r="I429" t="str">
            <v>129.98</v>
          </cell>
        </row>
        <row r="430">
          <cell r="B430" t="str">
            <v>0011801652</v>
          </cell>
          <cell r="C430" t="str">
            <v>室内电脑板-/</v>
          </cell>
          <cell r="D430" t="str">
            <v>91C1</v>
          </cell>
          <cell r="E430" t="str">
            <v>青岛海达源国内A股采购组织</v>
          </cell>
          <cell r="F430" t="str">
            <v>寄售</v>
          </cell>
          <cell r="G430" t="str">
            <v>2026-12-31</v>
          </cell>
          <cell r="H430" t="str">
            <v>15</v>
          </cell>
          <cell r="I430" t="str">
            <v>47.16</v>
          </cell>
        </row>
        <row r="431">
          <cell r="B431" t="str">
            <v>0011801977E</v>
          </cell>
          <cell r="C431" t="str">
            <v>室内电脑板-165mm*136mm</v>
          </cell>
          <cell r="D431" t="str">
            <v>91C1</v>
          </cell>
          <cell r="E431" t="str">
            <v>青岛海达源国内A股采购组织</v>
          </cell>
          <cell r="F431" t="str">
            <v>寄售</v>
          </cell>
          <cell r="G431" t="str">
            <v>2026-12-31</v>
          </cell>
          <cell r="H431" t="str">
            <v>15</v>
          </cell>
          <cell r="I431" t="str">
            <v>34.86</v>
          </cell>
        </row>
        <row r="432">
          <cell r="B432" t="str">
            <v>0151801031G</v>
          </cell>
          <cell r="C432" t="str">
            <v>单相室外一体板</v>
          </cell>
          <cell r="D432" t="str">
            <v>91C1</v>
          </cell>
          <cell r="E432" t="str">
            <v>青岛海达源国内A股采购组织</v>
          </cell>
          <cell r="F432" t="str">
            <v>寄售</v>
          </cell>
          <cell r="G432" t="str">
            <v>2026-12-31</v>
          </cell>
          <cell r="H432" t="str">
            <v>30</v>
          </cell>
          <cell r="I432" t="str">
            <v>351.98</v>
          </cell>
        </row>
        <row r="433">
          <cell r="B433" t="str">
            <v>0011802020B</v>
          </cell>
          <cell r="C433" t="str">
            <v>室内电脑板-CEM-1</v>
          </cell>
          <cell r="D433" t="str">
            <v>91C1</v>
          </cell>
          <cell r="E433" t="str">
            <v>青岛海达源国内A股采购组织</v>
          </cell>
          <cell r="F433" t="str">
            <v>寄售</v>
          </cell>
          <cell r="G433" t="str">
            <v>2026-12-31</v>
          </cell>
          <cell r="H433" t="str">
            <v>15</v>
          </cell>
          <cell r="I433" t="str">
            <v>28.88</v>
          </cell>
        </row>
        <row r="434">
          <cell r="B434" t="str">
            <v>0011801824</v>
          </cell>
          <cell r="C434" t="str">
            <v>室内电脑板-CEM-3</v>
          </cell>
          <cell r="D434" t="str">
            <v>91C1</v>
          </cell>
          <cell r="E434" t="str">
            <v>青岛海达源国内A股采购组织</v>
          </cell>
          <cell r="F434" t="str">
            <v>寄售</v>
          </cell>
          <cell r="G434" t="str">
            <v>2026-12-31</v>
          </cell>
          <cell r="H434" t="str">
            <v>15</v>
          </cell>
          <cell r="I434" t="str">
            <v>38.73</v>
          </cell>
        </row>
        <row r="435">
          <cell r="B435" t="str">
            <v>0011801824B</v>
          </cell>
          <cell r="C435" t="str">
            <v>室内电脑板-CEM-1</v>
          </cell>
          <cell r="D435" t="str">
            <v>91C1</v>
          </cell>
          <cell r="E435" t="str">
            <v>青岛海达源国内A股采购组织</v>
          </cell>
          <cell r="F435" t="str">
            <v>寄售</v>
          </cell>
          <cell r="G435" t="str">
            <v>2026-12-31</v>
          </cell>
          <cell r="H435" t="str">
            <v>15</v>
          </cell>
          <cell r="I435" t="str">
            <v>38.93</v>
          </cell>
        </row>
        <row r="436">
          <cell r="B436" t="str">
            <v>0011801977H</v>
          </cell>
          <cell r="C436" t="str">
            <v>室内电脑板-165mm*136mm</v>
          </cell>
          <cell r="D436" t="str">
            <v>91C1</v>
          </cell>
          <cell r="E436" t="str">
            <v>青岛海达源国内A股采购组织</v>
          </cell>
          <cell r="F436" t="str">
            <v>寄售</v>
          </cell>
          <cell r="G436" t="str">
            <v>2026-12-31</v>
          </cell>
          <cell r="H436" t="str">
            <v>15</v>
          </cell>
          <cell r="I436" t="str">
            <v>37.15</v>
          </cell>
        </row>
        <row r="437">
          <cell r="B437" t="str">
            <v>0041801545AA</v>
          </cell>
          <cell r="C437" t="str">
            <v>电脑板控制板-FR-4</v>
          </cell>
          <cell r="D437" t="str">
            <v>91C1</v>
          </cell>
          <cell r="E437" t="str">
            <v>青岛海达源国内A股采购组织</v>
          </cell>
          <cell r="F437" t="str">
            <v>寄售</v>
          </cell>
          <cell r="G437" t="str">
            <v>2026-12-31</v>
          </cell>
          <cell r="H437" t="str">
            <v>14</v>
          </cell>
          <cell r="I437" t="str">
            <v>216.00</v>
          </cell>
        </row>
        <row r="438">
          <cell r="B438" t="str">
            <v>0011801583YA</v>
          </cell>
          <cell r="C438" t="str">
            <v>室内电脑板-CEM-1</v>
          </cell>
          <cell r="D438" t="str">
            <v>91C1</v>
          </cell>
          <cell r="E438" t="str">
            <v>青岛海达源国内A股采购组织</v>
          </cell>
          <cell r="F438" t="str">
            <v>寄售</v>
          </cell>
          <cell r="G438" t="str">
            <v>2026-12-31</v>
          </cell>
          <cell r="H438" t="str">
            <v>15</v>
          </cell>
          <cell r="I438" t="str">
            <v>31.22</v>
          </cell>
        </row>
        <row r="439">
          <cell r="B439" t="str">
            <v>0021800841</v>
          </cell>
          <cell r="C439" t="str">
            <v>显示板-LED</v>
          </cell>
          <cell r="D439" t="str">
            <v>91C1</v>
          </cell>
          <cell r="E439" t="str">
            <v>青岛海达源国内A股采购组织</v>
          </cell>
          <cell r="F439" t="str">
            <v>寄售</v>
          </cell>
          <cell r="G439" t="str">
            <v>2026-12-31</v>
          </cell>
          <cell r="H439" t="str">
            <v>10</v>
          </cell>
          <cell r="I439" t="str">
            <v>3.36</v>
          </cell>
        </row>
        <row r="440">
          <cell r="B440" t="str">
            <v>0011802040A</v>
          </cell>
          <cell r="C440" t="str">
            <v>显示板</v>
          </cell>
          <cell r="D440" t="str">
            <v>91C1</v>
          </cell>
          <cell r="E440" t="str">
            <v>青岛海达源国内A股采购组织</v>
          </cell>
          <cell r="F440" t="str">
            <v>寄售</v>
          </cell>
          <cell r="G440" t="str">
            <v>2026-12-31</v>
          </cell>
          <cell r="H440" t="str">
            <v>15</v>
          </cell>
          <cell r="I440" t="str">
            <v>26.66</v>
          </cell>
        </row>
        <row r="441">
          <cell r="B441" t="str">
            <v>0021800472D</v>
          </cell>
          <cell r="C441" t="str">
            <v>显示板-FR-412vdc</v>
          </cell>
          <cell r="D441" t="str">
            <v>91C1</v>
          </cell>
          <cell r="E441" t="str">
            <v>青岛海达源国内A股采购组织</v>
          </cell>
          <cell r="F441" t="str">
            <v>寄售</v>
          </cell>
          <cell r="G441" t="str">
            <v>2026-12-31</v>
          </cell>
          <cell r="H441" t="str">
            <v>10</v>
          </cell>
          <cell r="I441" t="str">
            <v>272.65</v>
          </cell>
        </row>
        <row r="442">
          <cell r="B442" t="str">
            <v>0011801850</v>
          </cell>
          <cell r="C442" t="str">
            <v>室内电脑板</v>
          </cell>
          <cell r="D442" t="str">
            <v>91C1</v>
          </cell>
          <cell r="E442" t="str">
            <v>青岛海达源国内A股采购组织</v>
          </cell>
          <cell r="F442" t="str">
            <v>寄售</v>
          </cell>
          <cell r="G442" t="str">
            <v>2026-12-31</v>
          </cell>
          <cell r="H442" t="str">
            <v>15</v>
          </cell>
          <cell r="I442" t="str">
            <v>48.23</v>
          </cell>
        </row>
        <row r="443">
          <cell r="B443" t="str">
            <v>0011801977F</v>
          </cell>
          <cell r="C443" t="str">
            <v>室内电脑板-165mm*136mm</v>
          </cell>
          <cell r="D443" t="str">
            <v>91C1</v>
          </cell>
          <cell r="E443" t="str">
            <v>青岛海达源国内A股采购组织</v>
          </cell>
          <cell r="F443" t="str">
            <v>寄售</v>
          </cell>
          <cell r="G443" t="str">
            <v>2026-12-31</v>
          </cell>
          <cell r="H443" t="str">
            <v>15</v>
          </cell>
          <cell r="I443" t="str">
            <v>37.88</v>
          </cell>
        </row>
        <row r="444">
          <cell r="B444" t="str">
            <v>0011801843AH</v>
          </cell>
          <cell r="C444" t="str">
            <v>变频外电脑板-FR-4</v>
          </cell>
          <cell r="D444" t="str">
            <v>91C1</v>
          </cell>
          <cell r="E444" t="str">
            <v>青岛海达源国内A股采购组织</v>
          </cell>
          <cell r="F444" t="str">
            <v>寄售</v>
          </cell>
          <cell r="G444" t="str">
            <v>2026-12-31</v>
          </cell>
          <cell r="H444" t="str">
            <v>15</v>
          </cell>
          <cell r="I444" t="str">
            <v>140.31</v>
          </cell>
        </row>
        <row r="445">
          <cell r="B445" t="str">
            <v>0291800242</v>
          </cell>
          <cell r="C445" t="str">
            <v>电源板-FPA微烤安卓电源板</v>
          </cell>
          <cell r="D445" t="str">
            <v>91C1</v>
          </cell>
          <cell r="E445" t="str">
            <v>青岛海达源国内A股采购组织</v>
          </cell>
          <cell r="F445" t="str">
            <v>寄售</v>
          </cell>
          <cell r="G445" t="str">
            <v>2026-12-31</v>
          </cell>
          <cell r="H445" t="str">
            <v>7</v>
          </cell>
          <cell r="I445" t="str">
            <v>141.50</v>
          </cell>
        </row>
        <row r="446">
          <cell r="B446" t="str">
            <v>0011801973E</v>
          </cell>
          <cell r="C446" t="str">
            <v>室内电脑板-CEM-3</v>
          </cell>
          <cell r="D446" t="str">
            <v>91C1</v>
          </cell>
          <cell r="E446" t="str">
            <v>青岛海达源国内A股采购组织</v>
          </cell>
          <cell r="F446" t="str">
            <v>寄售</v>
          </cell>
          <cell r="G446" t="str">
            <v>2026-12-31</v>
          </cell>
          <cell r="H446" t="str">
            <v>15</v>
          </cell>
          <cell r="I446" t="str">
            <v>55.88</v>
          </cell>
        </row>
        <row r="447">
          <cell r="B447" t="str">
            <v>0021800839A</v>
          </cell>
          <cell r="C447" t="str">
            <v>流程板</v>
          </cell>
          <cell r="D447" t="str">
            <v>91C1</v>
          </cell>
          <cell r="E447" t="str">
            <v>青岛海达源国内A股采购组织</v>
          </cell>
          <cell r="F447" t="str">
            <v>寄售</v>
          </cell>
          <cell r="G447" t="str">
            <v>2026-12-31</v>
          </cell>
          <cell r="H447" t="str">
            <v>10</v>
          </cell>
          <cell r="I447" t="str">
            <v>23.45</v>
          </cell>
        </row>
        <row r="448">
          <cell r="B448" t="str">
            <v>0011801583AF</v>
          </cell>
          <cell r="C448" t="str">
            <v>室内电脑板</v>
          </cell>
          <cell r="D448" t="str">
            <v>91C1</v>
          </cell>
          <cell r="E448" t="str">
            <v>青岛海达源国内A股采购组织</v>
          </cell>
          <cell r="F448" t="str">
            <v>寄售</v>
          </cell>
          <cell r="G448" t="str">
            <v>2026-12-31</v>
          </cell>
          <cell r="H448" t="str">
            <v>15</v>
          </cell>
          <cell r="I448" t="str">
            <v>32.49</v>
          </cell>
        </row>
        <row r="449">
          <cell r="B449" t="str">
            <v>0021800616E</v>
          </cell>
          <cell r="C449" t="str">
            <v>显示板-FR-4</v>
          </cell>
          <cell r="D449" t="str">
            <v>91C1</v>
          </cell>
          <cell r="E449" t="str">
            <v>青岛海达源国内A股采购组织</v>
          </cell>
          <cell r="F449" t="str">
            <v>寄售</v>
          </cell>
          <cell r="G449" t="str">
            <v>2026-12-31</v>
          </cell>
          <cell r="H449" t="str">
            <v>10</v>
          </cell>
          <cell r="I449" t="str">
            <v>57.15</v>
          </cell>
        </row>
        <row r="450">
          <cell r="B450" t="str">
            <v>0041801979H</v>
          </cell>
          <cell r="C450" t="str">
            <v>AD显示板-显示板尺寸：215mm*45mm*1.6mm，支架：48*34*9m</v>
          </cell>
          <cell r="D450" t="str">
            <v>91C1</v>
          </cell>
          <cell r="E450" t="str">
            <v>青岛海达源国内A股采购组织</v>
          </cell>
          <cell r="F450" t="str">
            <v>寄售</v>
          </cell>
          <cell r="G450" t="str">
            <v>2026-12-31</v>
          </cell>
          <cell r="H450" t="str">
            <v>14</v>
          </cell>
          <cell r="I450" t="str">
            <v>10.56</v>
          </cell>
        </row>
        <row r="451">
          <cell r="B451" t="str">
            <v>0011801824D</v>
          </cell>
          <cell r="C451" t="str">
            <v>室内电脑板-CEM-1</v>
          </cell>
          <cell r="D451" t="str">
            <v>91C1</v>
          </cell>
          <cell r="E451" t="str">
            <v>青岛海达源国内A股采购组织</v>
          </cell>
          <cell r="F451" t="str">
            <v>寄售</v>
          </cell>
          <cell r="G451" t="str">
            <v>2026-12-31</v>
          </cell>
          <cell r="H451" t="str">
            <v>15</v>
          </cell>
          <cell r="I451" t="str">
            <v>40.90</v>
          </cell>
        </row>
        <row r="452">
          <cell r="B452" t="str">
            <v>0041801545CA</v>
          </cell>
          <cell r="C452" t="str">
            <v>电脑板-FR-4</v>
          </cell>
          <cell r="D452" t="str">
            <v>91C1</v>
          </cell>
          <cell r="E452" t="str">
            <v>青岛海达源国内A股采购组织</v>
          </cell>
          <cell r="F452" t="str">
            <v>寄售</v>
          </cell>
          <cell r="G452" t="str">
            <v>2026-12-31</v>
          </cell>
          <cell r="H452" t="str">
            <v>14</v>
          </cell>
          <cell r="I452" t="str">
            <v>216.00</v>
          </cell>
        </row>
        <row r="453">
          <cell r="B453" t="str">
            <v>0041801949</v>
          </cell>
          <cell r="C453" t="str">
            <v>AD显示板-LED显示板尺寸349mm*35mm*7mm曜石黑 HOBK-000</v>
          </cell>
          <cell r="D453" t="str">
            <v>91C1</v>
          </cell>
          <cell r="E453" t="str">
            <v>青岛海达源国内A股采购组织</v>
          </cell>
          <cell r="F453" t="str">
            <v>寄售</v>
          </cell>
          <cell r="G453" t="str">
            <v>2026-12-31</v>
          </cell>
          <cell r="H453" t="str">
            <v>14</v>
          </cell>
          <cell r="I453" t="str">
            <v>26.40</v>
          </cell>
        </row>
        <row r="454">
          <cell r="B454" t="str">
            <v>0121800104WF</v>
          </cell>
          <cell r="C454" t="str">
            <v>显示板-220V/50Hz</v>
          </cell>
          <cell r="D454" t="str">
            <v>91C1</v>
          </cell>
          <cell r="E454" t="str">
            <v>青岛海达源国内A股采购组织</v>
          </cell>
          <cell r="F454" t="str">
            <v>寄售</v>
          </cell>
          <cell r="G454" t="str">
            <v>2026-12-31</v>
          </cell>
          <cell r="H454" t="str">
            <v>7</v>
          </cell>
          <cell r="I454" t="str">
            <v>61.10</v>
          </cell>
        </row>
        <row r="455">
          <cell r="B455" t="str">
            <v>0011801048AN</v>
          </cell>
          <cell r="C455" t="str">
            <v>变频外电脑板-FR-4</v>
          </cell>
          <cell r="D455" t="str">
            <v>91C1</v>
          </cell>
          <cell r="E455" t="str">
            <v>青岛海达源国内A股采购组织</v>
          </cell>
          <cell r="F455" t="str">
            <v>寄售</v>
          </cell>
          <cell r="G455" t="str">
            <v>2026-12-31</v>
          </cell>
          <cell r="H455" t="str">
            <v>15</v>
          </cell>
          <cell r="I455" t="str">
            <v>138.34</v>
          </cell>
        </row>
        <row r="456">
          <cell r="B456" t="str">
            <v>0011801330AJ</v>
          </cell>
          <cell r="C456" t="str">
            <v>室内电脑板-CEM-1</v>
          </cell>
          <cell r="D456" t="str">
            <v>91C1</v>
          </cell>
          <cell r="E456" t="str">
            <v>青岛海达源国内A股采购组织</v>
          </cell>
          <cell r="F456" t="str">
            <v>寄售</v>
          </cell>
          <cell r="G456" t="str">
            <v>2026-12-31</v>
          </cell>
          <cell r="H456" t="str">
            <v>15</v>
          </cell>
          <cell r="I456" t="str">
            <v>34.97</v>
          </cell>
        </row>
        <row r="457">
          <cell r="B457" t="str">
            <v>0151801003AB</v>
          </cell>
          <cell r="C457" t="str">
            <v>室外控制板</v>
          </cell>
          <cell r="D457" t="str">
            <v>91C1</v>
          </cell>
          <cell r="E457" t="str">
            <v>青岛海达源国内A股采购组织</v>
          </cell>
          <cell r="F457" t="str">
            <v>寄售</v>
          </cell>
          <cell r="G457" t="str">
            <v>2026-12-31</v>
          </cell>
          <cell r="H457" t="str">
            <v>30</v>
          </cell>
          <cell r="I457" t="str">
            <v>70.80</v>
          </cell>
        </row>
        <row r="458">
          <cell r="B458" t="str">
            <v>0011801907</v>
          </cell>
          <cell r="C458" t="str">
            <v>一体机电脑板-CEM-1</v>
          </cell>
          <cell r="D458" t="str">
            <v>91C1</v>
          </cell>
          <cell r="E458" t="str">
            <v>青岛海达源国内A股采购组织</v>
          </cell>
          <cell r="F458" t="str">
            <v>寄售</v>
          </cell>
          <cell r="G458" t="str">
            <v>2026-12-31</v>
          </cell>
          <cell r="H458" t="str">
            <v>15</v>
          </cell>
          <cell r="I458" t="str">
            <v>29.97</v>
          </cell>
        </row>
        <row r="459">
          <cell r="B459" t="str">
            <v>0011801843W</v>
          </cell>
          <cell r="C459" t="str">
            <v>变频外电脑板-FR-4</v>
          </cell>
          <cell r="D459" t="str">
            <v>91C1</v>
          </cell>
          <cell r="E459" t="str">
            <v>青岛海达源国内A股采购组织</v>
          </cell>
          <cell r="F459" t="str">
            <v>寄售</v>
          </cell>
          <cell r="G459" t="str">
            <v>2026-12-31</v>
          </cell>
          <cell r="H459" t="str">
            <v>15</v>
          </cell>
          <cell r="I459" t="str">
            <v>122.18</v>
          </cell>
        </row>
        <row r="460">
          <cell r="B460" t="str">
            <v>0011802046Q</v>
          </cell>
          <cell r="C460" t="str">
            <v>室内电脑板-其他\/-</v>
          </cell>
          <cell r="D460" t="str">
            <v>91C1</v>
          </cell>
          <cell r="E460" t="str">
            <v>青岛海达源国内A股采购组织</v>
          </cell>
          <cell r="F460" t="str">
            <v>寄售</v>
          </cell>
          <cell r="G460" t="str">
            <v>2026-12-31</v>
          </cell>
          <cell r="H460" t="str">
            <v>15</v>
          </cell>
          <cell r="I460" t="str">
            <v>42.40</v>
          </cell>
        </row>
        <row r="461">
          <cell r="B461" t="str">
            <v>0011801922J</v>
          </cell>
          <cell r="C461" t="str">
            <v>室内电脑板-CEM-1</v>
          </cell>
          <cell r="D461" t="str">
            <v>91C1</v>
          </cell>
          <cell r="E461" t="str">
            <v>青岛海达源国内A股采购组织</v>
          </cell>
          <cell r="F461" t="str">
            <v>寄售</v>
          </cell>
          <cell r="G461" t="str">
            <v>2026-12-31</v>
          </cell>
          <cell r="H461" t="str">
            <v>15</v>
          </cell>
          <cell r="I461" t="str">
            <v>43.61</v>
          </cell>
        </row>
        <row r="462">
          <cell r="B462" t="str">
            <v>0011801172DV</v>
          </cell>
          <cell r="C462" t="str">
            <v>变频外电脑板-FR-4</v>
          </cell>
          <cell r="D462" t="str">
            <v>91C1</v>
          </cell>
          <cell r="E462" t="str">
            <v>青岛海达源国内A股采购组织</v>
          </cell>
          <cell r="F462" t="str">
            <v>寄售</v>
          </cell>
          <cell r="G462" t="str">
            <v>2026-12-31</v>
          </cell>
          <cell r="H462" t="str">
            <v>15</v>
          </cell>
          <cell r="I462" t="str">
            <v>172.30</v>
          </cell>
        </row>
        <row r="463">
          <cell r="B463" t="str">
            <v>0011801850B</v>
          </cell>
          <cell r="C463" t="str">
            <v>室内电脑板-FR-4</v>
          </cell>
          <cell r="D463" t="str">
            <v>91C1</v>
          </cell>
          <cell r="E463" t="str">
            <v>青岛海达源国内A股采购组织</v>
          </cell>
          <cell r="F463" t="str">
            <v>寄售</v>
          </cell>
          <cell r="G463" t="str">
            <v>2026-12-31</v>
          </cell>
          <cell r="H463" t="str">
            <v>15</v>
          </cell>
          <cell r="I463" t="str">
            <v>45.66</v>
          </cell>
        </row>
        <row r="464">
          <cell r="B464" t="str">
            <v>0041801949AA</v>
          </cell>
          <cell r="C464" t="str">
            <v>AD显示板-LED显示板尺寸349mm*35mm云溪米 UPYE-2423</v>
          </cell>
          <cell r="D464" t="str">
            <v>91C1</v>
          </cell>
          <cell r="E464" t="str">
            <v>青岛海达源国内A股采购组织</v>
          </cell>
          <cell r="F464" t="str">
            <v>寄售</v>
          </cell>
          <cell r="G464" t="str">
            <v>2026-12-31</v>
          </cell>
          <cell r="H464" t="str">
            <v>14</v>
          </cell>
          <cell r="I464" t="str">
            <v>31.33</v>
          </cell>
        </row>
        <row r="465">
          <cell r="B465" t="str">
            <v>0011801172DU</v>
          </cell>
          <cell r="C465" t="str">
            <v>变频外电脑板-FR-4</v>
          </cell>
          <cell r="D465" t="str">
            <v>91C1</v>
          </cell>
          <cell r="E465" t="str">
            <v>青岛海达源国内A股采购组织</v>
          </cell>
          <cell r="F465" t="str">
            <v>寄售</v>
          </cell>
          <cell r="G465" t="str">
            <v>2026-12-31</v>
          </cell>
          <cell r="H465" t="str">
            <v>15</v>
          </cell>
          <cell r="I465" t="str">
            <v>172.00</v>
          </cell>
        </row>
        <row r="466">
          <cell r="B466" t="str">
            <v>0031800517A</v>
          </cell>
          <cell r="C466" t="str">
            <v>显示板-LED</v>
          </cell>
          <cell r="D466" t="str">
            <v>91C1</v>
          </cell>
          <cell r="E466" t="str">
            <v>青岛海达源国内A股采购组织</v>
          </cell>
          <cell r="F466" t="str">
            <v>寄售</v>
          </cell>
          <cell r="G466" t="str">
            <v>2026-12-31</v>
          </cell>
          <cell r="H466" t="str">
            <v>10</v>
          </cell>
          <cell r="I466" t="str">
            <v>26.26</v>
          </cell>
        </row>
        <row r="467">
          <cell r="B467" t="str">
            <v>0121800104WP</v>
          </cell>
          <cell r="C467" t="str">
            <v>显示板</v>
          </cell>
          <cell r="D467" t="str">
            <v>91C1</v>
          </cell>
          <cell r="E467" t="str">
            <v>青岛海达源国内A股采购组织</v>
          </cell>
          <cell r="F467" t="str">
            <v>寄售</v>
          </cell>
          <cell r="G467" t="str">
            <v>2026-12-31</v>
          </cell>
          <cell r="H467" t="str">
            <v>7</v>
          </cell>
          <cell r="I467" t="str">
            <v>61.10</v>
          </cell>
        </row>
        <row r="468">
          <cell r="B468" t="str">
            <v>0021800615E</v>
          </cell>
          <cell r="C468" t="str">
            <v>显示板-LED5V</v>
          </cell>
          <cell r="D468" t="str">
            <v>91C1</v>
          </cell>
          <cell r="E468" t="str">
            <v>青岛海达源国内A股采购组织</v>
          </cell>
          <cell r="F468" t="str">
            <v>寄售</v>
          </cell>
          <cell r="G468" t="str">
            <v>2026-12-31</v>
          </cell>
          <cell r="H468" t="str">
            <v>10</v>
          </cell>
          <cell r="I468" t="str">
            <v>67.19</v>
          </cell>
        </row>
        <row r="469">
          <cell r="B469" t="str">
            <v>0021800866A</v>
          </cell>
          <cell r="C469" t="str">
            <v>显示板-LEDDC12V</v>
          </cell>
          <cell r="D469" t="str">
            <v>91C1</v>
          </cell>
          <cell r="E469" t="str">
            <v>青岛海达源国内A股采购组织</v>
          </cell>
          <cell r="F469" t="str">
            <v>寄售</v>
          </cell>
          <cell r="G469" t="str">
            <v>2026-12-31</v>
          </cell>
          <cell r="H469" t="str">
            <v>10</v>
          </cell>
          <cell r="I469" t="str">
            <v>46.74</v>
          </cell>
        </row>
        <row r="470">
          <cell r="B470" t="str">
            <v>0021800866GA</v>
          </cell>
          <cell r="C470" t="str">
            <v>显示板-LED</v>
          </cell>
          <cell r="D470" t="str">
            <v>91C1</v>
          </cell>
          <cell r="E470" t="str">
            <v>青岛海达源国内A股采购组织</v>
          </cell>
          <cell r="F470" t="str">
            <v>寄售</v>
          </cell>
          <cell r="G470" t="str">
            <v>2026-12-31</v>
          </cell>
          <cell r="H470" t="str">
            <v>10</v>
          </cell>
          <cell r="I470" t="str">
            <v>44.64</v>
          </cell>
        </row>
        <row r="471">
          <cell r="B471" t="str">
            <v>0021800866G</v>
          </cell>
          <cell r="C471" t="str">
            <v>显示板-LED</v>
          </cell>
          <cell r="D471" t="str">
            <v>91C1</v>
          </cell>
          <cell r="E471" t="str">
            <v>青岛海达源国内A股采购组织</v>
          </cell>
          <cell r="F471" t="str">
            <v>寄售</v>
          </cell>
          <cell r="G471" t="str">
            <v>2026-12-31</v>
          </cell>
          <cell r="H471" t="str">
            <v>10</v>
          </cell>
          <cell r="I471" t="str">
            <v>44.64</v>
          </cell>
        </row>
        <row r="472">
          <cell r="B472" t="str">
            <v>0121800104WC</v>
          </cell>
          <cell r="C472" t="str">
            <v>显示板</v>
          </cell>
          <cell r="D472" t="str">
            <v>91C1</v>
          </cell>
          <cell r="E472" t="str">
            <v>青岛海达源国内A股采购组织</v>
          </cell>
          <cell r="F472" t="str">
            <v>寄售</v>
          </cell>
          <cell r="G472" t="str">
            <v>2026-12-31</v>
          </cell>
          <cell r="H472" t="str">
            <v>7</v>
          </cell>
          <cell r="I472" t="str">
            <v>61.10</v>
          </cell>
        </row>
        <row r="473">
          <cell r="B473" t="str">
            <v>0011801922G</v>
          </cell>
          <cell r="C473" t="str">
            <v>室内电脑板-CEM-1</v>
          </cell>
          <cell r="D473" t="str">
            <v>91C1</v>
          </cell>
          <cell r="E473" t="str">
            <v>青岛海达源国内A股采购组织</v>
          </cell>
          <cell r="F473" t="str">
            <v>寄售</v>
          </cell>
          <cell r="G473" t="str">
            <v>2026-12-31</v>
          </cell>
          <cell r="H473" t="str">
            <v>15</v>
          </cell>
          <cell r="I473" t="str">
            <v>43.49</v>
          </cell>
        </row>
        <row r="474">
          <cell r="B474" t="str">
            <v>0011801922H</v>
          </cell>
          <cell r="C474" t="str">
            <v>室内电脑板-CEM-1</v>
          </cell>
          <cell r="D474" t="str">
            <v>91C1</v>
          </cell>
          <cell r="E474" t="str">
            <v>青岛海达源国内A股采购组织</v>
          </cell>
          <cell r="F474" t="str">
            <v>寄售</v>
          </cell>
          <cell r="G474" t="str">
            <v>2026-12-31</v>
          </cell>
          <cell r="H474" t="str">
            <v>15</v>
          </cell>
          <cell r="I474" t="str">
            <v>43.61</v>
          </cell>
        </row>
        <row r="475">
          <cell r="B475" t="str">
            <v>0021800616J</v>
          </cell>
          <cell r="C475" t="str">
            <v>显示板-FR-4</v>
          </cell>
          <cell r="D475" t="str">
            <v>91C1</v>
          </cell>
          <cell r="E475" t="str">
            <v>青岛海达源国内A股采购组织</v>
          </cell>
          <cell r="F475" t="str">
            <v>寄售</v>
          </cell>
          <cell r="G475" t="str">
            <v>2026-12-31</v>
          </cell>
          <cell r="H475" t="str">
            <v>10</v>
          </cell>
          <cell r="I475" t="str">
            <v>57.15</v>
          </cell>
        </row>
        <row r="476">
          <cell r="B476" t="str">
            <v>0011801922F</v>
          </cell>
          <cell r="C476" t="str">
            <v>室内电脑板-CEM-1</v>
          </cell>
          <cell r="D476" t="str">
            <v>91C1</v>
          </cell>
          <cell r="E476" t="str">
            <v>青岛海达源国内A股采购组织</v>
          </cell>
          <cell r="F476" t="str">
            <v>寄售</v>
          </cell>
          <cell r="G476" t="str">
            <v>2026-12-31</v>
          </cell>
          <cell r="H476" t="str">
            <v>15</v>
          </cell>
          <cell r="I476" t="str">
            <v>43.24</v>
          </cell>
        </row>
        <row r="477">
          <cell r="B477" t="str">
            <v>0011801330AK</v>
          </cell>
          <cell r="C477" t="str">
            <v>室内电脑板-CEM-1</v>
          </cell>
          <cell r="D477" t="str">
            <v>91C1</v>
          </cell>
          <cell r="E477" t="str">
            <v>青岛海达源国内A股采购组织</v>
          </cell>
          <cell r="F477" t="str">
            <v>寄售</v>
          </cell>
          <cell r="G477" t="str">
            <v>2026-12-31</v>
          </cell>
          <cell r="H477" t="str">
            <v>15</v>
          </cell>
          <cell r="I477" t="str">
            <v>35.79</v>
          </cell>
        </row>
        <row r="478">
          <cell r="B478" t="str">
            <v>0041801979E</v>
          </cell>
          <cell r="C478" t="str">
            <v>AD显示板-显示板尺寸：215mm*45mm*1.6mm，支架：48*34*9m</v>
          </cell>
          <cell r="D478" t="str">
            <v>91C1</v>
          </cell>
          <cell r="E478" t="str">
            <v>青岛海达源国内A股采购组织</v>
          </cell>
          <cell r="F478" t="str">
            <v>寄售</v>
          </cell>
          <cell r="G478" t="str">
            <v>2026-12-31</v>
          </cell>
          <cell r="H478" t="str">
            <v>14</v>
          </cell>
          <cell r="I478" t="str">
            <v>15.39</v>
          </cell>
        </row>
        <row r="479">
          <cell r="B479" t="str">
            <v>0121800104WE</v>
          </cell>
          <cell r="C479" t="str">
            <v>显示板-220V</v>
          </cell>
          <cell r="D479" t="str">
            <v>91C1</v>
          </cell>
          <cell r="E479" t="str">
            <v>青岛海达源国内A股采购组织</v>
          </cell>
          <cell r="F479" t="str">
            <v>寄售</v>
          </cell>
          <cell r="G479" t="str">
            <v>2026-12-31</v>
          </cell>
          <cell r="H479" t="str">
            <v>3</v>
          </cell>
          <cell r="I479" t="str">
            <v>61.14</v>
          </cell>
        </row>
        <row r="480">
          <cell r="B480" t="str">
            <v>0011802046R</v>
          </cell>
          <cell r="C480" t="str">
            <v>室内电脑板-CEM-1</v>
          </cell>
          <cell r="D480" t="str">
            <v>91C1</v>
          </cell>
          <cell r="E480" t="str">
            <v>青岛海达源国内A股采购组织</v>
          </cell>
          <cell r="F480" t="str">
            <v>寄售</v>
          </cell>
          <cell r="G480" t="str">
            <v>2026-12-31</v>
          </cell>
          <cell r="H480" t="str">
            <v>15</v>
          </cell>
          <cell r="I480" t="str">
            <v>42.40</v>
          </cell>
        </row>
        <row r="481">
          <cell r="B481" t="str">
            <v>0021800616K</v>
          </cell>
          <cell r="C481" t="str">
            <v>显示板-其他\FR-4</v>
          </cell>
          <cell r="D481" t="str">
            <v>91C1</v>
          </cell>
          <cell r="E481" t="str">
            <v>青岛海达源国内A股采购组织</v>
          </cell>
          <cell r="F481" t="str">
            <v>寄售</v>
          </cell>
          <cell r="G481" t="str">
            <v>2026-12-31</v>
          </cell>
          <cell r="H481" t="str">
            <v>10</v>
          </cell>
          <cell r="I481" t="str">
            <v>57.15</v>
          </cell>
        </row>
        <row r="482">
          <cell r="B482" t="str">
            <v>0011801850AA</v>
          </cell>
          <cell r="C482" t="str">
            <v>室内电脑板-FR-4</v>
          </cell>
          <cell r="D482" t="str">
            <v>91C1</v>
          </cell>
          <cell r="E482" t="str">
            <v>青岛海达源国内A股采购组织</v>
          </cell>
          <cell r="F482" t="str">
            <v>寄售</v>
          </cell>
          <cell r="G482" t="str">
            <v>2026-12-31</v>
          </cell>
          <cell r="H482" t="str">
            <v>15</v>
          </cell>
          <cell r="I482" t="str">
            <v>46.56</v>
          </cell>
        </row>
        <row r="483">
          <cell r="B483" t="str">
            <v>0011801657AA</v>
          </cell>
          <cell r="C483" t="str">
            <v>变频外电脑板</v>
          </cell>
          <cell r="D483" t="str">
            <v>91C1</v>
          </cell>
          <cell r="E483" t="str">
            <v>青岛海达源国内A股采购组织</v>
          </cell>
          <cell r="F483" t="str">
            <v>寄售</v>
          </cell>
          <cell r="G483" t="str">
            <v>2026-12-31</v>
          </cell>
          <cell r="H483" t="str">
            <v>15</v>
          </cell>
          <cell r="I483" t="str">
            <v>171.40</v>
          </cell>
        </row>
        <row r="484">
          <cell r="B484" t="str">
            <v>0151801031B</v>
          </cell>
          <cell r="C484" t="str">
            <v>室外控制板-FR-4</v>
          </cell>
          <cell r="D484" t="str">
            <v>91C1</v>
          </cell>
          <cell r="E484" t="str">
            <v>青岛海达源国内A股采购组织</v>
          </cell>
          <cell r="F484" t="str">
            <v>寄售</v>
          </cell>
          <cell r="G484" t="str">
            <v>2026-12-31</v>
          </cell>
          <cell r="H484" t="str">
            <v>30</v>
          </cell>
          <cell r="I484" t="str">
            <v>323.74</v>
          </cell>
        </row>
        <row r="485">
          <cell r="B485" t="str">
            <v>0151801003AC</v>
          </cell>
          <cell r="C485" t="str">
            <v>室外控制板</v>
          </cell>
          <cell r="D485" t="str">
            <v>91C1</v>
          </cell>
          <cell r="E485" t="str">
            <v>青岛海达源国内A股采购组织</v>
          </cell>
          <cell r="F485" t="str">
            <v>寄售</v>
          </cell>
          <cell r="G485" t="str">
            <v>2026-12-31</v>
          </cell>
          <cell r="H485" t="str">
            <v>30</v>
          </cell>
          <cell r="I485" t="str">
            <v>84.43</v>
          </cell>
        </row>
        <row r="486">
          <cell r="B486" t="str">
            <v>0041801979</v>
          </cell>
          <cell r="C486" t="str">
            <v>AD显示板-显示板\PCB显示板尺寸：215mm*45mm*1.6mm，支架：4</v>
          </cell>
          <cell r="D486" t="str">
            <v>91C1</v>
          </cell>
          <cell r="E486" t="str">
            <v>青岛海达源国内A股采购组织</v>
          </cell>
          <cell r="F486" t="str">
            <v>寄售</v>
          </cell>
          <cell r="G486" t="str">
            <v>2026-12-31</v>
          </cell>
          <cell r="H486" t="str">
            <v>14</v>
          </cell>
          <cell r="I486" t="str">
            <v>15.39</v>
          </cell>
        </row>
        <row r="487">
          <cell r="B487" t="str">
            <v>0151801031AA</v>
          </cell>
          <cell r="C487" t="str">
            <v>室外控制板</v>
          </cell>
          <cell r="D487" t="str">
            <v>91C1</v>
          </cell>
          <cell r="E487" t="str">
            <v>青岛海达源国内A股采购组织</v>
          </cell>
          <cell r="F487" t="str">
            <v>寄售</v>
          </cell>
          <cell r="G487" t="str">
            <v>2026-12-31</v>
          </cell>
          <cell r="H487" t="str">
            <v>30</v>
          </cell>
          <cell r="I487" t="str">
            <v>323.74</v>
          </cell>
        </row>
        <row r="488">
          <cell r="B488" t="str">
            <v>0011801424BP</v>
          </cell>
          <cell r="C488" t="str">
            <v>变频外电脑板-FR-4/</v>
          </cell>
          <cell r="D488" t="str">
            <v>91C1</v>
          </cell>
          <cell r="E488" t="str">
            <v>青岛海达源国内A股采购组织</v>
          </cell>
          <cell r="F488" t="str">
            <v>寄售</v>
          </cell>
          <cell r="G488" t="str">
            <v>2026-12-31</v>
          </cell>
          <cell r="H488" t="str">
            <v>15</v>
          </cell>
          <cell r="I488" t="str">
            <v>121.76</v>
          </cell>
        </row>
        <row r="489">
          <cell r="B489" t="str">
            <v>0151801003CA</v>
          </cell>
          <cell r="C489" t="str">
            <v>室外控制板</v>
          </cell>
          <cell r="D489" t="str">
            <v>91C1</v>
          </cell>
          <cell r="E489" t="str">
            <v>青岛海达源国内A股采购组织</v>
          </cell>
          <cell r="F489" t="str">
            <v>寄售</v>
          </cell>
          <cell r="G489" t="str">
            <v>2026-12-31</v>
          </cell>
          <cell r="H489" t="str">
            <v>30</v>
          </cell>
          <cell r="I489" t="str">
            <v>84.43</v>
          </cell>
        </row>
        <row r="490">
          <cell r="B490" t="str">
            <v>0021800616H</v>
          </cell>
          <cell r="C490" t="str">
            <v>显示板</v>
          </cell>
          <cell r="D490" t="str">
            <v>91C1</v>
          </cell>
          <cell r="E490" t="str">
            <v>青岛海达源国内A股采购组织</v>
          </cell>
          <cell r="F490" t="str">
            <v>寄售</v>
          </cell>
          <cell r="G490" t="str">
            <v>2026-12-31</v>
          </cell>
          <cell r="H490" t="str">
            <v>10</v>
          </cell>
          <cell r="I490" t="str">
            <v>57.15</v>
          </cell>
        </row>
        <row r="491">
          <cell r="B491" t="str">
            <v>0041801949AC</v>
          </cell>
          <cell r="C491" t="str">
            <v>AD显示板-LED显示板尺寸349mm*35mm*7mm苏黎金 HPGD-201</v>
          </cell>
          <cell r="D491" t="str">
            <v>91C1</v>
          </cell>
          <cell r="E491" t="str">
            <v>青岛海达源国内A股采购组织</v>
          </cell>
          <cell r="F491" t="str">
            <v>寄售</v>
          </cell>
          <cell r="G491" t="str">
            <v>2026-12-31</v>
          </cell>
          <cell r="H491" t="str">
            <v>14</v>
          </cell>
          <cell r="I491" t="str">
            <v>31.33</v>
          </cell>
        </row>
        <row r="492">
          <cell r="B492" t="str">
            <v>0021800839</v>
          </cell>
          <cell r="C492" t="str">
            <v>流程板</v>
          </cell>
          <cell r="D492" t="str">
            <v>91C1</v>
          </cell>
          <cell r="E492" t="str">
            <v>青岛海达源国内A股采购组织</v>
          </cell>
          <cell r="F492" t="str">
            <v>寄售</v>
          </cell>
          <cell r="G492" t="str">
            <v>2026-12-31</v>
          </cell>
          <cell r="H492" t="str">
            <v>10</v>
          </cell>
          <cell r="I492" t="str">
            <v>22.17</v>
          </cell>
        </row>
        <row r="493">
          <cell r="B493" t="str">
            <v>0011801172DN</v>
          </cell>
          <cell r="C493" t="str">
            <v>变频外电脑板-FR-4</v>
          </cell>
          <cell r="D493" t="str">
            <v>91C1</v>
          </cell>
          <cell r="E493" t="str">
            <v>青岛海达源国内A股采购组织</v>
          </cell>
          <cell r="F493" t="str">
            <v>寄售</v>
          </cell>
          <cell r="G493" t="str">
            <v>2026-12-31</v>
          </cell>
          <cell r="H493" t="str">
            <v>15</v>
          </cell>
          <cell r="I493" t="str">
            <v>177.94</v>
          </cell>
        </row>
        <row r="494">
          <cell r="B494" t="str">
            <v>0041801545AB</v>
          </cell>
          <cell r="C494" t="str">
            <v>电脑板-FR-4</v>
          </cell>
          <cell r="D494" t="str">
            <v>91C1</v>
          </cell>
          <cell r="E494" t="str">
            <v>青岛海达源国内A股采购组织</v>
          </cell>
          <cell r="F494" t="str">
            <v>寄售</v>
          </cell>
          <cell r="G494" t="str">
            <v>2026-12-31</v>
          </cell>
          <cell r="H494" t="str">
            <v>14</v>
          </cell>
          <cell r="I494" t="str">
            <v>216.00</v>
          </cell>
        </row>
        <row r="495">
          <cell r="B495" t="str">
            <v>0011801423BA</v>
          </cell>
          <cell r="C495" t="str">
            <v>变频外电脑板-FR-4</v>
          </cell>
          <cell r="D495" t="str">
            <v>91C1</v>
          </cell>
          <cell r="E495" t="str">
            <v>青岛海达源国内A股采购组织</v>
          </cell>
          <cell r="F495" t="str">
            <v>寄售</v>
          </cell>
          <cell r="G495" t="str">
            <v>2026-12-31</v>
          </cell>
          <cell r="H495" t="str">
            <v>15</v>
          </cell>
          <cell r="I495" t="str">
            <v>151.54</v>
          </cell>
        </row>
        <row r="496">
          <cell r="B496" t="str">
            <v>0041801949A</v>
          </cell>
          <cell r="C496" t="str">
            <v>AD显示板-LED显示板尺寸349mm*35mm*7mm曜石黑 HOBK-000</v>
          </cell>
          <cell r="D496" t="str">
            <v>91C1</v>
          </cell>
          <cell r="E496" t="str">
            <v>青岛海达源国内A股采购组织</v>
          </cell>
          <cell r="F496" t="str">
            <v>寄售</v>
          </cell>
          <cell r="G496" t="str">
            <v>2026-12-31</v>
          </cell>
          <cell r="H496" t="str">
            <v>14</v>
          </cell>
          <cell r="I496" t="str">
            <v>31.33</v>
          </cell>
        </row>
        <row r="497">
          <cell r="B497" t="str">
            <v>0011801675AP</v>
          </cell>
          <cell r="C497" t="str">
            <v>室内电脑板-CEM-1</v>
          </cell>
          <cell r="D497" t="str">
            <v>91C1</v>
          </cell>
          <cell r="E497" t="str">
            <v>青岛海达源国内A股采购组织</v>
          </cell>
          <cell r="F497" t="str">
            <v>寄售</v>
          </cell>
          <cell r="G497" t="str">
            <v>2026-12-31</v>
          </cell>
          <cell r="H497" t="str">
            <v>15</v>
          </cell>
          <cell r="I497" t="str">
            <v>38.82</v>
          </cell>
        </row>
        <row r="498">
          <cell r="B498" t="str">
            <v>0011801657A</v>
          </cell>
          <cell r="C498" t="str">
            <v>变频外电脑板</v>
          </cell>
          <cell r="D498" t="str">
            <v>91C1</v>
          </cell>
          <cell r="E498" t="str">
            <v>青岛海达源国内A股采购组织</v>
          </cell>
          <cell r="F498" t="str">
            <v>寄售</v>
          </cell>
          <cell r="G498" t="str">
            <v>2026-12-31</v>
          </cell>
          <cell r="H498" t="str">
            <v>15</v>
          </cell>
          <cell r="I498" t="str">
            <v>166.92</v>
          </cell>
        </row>
        <row r="499">
          <cell r="B499" t="str">
            <v>0011801859P</v>
          </cell>
          <cell r="C499" t="str">
            <v>室内电脑板-FR-4</v>
          </cell>
          <cell r="D499" t="str">
            <v>91C1</v>
          </cell>
          <cell r="E499" t="str">
            <v>青岛海达源国内A股采购组织</v>
          </cell>
          <cell r="F499" t="str">
            <v>寄售</v>
          </cell>
          <cell r="G499" t="str">
            <v>2026-12-31</v>
          </cell>
          <cell r="H499" t="str">
            <v>15</v>
          </cell>
          <cell r="I499" t="str">
            <v>93.64</v>
          </cell>
        </row>
        <row r="500">
          <cell r="B500" t="str">
            <v>0011801657</v>
          </cell>
          <cell r="C500" t="str">
            <v>变频外电脑板-/</v>
          </cell>
          <cell r="D500" t="str">
            <v>91C1</v>
          </cell>
          <cell r="E500" t="str">
            <v>青岛海达源国内A股采购组织</v>
          </cell>
          <cell r="F500" t="str">
            <v>寄售</v>
          </cell>
          <cell r="G500" t="str">
            <v>2026-12-31</v>
          </cell>
          <cell r="H500" t="str">
            <v>15</v>
          </cell>
          <cell r="I500" t="str">
            <v>166.71</v>
          </cell>
        </row>
        <row r="501">
          <cell r="B501" t="str">
            <v>0011801859J</v>
          </cell>
          <cell r="C501" t="str">
            <v>室内电脑板-FR-4</v>
          </cell>
          <cell r="D501" t="str">
            <v>91C1</v>
          </cell>
          <cell r="E501" t="str">
            <v>青岛海达源国内A股采购组织</v>
          </cell>
          <cell r="F501" t="str">
            <v>寄售</v>
          </cell>
          <cell r="G501" t="str">
            <v>2026-12-31</v>
          </cell>
          <cell r="H501" t="str">
            <v>15</v>
          </cell>
          <cell r="I501" t="str">
            <v>97.98</v>
          </cell>
        </row>
        <row r="502">
          <cell r="B502" t="str">
            <v>0011801675AB</v>
          </cell>
          <cell r="C502" t="str">
            <v>室内电脑板-CEM-1</v>
          </cell>
          <cell r="D502" t="str">
            <v>91C1</v>
          </cell>
          <cell r="E502" t="str">
            <v>青岛海达源国内A股采购组织</v>
          </cell>
          <cell r="F502" t="str">
            <v>寄售</v>
          </cell>
          <cell r="G502" t="str">
            <v>2026-12-31</v>
          </cell>
          <cell r="H502" t="str">
            <v>15</v>
          </cell>
          <cell r="I502" t="str">
            <v>41.44</v>
          </cell>
        </row>
        <row r="503">
          <cell r="B503" t="str">
            <v>0011801675AD</v>
          </cell>
          <cell r="C503" t="str">
            <v>室内电脑板-CEM-1130*162</v>
          </cell>
          <cell r="D503" t="str">
            <v>91C1</v>
          </cell>
          <cell r="E503" t="str">
            <v>青岛海达源国内A股采购组织</v>
          </cell>
          <cell r="F503" t="str">
            <v>寄售</v>
          </cell>
          <cell r="G503" t="str">
            <v>2026-12-31</v>
          </cell>
          <cell r="H503" t="str">
            <v>15</v>
          </cell>
          <cell r="I503" t="str">
            <v>40.82</v>
          </cell>
        </row>
        <row r="504">
          <cell r="B504" t="str">
            <v>0011801039AV</v>
          </cell>
          <cell r="C504" t="str">
            <v>变频外电脑板-FR-4</v>
          </cell>
          <cell r="D504" t="str">
            <v>91C1</v>
          </cell>
          <cell r="E504" t="str">
            <v>青岛海达源国内A股采购组织</v>
          </cell>
          <cell r="F504" t="str">
            <v>寄售</v>
          </cell>
          <cell r="G504" t="str">
            <v>2026-12-31</v>
          </cell>
          <cell r="H504" t="str">
            <v>15</v>
          </cell>
          <cell r="I504" t="str">
            <v>202.60</v>
          </cell>
        </row>
        <row r="505">
          <cell r="B505" t="str">
            <v>0011801490BT</v>
          </cell>
          <cell r="C505" t="str">
            <v>变频外电脑板-FR-4</v>
          </cell>
          <cell r="D505" t="str">
            <v>91C1</v>
          </cell>
          <cell r="E505" t="str">
            <v>青岛海达源国内A股采购组织</v>
          </cell>
          <cell r="F505" t="str">
            <v>寄售</v>
          </cell>
          <cell r="G505" t="str">
            <v>2026-12-31</v>
          </cell>
          <cell r="H505" t="str">
            <v>15</v>
          </cell>
          <cell r="I505" t="str">
            <v>104.46</v>
          </cell>
        </row>
        <row r="506">
          <cell r="B506" t="str">
            <v>0011800537F</v>
          </cell>
          <cell r="C506" t="str">
            <v>室内电脑板-CEM-1</v>
          </cell>
          <cell r="D506" t="str">
            <v>91C1</v>
          </cell>
          <cell r="E506" t="str">
            <v>青岛海达源国内A股采购组织</v>
          </cell>
          <cell r="F506" t="str">
            <v>寄售</v>
          </cell>
          <cell r="G506" t="str">
            <v>2026-12-31</v>
          </cell>
          <cell r="H506" t="str">
            <v>15</v>
          </cell>
          <cell r="I506" t="str">
            <v>19.22</v>
          </cell>
        </row>
        <row r="507">
          <cell r="B507" t="str">
            <v>0011800537K</v>
          </cell>
          <cell r="C507" t="str">
            <v>室内电脑板-CEM-1</v>
          </cell>
          <cell r="D507" t="str">
            <v>91C1</v>
          </cell>
          <cell r="E507" t="str">
            <v>青岛海达源国内A股采购组织</v>
          </cell>
          <cell r="F507" t="str">
            <v>寄售</v>
          </cell>
          <cell r="G507" t="str">
            <v>2026-12-31</v>
          </cell>
          <cell r="H507" t="str">
            <v>15</v>
          </cell>
          <cell r="I507" t="str">
            <v>19.22</v>
          </cell>
        </row>
        <row r="508">
          <cell r="B508" t="str">
            <v>0011802119</v>
          </cell>
          <cell r="C508" t="str">
            <v>物联通信模块</v>
          </cell>
          <cell r="D508" t="str">
            <v>91C1</v>
          </cell>
          <cell r="E508" t="str">
            <v>青岛海达源国内A股采购组织</v>
          </cell>
          <cell r="F508" t="str">
            <v>寄售</v>
          </cell>
          <cell r="G508" t="str">
            <v>2026-12-31</v>
          </cell>
          <cell r="H508" t="str">
            <v>15</v>
          </cell>
          <cell r="I508" t="str">
            <v>18.66</v>
          </cell>
        </row>
        <row r="509">
          <cell r="B509" t="str">
            <v>0021800866</v>
          </cell>
          <cell r="C509" t="str">
            <v>显示板-LEDDC12V</v>
          </cell>
          <cell r="D509" t="str">
            <v>91C1</v>
          </cell>
          <cell r="E509" t="str">
            <v>青岛海达源国内A股采购组织</v>
          </cell>
          <cell r="F509" t="str">
            <v>寄售</v>
          </cell>
          <cell r="G509" t="str">
            <v>2026-12-31</v>
          </cell>
          <cell r="H509" t="str">
            <v>10</v>
          </cell>
          <cell r="I509" t="str">
            <v>46.74</v>
          </cell>
        </row>
        <row r="510">
          <cell r="B510" t="str">
            <v>0011801973G</v>
          </cell>
          <cell r="C510" t="str">
            <v>室内电脑板-CEM-1</v>
          </cell>
          <cell r="D510" t="str">
            <v>91C1</v>
          </cell>
          <cell r="E510" t="str">
            <v>青岛海达源国内A股采购组织</v>
          </cell>
          <cell r="F510" t="str">
            <v>寄售</v>
          </cell>
          <cell r="G510" t="str">
            <v>2026-12-31</v>
          </cell>
          <cell r="H510" t="str">
            <v>15</v>
          </cell>
          <cell r="I510" t="str">
            <v>55.88</v>
          </cell>
        </row>
        <row r="511">
          <cell r="B511" t="str">
            <v>0011801973L</v>
          </cell>
          <cell r="C511" t="str">
            <v>室内电脑板-CEM-1</v>
          </cell>
          <cell r="D511" t="str">
            <v>91C1</v>
          </cell>
          <cell r="E511" t="str">
            <v>青岛海达源国内A股采购组织</v>
          </cell>
          <cell r="F511" t="str">
            <v>寄售</v>
          </cell>
          <cell r="G511" t="str">
            <v>2026-12-31</v>
          </cell>
          <cell r="H511" t="str">
            <v>15</v>
          </cell>
          <cell r="I511" t="str">
            <v>56.73</v>
          </cell>
        </row>
        <row r="512">
          <cell r="B512" t="str">
            <v>0011801907</v>
          </cell>
          <cell r="C512" t="str">
            <v>一体机电脑板-CEM-1</v>
          </cell>
          <cell r="D512" t="str">
            <v>9163</v>
          </cell>
          <cell r="E512" t="str">
            <v>大连保税人民币采购组织</v>
          </cell>
          <cell r="F512" t="str">
            <v>标准</v>
          </cell>
          <cell r="G512" t="str">
            <v>2026-12-31</v>
          </cell>
          <cell r="H512" t="str">
            <v>15</v>
          </cell>
          <cell r="I512" t="str">
            <v>29.97</v>
          </cell>
        </row>
        <row r="513">
          <cell r="B513" t="str">
            <v>0020818873</v>
          </cell>
          <cell r="C513" t="str">
            <v>售后检测工装</v>
          </cell>
          <cell r="D513" t="str">
            <v>91C1</v>
          </cell>
          <cell r="E513" t="str">
            <v>青岛海达源国内A股采购组织</v>
          </cell>
          <cell r="F513" t="str">
            <v>寄售</v>
          </cell>
          <cell r="G513" t="str">
            <v>2026-12-31</v>
          </cell>
          <cell r="H513" t="str">
            <v>10</v>
          </cell>
          <cell r="I513" t="str">
            <v>1800.00</v>
          </cell>
        </row>
        <row r="514">
          <cell r="B514" t="str">
            <v>0011801490JZ</v>
          </cell>
          <cell r="C514" t="str">
            <v>变频外电脑板-FR-4</v>
          </cell>
          <cell r="D514" t="str">
            <v>91C1</v>
          </cell>
          <cell r="E514" t="str">
            <v>青岛海达源国内A股采购组织</v>
          </cell>
          <cell r="F514" t="str">
            <v>寄售</v>
          </cell>
          <cell r="G514" t="str">
            <v>2026-12-31</v>
          </cell>
          <cell r="H514" t="str">
            <v>15</v>
          </cell>
          <cell r="I514" t="str">
            <v>98.14</v>
          </cell>
        </row>
        <row r="515">
          <cell r="B515" t="str">
            <v>0011801656A</v>
          </cell>
          <cell r="C515" t="str">
            <v>变频外电脑板</v>
          </cell>
          <cell r="D515" t="str">
            <v>91C1</v>
          </cell>
          <cell r="E515" t="str">
            <v>青岛海达源国内A股采购组织</v>
          </cell>
          <cell r="F515" t="str">
            <v>寄售</v>
          </cell>
          <cell r="G515" t="str">
            <v>2026-12-31</v>
          </cell>
          <cell r="H515" t="str">
            <v>15</v>
          </cell>
          <cell r="I515" t="str">
            <v>136.84</v>
          </cell>
        </row>
        <row r="516">
          <cell r="B516" t="str">
            <v>0011801859H</v>
          </cell>
          <cell r="C516" t="str">
            <v>室内电脑板-FR-4</v>
          </cell>
          <cell r="D516" t="str">
            <v>91C1</v>
          </cell>
          <cell r="E516" t="str">
            <v>青岛海达源国内A股采购组织</v>
          </cell>
          <cell r="F516" t="str">
            <v>寄售</v>
          </cell>
          <cell r="G516" t="str">
            <v>2026-12-31</v>
          </cell>
          <cell r="H516" t="str">
            <v>15</v>
          </cell>
          <cell r="I516" t="str">
            <v>91.44</v>
          </cell>
        </row>
        <row r="517">
          <cell r="B517" t="str">
            <v>0011801713</v>
          </cell>
          <cell r="C517" t="str">
            <v>显示板-LED</v>
          </cell>
          <cell r="D517" t="str">
            <v>91C1</v>
          </cell>
          <cell r="E517" t="str">
            <v>青岛海达源国内A股采购组织</v>
          </cell>
          <cell r="F517" t="str">
            <v>寄售</v>
          </cell>
          <cell r="G517" t="str">
            <v>2026-12-31</v>
          </cell>
          <cell r="H517" t="str">
            <v>15</v>
          </cell>
          <cell r="I517" t="str">
            <v>19.65</v>
          </cell>
        </row>
        <row r="518">
          <cell r="B518" t="str">
            <v>0011801843X</v>
          </cell>
          <cell r="C518" t="str">
            <v>变频外电脑板-FR-4</v>
          </cell>
          <cell r="D518" t="str">
            <v>91C1</v>
          </cell>
          <cell r="E518" t="str">
            <v>青岛海达源国内A股采购组织</v>
          </cell>
          <cell r="F518" t="str">
            <v>寄售</v>
          </cell>
          <cell r="G518" t="str">
            <v>2026-12-31</v>
          </cell>
          <cell r="H518" t="str">
            <v>15</v>
          </cell>
          <cell r="I518" t="str">
            <v>131.06</v>
          </cell>
        </row>
        <row r="519">
          <cell r="B519" t="str">
            <v>0011801659</v>
          </cell>
          <cell r="C519" t="str">
            <v>显示板-LED</v>
          </cell>
          <cell r="D519" t="str">
            <v>91C1</v>
          </cell>
          <cell r="E519" t="str">
            <v>青岛海达源国内A股采购组织</v>
          </cell>
          <cell r="F519" t="str">
            <v>寄售</v>
          </cell>
          <cell r="G519" t="str">
            <v>2026-12-31</v>
          </cell>
          <cell r="H519" t="str">
            <v>15</v>
          </cell>
          <cell r="I519" t="str">
            <v>7.37</v>
          </cell>
        </row>
        <row r="520">
          <cell r="B520" t="str">
            <v>0011801922</v>
          </cell>
          <cell r="C520" t="str">
            <v>室内电脑板-CEM-1</v>
          </cell>
          <cell r="D520" t="str">
            <v>91C1</v>
          </cell>
          <cell r="E520" t="str">
            <v>青岛海达源国内A股采购组织</v>
          </cell>
          <cell r="F520" t="str">
            <v>寄售</v>
          </cell>
          <cell r="G520" t="str">
            <v>2026-12-31</v>
          </cell>
          <cell r="H520" t="str">
            <v>15</v>
          </cell>
          <cell r="I520" t="str">
            <v>43.00</v>
          </cell>
        </row>
        <row r="521">
          <cell r="B521" t="str">
            <v>0011801490AW</v>
          </cell>
          <cell r="C521" t="str">
            <v>变频外电脑板-FR-4</v>
          </cell>
          <cell r="D521" t="str">
            <v>91C1</v>
          </cell>
          <cell r="E521" t="str">
            <v>青岛海达源国内A股采购组织</v>
          </cell>
          <cell r="F521" t="str">
            <v>寄售</v>
          </cell>
          <cell r="G521" t="str">
            <v>2026-12-31</v>
          </cell>
          <cell r="H521" t="str">
            <v>15</v>
          </cell>
          <cell r="I521" t="str">
            <v>99.96</v>
          </cell>
        </row>
        <row r="522">
          <cell r="B522" t="str">
            <v>0021800616G</v>
          </cell>
          <cell r="C522" t="str">
            <v>显示板-LED</v>
          </cell>
          <cell r="D522" t="str">
            <v>91C1</v>
          </cell>
          <cell r="E522" t="str">
            <v>青岛海达源国内A股采购组织</v>
          </cell>
          <cell r="F522" t="str">
            <v>寄售</v>
          </cell>
          <cell r="G522" t="str">
            <v>2026-12-31</v>
          </cell>
          <cell r="H522" t="str">
            <v>10</v>
          </cell>
          <cell r="I522" t="str">
            <v>57.72</v>
          </cell>
        </row>
        <row r="523">
          <cell r="B523" t="str">
            <v>0011801850A</v>
          </cell>
          <cell r="C523" t="str">
            <v>室内电脑板</v>
          </cell>
          <cell r="D523" t="str">
            <v>91C1</v>
          </cell>
          <cell r="E523" t="str">
            <v>青岛海达源国内A股采购组织</v>
          </cell>
          <cell r="F523" t="str">
            <v>寄售</v>
          </cell>
          <cell r="G523" t="str">
            <v>2026-12-31</v>
          </cell>
          <cell r="H523" t="str">
            <v>15</v>
          </cell>
          <cell r="I523" t="str">
            <v>48.23</v>
          </cell>
        </row>
        <row r="524">
          <cell r="B524" t="str">
            <v>0011801675J</v>
          </cell>
          <cell r="C524" t="str">
            <v>室内电脑板-FR-4165*136</v>
          </cell>
          <cell r="D524" t="str">
            <v>91C1</v>
          </cell>
          <cell r="E524" t="str">
            <v>青岛海达源国内A股采购组织</v>
          </cell>
          <cell r="F524" t="str">
            <v>寄售</v>
          </cell>
          <cell r="G524" t="str">
            <v>2026-12-31</v>
          </cell>
          <cell r="H524" t="str">
            <v>15</v>
          </cell>
          <cell r="I524" t="str">
            <v>40.30</v>
          </cell>
        </row>
        <row r="525">
          <cell r="B525" t="str">
            <v>0011801490BS</v>
          </cell>
          <cell r="C525" t="str">
            <v>变频外电脑板-FR-4</v>
          </cell>
          <cell r="D525" t="str">
            <v>91C1</v>
          </cell>
          <cell r="E525" t="str">
            <v>青岛海达源国内A股采购组织</v>
          </cell>
          <cell r="F525" t="str">
            <v>寄售</v>
          </cell>
          <cell r="G525" t="str">
            <v>2026-12-31</v>
          </cell>
          <cell r="H525" t="str">
            <v>15</v>
          </cell>
          <cell r="I525" t="str">
            <v>104.46</v>
          </cell>
        </row>
        <row r="526">
          <cell r="B526" t="str">
            <v>0011801859G</v>
          </cell>
          <cell r="C526" t="str">
            <v>室内电脑板-FR-4</v>
          </cell>
          <cell r="D526" t="str">
            <v>91C1</v>
          </cell>
          <cell r="E526" t="str">
            <v>青岛海达源国内A股采购组织</v>
          </cell>
          <cell r="F526" t="str">
            <v>寄售</v>
          </cell>
          <cell r="G526" t="str">
            <v>2026-12-31</v>
          </cell>
          <cell r="H526" t="str">
            <v>15</v>
          </cell>
          <cell r="I526" t="str">
            <v>95.78</v>
          </cell>
        </row>
        <row r="527">
          <cell r="B527" t="str">
            <v>0011801675AF</v>
          </cell>
          <cell r="C527" t="str">
            <v>室内电脑板-CEM-1136mm*155mm</v>
          </cell>
          <cell r="D527" t="str">
            <v>91C1</v>
          </cell>
          <cell r="E527" t="str">
            <v>青岛海达源国内A股采购组织</v>
          </cell>
          <cell r="F527" t="str">
            <v>寄售</v>
          </cell>
          <cell r="G527" t="str">
            <v>2026-12-31</v>
          </cell>
          <cell r="H527" t="str">
            <v>15</v>
          </cell>
          <cell r="I527" t="str">
            <v>39.94</v>
          </cell>
        </row>
        <row r="528">
          <cell r="B528" t="str">
            <v>0031800517</v>
          </cell>
          <cell r="C528" t="str">
            <v>显示板-LED</v>
          </cell>
          <cell r="D528" t="str">
            <v>91C1</v>
          </cell>
          <cell r="E528" t="str">
            <v>青岛海达源国内A股采购组织</v>
          </cell>
          <cell r="F528" t="str">
            <v>寄售</v>
          </cell>
          <cell r="G528" t="str">
            <v>2026-12-31</v>
          </cell>
          <cell r="H528" t="str">
            <v>10</v>
          </cell>
          <cell r="I528" t="str">
            <v>26.93</v>
          </cell>
        </row>
        <row r="529">
          <cell r="B529" t="str">
            <v>0011801675AE</v>
          </cell>
          <cell r="C529" t="str">
            <v>室内电脑板-CEM-1165*136</v>
          </cell>
          <cell r="D529" t="str">
            <v>91C1</v>
          </cell>
          <cell r="E529" t="str">
            <v>青岛海达源国内A股采购组织</v>
          </cell>
          <cell r="F529" t="str">
            <v>寄售</v>
          </cell>
          <cell r="G529" t="str">
            <v>2026-12-31</v>
          </cell>
          <cell r="H529" t="str">
            <v>15</v>
          </cell>
          <cell r="I529" t="str">
            <v>38.32</v>
          </cell>
        </row>
        <row r="530">
          <cell r="B530" t="str">
            <v>0041801952</v>
          </cell>
          <cell r="C530" t="str">
            <v>电脑板控制板-主控板\PCB3P变频主控板</v>
          </cell>
          <cell r="D530" t="str">
            <v>91C1</v>
          </cell>
          <cell r="E530" t="str">
            <v>青岛海达源国内A股采购组织</v>
          </cell>
          <cell r="F530" t="str">
            <v>寄售</v>
          </cell>
          <cell r="G530" t="str">
            <v>2026-12-31</v>
          </cell>
          <cell r="H530" t="str">
            <v>14</v>
          </cell>
          <cell r="I530" t="str">
            <v>271.26</v>
          </cell>
        </row>
        <row r="531">
          <cell r="B531" t="str">
            <v>0011801652A</v>
          </cell>
          <cell r="C531" t="str">
            <v>室内电脑板-/</v>
          </cell>
          <cell r="D531" t="str">
            <v>91C1</v>
          </cell>
          <cell r="E531" t="str">
            <v>青岛海达源国内A股采购组织</v>
          </cell>
          <cell r="F531" t="str">
            <v>寄售</v>
          </cell>
          <cell r="G531" t="str">
            <v>2026-12-31</v>
          </cell>
          <cell r="H531" t="str">
            <v>15</v>
          </cell>
          <cell r="I531" t="str">
            <v>47.78</v>
          </cell>
        </row>
        <row r="532">
          <cell r="B532" t="str">
            <v>0011801656</v>
          </cell>
          <cell r="C532" t="str">
            <v>变频外电脑板-/</v>
          </cell>
          <cell r="D532" t="str">
            <v>91C1</v>
          </cell>
          <cell r="E532" t="str">
            <v>青岛海达源国内A股采购组织</v>
          </cell>
          <cell r="F532" t="str">
            <v>寄售</v>
          </cell>
          <cell r="G532" t="str">
            <v>2026-12-31</v>
          </cell>
          <cell r="H532" t="str">
            <v>15</v>
          </cell>
          <cell r="I532" t="str">
            <v>136.84</v>
          </cell>
        </row>
        <row r="533">
          <cell r="B533" t="str">
            <v>0011801973M</v>
          </cell>
          <cell r="C533" t="str">
            <v>室内电脑板-CEM-1</v>
          </cell>
          <cell r="D533" t="str">
            <v>91C1</v>
          </cell>
          <cell r="E533" t="str">
            <v>青岛海达源国内A股采购组织</v>
          </cell>
          <cell r="F533" t="str">
            <v>寄售</v>
          </cell>
          <cell r="G533" t="str">
            <v>2026-12-31</v>
          </cell>
          <cell r="H533" t="str">
            <v>15</v>
          </cell>
          <cell r="I533" t="str">
            <v>56.93</v>
          </cell>
        </row>
        <row r="534">
          <cell r="B534" t="str">
            <v>0021800615D</v>
          </cell>
          <cell r="C534" t="str">
            <v>显示板-LCD</v>
          </cell>
          <cell r="D534" t="str">
            <v>91C1</v>
          </cell>
          <cell r="E534" t="str">
            <v>青岛海达源国内A股采购组织</v>
          </cell>
          <cell r="F534" t="str">
            <v>寄售</v>
          </cell>
          <cell r="G534" t="str">
            <v>2026-12-31</v>
          </cell>
          <cell r="H534" t="str">
            <v>10</v>
          </cell>
          <cell r="I534" t="str">
            <v>69.37</v>
          </cell>
        </row>
        <row r="535">
          <cell r="B535" t="str">
            <v>0151801031FB</v>
          </cell>
          <cell r="C535" t="str">
            <v>单相室外一体板-TFT</v>
          </cell>
          <cell r="D535" t="str">
            <v>91C1</v>
          </cell>
          <cell r="E535" t="str">
            <v>青岛海达源国内A股采购组织</v>
          </cell>
          <cell r="F535" t="str">
            <v>寄售</v>
          </cell>
          <cell r="G535" t="str">
            <v>2026-12-31</v>
          </cell>
          <cell r="H535" t="str">
            <v>30</v>
          </cell>
          <cell r="I535" t="str">
            <v>310.33</v>
          </cell>
        </row>
        <row r="536">
          <cell r="B536" t="str">
            <v>0021800616F</v>
          </cell>
          <cell r="C536" t="str">
            <v>显示板-FR-4</v>
          </cell>
          <cell r="D536" t="str">
            <v>91C1</v>
          </cell>
          <cell r="E536" t="str">
            <v>青岛海达源国内A股采购组织</v>
          </cell>
          <cell r="F536" t="str">
            <v>寄售</v>
          </cell>
          <cell r="G536" t="str">
            <v>2026-12-31</v>
          </cell>
          <cell r="H536" t="str">
            <v>10</v>
          </cell>
          <cell r="I536" t="str">
            <v>57.15</v>
          </cell>
        </row>
        <row r="537">
          <cell r="B537" t="str">
            <v>0151801031FA</v>
          </cell>
          <cell r="C537" t="str">
            <v>单相室外一体板-FR-4</v>
          </cell>
          <cell r="D537" t="str">
            <v>91C1</v>
          </cell>
          <cell r="E537" t="str">
            <v>青岛海达源国内A股采购组织</v>
          </cell>
          <cell r="F537" t="str">
            <v>寄售</v>
          </cell>
          <cell r="G537" t="str">
            <v>2026-12-31</v>
          </cell>
          <cell r="H537" t="str">
            <v>30</v>
          </cell>
          <cell r="I537" t="str">
            <v>312.77</v>
          </cell>
        </row>
        <row r="538">
          <cell r="B538" t="str">
            <v>0011801685</v>
          </cell>
          <cell r="C538" t="str">
            <v>显示板-LED</v>
          </cell>
          <cell r="D538" t="str">
            <v>91C1</v>
          </cell>
          <cell r="E538" t="str">
            <v>青岛海达源国内A股采购组织</v>
          </cell>
          <cell r="F538" t="str">
            <v>寄售</v>
          </cell>
          <cell r="G538" t="str">
            <v>2026-12-31</v>
          </cell>
          <cell r="H538" t="str">
            <v>15</v>
          </cell>
          <cell r="I538" t="str">
            <v>9.34</v>
          </cell>
        </row>
        <row r="539">
          <cell r="B539" t="str">
            <v>0011801713A</v>
          </cell>
          <cell r="C539" t="str">
            <v>显示板</v>
          </cell>
          <cell r="D539" t="str">
            <v>91C1</v>
          </cell>
          <cell r="E539" t="str">
            <v>青岛海达源国内A股采购组织</v>
          </cell>
          <cell r="F539" t="str">
            <v>寄售</v>
          </cell>
          <cell r="G539" t="str">
            <v>2026-12-31</v>
          </cell>
          <cell r="H539" t="str">
            <v>15</v>
          </cell>
          <cell r="I539" t="str">
            <v>19.54</v>
          </cell>
        </row>
        <row r="540">
          <cell r="B540" t="str">
            <v>0011801172DM</v>
          </cell>
          <cell r="C540" t="str">
            <v>变频外电脑板-FR-4</v>
          </cell>
          <cell r="D540" t="str">
            <v>91C1</v>
          </cell>
          <cell r="E540" t="str">
            <v>青岛海达源国内A股采购组织</v>
          </cell>
          <cell r="F540" t="str">
            <v>寄售</v>
          </cell>
          <cell r="G540" t="str">
            <v>2026-12-31</v>
          </cell>
          <cell r="H540" t="str">
            <v>15</v>
          </cell>
          <cell r="I540" t="str">
            <v>177.41</v>
          </cell>
        </row>
        <row r="541">
          <cell r="B541" t="str">
            <v>0021800616GA</v>
          </cell>
          <cell r="C541" t="str">
            <v>显示板-LED</v>
          </cell>
          <cell r="D541" t="str">
            <v>91C1</v>
          </cell>
          <cell r="E541" t="str">
            <v>青岛海达源国内A股采购组织</v>
          </cell>
          <cell r="F541" t="str">
            <v>寄售</v>
          </cell>
          <cell r="G541" t="str">
            <v>2026-12-31</v>
          </cell>
          <cell r="H541" t="str">
            <v>10</v>
          </cell>
          <cell r="I541" t="str">
            <v>57.72</v>
          </cell>
        </row>
        <row r="542">
          <cell r="B542" t="str">
            <v>0011801843Y</v>
          </cell>
          <cell r="C542" t="str">
            <v>变频外电脑板-FR-4</v>
          </cell>
          <cell r="D542" t="str">
            <v>91C1</v>
          </cell>
          <cell r="E542" t="str">
            <v>青岛海达源国内A股采购组织</v>
          </cell>
          <cell r="F542" t="str">
            <v>寄售</v>
          </cell>
          <cell r="G542" t="str">
            <v>2026-12-31</v>
          </cell>
          <cell r="H542" t="str">
            <v>15</v>
          </cell>
          <cell r="I542" t="str">
            <v>134.06</v>
          </cell>
        </row>
        <row r="543">
          <cell r="B543" t="str">
            <v>0011801172DK</v>
          </cell>
          <cell r="C543" t="str">
            <v>变频外电脑板-FR-4240*180</v>
          </cell>
          <cell r="D543" t="str">
            <v>91C1</v>
          </cell>
          <cell r="E543" t="str">
            <v>青岛海达源国内A股采购组织</v>
          </cell>
          <cell r="F543" t="str">
            <v>寄售</v>
          </cell>
          <cell r="G543" t="str">
            <v>2026-12-31</v>
          </cell>
          <cell r="H543" t="str">
            <v>15</v>
          </cell>
          <cell r="I543" t="str">
            <v>178.21</v>
          </cell>
        </row>
        <row r="544">
          <cell r="B544" t="str">
            <v>0011800722GCH</v>
          </cell>
          <cell r="C544" t="str">
            <v>室内电脑板-CEM-1</v>
          </cell>
          <cell r="D544" t="str">
            <v>91C1</v>
          </cell>
          <cell r="E544" t="str">
            <v>青岛海达源国内A股采购组织</v>
          </cell>
          <cell r="F544" t="str">
            <v>寄售</v>
          </cell>
          <cell r="G544" t="str">
            <v>2026-12-31</v>
          </cell>
          <cell r="H544" t="str">
            <v>15</v>
          </cell>
          <cell r="I544" t="str">
            <v>21.47</v>
          </cell>
        </row>
        <row r="545">
          <cell r="B545" t="str">
            <v>0021800839B</v>
          </cell>
          <cell r="C545" t="str">
            <v>流程板-FR-4</v>
          </cell>
          <cell r="D545" t="str">
            <v>91C1</v>
          </cell>
          <cell r="E545" t="str">
            <v>青岛海达源国内A股采购组织</v>
          </cell>
          <cell r="F545" t="str">
            <v>寄售</v>
          </cell>
          <cell r="G545" t="str">
            <v>2026-12-31</v>
          </cell>
          <cell r="H545" t="str">
            <v>10</v>
          </cell>
          <cell r="I545" t="str">
            <v>23.45</v>
          </cell>
        </row>
        <row r="546">
          <cell r="B546" t="str">
            <v>0011801977G</v>
          </cell>
          <cell r="C546" t="str">
            <v>室内电脑板-162mm*130mm</v>
          </cell>
          <cell r="D546" t="str">
            <v>91C1</v>
          </cell>
          <cell r="E546" t="str">
            <v>青岛海达源国内A股采购组织</v>
          </cell>
          <cell r="F546" t="str">
            <v>寄售</v>
          </cell>
          <cell r="G546" t="str">
            <v>2026-12-31</v>
          </cell>
          <cell r="H546" t="str">
            <v>15</v>
          </cell>
          <cell r="I546" t="str">
            <v>37.76</v>
          </cell>
        </row>
        <row r="547">
          <cell r="B547" t="str">
            <v>0011801890C</v>
          </cell>
          <cell r="C547" t="str">
            <v>室内电脑板-CEM-1</v>
          </cell>
          <cell r="D547" t="str">
            <v>91C1</v>
          </cell>
          <cell r="E547" t="str">
            <v>青岛海达源国内A股采购组织</v>
          </cell>
          <cell r="F547" t="str">
            <v>寄售</v>
          </cell>
          <cell r="G547" t="str">
            <v>2026-12-31</v>
          </cell>
          <cell r="H547" t="str">
            <v>15</v>
          </cell>
          <cell r="I547" t="str">
            <v>41.66</v>
          </cell>
        </row>
        <row r="548">
          <cell r="B548" t="str">
            <v>0021800472A</v>
          </cell>
          <cell r="C548" t="str">
            <v>显示板-FR-4</v>
          </cell>
          <cell r="D548" t="str">
            <v>91C1</v>
          </cell>
          <cell r="E548" t="str">
            <v>青岛海达源国内A股采购组织</v>
          </cell>
          <cell r="F548" t="str">
            <v>寄售</v>
          </cell>
          <cell r="G548" t="str">
            <v>2026-12-31</v>
          </cell>
          <cell r="H548" t="str">
            <v>10</v>
          </cell>
          <cell r="I548" t="str">
            <v>270.15</v>
          </cell>
        </row>
        <row r="549">
          <cell r="B549" t="str">
            <v>0121800104WG</v>
          </cell>
          <cell r="C549" t="str">
            <v>显示板</v>
          </cell>
          <cell r="D549" t="str">
            <v>91C1</v>
          </cell>
          <cell r="E549" t="str">
            <v>青岛海达源国内A股采购组织</v>
          </cell>
          <cell r="F549" t="str">
            <v>寄售</v>
          </cell>
          <cell r="G549" t="str">
            <v>2026-12-31</v>
          </cell>
          <cell r="H549" t="str">
            <v>7</v>
          </cell>
          <cell r="I549" t="str">
            <v>61.54</v>
          </cell>
        </row>
        <row r="550">
          <cell r="B550" t="str">
            <v>0011802040</v>
          </cell>
          <cell r="C550" t="str">
            <v>显示板</v>
          </cell>
          <cell r="D550" t="str">
            <v>91C1</v>
          </cell>
          <cell r="E550" t="str">
            <v>青岛海达源国内A股采购组织</v>
          </cell>
          <cell r="F550" t="str">
            <v>寄售</v>
          </cell>
          <cell r="G550" t="str">
            <v>2026-12-31</v>
          </cell>
          <cell r="H550" t="str">
            <v>15</v>
          </cell>
          <cell r="I550" t="str">
            <v>33.50</v>
          </cell>
        </row>
        <row r="551">
          <cell r="B551" t="str">
            <v>0011801048AM</v>
          </cell>
          <cell r="C551" t="str">
            <v>变频外电脑板-FR-4</v>
          </cell>
          <cell r="D551" t="str">
            <v>91C1</v>
          </cell>
          <cell r="E551" t="str">
            <v>青岛海达源国内A股采购组织</v>
          </cell>
          <cell r="F551" t="str">
            <v>寄售</v>
          </cell>
          <cell r="G551" t="str">
            <v>2026-12-31</v>
          </cell>
          <cell r="H551" t="str">
            <v>15</v>
          </cell>
          <cell r="I551" t="str">
            <v>138.34</v>
          </cell>
        </row>
        <row r="552">
          <cell r="B552" t="str">
            <v>0121800324</v>
          </cell>
          <cell r="C552" t="str">
            <v>显示板</v>
          </cell>
          <cell r="D552" t="str">
            <v>91C1</v>
          </cell>
          <cell r="E552" t="str">
            <v>青岛海达源国内A股采购组织</v>
          </cell>
          <cell r="F552" t="str">
            <v>寄售</v>
          </cell>
          <cell r="G552" t="str">
            <v>2026-12-31</v>
          </cell>
          <cell r="H552" t="str">
            <v>7</v>
          </cell>
          <cell r="I552" t="str">
            <v>37.24</v>
          </cell>
        </row>
        <row r="553">
          <cell r="B553" t="str">
            <v>0011801675AE</v>
          </cell>
          <cell r="C553" t="str">
            <v>室内电脑板-CEM-1165*136</v>
          </cell>
          <cell r="D553" t="str">
            <v>91M1</v>
          </cell>
          <cell r="E553" t="str">
            <v>直供国内A股采购组织</v>
          </cell>
          <cell r="F553" t="str">
            <v>寄售</v>
          </cell>
          <cell r="G553" t="str">
            <v>2026-12-31</v>
          </cell>
          <cell r="H553" t="str">
            <v>15</v>
          </cell>
          <cell r="I553" t="str">
            <v>38.32</v>
          </cell>
        </row>
        <row r="554">
          <cell r="B554" t="str">
            <v>0011801716A</v>
          </cell>
          <cell r="C554" t="str">
            <v>显示板-LED</v>
          </cell>
          <cell r="D554" t="str">
            <v>91M1</v>
          </cell>
          <cell r="E554" t="str">
            <v>直供国内A股采购组织</v>
          </cell>
          <cell r="F554" t="str">
            <v>寄售</v>
          </cell>
          <cell r="G554" t="str">
            <v>2026-12-31</v>
          </cell>
          <cell r="H554" t="str">
            <v>15</v>
          </cell>
          <cell r="I554" t="str">
            <v>8.16</v>
          </cell>
        </row>
        <row r="555">
          <cell r="B555" t="str">
            <v>0011801843E</v>
          </cell>
          <cell r="C555" t="str">
            <v>变频外电脑板-FR-4</v>
          </cell>
          <cell r="D555" t="str">
            <v>91M1</v>
          </cell>
          <cell r="E555" t="str">
            <v>直供国内A股采购组织</v>
          </cell>
          <cell r="F555" t="str">
            <v>寄售</v>
          </cell>
          <cell r="G555" t="str">
            <v>2026-12-31</v>
          </cell>
          <cell r="H555" t="str">
            <v>15</v>
          </cell>
          <cell r="I555" t="str">
            <v>141.59</v>
          </cell>
        </row>
        <row r="556">
          <cell r="B556" t="str">
            <v>0011801859F</v>
          </cell>
          <cell r="C556" t="str">
            <v>室内电脑板-FR-4</v>
          </cell>
          <cell r="D556" t="str">
            <v>91M1</v>
          </cell>
          <cell r="E556" t="str">
            <v>直供国内A股采购组织</v>
          </cell>
          <cell r="F556" t="str">
            <v>寄售</v>
          </cell>
          <cell r="G556" t="str">
            <v>2026-12-31</v>
          </cell>
          <cell r="H556" t="str">
            <v>15</v>
          </cell>
          <cell r="I556" t="str">
            <v>89.67</v>
          </cell>
        </row>
        <row r="557">
          <cell r="B557" t="str">
            <v>0021800442</v>
          </cell>
          <cell r="C557" t="str">
            <v>显示板-LED12VDC12VDC</v>
          </cell>
          <cell r="D557" t="str">
            <v>91M1</v>
          </cell>
          <cell r="E557" t="str">
            <v>直供国内A股采购组织</v>
          </cell>
          <cell r="F557" t="str">
            <v>寄售</v>
          </cell>
          <cell r="G557" t="str">
            <v>2026-12-31</v>
          </cell>
          <cell r="H557" t="str">
            <v>14</v>
          </cell>
          <cell r="I557" t="str">
            <v>27.00</v>
          </cell>
        </row>
        <row r="558">
          <cell r="B558" t="str">
            <v>0041800569</v>
          </cell>
          <cell r="C558" t="str">
            <v>AD电源板-CEM-3海尔通用-2继电器</v>
          </cell>
          <cell r="D558" t="str">
            <v>91M1</v>
          </cell>
          <cell r="E558" t="str">
            <v>直供国内A股采购组织</v>
          </cell>
          <cell r="F558" t="str">
            <v>寄售</v>
          </cell>
          <cell r="G558" t="str">
            <v>2026-12-31</v>
          </cell>
          <cell r="H558" t="str">
            <v>14</v>
          </cell>
          <cell r="I558" t="str">
            <v>17.00</v>
          </cell>
        </row>
        <row r="559">
          <cell r="B559" t="str">
            <v>0041800773YS</v>
          </cell>
          <cell r="C559" t="str">
            <v>AD显示板-LEDEC5001/6001-PM1-电热</v>
          </cell>
          <cell r="D559" t="str">
            <v>91M1</v>
          </cell>
          <cell r="E559" t="str">
            <v>直供国内A股采购组织</v>
          </cell>
          <cell r="F559" t="str">
            <v>寄售</v>
          </cell>
          <cell r="G559" t="str">
            <v>2026-12-31</v>
          </cell>
          <cell r="H559" t="str">
            <v>14</v>
          </cell>
          <cell r="I559" t="str">
            <v>12.49</v>
          </cell>
        </row>
        <row r="560">
          <cell r="B560" t="str">
            <v>0211800001</v>
          </cell>
          <cell r="C560" t="str">
            <v>电源板-/</v>
          </cell>
          <cell r="D560" t="str">
            <v>91M1</v>
          </cell>
          <cell r="E560" t="str">
            <v>直供国内A股采购组织</v>
          </cell>
          <cell r="F560" t="str">
            <v>寄售</v>
          </cell>
          <cell r="G560" t="str">
            <v>2026-12-31</v>
          </cell>
          <cell r="H560" t="str">
            <v>10</v>
          </cell>
          <cell r="I560" t="str">
            <v>66.76</v>
          </cell>
        </row>
        <row r="561">
          <cell r="B561" t="str">
            <v>0011800376AD</v>
          </cell>
          <cell r="C561" t="str">
            <v>室内电脑板-CEM-3208mm*105mm</v>
          </cell>
          <cell r="D561" t="str">
            <v>91M1</v>
          </cell>
          <cell r="E561" t="str">
            <v>直供国内A股采购组织</v>
          </cell>
          <cell r="F561" t="str">
            <v>寄售</v>
          </cell>
          <cell r="G561" t="str">
            <v>2026-12-31</v>
          </cell>
          <cell r="H561" t="str">
            <v>15</v>
          </cell>
          <cell r="I561" t="str">
            <v>42.39</v>
          </cell>
        </row>
        <row r="562">
          <cell r="B562" t="str">
            <v>0011801119P</v>
          </cell>
          <cell r="C562" t="str">
            <v>变频外电脑板-FR-4215mm*157mm</v>
          </cell>
          <cell r="D562" t="str">
            <v>91M1</v>
          </cell>
          <cell r="E562" t="str">
            <v>直供国内A股采购组织</v>
          </cell>
          <cell r="F562" t="str">
            <v>寄售</v>
          </cell>
          <cell r="G562" t="str">
            <v>2026-12-31</v>
          </cell>
          <cell r="H562" t="str">
            <v>15</v>
          </cell>
          <cell r="I562" t="str">
            <v>93.80</v>
          </cell>
        </row>
        <row r="563">
          <cell r="B563" t="str">
            <v>0011801172BD</v>
          </cell>
          <cell r="C563" t="str">
            <v>变频外电脑板-FR-4240*180</v>
          </cell>
          <cell r="D563" t="str">
            <v>91M1</v>
          </cell>
          <cell r="E563" t="str">
            <v>直供国内A股采购组织</v>
          </cell>
          <cell r="F563" t="str">
            <v>寄售</v>
          </cell>
          <cell r="G563" t="str">
            <v>2026-12-31</v>
          </cell>
          <cell r="H563" t="str">
            <v>15</v>
          </cell>
          <cell r="I563" t="str">
            <v>152.05</v>
          </cell>
        </row>
        <row r="564">
          <cell r="B564" t="str">
            <v>0011801330A</v>
          </cell>
          <cell r="C564" t="str">
            <v>室内电脑板-CEM-1</v>
          </cell>
          <cell r="D564" t="str">
            <v>91M1</v>
          </cell>
          <cell r="E564" t="str">
            <v>直供国内A股采购组织</v>
          </cell>
          <cell r="F564" t="str">
            <v>寄售</v>
          </cell>
          <cell r="G564" t="str">
            <v>2026-12-31</v>
          </cell>
          <cell r="H564" t="str">
            <v>15</v>
          </cell>
          <cell r="I564" t="str">
            <v>51.44</v>
          </cell>
        </row>
        <row r="565">
          <cell r="B565" t="str">
            <v>0011801372G</v>
          </cell>
          <cell r="C565" t="str">
            <v>变频外电脑板-FR-4205mm*157mm</v>
          </cell>
          <cell r="D565" t="str">
            <v>91M1</v>
          </cell>
          <cell r="E565" t="str">
            <v>直供国内A股采购组织</v>
          </cell>
          <cell r="F565" t="str">
            <v>寄售</v>
          </cell>
          <cell r="G565" t="str">
            <v>2026-12-31</v>
          </cell>
          <cell r="H565" t="str">
            <v>15</v>
          </cell>
          <cell r="I565" t="str">
            <v>93.51</v>
          </cell>
        </row>
        <row r="566">
          <cell r="B566" t="str">
            <v>0011801424A</v>
          </cell>
          <cell r="C566" t="str">
            <v>变频外电脑板-FR-4/</v>
          </cell>
          <cell r="D566" t="str">
            <v>91M1</v>
          </cell>
          <cell r="E566" t="str">
            <v>直供国内A股采购组织</v>
          </cell>
          <cell r="F566" t="str">
            <v>寄售</v>
          </cell>
          <cell r="G566" t="str">
            <v>2026-12-31</v>
          </cell>
          <cell r="H566" t="str">
            <v>15</v>
          </cell>
          <cell r="I566" t="str">
            <v>116.55</v>
          </cell>
        </row>
        <row r="567">
          <cell r="B567" t="str">
            <v>0011801424BD</v>
          </cell>
          <cell r="C567" t="str">
            <v>变频外电脑板-FR-4</v>
          </cell>
          <cell r="D567" t="str">
            <v>91M1</v>
          </cell>
          <cell r="E567" t="str">
            <v>直供国内A股采购组织</v>
          </cell>
          <cell r="F567" t="str">
            <v>寄售</v>
          </cell>
          <cell r="G567" t="str">
            <v>2026-12-31</v>
          </cell>
          <cell r="H567" t="str">
            <v>15</v>
          </cell>
          <cell r="I567" t="str">
            <v>124.18</v>
          </cell>
        </row>
        <row r="568">
          <cell r="B568" t="str">
            <v>0011801424V</v>
          </cell>
          <cell r="C568" t="str">
            <v>变频外电脑板-FR-4/</v>
          </cell>
          <cell r="D568" t="str">
            <v>91M1</v>
          </cell>
          <cell r="E568" t="str">
            <v>直供国内A股采购组织</v>
          </cell>
          <cell r="F568" t="str">
            <v>寄售</v>
          </cell>
          <cell r="G568" t="str">
            <v>2026-12-31</v>
          </cell>
          <cell r="H568" t="str">
            <v>15</v>
          </cell>
          <cell r="I568" t="str">
            <v>139.77</v>
          </cell>
        </row>
        <row r="569">
          <cell r="B569" t="str">
            <v>0011801482</v>
          </cell>
          <cell r="C569" t="str">
            <v>室内电脑板-CEM-1</v>
          </cell>
          <cell r="D569" t="str">
            <v>91M1</v>
          </cell>
          <cell r="E569" t="str">
            <v>直供国内A股采购组织</v>
          </cell>
          <cell r="F569" t="str">
            <v>寄售</v>
          </cell>
          <cell r="G569" t="str">
            <v>2026-12-31</v>
          </cell>
          <cell r="H569" t="str">
            <v>15</v>
          </cell>
          <cell r="I569" t="str">
            <v>38.30</v>
          </cell>
        </row>
        <row r="570">
          <cell r="B570" t="str">
            <v>0011801583P</v>
          </cell>
          <cell r="C570" t="str">
            <v>室内电脑板-CEM-1</v>
          </cell>
          <cell r="D570" t="str">
            <v>91M1</v>
          </cell>
          <cell r="E570" t="str">
            <v>直供国内A股采购组织</v>
          </cell>
          <cell r="F570" t="str">
            <v>寄售</v>
          </cell>
          <cell r="G570" t="str">
            <v>2026-12-31</v>
          </cell>
          <cell r="H570" t="str">
            <v>15</v>
          </cell>
          <cell r="I570" t="str">
            <v>31.47</v>
          </cell>
        </row>
        <row r="571">
          <cell r="B571" t="str">
            <v>0011801656</v>
          </cell>
          <cell r="C571" t="str">
            <v>变频外电脑板-/</v>
          </cell>
          <cell r="D571" t="str">
            <v>91M1</v>
          </cell>
          <cell r="E571" t="str">
            <v>直供国内A股采购组织</v>
          </cell>
          <cell r="F571" t="str">
            <v>寄售</v>
          </cell>
          <cell r="G571" t="str">
            <v>2026-12-31</v>
          </cell>
          <cell r="H571" t="str">
            <v>15</v>
          </cell>
          <cell r="I571" t="str">
            <v>136.84</v>
          </cell>
        </row>
        <row r="572">
          <cell r="B572" t="str">
            <v>0011801675H</v>
          </cell>
          <cell r="C572" t="str">
            <v>室内电脑板-FR-4162mm*130mm</v>
          </cell>
          <cell r="D572" t="str">
            <v>91M1</v>
          </cell>
          <cell r="E572" t="str">
            <v>直供国内A股采购组织</v>
          </cell>
          <cell r="F572" t="str">
            <v>寄售</v>
          </cell>
          <cell r="G572" t="str">
            <v>2026-12-31</v>
          </cell>
          <cell r="H572" t="str">
            <v>15</v>
          </cell>
          <cell r="I572" t="str">
            <v>43.53</v>
          </cell>
        </row>
        <row r="573">
          <cell r="B573" t="str">
            <v>0011801824</v>
          </cell>
          <cell r="C573" t="str">
            <v>室内电脑板-CEM-3</v>
          </cell>
          <cell r="D573" t="str">
            <v>91M1</v>
          </cell>
          <cell r="E573" t="str">
            <v>直供国内A股采购组织</v>
          </cell>
          <cell r="F573" t="str">
            <v>寄售</v>
          </cell>
          <cell r="G573" t="str">
            <v>2026-12-31</v>
          </cell>
          <cell r="H573" t="str">
            <v>15</v>
          </cell>
          <cell r="I573" t="str">
            <v>38.73</v>
          </cell>
        </row>
        <row r="574">
          <cell r="B574" t="str">
            <v>0011801977G</v>
          </cell>
          <cell r="C574" t="str">
            <v>室内电脑板-162mm*130mm</v>
          </cell>
          <cell r="D574" t="str">
            <v>91M1</v>
          </cell>
          <cell r="E574" t="str">
            <v>直供国内A股采购组织</v>
          </cell>
          <cell r="F574" t="str">
            <v>寄售</v>
          </cell>
          <cell r="G574" t="str">
            <v>2026-12-31</v>
          </cell>
          <cell r="H574" t="str">
            <v>15</v>
          </cell>
          <cell r="I574" t="str">
            <v>37.76</v>
          </cell>
        </row>
        <row r="575">
          <cell r="B575" t="str">
            <v>0021800472B</v>
          </cell>
          <cell r="C575" t="str">
            <v>显示板-FR-4</v>
          </cell>
          <cell r="D575" t="str">
            <v>91M1</v>
          </cell>
          <cell r="E575" t="str">
            <v>直供国内A股采购组织</v>
          </cell>
          <cell r="F575" t="str">
            <v>寄售</v>
          </cell>
          <cell r="G575" t="str">
            <v>2026-12-31</v>
          </cell>
          <cell r="H575" t="str">
            <v>10</v>
          </cell>
          <cell r="I575" t="str">
            <v>226.12</v>
          </cell>
        </row>
        <row r="576">
          <cell r="B576" t="str">
            <v>0021800616E</v>
          </cell>
          <cell r="C576" t="str">
            <v>显示板-FR-4</v>
          </cell>
          <cell r="D576" t="str">
            <v>91M1</v>
          </cell>
          <cell r="E576" t="str">
            <v>直供国内A股采购组织</v>
          </cell>
          <cell r="F576" t="str">
            <v>寄售</v>
          </cell>
          <cell r="G576" t="str">
            <v>2026-12-31</v>
          </cell>
          <cell r="H576" t="str">
            <v>10</v>
          </cell>
          <cell r="I576" t="str">
            <v>57.15</v>
          </cell>
        </row>
        <row r="577">
          <cell r="B577" t="str">
            <v>0021800866GA</v>
          </cell>
          <cell r="C577" t="str">
            <v>显示板-LED</v>
          </cell>
          <cell r="D577" t="str">
            <v>91M1</v>
          </cell>
          <cell r="E577" t="str">
            <v>直供国内A股采购组织</v>
          </cell>
          <cell r="F577" t="str">
            <v>寄售</v>
          </cell>
          <cell r="G577" t="str">
            <v>2026-12-31</v>
          </cell>
          <cell r="H577" t="str">
            <v>10</v>
          </cell>
          <cell r="I577" t="str">
            <v>44.64</v>
          </cell>
        </row>
        <row r="578">
          <cell r="B578" t="str">
            <v>0151800228BN</v>
          </cell>
          <cell r="C578" t="str">
            <v>电脑板-FR-4嵌入机转合肥直流外置驱动新磨具 1+N协议</v>
          </cell>
          <cell r="D578" t="str">
            <v>91M1</v>
          </cell>
          <cell r="E578" t="str">
            <v>直供国内A股采购组织</v>
          </cell>
          <cell r="F578" t="str">
            <v>寄售</v>
          </cell>
          <cell r="G578" t="str">
            <v>2026-12-31</v>
          </cell>
          <cell r="H578" t="str">
            <v>30</v>
          </cell>
          <cell r="I578" t="str">
            <v>111.12</v>
          </cell>
        </row>
        <row r="579">
          <cell r="B579" t="str">
            <v>0151801031C</v>
          </cell>
          <cell r="C579" t="str">
            <v>单相室外一体板-FR-4</v>
          </cell>
          <cell r="D579" t="str">
            <v>91M1</v>
          </cell>
          <cell r="E579" t="str">
            <v>直供国内A股采购组织</v>
          </cell>
          <cell r="F579" t="str">
            <v>寄售</v>
          </cell>
          <cell r="G579" t="str">
            <v>2026-12-31</v>
          </cell>
          <cell r="H579" t="str">
            <v>30</v>
          </cell>
          <cell r="I579" t="str">
            <v>344.04</v>
          </cell>
        </row>
        <row r="580">
          <cell r="B580" t="str">
            <v>0011800537</v>
          </cell>
          <cell r="C580" t="str">
            <v>室内电脑板-CEM-1</v>
          </cell>
          <cell r="D580" t="str">
            <v>91M1</v>
          </cell>
          <cell r="E580" t="str">
            <v>直供国内A股采购组织</v>
          </cell>
          <cell r="F580" t="str">
            <v>寄售</v>
          </cell>
          <cell r="G580" t="str">
            <v>2026-12-31</v>
          </cell>
          <cell r="H580" t="str">
            <v>15</v>
          </cell>
          <cell r="I580" t="str">
            <v>20.70</v>
          </cell>
        </row>
        <row r="581">
          <cell r="B581" t="str">
            <v>0011801123K</v>
          </cell>
          <cell r="C581" t="str">
            <v>室内电脑板-FR-4136*165</v>
          </cell>
          <cell r="D581" t="str">
            <v>91M1</v>
          </cell>
          <cell r="E581" t="str">
            <v>直供国内A股采购组织</v>
          </cell>
          <cell r="F581" t="str">
            <v>寄售</v>
          </cell>
          <cell r="G581" t="str">
            <v>2026-12-31</v>
          </cell>
          <cell r="H581" t="str">
            <v>15</v>
          </cell>
          <cell r="I581" t="str">
            <v>47.23</v>
          </cell>
        </row>
        <row r="582">
          <cell r="B582" t="str">
            <v>0011801172CJ</v>
          </cell>
          <cell r="C582" t="str">
            <v>变频外电脑板-FR-4240*180</v>
          </cell>
          <cell r="D582" t="str">
            <v>91M1</v>
          </cell>
          <cell r="E582" t="str">
            <v>直供国内A股采购组织</v>
          </cell>
          <cell r="F582" t="str">
            <v>寄售</v>
          </cell>
          <cell r="G582" t="str">
            <v>2026-12-31</v>
          </cell>
          <cell r="H582" t="str">
            <v>30</v>
          </cell>
          <cell r="I582" t="str">
            <v>187.50</v>
          </cell>
        </row>
        <row r="583">
          <cell r="B583" t="str">
            <v>0011801330H</v>
          </cell>
          <cell r="C583" t="str">
            <v>室内电脑板-CEM-1</v>
          </cell>
          <cell r="D583" t="str">
            <v>91M1</v>
          </cell>
          <cell r="E583" t="str">
            <v>直供国内A股采购组织</v>
          </cell>
          <cell r="F583" t="str">
            <v>寄售</v>
          </cell>
          <cell r="G583" t="str">
            <v>2026-12-31</v>
          </cell>
          <cell r="H583" t="str">
            <v>15</v>
          </cell>
          <cell r="I583" t="str">
            <v>36.12</v>
          </cell>
        </row>
        <row r="584">
          <cell r="B584" t="str">
            <v>0011801423AQ</v>
          </cell>
          <cell r="C584" t="str">
            <v>变频外电脑板-FR-4</v>
          </cell>
          <cell r="D584" t="str">
            <v>91M1</v>
          </cell>
          <cell r="E584" t="str">
            <v>直供国内A股采购组织</v>
          </cell>
          <cell r="F584" t="str">
            <v>寄售</v>
          </cell>
          <cell r="G584" t="str">
            <v>2026-12-31</v>
          </cell>
          <cell r="H584" t="str">
            <v>15</v>
          </cell>
          <cell r="I584" t="str">
            <v>141.18</v>
          </cell>
        </row>
        <row r="585">
          <cell r="B585" t="str">
            <v>0011801424AT</v>
          </cell>
          <cell r="C585" t="str">
            <v>变频外电脑板-FR-4/</v>
          </cell>
          <cell r="D585" t="str">
            <v>91M1</v>
          </cell>
          <cell r="E585" t="str">
            <v>直供国内A股采购组织</v>
          </cell>
          <cell r="F585" t="str">
            <v>寄售</v>
          </cell>
          <cell r="G585" t="str">
            <v>2026-12-31</v>
          </cell>
          <cell r="H585" t="str">
            <v>15</v>
          </cell>
          <cell r="I585" t="str">
            <v>113.71</v>
          </cell>
        </row>
        <row r="586">
          <cell r="B586" t="str">
            <v>0011801424F</v>
          </cell>
          <cell r="C586" t="str">
            <v>变频外电脑板-FR-4/</v>
          </cell>
          <cell r="D586" t="str">
            <v>91M1</v>
          </cell>
          <cell r="E586" t="str">
            <v>直供国内A股采购组织</v>
          </cell>
          <cell r="F586" t="str">
            <v>寄售</v>
          </cell>
          <cell r="G586" t="str">
            <v>2026-12-31</v>
          </cell>
          <cell r="H586" t="str">
            <v>15</v>
          </cell>
          <cell r="I586" t="str">
            <v>145.49</v>
          </cell>
        </row>
        <row r="587">
          <cell r="B587" t="str">
            <v>0011801425D</v>
          </cell>
          <cell r="C587" t="str">
            <v>变频外电脑板-FR-4</v>
          </cell>
          <cell r="D587" t="str">
            <v>91M1</v>
          </cell>
          <cell r="E587" t="str">
            <v>直供国内A股采购组织</v>
          </cell>
          <cell r="F587" t="str">
            <v>寄售</v>
          </cell>
          <cell r="G587" t="str">
            <v>2026-12-31</v>
          </cell>
          <cell r="H587" t="str">
            <v>15</v>
          </cell>
          <cell r="I587" t="str">
            <v>107.73</v>
          </cell>
        </row>
        <row r="588">
          <cell r="B588" t="str">
            <v>0011802046Q</v>
          </cell>
          <cell r="C588" t="str">
            <v>室内电脑板-其他\/-</v>
          </cell>
          <cell r="D588" t="str">
            <v>91M1</v>
          </cell>
          <cell r="E588" t="str">
            <v>直供国内A股采购组织</v>
          </cell>
          <cell r="F588" t="str">
            <v>寄售</v>
          </cell>
          <cell r="G588" t="str">
            <v>2026-12-31</v>
          </cell>
          <cell r="H588" t="str">
            <v>15</v>
          </cell>
          <cell r="I588" t="str">
            <v>42.40</v>
          </cell>
        </row>
        <row r="589">
          <cell r="B589" t="str">
            <v>0041800773E</v>
          </cell>
          <cell r="C589" t="str">
            <v>AD显示板-LEDPCB尺寸45mm*215mm*14mm,支架尺寸35mm*4</v>
          </cell>
          <cell r="D589" t="str">
            <v>91M1</v>
          </cell>
          <cell r="E589" t="str">
            <v>直供国内A股采购组织</v>
          </cell>
          <cell r="F589" t="str">
            <v>寄售</v>
          </cell>
          <cell r="G589" t="str">
            <v>2026-12-31</v>
          </cell>
          <cell r="H589" t="str">
            <v>14</v>
          </cell>
          <cell r="I589" t="str">
            <v>12.74</v>
          </cell>
        </row>
        <row r="590">
          <cell r="B590" t="str">
            <v>0151800648J</v>
          </cell>
          <cell r="C590" t="str">
            <v>室内电脑板-FR-4</v>
          </cell>
          <cell r="D590" t="str">
            <v>91M1</v>
          </cell>
          <cell r="E590" t="str">
            <v>直供国内A股采购组织</v>
          </cell>
          <cell r="F590" t="str">
            <v>寄售</v>
          </cell>
          <cell r="G590" t="str">
            <v>2026-12-31</v>
          </cell>
          <cell r="H590" t="str">
            <v>15</v>
          </cell>
          <cell r="I590" t="str">
            <v>90.99</v>
          </cell>
        </row>
        <row r="591">
          <cell r="B591" t="str">
            <v>0151801031G</v>
          </cell>
          <cell r="C591" t="str">
            <v>单相室外一体板</v>
          </cell>
          <cell r="D591" t="str">
            <v>91M1</v>
          </cell>
          <cell r="E591" t="str">
            <v>直供国内A股采购组织</v>
          </cell>
          <cell r="F591" t="str">
            <v>寄售</v>
          </cell>
          <cell r="G591" t="str">
            <v>2026-12-31</v>
          </cell>
          <cell r="H591" t="str">
            <v>30</v>
          </cell>
          <cell r="I591" t="str">
            <v>351.98</v>
          </cell>
        </row>
        <row r="592">
          <cell r="B592" t="str">
            <v>0190400534AA</v>
          </cell>
          <cell r="C592" t="str">
            <v>主控板</v>
          </cell>
          <cell r="D592" t="str">
            <v>91M1</v>
          </cell>
          <cell r="E592" t="str">
            <v>直供国内A股采购组织</v>
          </cell>
          <cell r="F592" t="str">
            <v>寄售</v>
          </cell>
          <cell r="G592" t="str">
            <v>2026-12-31</v>
          </cell>
          <cell r="H592" t="str">
            <v>7</v>
          </cell>
          <cell r="I592" t="str">
            <v>37.39</v>
          </cell>
        </row>
        <row r="593">
          <cell r="B593" t="str">
            <v>0021800616H</v>
          </cell>
          <cell r="C593" t="str">
            <v>显示板</v>
          </cell>
          <cell r="D593" t="str">
            <v>91M1</v>
          </cell>
          <cell r="E593" t="str">
            <v>直供国内A股采购组织</v>
          </cell>
          <cell r="F593" t="str">
            <v>寄售</v>
          </cell>
          <cell r="G593" t="str">
            <v>2026-12-31</v>
          </cell>
          <cell r="H593" t="str">
            <v>10</v>
          </cell>
          <cell r="I593" t="str">
            <v>57.15</v>
          </cell>
        </row>
        <row r="594">
          <cell r="B594" t="str">
            <v>0151801031B</v>
          </cell>
          <cell r="C594" t="str">
            <v>室外控制板-FR-4</v>
          </cell>
          <cell r="D594" t="str">
            <v>91M1</v>
          </cell>
          <cell r="E594" t="str">
            <v>直供国内A股采购组织</v>
          </cell>
          <cell r="F594" t="str">
            <v>寄售</v>
          </cell>
          <cell r="G594" t="str">
            <v>2026-12-31</v>
          </cell>
          <cell r="H594" t="str">
            <v>30</v>
          </cell>
          <cell r="I594" t="str">
            <v>323.74</v>
          </cell>
        </row>
        <row r="595">
          <cell r="B595" t="str">
            <v>0011800387D</v>
          </cell>
          <cell r="C595" t="str">
            <v>显示面板-FR-4</v>
          </cell>
          <cell r="D595" t="str">
            <v>91M1</v>
          </cell>
          <cell r="E595" t="str">
            <v>直供国内A股采购组织</v>
          </cell>
          <cell r="F595" t="str">
            <v>标准</v>
          </cell>
          <cell r="G595" t="str">
            <v>2026-12-31</v>
          </cell>
          <cell r="H595" t="str">
            <v>15</v>
          </cell>
          <cell r="I595" t="str">
            <v>4.50</v>
          </cell>
        </row>
        <row r="596">
          <cell r="B596" t="str">
            <v>0011801048AE</v>
          </cell>
          <cell r="C596" t="str">
            <v>变频外电脑板-FR-4/</v>
          </cell>
          <cell r="D596" t="str">
            <v>91M1</v>
          </cell>
          <cell r="E596" t="str">
            <v>直供国内A股采购组织</v>
          </cell>
          <cell r="F596" t="str">
            <v>寄售</v>
          </cell>
          <cell r="G596" t="str">
            <v>2026-12-31</v>
          </cell>
          <cell r="H596" t="str">
            <v>15</v>
          </cell>
          <cell r="I596" t="str">
            <v>131.77</v>
          </cell>
        </row>
        <row r="597">
          <cell r="B597" t="str">
            <v>0021800616M</v>
          </cell>
          <cell r="C597" t="str">
            <v>显示板</v>
          </cell>
          <cell r="D597" t="str">
            <v>91M1</v>
          </cell>
          <cell r="E597" t="str">
            <v>直供国内A股采购组织</v>
          </cell>
          <cell r="F597" t="str">
            <v>寄售</v>
          </cell>
          <cell r="G597" t="str">
            <v>2026-12-31</v>
          </cell>
          <cell r="H597" t="str">
            <v>14</v>
          </cell>
          <cell r="I597" t="str">
            <v>57.15</v>
          </cell>
        </row>
        <row r="598">
          <cell r="B598" t="str">
            <v>0151800228CA</v>
          </cell>
          <cell r="C598" t="str">
            <v>电脑板-FR-4嵌入机转合肥直流外置驱动断电关阀及2芯无极性</v>
          </cell>
          <cell r="D598" t="str">
            <v>91M1</v>
          </cell>
          <cell r="E598" t="str">
            <v>直供国内A股采购组织</v>
          </cell>
          <cell r="F598" t="str">
            <v>寄售</v>
          </cell>
          <cell r="G598" t="str">
            <v>2026-12-31</v>
          </cell>
          <cell r="H598" t="str">
            <v>45</v>
          </cell>
          <cell r="I598" t="str">
            <v>103.00</v>
          </cell>
        </row>
        <row r="599">
          <cell r="B599" t="str">
            <v>0151801031D</v>
          </cell>
          <cell r="C599" t="str">
            <v>单相室外一体板-FR-4</v>
          </cell>
          <cell r="D599" t="str">
            <v>91M1</v>
          </cell>
          <cell r="E599" t="str">
            <v>直供国内A股采购组织</v>
          </cell>
          <cell r="F599" t="str">
            <v>寄售</v>
          </cell>
          <cell r="G599" t="str">
            <v>2026-12-31</v>
          </cell>
          <cell r="H599" t="str">
            <v>30</v>
          </cell>
          <cell r="I599" t="str">
            <v>362.18</v>
          </cell>
        </row>
        <row r="600">
          <cell r="B600" t="str">
            <v>0190400534D</v>
          </cell>
          <cell r="C600" t="str">
            <v>主控板-通用</v>
          </cell>
          <cell r="D600" t="str">
            <v>91M1</v>
          </cell>
          <cell r="E600" t="str">
            <v>直供国内A股采购组织</v>
          </cell>
          <cell r="F600" t="str">
            <v>寄售</v>
          </cell>
          <cell r="G600" t="str">
            <v>2026-12-31</v>
          </cell>
          <cell r="H600" t="str">
            <v>3</v>
          </cell>
          <cell r="I600" t="str">
            <v>37.39</v>
          </cell>
        </row>
        <row r="601">
          <cell r="B601" t="str">
            <v>0011800377X</v>
          </cell>
          <cell r="C601" t="str">
            <v>功率驱动板-FR-4SNB130FYQMC压缩机30ARX62T模块驱动板30A</v>
          </cell>
          <cell r="D601" t="str">
            <v>91M1</v>
          </cell>
          <cell r="E601" t="str">
            <v>直供国内A股采购组织</v>
          </cell>
          <cell r="F601" t="str">
            <v>寄售</v>
          </cell>
          <cell r="G601" t="str">
            <v>2026-12-31</v>
          </cell>
          <cell r="H601" t="str">
            <v>15</v>
          </cell>
          <cell r="I601" t="str">
            <v>107.38</v>
          </cell>
        </row>
        <row r="602">
          <cell r="B602" t="str">
            <v>0011800537B</v>
          </cell>
          <cell r="C602" t="str">
            <v>室内电脑板-CEM-1</v>
          </cell>
          <cell r="D602" t="str">
            <v>91M1</v>
          </cell>
          <cell r="E602" t="str">
            <v>直供国内A股采购组织</v>
          </cell>
          <cell r="F602" t="str">
            <v>寄售</v>
          </cell>
          <cell r="G602" t="str">
            <v>2026-12-31</v>
          </cell>
          <cell r="H602" t="str">
            <v>15</v>
          </cell>
          <cell r="I602" t="str">
            <v>23.62</v>
          </cell>
        </row>
        <row r="603">
          <cell r="B603" t="str">
            <v>0011800612Q</v>
          </cell>
          <cell r="C603" t="str">
            <v>室内电脑板-CEM-1</v>
          </cell>
          <cell r="D603" t="str">
            <v>91M1</v>
          </cell>
          <cell r="E603" t="str">
            <v>直供国内A股采购组织</v>
          </cell>
          <cell r="F603" t="str">
            <v>寄售</v>
          </cell>
          <cell r="G603" t="str">
            <v>2026-12-31</v>
          </cell>
          <cell r="H603" t="str">
            <v>15</v>
          </cell>
          <cell r="I603" t="str">
            <v>29.09</v>
          </cell>
        </row>
        <row r="604">
          <cell r="B604" t="str">
            <v>0011800630P</v>
          </cell>
          <cell r="C604" t="str">
            <v>室内电脑板-CEM-1室内电脑板(压敏、保险和继电器防爆)印尼290项目室内电脑</v>
          </cell>
          <cell r="D604" t="str">
            <v>91M1</v>
          </cell>
          <cell r="E604" t="str">
            <v>直供国内A股采购组织</v>
          </cell>
          <cell r="F604" t="str">
            <v>寄售</v>
          </cell>
          <cell r="G604" t="str">
            <v>2026-12-31</v>
          </cell>
          <cell r="H604" t="str">
            <v>15</v>
          </cell>
          <cell r="I604" t="str">
            <v>25.90</v>
          </cell>
        </row>
        <row r="605">
          <cell r="B605" t="str">
            <v>0011800977T</v>
          </cell>
          <cell r="C605" t="str">
            <v>室内电脑板-CEM-1/</v>
          </cell>
          <cell r="D605" t="str">
            <v>91M1</v>
          </cell>
          <cell r="E605" t="str">
            <v>直供国内A股采购组织</v>
          </cell>
          <cell r="F605" t="str">
            <v>寄售</v>
          </cell>
          <cell r="G605" t="str">
            <v>2026-12-31</v>
          </cell>
          <cell r="H605" t="str">
            <v>15</v>
          </cell>
          <cell r="I605" t="str">
            <v>28.41</v>
          </cell>
        </row>
        <row r="606">
          <cell r="B606" t="str">
            <v>0011801039AU</v>
          </cell>
          <cell r="C606" t="str">
            <v>变频外电脑板-FR-4</v>
          </cell>
          <cell r="D606" t="str">
            <v>91M1</v>
          </cell>
          <cell r="E606" t="str">
            <v>直供国内A股采购组织</v>
          </cell>
          <cell r="F606" t="str">
            <v>寄售</v>
          </cell>
          <cell r="G606" t="str">
            <v>2026-12-31</v>
          </cell>
          <cell r="H606" t="str">
            <v>15</v>
          </cell>
          <cell r="I606" t="str">
            <v>179.19</v>
          </cell>
        </row>
        <row r="607">
          <cell r="B607" t="str">
            <v>0011801424H</v>
          </cell>
          <cell r="C607" t="str">
            <v>变频外电脑板-FR-4/</v>
          </cell>
          <cell r="D607" t="str">
            <v>91M1</v>
          </cell>
          <cell r="E607" t="str">
            <v>直供国内A股采购组织</v>
          </cell>
          <cell r="F607" t="str">
            <v>寄售</v>
          </cell>
          <cell r="G607" t="str">
            <v>2026-12-31</v>
          </cell>
          <cell r="H607" t="str">
            <v>15</v>
          </cell>
          <cell r="I607" t="str">
            <v>115.49</v>
          </cell>
        </row>
        <row r="608">
          <cell r="B608" t="str">
            <v>0011801425F</v>
          </cell>
          <cell r="C608" t="str">
            <v>变频外电脑板-FR-4</v>
          </cell>
          <cell r="D608" t="str">
            <v>91M1</v>
          </cell>
          <cell r="E608" t="str">
            <v>直供国内A股采购组织</v>
          </cell>
          <cell r="F608" t="str">
            <v>寄售</v>
          </cell>
          <cell r="G608" t="str">
            <v>2026-12-31</v>
          </cell>
          <cell r="H608" t="str">
            <v>15</v>
          </cell>
          <cell r="I608" t="str">
            <v>107.24</v>
          </cell>
        </row>
        <row r="609">
          <cell r="B609" t="str">
            <v>0011801490BP</v>
          </cell>
          <cell r="C609" t="str">
            <v>变频外电脑板-FR-4</v>
          </cell>
          <cell r="D609" t="str">
            <v>91M1</v>
          </cell>
          <cell r="E609" t="str">
            <v>直供国内A股采购组织</v>
          </cell>
          <cell r="F609" t="str">
            <v>寄售</v>
          </cell>
          <cell r="G609" t="str">
            <v>2026-12-31</v>
          </cell>
          <cell r="H609" t="str">
            <v>15</v>
          </cell>
          <cell r="I609" t="str">
            <v>98.93</v>
          </cell>
        </row>
        <row r="610">
          <cell r="B610" t="str">
            <v>0011801903D</v>
          </cell>
          <cell r="C610" t="str">
            <v>室内电脑板-FR-4</v>
          </cell>
          <cell r="D610" t="str">
            <v>91M1</v>
          </cell>
          <cell r="E610" t="str">
            <v>直供国内A股采购组织</v>
          </cell>
          <cell r="F610" t="str">
            <v>寄售</v>
          </cell>
          <cell r="G610" t="str">
            <v>2026-12-31</v>
          </cell>
          <cell r="H610" t="str">
            <v>15</v>
          </cell>
          <cell r="I610" t="str">
            <v>74.95</v>
          </cell>
        </row>
        <row r="611">
          <cell r="B611" t="str">
            <v>0021800615G</v>
          </cell>
          <cell r="C611" t="str">
            <v>显示板-TFT</v>
          </cell>
          <cell r="D611" t="str">
            <v>91M1</v>
          </cell>
          <cell r="E611" t="str">
            <v>直供国内A股采购组织</v>
          </cell>
          <cell r="F611" t="str">
            <v>寄售</v>
          </cell>
          <cell r="G611" t="str">
            <v>2026-12-31</v>
          </cell>
          <cell r="H611" t="str">
            <v>10</v>
          </cell>
          <cell r="I611" t="str">
            <v>67.19</v>
          </cell>
        </row>
        <row r="612">
          <cell r="B612" t="str">
            <v>0031800374</v>
          </cell>
          <cell r="C612" t="str">
            <v>显示板-通用/</v>
          </cell>
          <cell r="D612" t="str">
            <v>91M1</v>
          </cell>
          <cell r="E612" t="str">
            <v>直供国内A股采购组织</v>
          </cell>
          <cell r="F612" t="str">
            <v>寄售</v>
          </cell>
          <cell r="G612" t="str">
            <v>2026-12-31</v>
          </cell>
          <cell r="H612" t="str">
            <v>10</v>
          </cell>
          <cell r="I612" t="str">
            <v>56.78</v>
          </cell>
        </row>
        <row r="613">
          <cell r="B613" t="str">
            <v>0121800104WC</v>
          </cell>
          <cell r="C613" t="str">
            <v>显示板</v>
          </cell>
          <cell r="D613" t="str">
            <v>91M1</v>
          </cell>
          <cell r="E613" t="str">
            <v>直供国内A股采购组织</v>
          </cell>
          <cell r="F613" t="str">
            <v>寄售</v>
          </cell>
          <cell r="G613" t="str">
            <v>2026-12-31</v>
          </cell>
          <cell r="H613" t="str">
            <v>7</v>
          </cell>
          <cell r="I613" t="str">
            <v>61.10</v>
          </cell>
        </row>
        <row r="614">
          <cell r="B614" t="str">
            <v>0011801424W</v>
          </cell>
          <cell r="C614" t="str">
            <v>变频外电脑板-FR-4/</v>
          </cell>
          <cell r="D614" t="str">
            <v>91M1</v>
          </cell>
          <cell r="E614" t="str">
            <v>直供国内A股采购组织</v>
          </cell>
          <cell r="F614" t="str">
            <v>寄售</v>
          </cell>
          <cell r="G614" t="str">
            <v>2026-12-31</v>
          </cell>
          <cell r="H614" t="str">
            <v>15</v>
          </cell>
          <cell r="I614" t="str">
            <v>133.88</v>
          </cell>
        </row>
        <row r="615">
          <cell r="B615" t="str">
            <v>0011801425E</v>
          </cell>
          <cell r="C615" t="str">
            <v>变频外电脑板-FR-4</v>
          </cell>
          <cell r="D615" t="str">
            <v>91M1</v>
          </cell>
          <cell r="E615" t="str">
            <v>直供国内A股采购组织</v>
          </cell>
          <cell r="F615" t="str">
            <v>寄售</v>
          </cell>
          <cell r="G615" t="str">
            <v>2026-12-31</v>
          </cell>
          <cell r="H615" t="str">
            <v>15</v>
          </cell>
          <cell r="I615" t="str">
            <v>121.87</v>
          </cell>
        </row>
        <row r="616">
          <cell r="B616" t="str">
            <v>0011801482A</v>
          </cell>
          <cell r="C616" t="str">
            <v>室内电脑板-CEM-1</v>
          </cell>
          <cell r="D616" t="str">
            <v>91M1</v>
          </cell>
          <cell r="E616" t="str">
            <v>直供国内A股采购组织</v>
          </cell>
          <cell r="F616" t="str">
            <v>寄售</v>
          </cell>
          <cell r="G616" t="str">
            <v>2026-12-31</v>
          </cell>
          <cell r="H616" t="str">
            <v>15</v>
          </cell>
          <cell r="I616" t="str">
            <v>40.02</v>
          </cell>
        </row>
        <row r="617">
          <cell r="B617" t="str">
            <v>0011801490B</v>
          </cell>
          <cell r="C617" t="str">
            <v>变频外电脑板-FR-4</v>
          </cell>
          <cell r="D617" t="str">
            <v>91M1</v>
          </cell>
          <cell r="E617" t="str">
            <v>直供国内A股采购组织</v>
          </cell>
          <cell r="F617" t="str">
            <v>寄售</v>
          </cell>
          <cell r="G617" t="str">
            <v>2026-12-31</v>
          </cell>
          <cell r="H617" t="str">
            <v>15</v>
          </cell>
          <cell r="I617" t="str">
            <v>106.57</v>
          </cell>
        </row>
        <row r="618">
          <cell r="B618" t="str">
            <v>0011801583R</v>
          </cell>
          <cell r="C618" t="str">
            <v>室内电脑板-162mm*130mm</v>
          </cell>
          <cell r="D618" t="str">
            <v>91M1</v>
          </cell>
          <cell r="E618" t="str">
            <v>直供国内A股采购组织</v>
          </cell>
          <cell r="F618" t="str">
            <v>寄售</v>
          </cell>
          <cell r="G618" t="str">
            <v>2026-12-31</v>
          </cell>
          <cell r="H618" t="str">
            <v>15</v>
          </cell>
          <cell r="I618" t="str">
            <v>29.83</v>
          </cell>
        </row>
        <row r="619">
          <cell r="B619" t="str">
            <v>0011801606D</v>
          </cell>
          <cell r="C619" t="str">
            <v>室内电脑板-FR-4340*88mm</v>
          </cell>
          <cell r="D619" t="str">
            <v>91M1</v>
          </cell>
          <cell r="E619" t="str">
            <v>直供国内A股采购组织</v>
          </cell>
          <cell r="F619" t="str">
            <v>寄售</v>
          </cell>
          <cell r="G619" t="str">
            <v>2026-12-31</v>
          </cell>
          <cell r="H619" t="str">
            <v>15</v>
          </cell>
          <cell r="I619" t="str">
            <v>75.21</v>
          </cell>
        </row>
        <row r="620">
          <cell r="B620" t="str">
            <v>0011801656A</v>
          </cell>
          <cell r="C620" t="str">
            <v>变频外电脑板</v>
          </cell>
          <cell r="D620" t="str">
            <v>91M1</v>
          </cell>
          <cell r="E620" t="str">
            <v>直供国内A股采购组织</v>
          </cell>
          <cell r="F620" t="str">
            <v>寄售</v>
          </cell>
          <cell r="G620" t="str">
            <v>2026-12-31</v>
          </cell>
          <cell r="H620" t="str">
            <v>15</v>
          </cell>
          <cell r="I620" t="str">
            <v>136.84</v>
          </cell>
        </row>
        <row r="621">
          <cell r="B621" t="str">
            <v>0011801675AD</v>
          </cell>
          <cell r="C621" t="str">
            <v>室内电脑板-CEM-1130*162</v>
          </cell>
          <cell r="D621" t="str">
            <v>91M1</v>
          </cell>
          <cell r="E621" t="str">
            <v>直供国内A股采购组织</v>
          </cell>
          <cell r="F621" t="str">
            <v>寄售</v>
          </cell>
          <cell r="G621" t="str">
            <v>2026-12-31</v>
          </cell>
          <cell r="H621" t="str">
            <v>15</v>
          </cell>
          <cell r="I621" t="str">
            <v>40.82</v>
          </cell>
        </row>
        <row r="622">
          <cell r="B622" t="str">
            <v>0011801675J</v>
          </cell>
          <cell r="C622" t="str">
            <v>室内电脑板-FR-4165*136</v>
          </cell>
          <cell r="D622" t="str">
            <v>91M1</v>
          </cell>
          <cell r="E622" t="str">
            <v>直供国内A股采购组织</v>
          </cell>
          <cell r="F622" t="str">
            <v>寄售</v>
          </cell>
          <cell r="G622" t="str">
            <v>2026-12-31</v>
          </cell>
          <cell r="H622" t="str">
            <v>15</v>
          </cell>
          <cell r="I622" t="str">
            <v>40.30</v>
          </cell>
        </row>
        <row r="623">
          <cell r="B623" t="str">
            <v>0011801716</v>
          </cell>
          <cell r="C623" t="str">
            <v>显示板-LED</v>
          </cell>
          <cell r="D623" t="str">
            <v>91M1</v>
          </cell>
          <cell r="E623" t="str">
            <v>直供国内A股采购组织</v>
          </cell>
          <cell r="F623" t="str">
            <v>寄售</v>
          </cell>
          <cell r="G623" t="str">
            <v>2026-12-31</v>
          </cell>
          <cell r="H623" t="str">
            <v>15</v>
          </cell>
          <cell r="I623" t="str">
            <v>11.79</v>
          </cell>
        </row>
        <row r="624">
          <cell r="B624" t="str">
            <v>0011801824B</v>
          </cell>
          <cell r="C624" t="str">
            <v>室内电脑板-CEM-1</v>
          </cell>
          <cell r="D624" t="str">
            <v>91M1</v>
          </cell>
          <cell r="E624" t="str">
            <v>直供国内A股采购组织</v>
          </cell>
          <cell r="F624" t="str">
            <v>寄售</v>
          </cell>
          <cell r="G624" t="str">
            <v>2026-12-31</v>
          </cell>
          <cell r="H624" t="str">
            <v>15</v>
          </cell>
          <cell r="I624" t="str">
            <v>38.93</v>
          </cell>
        </row>
        <row r="625">
          <cell r="B625" t="str">
            <v>0011801843D</v>
          </cell>
          <cell r="C625" t="str">
            <v>变频外电脑板-FR-4</v>
          </cell>
          <cell r="D625" t="str">
            <v>91M1</v>
          </cell>
          <cell r="E625" t="str">
            <v>直供国内A股采购组织</v>
          </cell>
          <cell r="F625" t="str">
            <v>寄售</v>
          </cell>
          <cell r="G625" t="str">
            <v>2026-12-31</v>
          </cell>
          <cell r="H625" t="str">
            <v>15</v>
          </cell>
          <cell r="I625" t="str">
            <v>137.64</v>
          </cell>
        </row>
        <row r="626">
          <cell r="B626" t="str">
            <v>0011801850A</v>
          </cell>
          <cell r="C626" t="str">
            <v>室内电脑板</v>
          </cell>
          <cell r="D626" t="str">
            <v>91M1</v>
          </cell>
          <cell r="E626" t="str">
            <v>直供国内A股采购组织</v>
          </cell>
          <cell r="F626" t="str">
            <v>寄售</v>
          </cell>
          <cell r="G626" t="str">
            <v>2026-12-31</v>
          </cell>
          <cell r="H626" t="str">
            <v>15</v>
          </cell>
          <cell r="I626" t="str">
            <v>48.23</v>
          </cell>
        </row>
        <row r="627">
          <cell r="B627" t="str">
            <v>0011801850B</v>
          </cell>
          <cell r="C627" t="str">
            <v>室内电脑板-FR-4</v>
          </cell>
          <cell r="D627" t="str">
            <v>91M1</v>
          </cell>
          <cell r="E627" t="str">
            <v>直供国内A股采购组织</v>
          </cell>
          <cell r="F627" t="str">
            <v>寄售</v>
          </cell>
          <cell r="G627" t="str">
            <v>2026-12-31</v>
          </cell>
          <cell r="H627" t="str">
            <v>15</v>
          </cell>
          <cell r="I627" t="str">
            <v>45.66</v>
          </cell>
        </row>
        <row r="628">
          <cell r="B628" t="str">
            <v>0011801859E</v>
          </cell>
          <cell r="C628" t="str">
            <v>室内电脑板-FR-4</v>
          </cell>
          <cell r="D628" t="str">
            <v>91M1</v>
          </cell>
          <cell r="E628" t="str">
            <v>直供国内A股采购组织</v>
          </cell>
          <cell r="F628" t="str">
            <v>寄售</v>
          </cell>
          <cell r="G628" t="str">
            <v>2026-12-31</v>
          </cell>
          <cell r="H628" t="str">
            <v>15</v>
          </cell>
          <cell r="I628" t="str">
            <v>87.89</v>
          </cell>
        </row>
        <row r="629">
          <cell r="B629" t="str">
            <v>0011801859P</v>
          </cell>
          <cell r="C629" t="str">
            <v>室内电脑板-FR-4</v>
          </cell>
          <cell r="D629" t="str">
            <v>91M1</v>
          </cell>
          <cell r="E629" t="str">
            <v>直供国内A股采购组织</v>
          </cell>
          <cell r="F629" t="str">
            <v>寄售</v>
          </cell>
          <cell r="G629" t="str">
            <v>2026-12-31</v>
          </cell>
          <cell r="H629" t="str">
            <v>15</v>
          </cell>
          <cell r="I629" t="str">
            <v>93.64</v>
          </cell>
        </row>
        <row r="630">
          <cell r="B630" t="str">
            <v>0011801977H</v>
          </cell>
          <cell r="C630" t="str">
            <v>室内电脑板-165mm*136mm</v>
          </cell>
          <cell r="D630" t="str">
            <v>91M1</v>
          </cell>
          <cell r="E630" t="str">
            <v>直供国内A股采购组织</v>
          </cell>
          <cell r="F630" t="str">
            <v>寄售</v>
          </cell>
          <cell r="G630" t="str">
            <v>2026-12-31</v>
          </cell>
          <cell r="H630" t="str">
            <v>15</v>
          </cell>
          <cell r="I630" t="str">
            <v>37.15</v>
          </cell>
        </row>
        <row r="631">
          <cell r="B631" t="str">
            <v>0011802119</v>
          </cell>
          <cell r="C631" t="str">
            <v>物联通信模块</v>
          </cell>
          <cell r="D631" t="str">
            <v>91M1</v>
          </cell>
          <cell r="E631" t="str">
            <v>直供国内A股采购组织</v>
          </cell>
          <cell r="F631" t="str">
            <v>寄售</v>
          </cell>
          <cell r="G631" t="str">
            <v>2026-12-31</v>
          </cell>
          <cell r="H631" t="str">
            <v>15</v>
          </cell>
          <cell r="I631" t="str">
            <v>18.66</v>
          </cell>
        </row>
        <row r="632">
          <cell r="B632" t="str">
            <v>0021800150EA</v>
          </cell>
          <cell r="C632" t="str">
            <v>显示板-LED12V</v>
          </cell>
          <cell r="D632" t="str">
            <v>91M1</v>
          </cell>
          <cell r="E632" t="str">
            <v>直供国内A股采购组织</v>
          </cell>
          <cell r="F632" t="str">
            <v>寄售</v>
          </cell>
          <cell r="G632" t="str">
            <v>2026-12-31</v>
          </cell>
          <cell r="H632" t="str">
            <v>14</v>
          </cell>
          <cell r="I632" t="str">
            <v>20.69</v>
          </cell>
        </row>
        <row r="633">
          <cell r="B633" t="str">
            <v>0021800472D</v>
          </cell>
          <cell r="C633" t="str">
            <v>显示板-FR-412vdc</v>
          </cell>
          <cell r="D633" t="str">
            <v>91M1</v>
          </cell>
          <cell r="E633" t="str">
            <v>直供国内A股采购组织</v>
          </cell>
          <cell r="F633" t="str">
            <v>寄售</v>
          </cell>
          <cell r="G633" t="str">
            <v>2026-12-31</v>
          </cell>
          <cell r="H633" t="str">
            <v>10</v>
          </cell>
          <cell r="I633" t="str">
            <v>272.65</v>
          </cell>
        </row>
        <row r="634">
          <cell r="B634" t="str">
            <v>0021800615E</v>
          </cell>
          <cell r="C634" t="str">
            <v>显示板-LED5V</v>
          </cell>
          <cell r="D634" t="str">
            <v>91M1</v>
          </cell>
          <cell r="E634" t="str">
            <v>直供国内A股采购组织</v>
          </cell>
          <cell r="F634" t="str">
            <v>寄售</v>
          </cell>
          <cell r="G634" t="str">
            <v>2026-12-31</v>
          </cell>
          <cell r="H634" t="str">
            <v>10</v>
          </cell>
          <cell r="I634" t="str">
            <v>67.19</v>
          </cell>
        </row>
        <row r="635">
          <cell r="B635" t="str">
            <v>0021800616F</v>
          </cell>
          <cell r="C635" t="str">
            <v>显示板-FR-4</v>
          </cell>
          <cell r="D635" t="str">
            <v>91M1</v>
          </cell>
          <cell r="E635" t="str">
            <v>直供国内A股采购组织</v>
          </cell>
          <cell r="F635" t="str">
            <v>寄售</v>
          </cell>
          <cell r="G635" t="str">
            <v>2026-12-31</v>
          </cell>
          <cell r="H635" t="str">
            <v>10</v>
          </cell>
          <cell r="I635" t="str">
            <v>57.15</v>
          </cell>
        </row>
        <row r="636">
          <cell r="B636" t="str">
            <v>0021800616K</v>
          </cell>
          <cell r="C636" t="str">
            <v>显示板-其他\FR-4</v>
          </cell>
          <cell r="D636" t="str">
            <v>91M1</v>
          </cell>
          <cell r="E636" t="str">
            <v>直供国内A股采购组织</v>
          </cell>
          <cell r="F636" t="str">
            <v>寄售</v>
          </cell>
          <cell r="G636" t="str">
            <v>2026-12-31</v>
          </cell>
          <cell r="H636" t="str">
            <v>10</v>
          </cell>
          <cell r="I636" t="str">
            <v>57.15</v>
          </cell>
        </row>
        <row r="637">
          <cell r="B637" t="str">
            <v>0151801003</v>
          </cell>
          <cell r="C637" t="str">
            <v>电脑板-FR-4</v>
          </cell>
          <cell r="D637" t="str">
            <v>91M1</v>
          </cell>
          <cell r="E637" t="str">
            <v>直供国内A股采购组织</v>
          </cell>
          <cell r="F637" t="str">
            <v>寄售</v>
          </cell>
          <cell r="G637" t="str">
            <v>2026-12-31</v>
          </cell>
          <cell r="H637" t="str">
            <v>30</v>
          </cell>
          <cell r="I637" t="str">
            <v>112.99</v>
          </cell>
        </row>
        <row r="638">
          <cell r="B638" t="str">
            <v>0031800138R</v>
          </cell>
          <cell r="C638" t="str">
            <v>DP一体板-通用</v>
          </cell>
          <cell r="D638" t="str">
            <v>91M1</v>
          </cell>
          <cell r="E638" t="str">
            <v>直供国内A股采购组织</v>
          </cell>
          <cell r="F638" t="str">
            <v>寄售</v>
          </cell>
          <cell r="G638" t="str">
            <v>2026-12-31</v>
          </cell>
          <cell r="H638" t="str">
            <v>10</v>
          </cell>
          <cell r="I638" t="str">
            <v>55.23</v>
          </cell>
        </row>
        <row r="639">
          <cell r="B639" t="str">
            <v>0041800751HYS</v>
          </cell>
          <cell r="C639" t="str">
            <v>AD显示板-LED-电热</v>
          </cell>
          <cell r="D639" t="str">
            <v>91M1</v>
          </cell>
          <cell r="E639" t="str">
            <v>直供国内A股采购组织</v>
          </cell>
          <cell r="F639" t="str">
            <v>寄售</v>
          </cell>
          <cell r="G639" t="str">
            <v>2026-12-31</v>
          </cell>
          <cell r="H639" t="str">
            <v>14</v>
          </cell>
          <cell r="I639" t="str">
            <v>17.43</v>
          </cell>
        </row>
        <row r="640">
          <cell r="B640" t="str">
            <v>0041800773H</v>
          </cell>
          <cell r="C640" t="str">
            <v>AD显示板-LED长215mm,宽45mm电热</v>
          </cell>
          <cell r="D640" t="str">
            <v>91M1</v>
          </cell>
          <cell r="E640" t="str">
            <v>直供国内A股采购组织</v>
          </cell>
          <cell r="F640" t="str">
            <v>寄售</v>
          </cell>
          <cell r="G640" t="str">
            <v>2026-12-31</v>
          </cell>
          <cell r="H640" t="str">
            <v>14</v>
          </cell>
          <cell r="I640" t="str">
            <v>12.49</v>
          </cell>
        </row>
        <row r="641">
          <cell r="B641" t="str">
            <v>0041801949AA</v>
          </cell>
          <cell r="C641" t="str">
            <v>AD显示板-LED显示板尺寸349mm*35mm云溪米 UPYE-2423</v>
          </cell>
          <cell r="D641" t="str">
            <v>91M1</v>
          </cell>
          <cell r="E641" t="str">
            <v>直供国内A股采购组织</v>
          </cell>
          <cell r="F641" t="str">
            <v>寄售</v>
          </cell>
          <cell r="G641" t="str">
            <v>2026-12-31</v>
          </cell>
          <cell r="H641" t="str">
            <v>14</v>
          </cell>
          <cell r="I641" t="str">
            <v>31.33</v>
          </cell>
        </row>
        <row r="642">
          <cell r="B642" t="str">
            <v>0151800695</v>
          </cell>
          <cell r="C642" t="str">
            <v>电脑板-FR-4/</v>
          </cell>
          <cell r="D642" t="str">
            <v>91M1</v>
          </cell>
          <cell r="E642" t="str">
            <v>直供国内A股采购组织</v>
          </cell>
          <cell r="F642" t="str">
            <v>寄售</v>
          </cell>
          <cell r="G642" t="str">
            <v>2026-12-31</v>
          </cell>
          <cell r="H642" t="str">
            <v>30</v>
          </cell>
          <cell r="I642" t="str">
            <v>59.43</v>
          </cell>
        </row>
        <row r="643">
          <cell r="B643" t="str">
            <v>0151801061WA</v>
          </cell>
          <cell r="C643" t="str">
            <v>电脑板-FR-4</v>
          </cell>
          <cell r="D643" t="str">
            <v>91M1</v>
          </cell>
          <cell r="E643" t="str">
            <v>直供国内A股采购组织</v>
          </cell>
          <cell r="F643" t="str">
            <v>寄售</v>
          </cell>
          <cell r="G643" t="str">
            <v>2026-12-31</v>
          </cell>
          <cell r="H643" t="str">
            <v>30</v>
          </cell>
          <cell r="I643" t="str">
            <v>127.00</v>
          </cell>
        </row>
        <row r="644">
          <cell r="B644" t="str">
            <v>0011800387H</v>
          </cell>
          <cell r="C644" t="str">
            <v>显示面板-FR-4</v>
          </cell>
          <cell r="D644" t="str">
            <v>91M1</v>
          </cell>
          <cell r="E644" t="str">
            <v>直供国内A股采购组织</v>
          </cell>
          <cell r="F644" t="str">
            <v>寄售</v>
          </cell>
          <cell r="G644" t="str">
            <v>2026-12-31</v>
          </cell>
          <cell r="H644" t="str">
            <v>15</v>
          </cell>
          <cell r="I644" t="str">
            <v>10.30</v>
          </cell>
        </row>
        <row r="645">
          <cell r="B645" t="str">
            <v>0011801048AG</v>
          </cell>
          <cell r="C645" t="str">
            <v>变频外电脑板-FR-4/</v>
          </cell>
          <cell r="D645" t="str">
            <v>91M1</v>
          </cell>
          <cell r="E645" t="str">
            <v>直供国内A股采购组织</v>
          </cell>
          <cell r="F645" t="str">
            <v>寄售</v>
          </cell>
          <cell r="G645" t="str">
            <v>2026-12-31</v>
          </cell>
          <cell r="H645" t="str">
            <v>15</v>
          </cell>
          <cell r="I645" t="str">
            <v>134.23</v>
          </cell>
        </row>
        <row r="646">
          <cell r="B646" t="str">
            <v>0011801123F</v>
          </cell>
          <cell r="C646" t="str">
            <v>室内电脑板-FR-4136*165</v>
          </cell>
          <cell r="D646" t="str">
            <v>91M1</v>
          </cell>
          <cell r="E646" t="str">
            <v>直供国内A股采购组织</v>
          </cell>
          <cell r="F646" t="str">
            <v>寄售</v>
          </cell>
          <cell r="G646" t="str">
            <v>2026-12-31</v>
          </cell>
          <cell r="H646" t="str">
            <v>30</v>
          </cell>
          <cell r="I646" t="str">
            <v>55.85</v>
          </cell>
        </row>
        <row r="647">
          <cell r="B647" t="str">
            <v>0011801172BK</v>
          </cell>
          <cell r="C647" t="str">
            <v>变频外电脑板-FR-4</v>
          </cell>
          <cell r="D647" t="str">
            <v>91M1</v>
          </cell>
          <cell r="E647" t="str">
            <v>直供国内A股采购组织</v>
          </cell>
          <cell r="F647" t="str">
            <v>寄售</v>
          </cell>
          <cell r="G647" t="str">
            <v>2026-12-31</v>
          </cell>
          <cell r="H647" t="str">
            <v>15</v>
          </cell>
          <cell r="I647" t="str">
            <v>161.24</v>
          </cell>
        </row>
        <row r="648">
          <cell r="B648" t="str">
            <v>0011801824D</v>
          </cell>
          <cell r="C648" t="str">
            <v>室内电脑板-CEM-1</v>
          </cell>
          <cell r="D648" t="str">
            <v>91M1</v>
          </cell>
          <cell r="E648" t="str">
            <v>直供国内A股采购组织</v>
          </cell>
          <cell r="F648" t="str">
            <v>寄售</v>
          </cell>
          <cell r="G648" t="str">
            <v>2026-12-31</v>
          </cell>
          <cell r="H648" t="str">
            <v>15</v>
          </cell>
          <cell r="I648" t="str">
            <v>40.90</v>
          </cell>
        </row>
        <row r="649">
          <cell r="B649" t="str">
            <v>0011801852</v>
          </cell>
          <cell r="C649" t="str">
            <v>室内电脑板-220V</v>
          </cell>
          <cell r="D649" t="str">
            <v>91M1</v>
          </cell>
          <cell r="E649" t="str">
            <v>直供国内A股采购组织</v>
          </cell>
          <cell r="F649" t="str">
            <v>寄售</v>
          </cell>
          <cell r="G649" t="str">
            <v>2026-12-31</v>
          </cell>
          <cell r="H649" t="str">
            <v>15</v>
          </cell>
          <cell r="I649" t="str">
            <v>90.75</v>
          </cell>
        </row>
        <row r="650">
          <cell r="B650" t="str">
            <v>0041800751S</v>
          </cell>
          <cell r="C650" t="str">
            <v>AD显示板-LED板尺寸:340*45mm,支架尺寸:56.45*36*8.5电</v>
          </cell>
          <cell r="D650" t="str">
            <v>91M1</v>
          </cell>
          <cell r="E650" t="str">
            <v>直供国内A股采购组织</v>
          </cell>
          <cell r="F650" t="str">
            <v>寄售</v>
          </cell>
          <cell r="G650" t="str">
            <v>2026-12-31</v>
          </cell>
          <cell r="H650" t="str">
            <v>14</v>
          </cell>
          <cell r="I650" t="str">
            <v>18.53</v>
          </cell>
        </row>
        <row r="651">
          <cell r="B651" t="str">
            <v>0041801970A</v>
          </cell>
          <cell r="C651" t="str">
            <v>主控板-其他\/-热泵</v>
          </cell>
          <cell r="D651" t="str">
            <v>91M1</v>
          </cell>
          <cell r="E651" t="str">
            <v>直供国内A股采购组织</v>
          </cell>
          <cell r="F651" t="str">
            <v>寄售</v>
          </cell>
          <cell r="G651" t="str">
            <v>2026-12-31</v>
          </cell>
          <cell r="H651" t="str">
            <v>14</v>
          </cell>
          <cell r="I651" t="str">
            <v>17.97</v>
          </cell>
        </row>
        <row r="652">
          <cell r="B652" t="str">
            <v>0011800387D</v>
          </cell>
          <cell r="C652" t="str">
            <v>显示面板-FR-4</v>
          </cell>
          <cell r="D652" t="str">
            <v>91M1</v>
          </cell>
          <cell r="E652" t="str">
            <v>直供国内A股采购组织</v>
          </cell>
          <cell r="F652" t="str">
            <v>寄售</v>
          </cell>
          <cell r="G652" t="str">
            <v>2026-12-31</v>
          </cell>
          <cell r="H652" t="str">
            <v>15</v>
          </cell>
          <cell r="I652" t="str">
            <v>4.50</v>
          </cell>
        </row>
        <row r="653">
          <cell r="B653" t="str">
            <v>0011800923G</v>
          </cell>
          <cell r="C653" t="str">
            <v>室内电脑板-CEM-1电脑板尺寸为105*208</v>
          </cell>
          <cell r="D653" t="str">
            <v>91M1</v>
          </cell>
          <cell r="E653" t="str">
            <v>直供国内A股采购组织</v>
          </cell>
          <cell r="F653" t="str">
            <v>寄售</v>
          </cell>
          <cell r="G653" t="str">
            <v>2026-12-31</v>
          </cell>
          <cell r="H653" t="str">
            <v>30</v>
          </cell>
          <cell r="I653" t="str">
            <v>44.85</v>
          </cell>
        </row>
        <row r="654">
          <cell r="B654" t="str">
            <v>0011800981H</v>
          </cell>
          <cell r="C654" t="str">
            <v>变频外电脑板-FR-4230*196</v>
          </cell>
          <cell r="D654" t="str">
            <v>91M1</v>
          </cell>
          <cell r="E654" t="str">
            <v>直供国内A股采购组织</v>
          </cell>
          <cell r="F654" t="str">
            <v>寄售</v>
          </cell>
          <cell r="G654" t="str">
            <v>2026-12-31</v>
          </cell>
          <cell r="H654" t="str">
            <v>15</v>
          </cell>
          <cell r="I654" t="str">
            <v>126.30</v>
          </cell>
        </row>
        <row r="655">
          <cell r="B655" t="str">
            <v>0011801889</v>
          </cell>
          <cell r="C655" t="str">
            <v>室内电脑板-FR-4</v>
          </cell>
          <cell r="D655" t="str">
            <v>91M1</v>
          </cell>
          <cell r="E655" t="str">
            <v>直供国内A股采购组织</v>
          </cell>
          <cell r="F655" t="str">
            <v>寄售</v>
          </cell>
          <cell r="G655" t="str">
            <v>2026-12-31</v>
          </cell>
          <cell r="H655" t="str">
            <v>15</v>
          </cell>
          <cell r="I655" t="str">
            <v>101.50</v>
          </cell>
        </row>
        <row r="656">
          <cell r="B656" t="str">
            <v>0041800751JYS</v>
          </cell>
          <cell r="C656" t="str">
            <v>AD显示板-LED-电热</v>
          </cell>
          <cell r="D656" t="str">
            <v>91M1</v>
          </cell>
          <cell r="E656" t="str">
            <v>直供国内A股采购组织</v>
          </cell>
          <cell r="F656" t="str">
            <v>寄售</v>
          </cell>
          <cell r="G656" t="str">
            <v>2026-12-31</v>
          </cell>
          <cell r="H656" t="str">
            <v>14</v>
          </cell>
          <cell r="I656" t="str">
            <v>17.39</v>
          </cell>
        </row>
        <row r="657">
          <cell r="B657" t="str">
            <v>0041801952</v>
          </cell>
          <cell r="C657" t="str">
            <v>电脑板控制板-主控板\PCB3P变频主控板</v>
          </cell>
          <cell r="D657" t="str">
            <v>91M1</v>
          </cell>
          <cell r="E657" t="str">
            <v>直供国内A股采购组织</v>
          </cell>
          <cell r="F657" t="str">
            <v>寄售</v>
          </cell>
          <cell r="G657" t="str">
            <v>2026-12-31</v>
          </cell>
          <cell r="H657" t="str">
            <v>14</v>
          </cell>
          <cell r="I657" t="str">
            <v>271.26</v>
          </cell>
        </row>
        <row r="658">
          <cell r="B658" t="str">
            <v>0011800537A</v>
          </cell>
          <cell r="C658" t="str">
            <v>室内电脑板-CEM-1</v>
          </cell>
          <cell r="D658" t="str">
            <v>91M1</v>
          </cell>
          <cell r="E658" t="str">
            <v>直供国内A股采购组织</v>
          </cell>
          <cell r="F658" t="str">
            <v>寄售</v>
          </cell>
          <cell r="G658" t="str">
            <v>2026-12-31</v>
          </cell>
          <cell r="H658" t="str">
            <v>15</v>
          </cell>
          <cell r="I658" t="str">
            <v>19.89</v>
          </cell>
        </row>
        <row r="659">
          <cell r="B659" t="str">
            <v>0011800612P</v>
          </cell>
          <cell r="C659" t="str">
            <v>室内电脑板-CEM-1---</v>
          </cell>
          <cell r="D659" t="str">
            <v>91M1</v>
          </cell>
          <cell r="E659" t="str">
            <v>直供国内A股采购组织</v>
          </cell>
          <cell r="F659" t="str">
            <v>寄售</v>
          </cell>
          <cell r="G659" t="str">
            <v>2026-12-31</v>
          </cell>
          <cell r="H659" t="str">
            <v>15</v>
          </cell>
          <cell r="I659" t="str">
            <v>30.46</v>
          </cell>
        </row>
        <row r="660">
          <cell r="B660" t="str">
            <v>0011800630M</v>
          </cell>
          <cell r="C660" t="str">
            <v>室内电脑板-CEM-1室内电脑板俄罗斯07/09/12P系列室内电脑板</v>
          </cell>
          <cell r="D660" t="str">
            <v>91M1</v>
          </cell>
          <cell r="E660" t="str">
            <v>直供国内A股采购组织</v>
          </cell>
          <cell r="F660" t="str">
            <v>寄售</v>
          </cell>
          <cell r="G660" t="str">
            <v>2026-12-31</v>
          </cell>
          <cell r="H660" t="str">
            <v>15</v>
          </cell>
          <cell r="I660" t="str">
            <v>27.69</v>
          </cell>
        </row>
        <row r="661">
          <cell r="B661" t="str">
            <v>0011801071K</v>
          </cell>
          <cell r="C661" t="str">
            <v>室内电脑板-CEM-1</v>
          </cell>
          <cell r="D661" t="str">
            <v>91M1</v>
          </cell>
          <cell r="E661" t="str">
            <v>直供国内A股采购组织</v>
          </cell>
          <cell r="F661" t="str">
            <v>寄售</v>
          </cell>
          <cell r="G661" t="str">
            <v>2026-12-31</v>
          </cell>
          <cell r="H661" t="str">
            <v>15</v>
          </cell>
          <cell r="I661" t="str">
            <v>37.72</v>
          </cell>
        </row>
        <row r="662">
          <cell r="B662" t="str">
            <v>0011801172CR</v>
          </cell>
          <cell r="C662" t="str">
            <v>变频外电脑板-FR-4240*180</v>
          </cell>
          <cell r="D662" t="str">
            <v>91M1</v>
          </cell>
          <cell r="E662" t="str">
            <v>直供国内A股采购组织</v>
          </cell>
          <cell r="F662" t="str">
            <v>寄售</v>
          </cell>
          <cell r="G662" t="str">
            <v>2026-12-31</v>
          </cell>
          <cell r="H662" t="str">
            <v>15</v>
          </cell>
          <cell r="I662" t="str">
            <v>197.54</v>
          </cell>
        </row>
        <row r="663">
          <cell r="B663" t="str">
            <v>0011801330J</v>
          </cell>
          <cell r="C663" t="str">
            <v>室内电脑板-CEM-1</v>
          </cell>
          <cell r="D663" t="str">
            <v>91M1</v>
          </cell>
          <cell r="E663" t="str">
            <v>直供国内A股采购组织</v>
          </cell>
          <cell r="F663" t="str">
            <v>寄售</v>
          </cell>
          <cell r="G663" t="str">
            <v>2026-12-31</v>
          </cell>
          <cell r="H663" t="str">
            <v>15</v>
          </cell>
          <cell r="I663" t="str">
            <v>36.30</v>
          </cell>
        </row>
        <row r="664">
          <cell r="B664" t="str">
            <v>0011801423AS</v>
          </cell>
          <cell r="C664" t="str">
            <v>变频外电脑板-FR-4</v>
          </cell>
          <cell r="D664" t="str">
            <v>91M1</v>
          </cell>
          <cell r="E664" t="str">
            <v>直供国内A股采购组织</v>
          </cell>
          <cell r="F664" t="str">
            <v>寄售</v>
          </cell>
          <cell r="G664" t="str">
            <v>2026-12-31</v>
          </cell>
          <cell r="H664" t="str">
            <v>15</v>
          </cell>
          <cell r="I664" t="str">
            <v>138.91</v>
          </cell>
        </row>
        <row r="665">
          <cell r="B665" t="str">
            <v>0011801424AV</v>
          </cell>
          <cell r="C665" t="str">
            <v>变频外电脑板-FR-4</v>
          </cell>
          <cell r="D665" t="str">
            <v>91M1</v>
          </cell>
          <cell r="E665" t="str">
            <v>直供国内A股采购组织</v>
          </cell>
          <cell r="F665" t="str">
            <v>寄售</v>
          </cell>
          <cell r="G665" t="str">
            <v>2026-12-31</v>
          </cell>
          <cell r="H665" t="str">
            <v>15</v>
          </cell>
          <cell r="I665" t="str">
            <v>116.37</v>
          </cell>
        </row>
        <row r="666">
          <cell r="B666" t="str">
            <v>0011801903C</v>
          </cell>
          <cell r="C666" t="str">
            <v>室内电脑板-CEM-3</v>
          </cell>
          <cell r="D666" t="str">
            <v>91M1</v>
          </cell>
          <cell r="E666" t="str">
            <v>直供国内A股采购组织</v>
          </cell>
          <cell r="F666" t="str">
            <v>寄售</v>
          </cell>
          <cell r="G666" t="str">
            <v>2026-12-31</v>
          </cell>
          <cell r="H666" t="str">
            <v>15</v>
          </cell>
          <cell r="I666" t="str">
            <v>74.79</v>
          </cell>
        </row>
        <row r="667">
          <cell r="B667" t="str">
            <v>0121800104W</v>
          </cell>
          <cell r="C667" t="str">
            <v>显示板-LED</v>
          </cell>
          <cell r="D667" t="str">
            <v>91M1</v>
          </cell>
          <cell r="E667" t="str">
            <v>直供国内A股采购组织</v>
          </cell>
          <cell r="F667" t="str">
            <v>寄售</v>
          </cell>
          <cell r="G667" t="str">
            <v>2026-12-31</v>
          </cell>
          <cell r="H667" t="str">
            <v>7</v>
          </cell>
          <cell r="I667" t="str">
            <v>61.10</v>
          </cell>
        </row>
        <row r="668">
          <cell r="B668" t="str">
            <v>0011800970AB</v>
          </cell>
          <cell r="C668" t="str">
            <v>变频外电脑板-通用23T直流变频</v>
          </cell>
          <cell r="D668" t="str">
            <v>91M1</v>
          </cell>
          <cell r="E668" t="str">
            <v>直供国内A股采购组织</v>
          </cell>
          <cell r="F668" t="str">
            <v>寄售</v>
          </cell>
          <cell r="G668" t="str">
            <v>2026-12-31</v>
          </cell>
          <cell r="H668" t="str">
            <v>15</v>
          </cell>
          <cell r="I668" t="str">
            <v>114.94</v>
          </cell>
        </row>
        <row r="669">
          <cell r="B669" t="str">
            <v>0011801100</v>
          </cell>
          <cell r="C669" t="str">
            <v>显示板-/50*92</v>
          </cell>
          <cell r="D669" t="str">
            <v>91M1</v>
          </cell>
          <cell r="E669" t="str">
            <v>直供国内A股采购组织</v>
          </cell>
          <cell r="F669" t="str">
            <v>寄售</v>
          </cell>
          <cell r="G669" t="str">
            <v>2026-12-31</v>
          </cell>
          <cell r="H669" t="str">
            <v>15</v>
          </cell>
          <cell r="I669" t="str">
            <v>4.55</v>
          </cell>
        </row>
        <row r="670">
          <cell r="B670" t="str">
            <v>0011801125A</v>
          </cell>
          <cell r="C670" t="str">
            <v>显示板-LED53*95</v>
          </cell>
          <cell r="D670" t="str">
            <v>91M1</v>
          </cell>
          <cell r="E670" t="str">
            <v>直供国内A股采购组织</v>
          </cell>
          <cell r="F670" t="str">
            <v>寄售</v>
          </cell>
          <cell r="G670" t="str">
            <v>2026-12-31</v>
          </cell>
          <cell r="H670" t="str">
            <v>15</v>
          </cell>
          <cell r="I670" t="str">
            <v>4.90</v>
          </cell>
        </row>
        <row r="671">
          <cell r="B671" t="str">
            <v>0011801172CT</v>
          </cell>
          <cell r="C671" t="str">
            <v>变频外电脑板-FR-4240*180</v>
          </cell>
          <cell r="D671" t="str">
            <v>91M1</v>
          </cell>
          <cell r="E671" t="str">
            <v>直供国内A股采购组织</v>
          </cell>
          <cell r="F671" t="str">
            <v>寄售</v>
          </cell>
          <cell r="G671" t="str">
            <v>2026-12-31</v>
          </cell>
          <cell r="H671" t="str">
            <v>15</v>
          </cell>
          <cell r="I671" t="str">
            <v>151.20</v>
          </cell>
        </row>
        <row r="672">
          <cell r="B672" t="str">
            <v>0011801330S</v>
          </cell>
          <cell r="C672" t="str">
            <v>室内电脑板-CEM-1</v>
          </cell>
          <cell r="D672" t="str">
            <v>91M1</v>
          </cell>
          <cell r="E672" t="str">
            <v>直供国内A股采购组织</v>
          </cell>
          <cell r="F672" t="str">
            <v>寄售</v>
          </cell>
          <cell r="G672" t="str">
            <v>2026-12-31</v>
          </cell>
          <cell r="H672" t="str">
            <v>15</v>
          </cell>
          <cell r="I672" t="str">
            <v>36.73</v>
          </cell>
        </row>
        <row r="673">
          <cell r="B673" t="str">
            <v>0011801423AT</v>
          </cell>
          <cell r="C673" t="str">
            <v>变频外电脑板-FR-4</v>
          </cell>
          <cell r="D673" t="str">
            <v>91M1</v>
          </cell>
          <cell r="E673" t="str">
            <v>直供国内A股采购组织</v>
          </cell>
          <cell r="F673" t="str">
            <v>寄售</v>
          </cell>
          <cell r="G673" t="str">
            <v>2026-12-31</v>
          </cell>
          <cell r="H673" t="str">
            <v>15</v>
          </cell>
          <cell r="I673" t="str">
            <v>141.18</v>
          </cell>
        </row>
        <row r="674">
          <cell r="B674" t="str">
            <v>0011801424AW</v>
          </cell>
          <cell r="C674" t="str">
            <v>变频外电脑板-FR-4/</v>
          </cell>
          <cell r="D674" t="str">
            <v>91M1</v>
          </cell>
          <cell r="E674" t="str">
            <v>直供国内A股采购组织</v>
          </cell>
          <cell r="F674" t="str">
            <v>寄售</v>
          </cell>
          <cell r="G674" t="str">
            <v>2026-12-31</v>
          </cell>
          <cell r="H674" t="str">
            <v>15</v>
          </cell>
          <cell r="I674" t="str">
            <v>115.43</v>
          </cell>
        </row>
        <row r="675">
          <cell r="B675" t="str">
            <v>0011801606E</v>
          </cell>
          <cell r="C675" t="str">
            <v>室内电脑板-FR-4340*88mm</v>
          </cell>
          <cell r="D675" t="str">
            <v>91M1</v>
          </cell>
          <cell r="E675" t="str">
            <v>直供国内A股采购组织</v>
          </cell>
          <cell r="F675" t="str">
            <v>寄售</v>
          </cell>
          <cell r="G675" t="str">
            <v>2026-12-31</v>
          </cell>
          <cell r="H675" t="str">
            <v>15</v>
          </cell>
          <cell r="I675" t="str">
            <v>73.61</v>
          </cell>
        </row>
        <row r="676">
          <cell r="B676" t="str">
            <v>0011800324</v>
          </cell>
          <cell r="C676" t="str">
            <v>显示面板-CEM-1</v>
          </cell>
          <cell r="D676" t="str">
            <v>91M1</v>
          </cell>
          <cell r="E676" t="str">
            <v>直供国内A股采购组织</v>
          </cell>
          <cell r="F676" t="str">
            <v>寄售</v>
          </cell>
          <cell r="G676" t="str">
            <v>2026-12-31</v>
          </cell>
          <cell r="H676" t="str">
            <v>15</v>
          </cell>
          <cell r="I676" t="str">
            <v>8.38</v>
          </cell>
        </row>
        <row r="677">
          <cell r="B677" t="str">
            <v>0011800376AG</v>
          </cell>
          <cell r="C677" t="str">
            <v>室内电脑板-CEM-1</v>
          </cell>
          <cell r="D677" t="str">
            <v>91M1</v>
          </cell>
          <cell r="E677" t="str">
            <v>直供国内A股采购组织</v>
          </cell>
          <cell r="F677" t="str">
            <v>寄售</v>
          </cell>
          <cell r="G677" t="str">
            <v>2026-12-31</v>
          </cell>
          <cell r="H677" t="str">
            <v>15</v>
          </cell>
          <cell r="I677" t="str">
            <v>41.11</v>
          </cell>
        </row>
        <row r="678">
          <cell r="B678" t="str">
            <v>0011800612C</v>
          </cell>
          <cell r="C678" t="str">
            <v>室内电脑板-CEM-1</v>
          </cell>
          <cell r="D678" t="str">
            <v>91M1</v>
          </cell>
          <cell r="E678" t="str">
            <v>直供国内A股采购组织</v>
          </cell>
          <cell r="F678" t="str">
            <v>寄售</v>
          </cell>
          <cell r="G678" t="str">
            <v>2026-12-31</v>
          </cell>
          <cell r="H678" t="str">
            <v>15</v>
          </cell>
          <cell r="I678" t="str">
            <v>27.75</v>
          </cell>
        </row>
        <row r="679">
          <cell r="B679" t="str">
            <v>0011800612D</v>
          </cell>
          <cell r="C679" t="str">
            <v>室内电脑板-CEM-1</v>
          </cell>
          <cell r="D679" t="str">
            <v>91M1</v>
          </cell>
          <cell r="E679" t="str">
            <v>直供国内A股采购组织</v>
          </cell>
          <cell r="F679" t="str">
            <v>寄售</v>
          </cell>
          <cell r="G679" t="str">
            <v>2026-12-31</v>
          </cell>
          <cell r="H679" t="str">
            <v>15</v>
          </cell>
          <cell r="I679" t="str">
            <v>31.46</v>
          </cell>
        </row>
        <row r="680">
          <cell r="B680" t="str">
            <v>0011800612Y</v>
          </cell>
          <cell r="C680" t="str">
            <v>室内电脑板-CEM-1\--</v>
          </cell>
          <cell r="D680" t="str">
            <v>91M1</v>
          </cell>
          <cell r="E680" t="str">
            <v>直供国内A股采购组织</v>
          </cell>
          <cell r="F680" t="str">
            <v>寄售</v>
          </cell>
          <cell r="G680" t="str">
            <v>2026-12-31</v>
          </cell>
          <cell r="H680" t="str">
            <v>15</v>
          </cell>
          <cell r="I680" t="str">
            <v>31.44</v>
          </cell>
        </row>
        <row r="681">
          <cell r="B681" t="str">
            <v>0011800612Z</v>
          </cell>
          <cell r="C681" t="str">
            <v>室内电脑板-CEM-1\--</v>
          </cell>
          <cell r="D681" t="str">
            <v>91M1</v>
          </cell>
          <cell r="E681" t="str">
            <v>直供国内A股采购组织</v>
          </cell>
          <cell r="F681" t="str">
            <v>寄售</v>
          </cell>
          <cell r="G681" t="str">
            <v>2026-12-31</v>
          </cell>
          <cell r="H681" t="str">
            <v>15</v>
          </cell>
          <cell r="I681" t="str">
            <v>25.75</v>
          </cell>
        </row>
        <row r="682">
          <cell r="B682" t="str">
            <v>0011800923F</v>
          </cell>
          <cell r="C682" t="str">
            <v>室内电脑板-CEM-1电脑板尺寸为105*208</v>
          </cell>
          <cell r="D682" t="str">
            <v>91M1</v>
          </cell>
          <cell r="E682" t="str">
            <v>直供国内A股采购组织</v>
          </cell>
          <cell r="F682" t="str">
            <v>寄售</v>
          </cell>
          <cell r="G682" t="str">
            <v>2026-12-31</v>
          </cell>
          <cell r="H682" t="str">
            <v>30</v>
          </cell>
          <cell r="I682" t="str">
            <v>46.65</v>
          </cell>
        </row>
        <row r="683">
          <cell r="B683" t="str">
            <v>0011800970AA</v>
          </cell>
          <cell r="C683" t="str">
            <v>变频外电脑板-通用23T直流变频</v>
          </cell>
          <cell r="D683" t="str">
            <v>91M1</v>
          </cell>
          <cell r="E683" t="str">
            <v>直供国内A股采购组织</v>
          </cell>
          <cell r="F683" t="str">
            <v>寄售</v>
          </cell>
          <cell r="G683" t="str">
            <v>2026-12-31</v>
          </cell>
          <cell r="H683" t="str">
            <v>15</v>
          </cell>
          <cell r="I683" t="str">
            <v>106.76</v>
          </cell>
        </row>
        <row r="684">
          <cell r="B684" t="str">
            <v>0011800977AA</v>
          </cell>
          <cell r="C684" t="str">
            <v>室内电脑板-FR-4</v>
          </cell>
          <cell r="D684" t="str">
            <v>91M1</v>
          </cell>
          <cell r="E684" t="str">
            <v>直供国内A股采购组织</v>
          </cell>
          <cell r="F684" t="str">
            <v>寄售</v>
          </cell>
          <cell r="G684" t="str">
            <v>2026-12-31</v>
          </cell>
          <cell r="H684" t="str">
            <v>15</v>
          </cell>
          <cell r="I684" t="str">
            <v>29.30</v>
          </cell>
        </row>
        <row r="685">
          <cell r="B685" t="str">
            <v>0011800977B</v>
          </cell>
          <cell r="C685" t="str">
            <v>室内电脑板-CEM-1/</v>
          </cell>
          <cell r="D685" t="str">
            <v>91M1</v>
          </cell>
          <cell r="E685" t="str">
            <v>直供国内A股采购组织</v>
          </cell>
          <cell r="F685" t="str">
            <v>寄售</v>
          </cell>
          <cell r="G685" t="str">
            <v>2026-12-31</v>
          </cell>
          <cell r="H685" t="str">
            <v>15</v>
          </cell>
          <cell r="I685" t="str">
            <v>28.99</v>
          </cell>
        </row>
        <row r="686">
          <cell r="B686" t="str">
            <v>0011800977S</v>
          </cell>
          <cell r="C686" t="str">
            <v>室内电脑板-CEM-1/</v>
          </cell>
          <cell r="D686" t="str">
            <v>91M1</v>
          </cell>
          <cell r="E686" t="str">
            <v>直供国内A股采购组织</v>
          </cell>
          <cell r="F686" t="str">
            <v>寄售</v>
          </cell>
          <cell r="G686" t="str">
            <v>2026-12-31</v>
          </cell>
          <cell r="H686" t="str">
            <v>15</v>
          </cell>
          <cell r="I686" t="str">
            <v>27.80</v>
          </cell>
        </row>
        <row r="687">
          <cell r="B687" t="str">
            <v>0011800980K</v>
          </cell>
          <cell r="C687" t="str">
            <v>室内电脑板-FR-4P平台内机板</v>
          </cell>
          <cell r="D687" t="str">
            <v>91M1</v>
          </cell>
          <cell r="E687" t="str">
            <v>直供国内A股采购组织</v>
          </cell>
          <cell r="F687" t="str">
            <v>寄售</v>
          </cell>
          <cell r="G687" t="str">
            <v>2026-12-31</v>
          </cell>
          <cell r="H687" t="str">
            <v>30</v>
          </cell>
          <cell r="I687" t="str">
            <v>62.53</v>
          </cell>
        </row>
        <row r="688">
          <cell r="B688" t="str">
            <v>0011801039AN</v>
          </cell>
          <cell r="C688" t="str">
            <v>变频外电脑板-FR-4/</v>
          </cell>
          <cell r="D688" t="str">
            <v>91M1</v>
          </cell>
          <cell r="E688" t="str">
            <v>直供国内A股采购组织</v>
          </cell>
          <cell r="F688" t="str">
            <v>寄售</v>
          </cell>
          <cell r="G688" t="str">
            <v>2026-12-31</v>
          </cell>
          <cell r="H688" t="str">
            <v>15</v>
          </cell>
          <cell r="I688" t="str">
            <v>179.50</v>
          </cell>
        </row>
        <row r="689">
          <cell r="B689" t="str">
            <v>0011801048AF</v>
          </cell>
          <cell r="C689" t="str">
            <v>变频外电脑板-FR-4/</v>
          </cell>
          <cell r="D689" t="str">
            <v>91M1</v>
          </cell>
          <cell r="E689" t="str">
            <v>直供国内A股采购组织</v>
          </cell>
          <cell r="F689" t="str">
            <v>寄售</v>
          </cell>
          <cell r="G689" t="str">
            <v>2026-12-31</v>
          </cell>
          <cell r="H689" t="str">
            <v>15</v>
          </cell>
          <cell r="I689" t="str">
            <v>132.74</v>
          </cell>
        </row>
        <row r="690">
          <cell r="B690" t="str">
            <v>0011801119Q</v>
          </cell>
          <cell r="C690" t="str">
            <v>变频外电脑板-FR-4215mm*157mm</v>
          </cell>
          <cell r="D690" t="str">
            <v>91M1</v>
          </cell>
          <cell r="E690" t="str">
            <v>直供国内A股采购组织</v>
          </cell>
          <cell r="F690" t="str">
            <v>寄售</v>
          </cell>
          <cell r="G690" t="str">
            <v>2026-12-31</v>
          </cell>
          <cell r="H690" t="str">
            <v>15</v>
          </cell>
          <cell r="I690" t="str">
            <v>105.79</v>
          </cell>
        </row>
        <row r="691">
          <cell r="B691" t="str">
            <v>0011801125</v>
          </cell>
          <cell r="C691" t="str">
            <v>显示板-/53*95</v>
          </cell>
          <cell r="D691" t="str">
            <v>91M1</v>
          </cell>
          <cell r="E691" t="str">
            <v>直供国内A股采购组织</v>
          </cell>
          <cell r="F691" t="str">
            <v>寄售</v>
          </cell>
          <cell r="G691" t="str">
            <v>2026-12-31</v>
          </cell>
          <cell r="H691" t="str">
            <v>15</v>
          </cell>
          <cell r="I691" t="str">
            <v>5.60</v>
          </cell>
        </row>
        <row r="692">
          <cell r="B692" t="str">
            <v>0011801172BG</v>
          </cell>
          <cell r="C692" t="str">
            <v>变频外电脑板-FR-4240*180</v>
          </cell>
          <cell r="D692" t="str">
            <v>91M1</v>
          </cell>
          <cell r="E692" t="str">
            <v>直供国内A股采购组织</v>
          </cell>
          <cell r="F692" t="str">
            <v>寄售</v>
          </cell>
          <cell r="G692" t="str">
            <v>2026-12-31</v>
          </cell>
          <cell r="H692" t="str">
            <v>15</v>
          </cell>
          <cell r="I692" t="str">
            <v>182.27</v>
          </cell>
        </row>
        <row r="693">
          <cell r="B693" t="str">
            <v>0011801330AJ</v>
          </cell>
          <cell r="C693" t="str">
            <v>室内电脑板-CEM-1</v>
          </cell>
          <cell r="D693" t="str">
            <v>91M1</v>
          </cell>
          <cell r="E693" t="str">
            <v>直供国内A股采购组织</v>
          </cell>
          <cell r="F693" t="str">
            <v>寄售</v>
          </cell>
          <cell r="G693" t="str">
            <v>2026-12-31</v>
          </cell>
          <cell r="H693" t="str">
            <v>15</v>
          </cell>
          <cell r="I693" t="str">
            <v>34.97</v>
          </cell>
        </row>
        <row r="694">
          <cell r="B694" t="str">
            <v>0011801423AB</v>
          </cell>
          <cell r="C694" t="str">
            <v>变频外电脑板-FR-4240*180</v>
          </cell>
          <cell r="D694" t="str">
            <v>91M1</v>
          </cell>
          <cell r="E694" t="str">
            <v>直供国内A股采购组织</v>
          </cell>
          <cell r="F694" t="str">
            <v>寄售</v>
          </cell>
          <cell r="G694" t="str">
            <v>2026-12-31</v>
          </cell>
          <cell r="H694" t="str">
            <v>3</v>
          </cell>
          <cell r="I694" t="str">
            <v>141.18</v>
          </cell>
        </row>
        <row r="695">
          <cell r="B695" t="str">
            <v>0011801424AA</v>
          </cell>
          <cell r="C695" t="str">
            <v>变频外电脑板-FR-4/</v>
          </cell>
          <cell r="D695" t="str">
            <v>91M1</v>
          </cell>
          <cell r="E695" t="str">
            <v>直供国内A股采购组织</v>
          </cell>
          <cell r="F695" t="str">
            <v>寄售</v>
          </cell>
          <cell r="G695" t="str">
            <v>2026-12-31</v>
          </cell>
          <cell r="H695" t="str">
            <v>15</v>
          </cell>
          <cell r="I695" t="str">
            <v>133.21</v>
          </cell>
        </row>
        <row r="696">
          <cell r="B696" t="str">
            <v>0011801424BG</v>
          </cell>
          <cell r="C696" t="str">
            <v>变频外电脑板-FR-4</v>
          </cell>
          <cell r="D696" t="str">
            <v>91M1</v>
          </cell>
          <cell r="E696" t="str">
            <v>直供国内A股采购组织</v>
          </cell>
          <cell r="F696" t="str">
            <v>寄售</v>
          </cell>
          <cell r="G696" t="str">
            <v>2026-12-31</v>
          </cell>
          <cell r="H696" t="str">
            <v>15</v>
          </cell>
          <cell r="I696" t="str">
            <v>113.50</v>
          </cell>
        </row>
        <row r="697">
          <cell r="B697" t="str">
            <v>0011801424G</v>
          </cell>
          <cell r="C697" t="str">
            <v>变频外电脑板-FR-4/</v>
          </cell>
          <cell r="D697" t="str">
            <v>91M1</v>
          </cell>
          <cell r="E697" t="str">
            <v>直供国内A股采购组织</v>
          </cell>
          <cell r="F697" t="str">
            <v>寄售</v>
          </cell>
          <cell r="G697" t="str">
            <v>2026-12-31</v>
          </cell>
          <cell r="H697" t="str">
            <v>15</v>
          </cell>
          <cell r="I697" t="str">
            <v>108.33</v>
          </cell>
        </row>
        <row r="698">
          <cell r="B698" t="str">
            <v>0011800612AC</v>
          </cell>
          <cell r="C698" t="str">
            <v>室内电脑板-CEM-1\</v>
          </cell>
          <cell r="D698" t="str">
            <v>91M1</v>
          </cell>
          <cell r="E698" t="str">
            <v>直供国内A股采购组织</v>
          </cell>
          <cell r="F698" t="str">
            <v>寄售</v>
          </cell>
          <cell r="G698" t="str">
            <v>2026-12-31</v>
          </cell>
          <cell r="H698" t="str">
            <v>15</v>
          </cell>
          <cell r="I698" t="str">
            <v>30.03</v>
          </cell>
        </row>
        <row r="699">
          <cell r="B699" t="str">
            <v>0011800980J</v>
          </cell>
          <cell r="C699" t="str">
            <v>室内电脑板-FR-4P平台内机板</v>
          </cell>
          <cell r="D699" t="str">
            <v>91M1</v>
          </cell>
          <cell r="E699" t="str">
            <v>直供国内A股采购组织</v>
          </cell>
          <cell r="F699" t="str">
            <v>寄售</v>
          </cell>
          <cell r="G699" t="str">
            <v>2026-12-31</v>
          </cell>
          <cell r="H699" t="str">
            <v>15</v>
          </cell>
          <cell r="I699" t="str">
            <v>63.54</v>
          </cell>
        </row>
        <row r="700">
          <cell r="B700" t="str">
            <v>0011801119N</v>
          </cell>
          <cell r="C700" t="str">
            <v>变频外电脑板-FR-4215mm*157mm</v>
          </cell>
          <cell r="D700" t="str">
            <v>91M1</v>
          </cell>
          <cell r="E700" t="str">
            <v>直供国内A股采购组织</v>
          </cell>
          <cell r="F700" t="str">
            <v>寄售</v>
          </cell>
          <cell r="G700" t="str">
            <v>2026-12-31</v>
          </cell>
          <cell r="H700" t="str">
            <v>15</v>
          </cell>
          <cell r="I700" t="str">
            <v>94.85</v>
          </cell>
        </row>
        <row r="701">
          <cell r="B701" t="str">
            <v>0011801172BC</v>
          </cell>
          <cell r="C701" t="str">
            <v>变频外电脑板-FR-4240*180</v>
          </cell>
          <cell r="D701" t="str">
            <v>91M1</v>
          </cell>
          <cell r="E701" t="str">
            <v>直供国内A股采购组织</v>
          </cell>
          <cell r="F701" t="str">
            <v>寄售</v>
          </cell>
          <cell r="G701" t="str">
            <v>2026-12-31</v>
          </cell>
          <cell r="H701" t="str">
            <v>15</v>
          </cell>
          <cell r="I701" t="str">
            <v>166.08</v>
          </cell>
        </row>
        <row r="702">
          <cell r="B702" t="str">
            <v>0011801330</v>
          </cell>
          <cell r="C702" t="str">
            <v>室内电脑板-CEM-1</v>
          </cell>
          <cell r="D702" t="str">
            <v>91M1</v>
          </cell>
          <cell r="E702" t="str">
            <v>直供国内A股采购组织</v>
          </cell>
          <cell r="F702" t="str">
            <v>标准</v>
          </cell>
          <cell r="G702" t="str">
            <v>2026-12-31</v>
          </cell>
          <cell r="H702" t="str">
            <v>15</v>
          </cell>
          <cell r="I702" t="str">
            <v>51.27</v>
          </cell>
        </row>
        <row r="703">
          <cell r="B703" t="str">
            <v>0011801583K</v>
          </cell>
          <cell r="C703" t="str">
            <v>室内电脑板-FR-4</v>
          </cell>
          <cell r="D703" t="str">
            <v>91M1</v>
          </cell>
          <cell r="E703" t="str">
            <v>直供国内A股采购组织</v>
          </cell>
          <cell r="F703" t="str">
            <v>寄售</v>
          </cell>
          <cell r="G703" t="str">
            <v>2026-12-31</v>
          </cell>
          <cell r="H703" t="str">
            <v>15</v>
          </cell>
          <cell r="I703" t="str">
            <v>31.18</v>
          </cell>
        </row>
        <row r="704">
          <cell r="B704" t="str">
            <v>0011801652A</v>
          </cell>
          <cell r="C704" t="str">
            <v>室内电脑板-/</v>
          </cell>
          <cell r="D704" t="str">
            <v>91M1</v>
          </cell>
          <cell r="E704" t="str">
            <v>直供国内A股采购组织</v>
          </cell>
          <cell r="F704" t="str">
            <v>寄售</v>
          </cell>
          <cell r="G704" t="str">
            <v>2026-12-31</v>
          </cell>
          <cell r="H704" t="str">
            <v>15</v>
          </cell>
          <cell r="I704" t="str">
            <v>47.78</v>
          </cell>
        </row>
        <row r="705">
          <cell r="B705" t="str">
            <v>0011801675G</v>
          </cell>
          <cell r="C705" t="str">
            <v>室内电脑板-FR-4165*136</v>
          </cell>
          <cell r="D705" t="str">
            <v>91M1</v>
          </cell>
          <cell r="E705" t="str">
            <v>直供国内A股采购组织</v>
          </cell>
          <cell r="F705" t="str">
            <v>寄售</v>
          </cell>
          <cell r="G705" t="str">
            <v>2026-12-31</v>
          </cell>
          <cell r="H705" t="str">
            <v>15</v>
          </cell>
          <cell r="I705" t="str">
            <v>40.62</v>
          </cell>
        </row>
        <row r="706">
          <cell r="B706" t="str">
            <v>0011801738</v>
          </cell>
          <cell r="C706" t="str">
            <v>室内电脑板-CEM-3200x150mm</v>
          </cell>
          <cell r="D706" t="str">
            <v>91M1</v>
          </cell>
          <cell r="E706" t="str">
            <v>直供国内A股采购组织</v>
          </cell>
          <cell r="F706" t="str">
            <v>寄售</v>
          </cell>
          <cell r="G706" t="str">
            <v>2026-12-31</v>
          </cell>
          <cell r="H706" t="str">
            <v>3</v>
          </cell>
          <cell r="I706" t="str">
            <v>61.60</v>
          </cell>
        </row>
        <row r="707">
          <cell r="B707" t="str">
            <v>0011801850</v>
          </cell>
          <cell r="C707" t="str">
            <v>室内电脑板</v>
          </cell>
          <cell r="D707" t="str">
            <v>91M1</v>
          </cell>
          <cell r="E707" t="str">
            <v>直供国内A股采购组织</v>
          </cell>
          <cell r="F707" t="str">
            <v>寄售</v>
          </cell>
          <cell r="G707" t="str">
            <v>2026-12-31</v>
          </cell>
          <cell r="H707" t="str">
            <v>15</v>
          </cell>
          <cell r="I707" t="str">
            <v>48.23</v>
          </cell>
        </row>
        <row r="708">
          <cell r="B708" t="str">
            <v>0011801859J</v>
          </cell>
          <cell r="C708" t="str">
            <v>室内电脑板-FR-4</v>
          </cell>
          <cell r="D708" t="str">
            <v>91M1</v>
          </cell>
          <cell r="E708" t="str">
            <v>直供国内A股采购组织</v>
          </cell>
          <cell r="F708" t="str">
            <v>寄售</v>
          </cell>
          <cell r="G708" t="str">
            <v>2026-12-31</v>
          </cell>
          <cell r="H708" t="str">
            <v>15</v>
          </cell>
          <cell r="I708" t="str">
            <v>97.98</v>
          </cell>
        </row>
        <row r="709">
          <cell r="B709" t="str">
            <v>0011801977F</v>
          </cell>
          <cell r="C709" t="str">
            <v>室内电脑板-165mm*136mm</v>
          </cell>
          <cell r="D709" t="str">
            <v>91M1</v>
          </cell>
          <cell r="E709" t="str">
            <v>直供国内A股采购组织</v>
          </cell>
          <cell r="F709" t="str">
            <v>寄售</v>
          </cell>
          <cell r="G709" t="str">
            <v>2026-12-31</v>
          </cell>
          <cell r="H709" t="str">
            <v>15</v>
          </cell>
          <cell r="I709" t="str">
            <v>37.88</v>
          </cell>
        </row>
        <row r="710">
          <cell r="B710" t="str">
            <v>0041800751GYS</v>
          </cell>
          <cell r="C710" t="str">
            <v>AD显示板-LED显示板--MG5/MG7-电热</v>
          </cell>
          <cell r="D710" t="str">
            <v>91M1</v>
          </cell>
          <cell r="E710" t="str">
            <v>直供国内A股采购组织</v>
          </cell>
          <cell r="F710" t="str">
            <v>寄售</v>
          </cell>
          <cell r="G710" t="str">
            <v>2026-12-31</v>
          </cell>
          <cell r="H710" t="str">
            <v>14</v>
          </cell>
          <cell r="I710" t="str">
            <v>18.40</v>
          </cell>
        </row>
        <row r="711">
          <cell r="B711" t="str">
            <v>0041801949A</v>
          </cell>
          <cell r="C711" t="str">
            <v>AD显示板-LED显示板尺寸349mm*35mm*7mm曜石黑 HOBK-000</v>
          </cell>
          <cell r="D711" t="str">
            <v>91M1</v>
          </cell>
          <cell r="E711" t="str">
            <v>直供国内A股采购组织</v>
          </cell>
          <cell r="F711" t="str">
            <v>寄售</v>
          </cell>
          <cell r="G711" t="str">
            <v>2026-12-31</v>
          </cell>
          <cell r="H711" t="str">
            <v>14</v>
          </cell>
          <cell r="I711" t="str">
            <v>31.33</v>
          </cell>
        </row>
        <row r="712">
          <cell r="B712" t="str">
            <v>0011800612R</v>
          </cell>
          <cell r="C712" t="str">
            <v>室内电脑板-/---</v>
          </cell>
          <cell r="D712" t="str">
            <v>91M1</v>
          </cell>
          <cell r="E712" t="str">
            <v>直供国内A股采购组织</v>
          </cell>
          <cell r="F712" t="str">
            <v>寄售</v>
          </cell>
          <cell r="G712" t="str">
            <v>2026-12-31</v>
          </cell>
          <cell r="H712" t="str">
            <v>15</v>
          </cell>
          <cell r="I712" t="str">
            <v>28.67</v>
          </cell>
        </row>
        <row r="713">
          <cell r="B713" t="str">
            <v>0011800630R</v>
          </cell>
          <cell r="C713" t="str">
            <v>室内电脑板-/</v>
          </cell>
          <cell r="D713" t="str">
            <v>91M1</v>
          </cell>
          <cell r="E713" t="str">
            <v>直供国内A股采购组织</v>
          </cell>
          <cell r="F713" t="str">
            <v>寄售</v>
          </cell>
          <cell r="G713" t="str">
            <v>2026-12-31</v>
          </cell>
          <cell r="H713" t="str">
            <v>15</v>
          </cell>
          <cell r="I713" t="str">
            <v>39.48</v>
          </cell>
        </row>
        <row r="714">
          <cell r="B714" t="str">
            <v>0011800646K</v>
          </cell>
          <cell r="C714" t="str">
            <v>室内电脑板-FR-4208*105</v>
          </cell>
          <cell r="D714" t="str">
            <v>91M1</v>
          </cell>
          <cell r="E714" t="str">
            <v>直供国内A股采购组织</v>
          </cell>
          <cell r="F714" t="str">
            <v>寄售</v>
          </cell>
          <cell r="G714" t="str">
            <v>2026-12-31</v>
          </cell>
          <cell r="H714" t="str">
            <v>15</v>
          </cell>
          <cell r="I714" t="str">
            <v>49.73</v>
          </cell>
        </row>
        <row r="715">
          <cell r="B715" t="str">
            <v>0011800691AH</v>
          </cell>
          <cell r="C715" t="str">
            <v>室内电脑板-/162mm*130mm</v>
          </cell>
          <cell r="D715" t="str">
            <v>91M1</v>
          </cell>
          <cell r="E715" t="str">
            <v>直供国内A股采购组织</v>
          </cell>
          <cell r="F715" t="str">
            <v>寄售</v>
          </cell>
          <cell r="G715" t="str">
            <v>2026-12-31</v>
          </cell>
          <cell r="H715" t="str">
            <v>15</v>
          </cell>
          <cell r="I715" t="str">
            <v>29.27</v>
          </cell>
        </row>
        <row r="716">
          <cell r="B716" t="str">
            <v>0011800722GCHA</v>
          </cell>
          <cell r="C716" t="str">
            <v>室内电脑板-CEM-1</v>
          </cell>
          <cell r="D716" t="str">
            <v>91M1</v>
          </cell>
          <cell r="E716" t="str">
            <v>直供国内A股采购组织</v>
          </cell>
          <cell r="F716" t="str">
            <v>寄售</v>
          </cell>
          <cell r="G716" t="str">
            <v>2026-12-31</v>
          </cell>
          <cell r="H716" t="str">
            <v>15</v>
          </cell>
          <cell r="I716" t="str">
            <v>21.95</v>
          </cell>
        </row>
        <row r="717">
          <cell r="B717" t="str">
            <v>0011801039AV</v>
          </cell>
          <cell r="C717" t="str">
            <v>变频外电脑板-FR-4</v>
          </cell>
          <cell r="D717" t="str">
            <v>91M1</v>
          </cell>
          <cell r="E717" t="str">
            <v>直供国内A股采购组织</v>
          </cell>
          <cell r="F717" t="str">
            <v>寄售</v>
          </cell>
          <cell r="G717" t="str">
            <v>2026-12-31</v>
          </cell>
          <cell r="H717" t="str">
            <v>15</v>
          </cell>
          <cell r="I717" t="str">
            <v>202.60</v>
          </cell>
        </row>
        <row r="718">
          <cell r="B718" t="str">
            <v>0011801112H</v>
          </cell>
          <cell r="C718" t="str">
            <v>显示板-LED166*93mm</v>
          </cell>
          <cell r="D718" t="str">
            <v>91M1</v>
          </cell>
          <cell r="E718" t="str">
            <v>直供国内A股采购组织</v>
          </cell>
          <cell r="F718" t="str">
            <v>寄售</v>
          </cell>
          <cell r="G718" t="str">
            <v>2026-12-31</v>
          </cell>
          <cell r="H718" t="str">
            <v>15</v>
          </cell>
          <cell r="I718" t="str">
            <v>37.78</v>
          </cell>
        </row>
        <row r="719">
          <cell r="B719" t="str">
            <v>0011801150G</v>
          </cell>
          <cell r="C719" t="str">
            <v>变频外电脑板-FR-4230mm*157mm</v>
          </cell>
          <cell r="D719" t="str">
            <v>91M1</v>
          </cell>
          <cell r="E719" t="str">
            <v>直供国内A股采购组织</v>
          </cell>
          <cell r="F719" t="str">
            <v>寄售</v>
          </cell>
          <cell r="G719" t="str">
            <v>2026-12-31</v>
          </cell>
          <cell r="H719" t="str">
            <v>15</v>
          </cell>
          <cell r="I719" t="str">
            <v>134.12</v>
          </cell>
        </row>
        <row r="720">
          <cell r="B720" t="str">
            <v>0011801172CU</v>
          </cell>
          <cell r="C720" t="str">
            <v>变频外电脑板-FR-4240*180</v>
          </cell>
          <cell r="D720" t="str">
            <v>91M1</v>
          </cell>
          <cell r="E720" t="str">
            <v>直供国内A股采购组织</v>
          </cell>
          <cell r="F720" t="str">
            <v>寄售</v>
          </cell>
          <cell r="G720" t="str">
            <v>2026-12-31</v>
          </cell>
          <cell r="H720" t="str">
            <v>15</v>
          </cell>
          <cell r="I720" t="str">
            <v>190.00</v>
          </cell>
        </row>
        <row r="721">
          <cell r="B721" t="str">
            <v>0011801172DL</v>
          </cell>
          <cell r="C721" t="str">
            <v>变频外电脑板-FR-4</v>
          </cell>
          <cell r="D721" t="str">
            <v>91M1</v>
          </cell>
          <cell r="E721" t="str">
            <v>直供国内A股采购组织</v>
          </cell>
          <cell r="F721" t="str">
            <v>寄售</v>
          </cell>
          <cell r="G721" t="str">
            <v>2026-12-31</v>
          </cell>
          <cell r="H721" t="str">
            <v>15</v>
          </cell>
          <cell r="I721" t="str">
            <v>170.96</v>
          </cell>
        </row>
        <row r="722">
          <cell r="B722" t="str">
            <v>0011801172DV</v>
          </cell>
          <cell r="C722" t="str">
            <v>变频外电脑板-FR-4</v>
          </cell>
          <cell r="D722" t="str">
            <v>91M1</v>
          </cell>
          <cell r="E722" t="str">
            <v>直供国内A股采购组织</v>
          </cell>
          <cell r="F722" t="str">
            <v>寄售</v>
          </cell>
          <cell r="G722" t="str">
            <v>2026-12-31</v>
          </cell>
          <cell r="H722" t="str">
            <v>15</v>
          </cell>
          <cell r="I722" t="str">
            <v>172.30</v>
          </cell>
        </row>
        <row r="723">
          <cell r="B723" t="str">
            <v>0011801256L</v>
          </cell>
          <cell r="C723" t="str">
            <v>室内电脑板-CEM-1</v>
          </cell>
          <cell r="D723" t="str">
            <v>91M1</v>
          </cell>
          <cell r="E723" t="str">
            <v>直供国内A股采购组织</v>
          </cell>
          <cell r="F723" t="str">
            <v>寄售</v>
          </cell>
          <cell r="G723" t="str">
            <v>2026-12-31</v>
          </cell>
          <cell r="H723" t="str">
            <v>15</v>
          </cell>
          <cell r="I723" t="str">
            <v>32.40</v>
          </cell>
        </row>
        <row r="724">
          <cell r="B724" t="str">
            <v>0011801583AD</v>
          </cell>
          <cell r="C724" t="str">
            <v>室内电脑板</v>
          </cell>
          <cell r="D724" t="str">
            <v>91M1</v>
          </cell>
          <cell r="E724" t="str">
            <v>直供国内A股采购组织</v>
          </cell>
          <cell r="F724" t="str">
            <v>寄售</v>
          </cell>
          <cell r="G724" t="str">
            <v>2026-12-31</v>
          </cell>
          <cell r="H724" t="str">
            <v>15</v>
          </cell>
          <cell r="I724" t="str">
            <v>31.18</v>
          </cell>
        </row>
        <row r="725">
          <cell r="B725" t="str">
            <v>0011801606F</v>
          </cell>
          <cell r="C725" t="str">
            <v>室内电脑板-FR-4340*88mm</v>
          </cell>
          <cell r="D725" t="str">
            <v>91M1</v>
          </cell>
          <cell r="E725" t="str">
            <v>直供国内A股采购组织</v>
          </cell>
          <cell r="F725" t="str">
            <v>寄售</v>
          </cell>
          <cell r="G725" t="str">
            <v>2026-12-31</v>
          </cell>
          <cell r="H725" t="str">
            <v>15</v>
          </cell>
          <cell r="I725" t="str">
            <v>83.92</v>
          </cell>
        </row>
        <row r="726">
          <cell r="B726" t="str">
            <v>0011800324N</v>
          </cell>
          <cell r="C726" t="str">
            <v>显示面板-CEM-1</v>
          </cell>
          <cell r="D726" t="str">
            <v>91M1</v>
          </cell>
          <cell r="E726" t="str">
            <v>直供国内A股采购组织</v>
          </cell>
          <cell r="F726" t="str">
            <v>寄售</v>
          </cell>
          <cell r="G726" t="str">
            <v>2026-12-31</v>
          </cell>
          <cell r="H726" t="str">
            <v>15</v>
          </cell>
          <cell r="I726" t="str">
            <v>8.59</v>
          </cell>
        </row>
        <row r="727">
          <cell r="B727" t="str">
            <v>0011800646F</v>
          </cell>
          <cell r="C727" t="str">
            <v>室内电脑板-FR-4</v>
          </cell>
          <cell r="D727" t="str">
            <v>91M1</v>
          </cell>
          <cell r="E727" t="str">
            <v>直供国内A股采购组织</v>
          </cell>
          <cell r="F727" t="str">
            <v>寄售</v>
          </cell>
          <cell r="G727" t="str">
            <v>2026-12-31</v>
          </cell>
          <cell r="H727" t="str">
            <v>15</v>
          </cell>
          <cell r="I727" t="str">
            <v>40.38</v>
          </cell>
        </row>
        <row r="728">
          <cell r="B728" t="str">
            <v>0011800646L</v>
          </cell>
          <cell r="C728" t="str">
            <v>室内电脑板-FR-4/</v>
          </cell>
          <cell r="D728" t="str">
            <v>91M1</v>
          </cell>
          <cell r="E728" t="str">
            <v>直供国内A股采购组织</v>
          </cell>
          <cell r="F728" t="str">
            <v>寄售</v>
          </cell>
          <cell r="G728" t="str">
            <v>2026-12-31</v>
          </cell>
          <cell r="H728" t="str">
            <v>15</v>
          </cell>
          <cell r="I728" t="str">
            <v>40.97</v>
          </cell>
        </row>
        <row r="729">
          <cell r="B729" t="str">
            <v>0011800691AN</v>
          </cell>
          <cell r="C729" t="str">
            <v>室内电脑板-/162mm*130mm</v>
          </cell>
          <cell r="D729" t="str">
            <v>91M1</v>
          </cell>
          <cell r="E729" t="str">
            <v>直供国内A股采购组织</v>
          </cell>
          <cell r="F729" t="str">
            <v>寄售</v>
          </cell>
          <cell r="G729" t="str">
            <v>2026-12-31</v>
          </cell>
          <cell r="H729" t="str">
            <v>15</v>
          </cell>
          <cell r="I729" t="str">
            <v>27.73</v>
          </cell>
        </row>
        <row r="730">
          <cell r="B730" t="str">
            <v>0011800933S</v>
          </cell>
          <cell r="C730" t="str">
            <v>变频外电脑板-FR-4215mm*157mm</v>
          </cell>
          <cell r="D730" t="str">
            <v>91M1</v>
          </cell>
          <cell r="E730" t="str">
            <v>直供国内A股采购组织</v>
          </cell>
          <cell r="F730" t="str">
            <v>寄售</v>
          </cell>
          <cell r="G730" t="str">
            <v>2026-12-31</v>
          </cell>
          <cell r="H730" t="str">
            <v>15</v>
          </cell>
          <cell r="I730" t="str">
            <v>133.00</v>
          </cell>
        </row>
        <row r="731">
          <cell r="B731" t="str">
            <v>0011800977J</v>
          </cell>
          <cell r="C731" t="str">
            <v>室内电脑板-CEM-1/</v>
          </cell>
          <cell r="D731" t="str">
            <v>91M1</v>
          </cell>
          <cell r="E731" t="str">
            <v>直供国内A股采购组织</v>
          </cell>
          <cell r="F731" t="str">
            <v>寄售</v>
          </cell>
          <cell r="G731" t="str">
            <v>2026-12-31</v>
          </cell>
          <cell r="H731" t="str">
            <v>30</v>
          </cell>
          <cell r="I731" t="str">
            <v>29.42</v>
          </cell>
        </row>
        <row r="732">
          <cell r="B732" t="str">
            <v>0011800997GCH</v>
          </cell>
          <cell r="C732" t="str">
            <v>变频外电脑板-/</v>
          </cell>
          <cell r="D732" t="str">
            <v>91M1</v>
          </cell>
          <cell r="E732" t="str">
            <v>直供国内A股采购组织</v>
          </cell>
          <cell r="F732" t="str">
            <v>寄售</v>
          </cell>
          <cell r="G732" t="str">
            <v>2026-12-31</v>
          </cell>
          <cell r="H732" t="str">
            <v>15</v>
          </cell>
          <cell r="I732" t="str">
            <v>130.23</v>
          </cell>
        </row>
        <row r="733">
          <cell r="B733" t="str">
            <v>0011801048AH</v>
          </cell>
          <cell r="C733" t="str">
            <v>变频外电脑板-FR-4/</v>
          </cell>
          <cell r="D733" t="str">
            <v>91M1</v>
          </cell>
          <cell r="E733" t="str">
            <v>直供国内A股采购组织</v>
          </cell>
          <cell r="F733" t="str">
            <v>寄售</v>
          </cell>
          <cell r="G733" t="str">
            <v>2026-12-31</v>
          </cell>
          <cell r="H733" t="str">
            <v>15</v>
          </cell>
          <cell r="I733" t="str">
            <v>134.23</v>
          </cell>
        </row>
        <row r="734">
          <cell r="B734" t="str">
            <v>0011801123G</v>
          </cell>
          <cell r="C734" t="str">
            <v>室内电脑板-FR-4136*165</v>
          </cell>
          <cell r="D734" t="str">
            <v>91M1</v>
          </cell>
          <cell r="E734" t="str">
            <v>直供国内A股采购组织</v>
          </cell>
          <cell r="F734" t="str">
            <v>寄售</v>
          </cell>
          <cell r="G734" t="str">
            <v>2026-12-31</v>
          </cell>
          <cell r="H734" t="str">
            <v>30</v>
          </cell>
          <cell r="I734" t="str">
            <v>47.64</v>
          </cell>
        </row>
        <row r="735">
          <cell r="B735" t="str">
            <v>0011801172BT</v>
          </cell>
          <cell r="C735" t="str">
            <v>变频外电脑板-FR-4</v>
          </cell>
          <cell r="D735" t="str">
            <v>91M1</v>
          </cell>
          <cell r="E735" t="str">
            <v>直供国内A股采购组织</v>
          </cell>
          <cell r="F735" t="str">
            <v>寄售</v>
          </cell>
          <cell r="G735" t="str">
            <v>2026-12-31</v>
          </cell>
          <cell r="H735" t="str">
            <v>15</v>
          </cell>
          <cell r="I735" t="str">
            <v>183.31</v>
          </cell>
        </row>
        <row r="736">
          <cell r="B736" t="str">
            <v>0011801172CW</v>
          </cell>
          <cell r="C736" t="str">
            <v>变频外电脑板-FR-4</v>
          </cell>
          <cell r="D736" t="str">
            <v>91M1</v>
          </cell>
          <cell r="E736" t="str">
            <v>直供国内A股采购组织</v>
          </cell>
          <cell r="F736" t="str">
            <v>寄售</v>
          </cell>
          <cell r="G736" t="str">
            <v>2026-12-31</v>
          </cell>
          <cell r="H736" t="str">
            <v>15</v>
          </cell>
          <cell r="I736" t="str">
            <v>174.74</v>
          </cell>
        </row>
        <row r="737">
          <cell r="B737" t="str">
            <v>0011801172DM</v>
          </cell>
          <cell r="C737" t="str">
            <v>变频外电脑板-FR-4</v>
          </cell>
          <cell r="D737" t="str">
            <v>91M1</v>
          </cell>
          <cell r="E737" t="str">
            <v>直供国内A股采购组织</v>
          </cell>
          <cell r="F737" t="str">
            <v>寄售</v>
          </cell>
          <cell r="G737" t="str">
            <v>2026-12-31</v>
          </cell>
          <cell r="H737" t="str">
            <v>15</v>
          </cell>
          <cell r="I737" t="str">
            <v>177.41</v>
          </cell>
        </row>
        <row r="738">
          <cell r="B738" t="str">
            <v>0011801172FB</v>
          </cell>
          <cell r="C738" t="str">
            <v>变频外电脑板-FR-4</v>
          </cell>
          <cell r="D738" t="str">
            <v>91M1</v>
          </cell>
          <cell r="E738" t="str">
            <v>直供国内A股采购组织</v>
          </cell>
          <cell r="F738" t="str">
            <v>寄售</v>
          </cell>
          <cell r="G738" t="str">
            <v>2026-12-31</v>
          </cell>
          <cell r="H738" t="str">
            <v>15</v>
          </cell>
          <cell r="I738" t="str">
            <v>160.17</v>
          </cell>
        </row>
        <row r="739">
          <cell r="B739" t="str">
            <v>0011801256M</v>
          </cell>
          <cell r="C739" t="str">
            <v>室内电脑板-CEM-1</v>
          </cell>
          <cell r="D739" t="str">
            <v>91M1</v>
          </cell>
          <cell r="E739" t="str">
            <v>直供国内A股采购组织</v>
          </cell>
          <cell r="F739" t="str">
            <v>寄售</v>
          </cell>
          <cell r="G739" t="str">
            <v>2026-12-31</v>
          </cell>
          <cell r="H739" t="str">
            <v>15</v>
          </cell>
          <cell r="I739" t="str">
            <v>33.30</v>
          </cell>
        </row>
        <row r="740">
          <cell r="B740" t="str">
            <v>0011801423AJ</v>
          </cell>
          <cell r="C740" t="str">
            <v>变频外电脑板-FR-4</v>
          </cell>
          <cell r="D740" t="str">
            <v>91M1</v>
          </cell>
          <cell r="E740" t="str">
            <v>直供国内A股采购组织</v>
          </cell>
          <cell r="F740" t="str">
            <v>寄售</v>
          </cell>
          <cell r="G740" t="str">
            <v>2026-12-31</v>
          </cell>
          <cell r="H740" t="str">
            <v>15</v>
          </cell>
          <cell r="I740" t="str">
            <v>128.13</v>
          </cell>
        </row>
        <row r="741">
          <cell r="B741" t="str">
            <v>0011801424AE</v>
          </cell>
          <cell r="C741" t="str">
            <v>变频外电脑板-FR-4/</v>
          </cell>
          <cell r="D741" t="str">
            <v>91M1</v>
          </cell>
          <cell r="E741" t="str">
            <v>直供国内A股采购组织</v>
          </cell>
          <cell r="F741" t="str">
            <v>寄售</v>
          </cell>
          <cell r="G741" t="str">
            <v>2026-12-31</v>
          </cell>
          <cell r="H741" t="str">
            <v>15</v>
          </cell>
          <cell r="I741" t="str">
            <v>116.13</v>
          </cell>
        </row>
        <row r="742">
          <cell r="B742" t="str">
            <v>0011801522A</v>
          </cell>
          <cell r="C742" t="str">
            <v>室内电脑板-CEM-1室内电脑板俄罗斯22年DAICHI客户定频12P系列室内电</v>
          </cell>
          <cell r="D742" t="str">
            <v>91M1</v>
          </cell>
          <cell r="E742" t="str">
            <v>直供国内A股采购组织</v>
          </cell>
          <cell r="F742" t="str">
            <v>寄售</v>
          </cell>
          <cell r="G742" t="str">
            <v>2026-12-31</v>
          </cell>
          <cell r="H742" t="str">
            <v>30</v>
          </cell>
          <cell r="I742" t="str">
            <v>49.66</v>
          </cell>
        </row>
        <row r="743">
          <cell r="B743" t="str">
            <v>0011801583X</v>
          </cell>
          <cell r="C743" t="str">
            <v>室内电脑板</v>
          </cell>
          <cell r="D743" t="str">
            <v>91M1</v>
          </cell>
          <cell r="E743" t="str">
            <v>直供国内A股采购组织</v>
          </cell>
          <cell r="F743" t="str">
            <v>寄售</v>
          </cell>
          <cell r="G743" t="str">
            <v>2026-12-31</v>
          </cell>
          <cell r="H743" t="str">
            <v>15</v>
          </cell>
          <cell r="I743" t="str">
            <v>31.22</v>
          </cell>
        </row>
        <row r="744">
          <cell r="B744" t="str">
            <v>0011800950D</v>
          </cell>
          <cell r="C744" t="str">
            <v>显示板-LED/</v>
          </cell>
          <cell r="D744" t="str">
            <v>91M1</v>
          </cell>
          <cell r="E744" t="str">
            <v>直供国内A股采购组织</v>
          </cell>
          <cell r="F744" t="str">
            <v>寄售</v>
          </cell>
          <cell r="G744" t="str">
            <v>2026-12-31</v>
          </cell>
          <cell r="H744" t="str">
            <v>15</v>
          </cell>
          <cell r="I744" t="str">
            <v>19.90</v>
          </cell>
        </row>
        <row r="745">
          <cell r="B745" t="str">
            <v>0011800977P</v>
          </cell>
          <cell r="C745" t="str">
            <v>室内电脑板-CEM-1/</v>
          </cell>
          <cell r="D745" t="str">
            <v>91M1</v>
          </cell>
          <cell r="E745" t="str">
            <v>直供国内A股采购组织</v>
          </cell>
          <cell r="F745" t="str">
            <v>寄售</v>
          </cell>
          <cell r="G745" t="str">
            <v>2026-12-31</v>
          </cell>
          <cell r="H745" t="str">
            <v>30</v>
          </cell>
          <cell r="I745" t="str">
            <v>27.96</v>
          </cell>
        </row>
        <row r="746">
          <cell r="B746" t="str">
            <v>0011801172CH</v>
          </cell>
          <cell r="C746" t="str">
            <v>变频外电脑板-FR-4240*180</v>
          </cell>
          <cell r="D746" t="str">
            <v>91M1</v>
          </cell>
          <cell r="E746" t="str">
            <v>直供国内A股采购组织</v>
          </cell>
          <cell r="F746" t="str">
            <v>寄售</v>
          </cell>
          <cell r="G746" t="str">
            <v>2026-12-31</v>
          </cell>
          <cell r="H746" t="str">
            <v>15</v>
          </cell>
          <cell r="I746" t="str">
            <v>172.04</v>
          </cell>
        </row>
        <row r="747">
          <cell r="B747" t="str">
            <v>0011801172DK</v>
          </cell>
          <cell r="C747" t="str">
            <v>变频外电脑板-FR-4240*180</v>
          </cell>
          <cell r="D747" t="str">
            <v>91M1</v>
          </cell>
          <cell r="E747" t="str">
            <v>直供国内A股采购组织</v>
          </cell>
          <cell r="F747" t="str">
            <v>寄售</v>
          </cell>
          <cell r="G747" t="str">
            <v>2026-12-31</v>
          </cell>
          <cell r="H747" t="str">
            <v>15</v>
          </cell>
          <cell r="I747" t="str">
            <v>178.21</v>
          </cell>
        </row>
        <row r="748">
          <cell r="B748" t="str">
            <v>0011801172DU</v>
          </cell>
          <cell r="C748" t="str">
            <v>变频外电脑板-FR-4</v>
          </cell>
          <cell r="D748" t="str">
            <v>91M1</v>
          </cell>
          <cell r="E748" t="str">
            <v>直供国内A股采购组织</v>
          </cell>
          <cell r="F748" t="str">
            <v>寄售</v>
          </cell>
          <cell r="G748" t="str">
            <v>2026-12-31</v>
          </cell>
          <cell r="H748" t="str">
            <v>15</v>
          </cell>
          <cell r="I748" t="str">
            <v>172.00</v>
          </cell>
        </row>
        <row r="749">
          <cell r="B749" t="str">
            <v>0011801256B</v>
          </cell>
          <cell r="C749" t="str">
            <v>室内电脑板-CEM-1</v>
          </cell>
          <cell r="D749" t="str">
            <v>91M1</v>
          </cell>
          <cell r="E749" t="str">
            <v>直供国内A股采购组织</v>
          </cell>
          <cell r="F749" t="str">
            <v>寄售</v>
          </cell>
          <cell r="G749" t="str">
            <v>2026-12-31</v>
          </cell>
          <cell r="H749" t="str">
            <v>15</v>
          </cell>
          <cell r="I749" t="str">
            <v>33.01</v>
          </cell>
        </row>
        <row r="750">
          <cell r="B750" t="str">
            <v>0151800208CM</v>
          </cell>
          <cell r="C750" t="str">
            <v>电脑板-FR-4AB25S2SC2FA</v>
          </cell>
          <cell r="D750" t="str">
            <v>91M1</v>
          </cell>
          <cell r="E750" t="str">
            <v>直供国内A股采购组织</v>
          </cell>
          <cell r="F750" t="str">
            <v>寄售</v>
          </cell>
          <cell r="G750" t="str">
            <v>2026-12-31</v>
          </cell>
          <cell r="H750" t="str">
            <v>30</v>
          </cell>
          <cell r="I750" t="str">
            <v>89.60</v>
          </cell>
        </row>
        <row r="751">
          <cell r="B751" t="str">
            <v>0151801031A</v>
          </cell>
          <cell r="C751" t="str">
            <v>电脑板-FR-4</v>
          </cell>
          <cell r="D751" t="str">
            <v>91M1</v>
          </cell>
          <cell r="E751" t="str">
            <v>直供国内A股采购组织</v>
          </cell>
          <cell r="F751" t="str">
            <v>寄售</v>
          </cell>
          <cell r="G751" t="str">
            <v>2026-12-31</v>
          </cell>
          <cell r="H751" t="str">
            <v>45</v>
          </cell>
          <cell r="I751" t="str">
            <v>337.15</v>
          </cell>
        </row>
        <row r="752">
          <cell r="B752" t="str">
            <v>0190400534A</v>
          </cell>
          <cell r="C752" t="str">
            <v>主控板-通用</v>
          </cell>
          <cell r="D752" t="str">
            <v>91M1</v>
          </cell>
          <cell r="E752" t="str">
            <v>直供国内A股采购组织</v>
          </cell>
          <cell r="F752" t="str">
            <v>寄售</v>
          </cell>
          <cell r="G752" t="str">
            <v>2026-12-31</v>
          </cell>
          <cell r="H752" t="str">
            <v>7</v>
          </cell>
          <cell r="I752" t="str">
            <v>37.14</v>
          </cell>
        </row>
        <row r="753">
          <cell r="B753" t="str">
            <v>0011801657A</v>
          </cell>
          <cell r="C753" t="str">
            <v>变频外电脑板</v>
          </cell>
          <cell r="D753" t="str">
            <v>91M1</v>
          </cell>
          <cell r="E753" t="str">
            <v>直供国内A股采购组织</v>
          </cell>
          <cell r="F753" t="str">
            <v>寄售</v>
          </cell>
          <cell r="G753" t="str">
            <v>2026-12-31</v>
          </cell>
          <cell r="H753" t="str">
            <v>15</v>
          </cell>
          <cell r="I753" t="str">
            <v>166.92</v>
          </cell>
        </row>
        <row r="754">
          <cell r="B754" t="str">
            <v>0011801685</v>
          </cell>
          <cell r="C754" t="str">
            <v>显示板-LED</v>
          </cell>
          <cell r="D754" t="str">
            <v>91M1</v>
          </cell>
          <cell r="E754" t="str">
            <v>直供国内A股采购组织</v>
          </cell>
          <cell r="F754" t="str">
            <v>寄售</v>
          </cell>
          <cell r="G754" t="str">
            <v>2026-12-31</v>
          </cell>
          <cell r="H754" t="str">
            <v>15</v>
          </cell>
          <cell r="I754" t="str">
            <v>9.34</v>
          </cell>
        </row>
        <row r="755">
          <cell r="B755" t="str">
            <v>0011801825</v>
          </cell>
          <cell r="C755" t="str">
            <v>室内电脑板-CEM-1</v>
          </cell>
          <cell r="D755" t="str">
            <v>91M1</v>
          </cell>
          <cell r="E755" t="str">
            <v>直供国内A股采购组织</v>
          </cell>
          <cell r="F755" t="str">
            <v>寄售</v>
          </cell>
          <cell r="G755" t="str">
            <v>2026-12-31</v>
          </cell>
          <cell r="H755" t="str">
            <v>15</v>
          </cell>
          <cell r="I755" t="str">
            <v>34.81</v>
          </cell>
        </row>
        <row r="756">
          <cell r="B756" t="str">
            <v>0011801852A</v>
          </cell>
          <cell r="C756" t="str">
            <v>室内电脑板</v>
          </cell>
          <cell r="D756" t="str">
            <v>91M1</v>
          </cell>
          <cell r="E756" t="str">
            <v>直供国内A股采购组织</v>
          </cell>
          <cell r="F756" t="str">
            <v>寄售</v>
          </cell>
          <cell r="G756" t="str">
            <v>2026-12-31</v>
          </cell>
          <cell r="H756" t="str">
            <v>15</v>
          </cell>
          <cell r="I756" t="str">
            <v>82.87</v>
          </cell>
        </row>
        <row r="757">
          <cell r="B757" t="str">
            <v>0011801922F</v>
          </cell>
          <cell r="C757" t="str">
            <v>室内电脑板-CEM-1</v>
          </cell>
          <cell r="D757" t="str">
            <v>91M1</v>
          </cell>
          <cell r="E757" t="str">
            <v>直供国内A股采购组织</v>
          </cell>
          <cell r="F757" t="str">
            <v>寄售</v>
          </cell>
          <cell r="G757" t="str">
            <v>2026-12-31</v>
          </cell>
          <cell r="H757" t="str">
            <v>15</v>
          </cell>
          <cell r="I757" t="str">
            <v>43.24</v>
          </cell>
        </row>
        <row r="758">
          <cell r="B758" t="str">
            <v>0011801973</v>
          </cell>
          <cell r="C758" t="str">
            <v>室内电脑板-CEM-3</v>
          </cell>
          <cell r="D758" t="str">
            <v>91M1</v>
          </cell>
          <cell r="E758" t="str">
            <v>直供国内A股采购组织</v>
          </cell>
          <cell r="F758" t="str">
            <v>寄售</v>
          </cell>
          <cell r="G758" t="str">
            <v>2026-12-31</v>
          </cell>
          <cell r="H758" t="str">
            <v>15</v>
          </cell>
          <cell r="I758" t="str">
            <v>59.46</v>
          </cell>
        </row>
        <row r="759">
          <cell r="B759" t="str">
            <v>0011801675AF</v>
          </cell>
          <cell r="C759" t="str">
            <v>室内电脑板-CEM-1136mm*155mm</v>
          </cell>
          <cell r="D759" t="str">
            <v>91M1</v>
          </cell>
          <cell r="E759" t="str">
            <v>直供国内A股采购组织</v>
          </cell>
          <cell r="F759" t="str">
            <v>寄售</v>
          </cell>
          <cell r="G759" t="str">
            <v>2026-12-31</v>
          </cell>
          <cell r="H759" t="str">
            <v>15</v>
          </cell>
          <cell r="I759" t="str">
            <v>39.94</v>
          </cell>
        </row>
        <row r="760">
          <cell r="B760" t="str">
            <v>0011801736</v>
          </cell>
          <cell r="C760" t="str">
            <v>显示板-LED166*93mm</v>
          </cell>
          <cell r="D760" t="str">
            <v>91M1</v>
          </cell>
          <cell r="E760" t="str">
            <v>直供国内A股采购组织</v>
          </cell>
          <cell r="F760" t="str">
            <v>寄售</v>
          </cell>
          <cell r="G760" t="str">
            <v>2026-12-31</v>
          </cell>
          <cell r="H760" t="str">
            <v>3</v>
          </cell>
          <cell r="I760" t="str">
            <v>25.59</v>
          </cell>
        </row>
        <row r="761">
          <cell r="B761" t="str">
            <v>0011801843F</v>
          </cell>
          <cell r="C761" t="str">
            <v>变频外电脑板-FR-4</v>
          </cell>
          <cell r="D761" t="str">
            <v>91M1</v>
          </cell>
          <cell r="E761" t="str">
            <v>直供国内A股采购组织</v>
          </cell>
          <cell r="F761" t="str">
            <v>寄售</v>
          </cell>
          <cell r="G761" t="str">
            <v>2026-12-31</v>
          </cell>
          <cell r="H761" t="str">
            <v>15</v>
          </cell>
          <cell r="I761" t="str">
            <v>141.59</v>
          </cell>
        </row>
        <row r="762">
          <cell r="B762" t="str">
            <v>0011801907</v>
          </cell>
          <cell r="C762" t="str">
            <v>一体机电脑板-CEM-1</v>
          </cell>
          <cell r="D762" t="str">
            <v>91M1</v>
          </cell>
          <cell r="E762" t="str">
            <v>直供国内A股采购组织</v>
          </cell>
          <cell r="F762" t="str">
            <v>寄售</v>
          </cell>
          <cell r="G762" t="str">
            <v>2026-12-31</v>
          </cell>
          <cell r="H762" t="str">
            <v>15</v>
          </cell>
          <cell r="I762" t="str">
            <v>29.97</v>
          </cell>
        </row>
        <row r="763">
          <cell r="B763" t="str">
            <v>0011801917A</v>
          </cell>
          <cell r="C763" t="str">
            <v>显示板-CEM-3</v>
          </cell>
          <cell r="D763" t="str">
            <v>91M1</v>
          </cell>
          <cell r="E763" t="str">
            <v>直供国内A股采购组织</v>
          </cell>
          <cell r="F763" t="str">
            <v>寄售</v>
          </cell>
          <cell r="G763" t="str">
            <v>2026-12-31</v>
          </cell>
          <cell r="H763" t="str">
            <v>15</v>
          </cell>
          <cell r="I763" t="str">
            <v>33.00</v>
          </cell>
        </row>
        <row r="764">
          <cell r="B764" t="str">
            <v>0021800442A</v>
          </cell>
          <cell r="C764" t="str">
            <v>显示板-LED12VDC12VDC</v>
          </cell>
          <cell r="D764" t="str">
            <v>91M1</v>
          </cell>
          <cell r="E764" t="str">
            <v>直供国内A股采购组织</v>
          </cell>
          <cell r="F764" t="str">
            <v>寄售</v>
          </cell>
          <cell r="G764" t="str">
            <v>2026-12-31</v>
          </cell>
          <cell r="H764" t="str">
            <v>14</v>
          </cell>
          <cell r="I764" t="str">
            <v>27.72</v>
          </cell>
        </row>
        <row r="765">
          <cell r="B765" t="str">
            <v>0021800616</v>
          </cell>
          <cell r="C765" t="str">
            <v>显示板-LEDFR-4</v>
          </cell>
          <cell r="D765" t="str">
            <v>91M1</v>
          </cell>
          <cell r="E765" t="str">
            <v>直供国内A股采购组织</v>
          </cell>
          <cell r="F765" t="str">
            <v>寄售</v>
          </cell>
          <cell r="G765" t="str">
            <v>2026-12-31</v>
          </cell>
          <cell r="H765" t="str">
            <v>10</v>
          </cell>
          <cell r="I765" t="str">
            <v>57.15</v>
          </cell>
        </row>
        <row r="766">
          <cell r="B766" t="str">
            <v>0021800839B</v>
          </cell>
          <cell r="C766" t="str">
            <v>流程板-FR-4</v>
          </cell>
          <cell r="D766" t="str">
            <v>91M1</v>
          </cell>
          <cell r="E766" t="str">
            <v>直供国内A股采购组织</v>
          </cell>
          <cell r="F766" t="str">
            <v>寄售</v>
          </cell>
          <cell r="G766" t="str">
            <v>2026-12-31</v>
          </cell>
          <cell r="H766" t="str">
            <v>10</v>
          </cell>
          <cell r="I766" t="str">
            <v>23.45</v>
          </cell>
        </row>
        <row r="767">
          <cell r="B767" t="str">
            <v>0041800569B</v>
          </cell>
          <cell r="C767" t="str">
            <v>AD电源板-通用AD电源板-AD电源板</v>
          </cell>
          <cell r="D767" t="str">
            <v>91M1</v>
          </cell>
          <cell r="E767" t="str">
            <v>直供国内A股采购组织</v>
          </cell>
          <cell r="F767" t="str">
            <v>寄售</v>
          </cell>
          <cell r="G767" t="str">
            <v>2026-12-31</v>
          </cell>
          <cell r="H767" t="str">
            <v>14</v>
          </cell>
          <cell r="I767" t="str">
            <v>20.43</v>
          </cell>
        </row>
        <row r="768">
          <cell r="B768" t="str">
            <v>0041801117</v>
          </cell>
          <cell r="C768" t="str">
            <v>AD显示板-LED显示板尺寸330mm*40mm*9mm,支架尺寸38mm*34</v>
          </cell>
          <cell r="D768" t="str">
            <v>91M1</v>
          </cell>
          <cell r="E768" t="str">
            <v>直供国内A股采购组织</v>
          </cell>
          <cell r="F768" t="str">
            <v>寄售</v>
          </cell>
          <cell r="G768" t="str">
            <v>2026-12-31</v>
          </cell>
          <cell r="H768" t="str">
            <v>14</v>
          </cell>
          <cell r="I768" t="str">
            <v>24.50</v>
          </cell>
        </row>
        <row r="769">
          <cell r="B769" t="str">
            <v>0041801117AE</v>
          </cell>
          <cell r="C769" t="str">
            <v>AD显示板-LED显示板尺寸330mm*40mm*9mm,支架尺寸38mm*34</v>
          </cell>
          <cell r="D769" t="str">
            <v>91M1</v>
          </cell>
          <cell r="E769" t="str">
            <v>直供国内A股采购组织</v>
          </cell>
          <cell r="F769" t="str">
            <v>寄售</v>
          </cell>
          <cell r="G769" t="str">
            <v>2026-12-31</v>
          </cell>
          <cell r="H769" t="str">
            <v>14</v>
          </cell>
          <cell r="I769" t="str">
            <v>23.30</v>
          </cell>
        </row>
        <row r="770">
          <cell r="B770" t="str">
            <v>0041801136E</v>
          </cell>
          <cell r="C770" t="str">
            <v>AD显示板-LED-燃气</v>
          </cell>
          <cell r="D770" t="str">
            <v>91M1</v>
          </cell>
          <cell r="E770" t="str">
            <v>直供国内A股采购组织</v>
          </cell>
          <cell r="F770" t="str">
            <v>寄售</v>
          </cell>
          <cell r="G770" t="str">
            <v>2026-12-31</v>
          </cell>
          <cell r="H770" t="str">
            <v>7</v>
          </cell>
          <cell r="I770" t="str">
            <v>31.22</v>
          </cell>
        </row>
        <row r="771">
          <cell r="B771" t="str">
            <v>0041801545A</v>
          </cell>
          <cell r="C771" t="str">
            <v>电脑板控制板-通用-热泵</v>
          </cell>
          <cell r="D771" t="str">
            <v>91M1</v>
          </cell>
          <cell r="E771" t="str">
            <v>直供国内A股采购组织</v>
          </cell>
          <cell r="F771" t="str">
            <v>寄售</v>
          </cell>
          <cell r="G771" t="str">
            <v>2026-12-31</v>
          </cell>
          <cell r="H771" t="str">
            <v>14</v>
          </cell>
          <cell r="I771" t="str">
            <v>216.00</v>
          </cell>
        </row>
        <row r="772">
          <cell r="B772" t="str">
            <v>0041801545CA</v>
          </cell>
          <cell r="C772" t="str">
            <v>电脑板-FR-4</v>
          </cell>
          <cell r="D772" t="str">
            <v>91M1</v>
          </cell>
          <cell r="E772" t="str">
            <v>直供国内A股采购组织</v>
          </cell>
          <cell r="F772" t="str">
            <v>寄售</v>
          </cell>
          <cell r="G772" t="str">
            <v>2026-12-31</v>
          </cell>
          <cell r="H772" t="str">
            <v>14</v>
          </cell>
          <cell r="I772" t="str">
            <v>216.00</v>
          </cell>
        </row>
        <row r="773">
          <cell r="B773" t="str">
            <v>0041800751SA</v>
          </cell>
          <cell r="C773" t="str">
            <v>AD显示板-LED板尺寸:340*45mm,支架尺寸:56.45*36*11.2</v>
          </cell>
          <cell r="D773" t="str">
            <v>91M1</v>
          </cell>
          <cell r="E773" t="str">
            <v>直供国内A股采购组织</v>
          </cell>
          <cell r="F773" t="str">
            <v>寄售</v>
          </cell>
          <cell r="G773" t="str">
            <v>2026-12-31</v>
          </cell>
          <cell r="H773" t="str">
            <v>14</v>
          </cell>
          <cell r="I773" t="str">
            <v>17.48</v>
          </cell>
        </row>
        <row r="774">
          <cell r="B774" t="str">
            <v>0041801117A</v>
          </cell>
          <cell r="C774" t="str">
            <v>AD显示板-LED显示板尺寸330mm*40mm*9mm,支架尺寸38mm*34</v>
          </cell>
          <cell r="D774" t="str">
            <v>91M1</v>
          </cell>
          <cell r="E774" t="str">
            <v>直供国内A股采购组织</v>
          </cell>
          <cell r="F774" t="str">
            <v>寄售</v>
          </cell>
          <cell r="G774" t="str">
            <v>2026-12-31</v>
          </cell>
          <cell r="H774" t="str">
            <v>14</v>
          </cell>
          <cell r="I774" t="str">
            <v>24.50</v>
          </cell>
        </row>
        <row r="775">
          <cell r="B775" t="str">
            <v>0041801117AJ</v>
          </cell>
          <cell r="C775" t="str">
            <v>AD显示板-LED显示板尺寸330mm*40mm*9mm,支架尺寸38mm*34</v>
          </cell>
          <cell r="D775" t="str">
            <v>91M1</v>
          </cell>
          <cell r="E775" t="str">
            <v>直供国内A股采购组织</v>
          </cell>
          <cell r="F775" t="str">
            <v>寄售</v>
          </cell>
          <cell r="G775" t="str">
            <v>2026-12-31</v>
          </cell>
          <cell r="H775" t="str">
            <v>14</v>
          </cell>
          <cell r="I775" t="str">
            <v>26.65</v>
          </cell>
        </row>
        <row r="776">
          <cell r="B776" t="str">
            <v>0041801140</v>
          </cell>
          <cell r="C776" t="str">
            <v>AD电源板-/电热(电即热)</v>
          </cell>
          <cell r="D776" t="str">
            <v>91M1</v>
          </cell>
          <cell r="E776" t="str">
            <v>直供国内A股采购组织</v>
          </cell>
          <cell r="F776" t="str">
            <v>寄售</v>
          </cell>
          <cell r="G776" t="str">
            <v>2026-12-31</v>
          </cell>
          <cell r="H776" t="str">
            <v>14</v>
          </cell>
          <cell r="I776" t="str">
            <v>41.82</v>
          </cell>
        </row>
        <row r="777">
          <cell r="B777" t="str">
            <v>0041801545AA</v>
          </cell>
          <cell r="C777" t="str">
            <v>电脑板控制板-FR-4</v>
          </cell>
          <cell r="D777" t="str">
            <v>91M1</v>
          </cell>
          <cell r="E777" t="str">
            <v>直供国内A股采购组织</v>
          </cell>
          <cell r="F777" t="str">
            <v>寄售</v>
          </cell>
          <cell r="G777" t="str">
            <v>2026-12-31</v>
          </cell>
          <cell r="H777" t="str">
            <v>14</v>
          </cell>
          <cell r="I777" t="str">
            <v>216.00</v>
          </cell>
        </row>
        <row r="778">
          <cell r="B778" t="str">
            <v>0041801979H</v>
          </cell>
          <cell r="C778" t="str">
            <v>AD显示板-显示板尺寸：215mm*45mm*1.6mm，支架：48*34*9m</v>
          </cell>
          <cell r="D778" t="str">
            <v>91M1</v>
          </cell>
          <cell r="E778" t="str">
            <v>直供国内A股采购组织</v>
          </cell>
          <cell r="F778" t="str">
            <v>寄售</v>
          </cell>
          <cell r="G778" t="str">
            <v>2026-12-31</v>
          </cell>
          <cell r="H778" t="str">
            <v>14</v>
          </cell>
          <cell r="I778" t="str">
            <v>10.56</v>
          </cell>
        </row>
        <row r="779">
          <cell r="B779" t="str">
            <v>0151800561BBB</v>
          </cell>
          <cell r="C779" t="str">
            <v>室内电脑板-/FR-4180*155</v>
          </cell>
          <cell r="D779" t="str">
            <v>91M1</v>
          </cell>
          <cell r="E779" t="str">
            <v>直供国内A股采购组织</v>
          </cell>
          <cell r="F779" t="str">
            <v>寄售</v>
          </cell>
          <cell r="G779" t="str">
            <v>2026-12-31</v>
          </cell>
          <cell r="H779" t="str">
            <v>15</v>
          </cell>
          <cell r="I779" t="str">
            <v>86.64</v>
          </cell>
        </row>
        <row r="780">
          <cell r="B780" t="str">
            <v>0151801031F</v>
          </cell>
          <cell r="C780" t="str">
            <v>单相室外一体板</v>
          </cell>
          <cell r="D780" t="str">
            <v>91M1</v>
          </cell>
          <cell r="E780" t="str">
            <v>直供国内A股采购组织</v>
          </cell>
          <cell r="F780" t="str">
            <v>寄售</v>
          </cell>
          <cell r="G780" t="str">
            <v>2026-12-31</v>
          </cell>
          <cell r="H780" t="str">
            <v>30</v>
          </cell>
          <cell r="I780" t="str">
            <v>352.56</v>
          </cell>
        </row>
        <row r="781">
          <cell r="B781" t="str">
            <v>0011801256S</v>
          </cell>
          <cell r="C781" t="str">
            <v>室内电脑板-CEM-1</v>
          </cell>
          <cell r="D781" t="str">
            <v>91M1</v>
          </cell>
          <cell r="E781" t="str">
            <v>直供国内A股采购组织</v>
          </cell>
          <cell r="F781" t="str">
            <v>寄售</v>
          </cell>
          <cell r="G781" t="str">
            <v>2026-12-31</v>
          </cell>
          <cell r="H781" t="str">
            <v>15</v>
          </cell>
          <cell r="I781" t="str">
            <v>37.11</v>
          </cell>
        </row>
        <row r="782">
          <cell r="B782" t="str">
            <v>0011801583A</v>
          </cell>
          <cell r="C782" t="str">
            <v>室内电脑板-/162mm*130mm</v>
          </cell>
          <cell r="D782" t="str">
            <v>91M1</v>
          </cell>
          <cell r="E782" t="str">
            <v>直供国内A股采购组织</v>
          </cell>
          <cell r="F782" t="str">
            <v>寄售</v>
          </cell>
          <cell r="G782" t="str">
            <v>2026-12-31</v>
          </cell>
          <cell r="H782" t="str">
            <v>15</v>
          </cell>
          <cell r="I782" t="str">
            <v>29.83</v>
          </cell>
        </row>
        <row r="783">
          <cell r="B783" t="str">
            <v>0011801593</v>
          </cell>
          <cell r="C783" t="str">
            <v>室内电脑板-FR-4136*165</v>
          </cell>
          <cell r="D783" t="str">
            <v>91M1</v>
          </cell>
          <cell r="E783" t="str">
            <v>直供国内A股采购组织</v>
          </cell>
          <cell r="F783" t="str">
            <v>寄售</v>
          </cell>
          <cell r="G783" t="str">
            <v>2026-12-31</v>
          </cell>
          <cell r="H783" t="str">
            <v>15</v>
          </cell>
          <cell r="I783" t="str">
            <v>76.20</v>
          </cell>
        </row>
        <row r="784">
          <cell r="B784" t="str">
            <v>0011801675A</v>
          </cell>
          <cell r="C784" t="str">
            <v>室内电脑板-CEM-1165*136</v>
          </cell>
          <cell r="D784" t="str">
            <v>91M1</v>
          </cell>
          <cell r="E784" t="str">
            <v>直供国内A股采购组织</v>
          </cell>
          <cell r="F784" t="str">
            <v>寄售</v>
          </cell>
          <cell r="G784" t="str">
            <v>2026-12-31</v>
          </cell>
          <cell r="H784" t="str">
            <v>15</v>
          </cell>
          <cell r="I784" t="str">
            <v>37.82</v>
          </cell>
        </row>
        <row r="785">
          <cell r="B785" t="str">
            <v>0011801713</v>
          </cell>
          <cell r="C785" t="str">
            <v>显示板-LED</v>
          </cell>
          <cell r="D785" t="str">
            <v>91M1</v>
          </cell>
          <cell r="E785" t="str">
            <v>直供国内A股采购组织</v>
          </cell>
          <cell r="F785" t="str">
            <v>寄售</v>
          </cell>
          <cell r="G785" t="str">
            <v>2026-12-31</v>
          </cell>
          <cell r="H785" t="str">
            <v>15</v>
          </cell>
          <cell r="I785" t="str">
            <v>19.65</v>
          </cell>
        </row>
        <row r="786">
          <cell r="B786" t="str">
            <v>0011801843AH</v>
          </cell>
          <cell r="C786" t="str">
            <v>变频外电脑板-FR-4</v>
          </cell>
          <cell r="D786" t="str">
            <v>91M1</v>
          </cell>
          <cell r="E786" t="str">
            <v>直供国内A股采购组织</v>
          </cell>
          <cell r="F786" t="str">
            <v>寄售</v>
          </cell>
          <cell r="G786" t="str">
            <v>2026-12-31</v>
          </cell>
          <cell r="H786" t="str">
            <v>15</v>
          </cell>
          <cell r="I786" t="str">
            <v>140.31</v>
          </cell>
        </row>
        <row r="787">
          <cell r="B787" t="str">
            <v>0011801859</v>
          </cell>
          <cell r="C787" t="str">
            <v>室内电脑板-FR-4</v>
          </cell>
          <cell r="D787" t="str">
            <v>91M1</v>
          </cell>
          <cell r="E787" t="str">
            <v>直供国内A股采购组织</v>
          </cell>
          <cell r="F787" t="str">
            <v>寄售</v>
          </cell>
          <cell r="G787" t="str">
            <v>2026-12-31</v>
          </cell>
          <cell r="H787" t="str">
            <v>15</v>
          </cell>
          <cell r="I787" t="str">
            <v>115.72</v>
          </cell>
        </row>
        <row r="788">
          <cell r="B788" t="str">
            <v>0011801903A</v>
          </cell>
          <cell r="C788" t="str">
            <v>室内电脑板-CEM-3</v>
          </cell>
          <cell r="D788" t="str">
            <v>91M1</v>
          </cell>
          <cell r="E788" t="str">
            <v>直供国内A股采购组织</v>
          </cell>
          <cell r="F788" t="str">
            <v>寄售</v>
          </cell>
          <cell r="G788" t="str">
            <v>2026-12-31</v>
          </cell>
          <cell r="H788" t="str">
            <v>15</v>
          </cell>
          <cell r="I788" t="str">
            <v>74.95</v>
          </cell>
        </row>
        <row r="789">
          <cell r="B789" t="str">
            <v>0011801917</v>
          </cell>
          <cell r="C789" t="str">
            <v>显示板-FR-4/</v>
          </cell>
          <cell r="D789" t="str">
            <v>91M1</v>
          </cell>
          <cell r="E789" t="str">
            <v>直供国内A股采购组织</v>
          </cell>
          <cell r="F789" t="str">
            <v>寄售</v>
          </cell>
          <cell r="G789" t="str">
            <v>2026-12-31</v>
          </cell>
          <cell r="H789" t="str">
            <v>15</v>
          </cell>
          <cell r="I789" t="str">
            <v>36.00</v>
          </cell>
        </row>
        <row r="790">
          <cell r="B790" t="str">
            <v>0011801917E</v>
          </cell>
          <cell r="C790" t="str">
            <v>显示板</v>
          </cell>
          <cell r="D790" t="str">
            <v>91M1</v>
          </cell>
          <cell r="E790" t="str">
            <v>直供国内A股采购组织</v>
          </cell>
          <cell r="F790" t="str">
            <v>寄售</v>
          </cell>
          <cell r="G790" t="str">
            <v>2026-12-31</v>
          </cell>
          <cell r="H790" t="str">
            <v>15</v>
          </cell>
          <cell r="I790" t="str">
            <v>35.67</v>
          </cell>
        </row>
        <row r="791">
          <cell r="B791" t="str">
            <v>0041800773AYS</v>
          </cell>
          <cell r="C791" t="str">
            <v>AD显示板-LEDLES60/80H-TH5A(2U1)/</v>
          </cell>
          <cell r="D791" t="str">
            <v>91M1</v>
          </cell>
          <cell r="E791" t="str">
            <v>直供国内A股采购组织</v>
          </cell>
          <cell r="F791" t="str">
            <v>寄售</v>
          </cell>
          <cell r="G791" t="str">
            <v>2026-12-31</v>
          </cell>
          <cell r="H791" t="str">
            <v>14</v>
          </cell>
          <cell r="I791" t="str">
            <v>12.49</v>
          </cell>
        </row>
        <row r="792">
          <cell r="B792" t="str">
            <v>0041801117AD</v>
          </cell>
          <cell r="C792" t="str">
            <v>AD显示板-LED显示板尺寸330mm*40mm*9mm,支架尺寸38mm*34</v>
          </cell>
          <cell r="D792" t="str">
            <v>91M1</v>
          </cell>
          <cell r="E792" t="str">
            <v>直供国内A股采购组织</v>
          </cell>
          <cell r="F792" t="str">
            <v>寄售</v>
          </cell>
          <cell r="G792" t="str">
            <v>2026-12-31</v>
          </cell>
          <cell r="H792" t="str">
            <v>14</v>
          </cell>
          <cell r="I792" t="str">
            <v>24.50</v>
          </cell>
        </row>
        <row r="793">
          <cell r="B793" t="str">
            <v>0041801136D</v>
          </cell>
          <cell r="C793" t="str">
            <v>AD显示板-LED-燃气</v>
          </cell>
          <cell r="D793" t="str">
            <v>91M1</v>
          </cell>
          <cell r="E793" t="str">
            <v>直供国内A股采购组织</v>
          </cell>
          <cell r="F793" t="str">
            <v>寄售</v>
          </cell>
          <cell r="G793" t="str">
            <v>2026-12-31</v>
          </cell>
          <cell r="H793" t="str">
            <v>7</v>
          </cell>
          <cell r="I793" t="str">
            <v>31.90</v>
          </cell>
        </row>
        <row r="794">
          <cell r="B794" t="str">
            <v>0041801545</v>
          </cell>
          <cell r="C794" t="str">
            <v>电脑板控制板-通用热泵两匹变频2.0平台</v>
          </cell>
          <cell r="D794" t="str">
            <v>91M1</v>
          </cell>
          <cell r="E794" t="str">
            <v>直供国内A股采购组织</v>
          </cell>
          <cell r="F794" t="str">
            <v>寄售</v>
          </cell>
          <cell r="G794" t="str">
            <v>2026-12-31</v>
          </cell>
          <cell r="H794" t="str">
            <v>14</v>
          </cell>
          <cell r="I794" t="str">
            <v>216.00</v>
          </cell>
        </row>
        <row r="795">
          <cell r="B795" t="str">
            <v>0041801545C</v>
          </cell>
          <cell r="C795" t="str">
            <v>电脑板控制板-FR-4</v>
          </cell>
          <cell r="D795" t="str">
            <v>91M1</v>
          </cell>
          <cell r="E795" t="str">
            <v>直供国内A股采购组织</v>
          </cell>
          <cell r="F795" t="str">
            <v>寄售</v>
          </cell>
          <cell r="G795" t="str">
            <v>2026-12-31</v>
          </cell>
          <cell r="H795" t="str">
            <v>14</v>
          </cell>
          <cell r="I795" t="str">
            <v>216.00</v>
          </cell>
        </row>
        <row r="796">
          <cell r="B796" t="str">
            <v>0190400340BA</v>
          </cell>
          <cell r="C796" t="str">
            <v>主控板-通用净水硬件同340，兼容60HZ，双面板板材FR-4,CTI=600,</v>
          </cell>
          <cell r="D796" t="str">
            <v>91M1</v>
          </cell>
          <cell r="E796" t="str">
            <v>直供国内A股采购组织</v>
          </cell>
          <cell r="F796" t="str">
            <v>寄售</v>
          </cell>
          <cell r="G796" t="str">
            <v>2026-12-31</v>
          </cell>
          <cell r="H796" t="str">
            <v>7</v>
          </cell>
          <cell r="I796" t="str">
            <v>69.60</v>
          </cell>
        </row>
        <row r="797">
          <cell r="B797" t="str">
            <v>0190400507A</v>
          </cell>
          <cell r="C797" t="str">
            <v>主控板-通用双面板,245*93mm净水</v>
          </cell>
          <cell r="D797" t="str">
            <v>91M1</v>
          </cell>
          <cell r="E797" t="str">
            <v>直供国内A股采购组织</v>
          </cell>
          <cell r="F797" t="str">
            <v>寄售</v>
          </cell>
          <cell r="G797" t="str">
            <v>2026-12-31</v>
          </cell>
          <cell r="H797" t="str">
            <v>7</v>
          </cell>
          <cell r="I797" t="str">
            <v>68.57</v>
          </cell>
        </row>
        <row r="798">
          <cell r="B798" t="str">
            <v>0011800387B</v>
          </cell>
          <cell r="C798" t="str">
            <v>显示面板-FR-4</v>
          </cell>
          <cell r="D798" t="str">
            <v>91M1</v>
          </cell>
          <cell r="E798" t="str">
            <v>直供国内A股采购组织</v>
          </cell>
          <cell r="F798" t="str">
            <v>寄售</v>
          </cell>
          <cell r="G798" t="str">
            <v>2026-12-31</v>
          </cell>
          <cell r="H798" t="str">
            <v>15</v>
          </cell>
          <cell r="I798" t="str">
            <v>16.79</v>
          </cell>
        </row>
        <row r="799">
          <cell r="B799" t="str">
            <v>0190400340</v>
          </cell>
          <cell r="C799" t="str">
            <v>主控板-通用净水厨下即热项目使用,双面板板材FR-4,CTI=600,尺寸172</v>
          </cell>
          <cell r="D799" t="str">
            <v>91M1</v>
          </cell>
          <cell r="E799" t="str">
            <v>直供国内A股采购组织</v>
          </cell>
          <cell r="F799" t="str">
            <v>寄售</v>
          </cell>
          <cell r="G799" t="str">
            <v>2026-12-31</v>
          </cell>
          <cell r="H799" t="str">
            <v>7</v>
          </cell>
          <cell r="I799" t="str">
            <v>64.60</v>
          </cell>
        </row>
        <row r="800">
          <cell r="B800" t="str">
            <v>0190400377</v>
          </cell>
          <cell r="C800" t="str">
            <v>显示板-通用-净水5V,触摸弹簧,显示板,158*85mm</v>
          </cell>
          <cell r="D800" t="str">
            <v>91M1</v>
          </cell>
          <cell r="E800" t="str">
            <v>直供国内A股采购组织</v>
          </cell>
          <cell r="F800" t="str">
            <v>寄售</v>
          </cell>
          <cell r="G800" t="str">
            <v>2026-12-31</v>
          </cell>
          <cell r="H800" t="str">
            <v>7</v>
          </cell>
          <cell r="I800" t="str">
            <v>17.90</v>
          </cell>
        </row>
        <row r="801">
          <cell r="B801" t="str">
            <v>0291800242</v>
          </cell>
          <cell r="C801" t="str">
            <v>电源板-FPA微烤安卓电源板</v>
          </cell>
          <cell r="D801" t="str">
            <v>91M1</v>
          </cell>
          <cell r="E801" t="str">
            <v>直供国内A股采购组织</v>
          </cell>
          <cell r="F801" t="str">
            <v>寄售</v>
          </cell>
          <cell r="G801" t="str">
            <v>2026-12-31</v>
          </cell>
          <cell r="H801" t="str">
            <v>7</v>
          </cell>
          <cell r="I801" t="str">
            <v>141.50</v>
          </cell>
        </row>
        <row r="802">
          <cell r="B802" t="str">
            <v>0011801424BP</v>
          </cell>
          <cell r="C802" t="str">
            <v>变频外电脑板-FR-4/</v>
          </cell>
          <cell r="D802" t="str">
            <v>91M1</v>
          </cell>
          <cell r="E802" t="str">
            <v>直供国内A股采购组织</v>
          </cell>
          <cell r="F802" t="str">
            <v>寄售</v>
          </cell>
          <cell r="G802" t="str">
            <v>2026-12-31</v>
          </cell>
          <cell r="H802" t="str">
            <v>15</v>
          </cell>
          <cell r="I802" t="str">
            <v>121.76</v>
          </cell>
        </row>
        <row r="803">
          <cell r="B803" t="str">
            <v>0041801949AC</v>
          </cell>
          <cell r="C803" t="str">
            <v>AD显示板-LED显示板尺寸349mm*35mm*7mm苏黎金 HPGD-201</v>
          </cell>
          <cell r="D803" t="str">
            <v>91M1</v>
          </cell>
          <cell r="E803" t="str">
            <v>直供国内A股采购组织</v>
          </cell>
          <cell r="F803" t="str">
            <v>寄售</v>
          </cell>
          <cell r="G803" t="str">
            <v>2026-12-31</v>
          </cell>
          <cell r="H803" t="str">
            <v>14</v>
          </cell>
          <cell r="I803" t="str">
            <v>31.33</v>
          </cell>
        </row>
        <row r="804">
          <cell r="B804" t="str">
            <v>0011801039AM</v>
          </cell>
          <cell r="C804" t="str">
            <v>变频外电脑板-FR-4/</v>
          </cell>
          <cell r="D804" t="str">
            <v>91M1</v>
          </cell>
          <cell r="E804" t="str">
            <v>直供国内A股采购组织</v>
          </cell>
          <cell r="F804" t="str">
            <v>寄售</v>
          </cell>
          <cell r="G804" t="str">
            <v>2026-12-31</v>
          </cell>
          <cell r="H804" t="str">
            <v>15</v>
          </cell>
          <cell r="I804" t="str">
            <v>173.03</v>
          </cell>
        </row>
        <row r="805">
          <cell r="B805" t="str">
            <v>0011801071E</v>
          </cell>
          <cell r="C805" t="str">
            <v>室内电脑板-CEM-1162mm*130mm</v>
          </cell>
          <cell r="D805" t="str">
            <v>91M1</v>
          </cell>
          <cell r="E805" t="str">
            <v>直供国内A股采购组织</v>
          </cell>
          <cell r="F805" t="str">
            <v>寄售</v>
          </cell>
          <cell r="G805" t="str">
            <v>2026-12-31</v>
          </cell>
          <cell r="H805" t="str">
            <v>15</v>
          </cell>
          <cell r="I805" t="str">
            <v>37.53</v>
          </cell>
        </row>
        <row r="806">
          <cell r="B806" t="str">
            <v>0011801490AZ</v>
          </cell>
          <cell r="C806" t="str">
            <v>变频外电脑板-FR-4</v>
          </cell>
          <cell r="D806" t="str">
            <v>91M1</v>
          </cell>
          <cell r="E806" t="str">
            <v>直供国内A股采购组织</v>
          </cell>
          <cell r="F806" t="str">
            <v>寄售</v>
          </cell>
          <cell r="G806" t="str">
            <v>2026-12-31</v>
          </cell>
          <cell r="H806" t="str">
            <v>15</v>
          </cell>
          <cell r="I806" t="str">
            <v>98.32</v>
          </cell>
        </row>
        <row r="807">
          <cell r="B807" t="str">
            <v>0011801606</v>
          </cell>
          <cell r="C807" t="str">
            <v>室内电脑板-FR-4340*88mm</v>
          </cell>
          <cell r="D807" t="str">
            <v>91M1</v>
          </cell>
          <cell r="E807" t="str">
            <v>直供国内A股采购组织</v>
          </cell>
          <cell r="F807" t="str">
            <v>寄售</v>
          </cell>
          <cell r="G807" t="str">
            <v>2026-12-31</v>
          </cell>
          <cell r="H807" t="str">
            <v>30</v>
          </cell>
          <cell r="I807" t="str">
            <v>95.40</v>
          </cell>
        </row>
        <row r="808">
          <cell r="B808" t="str">
            <v>0011801675AB</v>
          </cell>
          <cell r="C808" t="str">
            <v>室内电脑板-CEM-1</v>
          </cell>
          <cell r="D808" t="str">
            <v>91M1</v>
          </cell>
          <cell r="E808" t="str">
            <v>直供国内A股采购组织</v>
          </cell>
          <cell r="F808" t="str">
            <v>寄售</v>
          </cell>
          <cell r="G808" t="str">
            <v>2026-12-31</v>
          </cell>
          <cell r="H808" t="str">
            <v>15</v>
          </cell>
          <cell r="I808" t="str">
            <v>41.44</v>
          </cell>
        </row>
        <row r="809">
          <cell r="B809" t="str">
            <v>0011801713A</v>
          </cell>
          <cell r="C809" t="str">
            <v>显示板</v>
          </cell>
          <cell r="D809" t="str">
            <v>91M1</v>
          </cell>
          <cell r="E809" t="str">
            <v>直供国内A股采购组织</v>
          </cell>
          <cell r="F809" t="str">
            <v>寄售</v>
          </cell>
          <cell r="G809" t="str">
            <v>2026-12-31</v>
          </cell>
          <cell r="H809" t="str">
            <v>15</v>
          </cell>
          <cell r="I809" t="str">
            <v>19.54</v>
          </cell>
        </row>
        <row r="810">
          <cell r="B810" t="str">
            <v>0011801843AN</v>
          </cell>
          <cell r="C810" t="str">
            <v>变频外电脑板-FR-4</v>
          </cell>
          <cell r="D810" t="str">
            <v>91M1</v>
          </cell>
          <cell r="E810" t="str">
            <v>直供国内A股采购组织</v>
          </cell>
          <cell r="F810" t="str">
            <v>寄售</v>
          </cell>
          <cell r="G810" t="str">
            <v>2026-12-31</v>
          </cell>
          <cell r="H810" t="str">
            <v>15</v>
          </cell>
          <cell r="I810" t="str">
            <v>129.98</v>
          </cell>
        </row>
        <row r="811">
          <cell r="B811" t="str">
            <v>0011801859A</v>
          </cell>
          <cell r="C811" t="str">
            <v>室内电脑板-FR-4</v>
          </cell>
          <cell r="D811" t="str">
            <v>91M1</v>
          </cell>
          <cell r="E811" t="str">
            <v>直供国内A股采购组织</v>
          </cell>
          <cell r="F811" t="str">
            <v>寄售</v>
          </cell>
          <cell r="G811" t="str">
            <v>2026-12-31</v>
          </cell>
          <cell r="H811" t="str">
            <v>15</v>
          </cell>
          <cell r="I811" t="str">
            <v>105.72</v>
          </cell>
        </row>
        <row r="812">
          <cell r="B812" t="str">
            <v>0011801903B</v>
          </cell>
          <cell r="C812" t="str">
            <v>室内电脑板-CEM-3</v>
          </cell>
          <cell r="D812" t="str">
            <v>91M1</v>
          </cell>
          <cell r="E812" t="str">
            <v>直供国内A股采购组织</v>
          </cell>
          <cell r="F812" t="str">
            <v>寄售</v>
          </cell>
          <cell r="G812" t="str">
            <v>2026-12-31</v>
          </cell>
          <cell r="H812" t="str">
            <v>15</v>
          </cell>
          <cell r="I812" t="str">
            <v>75.23</v>
          </cell>
        </row>
        <row r="813">
          <cell r="B813" t="str">
            <v>0020818873</v>
          </cell>
          <cell r="C813" t="str">
            <v>售后检测工装</v>
          </cell>
          <cell r="D813" t="str">
            <v>91M1</v>
          </cell>
          <cell r="E813" t="str">
            <v>直供国内A股采购组织</v>
          </cell>
          <cell r="F813" t="str">
            <v>寄售</v>
          </cell>
          <cell r="G813" t="str">
            <v>2026-12-31</v>
          </cell>
          <cell r="H813" t="str">
            <v>10</v>
          </cell>
          <cell r="I813" t="str">
            <v>1800.00</v>
          </cell>
        </row>
        <row r="814">
          <cell r="B814" t="str">
            <v>0021800615D</v>
          </cell>
          <cell r="C814" t="str">
            <v>显示板-LCD</v>
          </cell>
          <cell r="D814" t="str">
            <v>91M1</v>
          </cell>
          <cell r="E814" t="str">
            <v>直供国内A股采购组织</v>
          </cell>
          <cell r="F814" t="str">
            <v>寄售</v>
          </cell>
          <cell r="G814" t="str">
            <v>2026-12-31</v>
          </cell>
          <cell r="H814" t="str">
            <v>10</v>
          </cell>
          <cell r="I814" t="str">
            <v>69.37</v>
          </cell>
        </row>
        <row r="815">
          <cell r="B815" t="str">
            <v>0031800004FP</v>
          </cell>
          <cell r="C815" t="str">
            <v>DP一体板-通用</v>
          </cell>
          <cell r="D815" t="str">
            <v>91M1</v>
          </cell>
          <cell r="E815" t="str">
            <v>直供国内A股采购组织</v>
          </cell>
          <cell r="F815" t="str">
            <v>寄售</v>
          </cell>
          <cell r="G815" t="str">
            <v>2026-12-31</v>
          </cell>
          <cell r="H815" t="str">
            <v>10</v>
          </cell>
          <cell r="I815" t="str">
            <v>33.81</v>
          </cell>
        </row>
        <row r="816">
          <cell r="B816" t="str">
            <v>0151801003C</v>
          </cell>
          <cell r="C816" t="str">
            <v>室外控制板</v>
          </cell>
          <cell r="D816" t="str">
            <v>91M1</v>
          </cell>
          <cell r="E816" t="str">
            <v>直供国内A股采购组织</v>
          </cell>
          <cell r="F816" t="str">
            <v>寄售</v>
          </cell>
          <cell r="G816" t="str">
            <v>2026-12-31</v>
          </cell>
          <cell r="H816" t="str">
            <v>30</v>
          </cell>
          <cell r="I816" t="str">
            <v>84.43</v>
          </cell>
        </row>
        <row r="817">
          <cell r="B817" t="str">
            <v>0011801843Y</v>
          </cell>
          <cell r="C817" t="str">
            <v>变频外电脑板-FR-4</v>
          </cell>
          <cell r="D817" t="str">
            <v>91M1</v>
          </cell>
          <cell r="E817" t="str">
            <v>直供国内A股采购组织</v>
          </cell>
          <cell r="F817" t="str">
            <v>寄售</v>
          </cell>
          <cell r="G817" t="str">
            <v>2026-12-31</v>
          </cell>
          <cell r="H817" t="str">
            <v>15</v>
          </cell>
          <cell r="I817" t="str">
            <v>134.06</v>
          </cell>
        </row>
        <row r="818">
          <cell r="B818" t="str">
            <v>0011801859H</v>
          </cell>
          <cell r="C818" t="str">
            <v>室内电脑板-FR-4</v>
          </cell>
          <cell r="D818" t="str">
            <v>91M1</v>
          </cell>
          <cell r="E818" t="str">
            <v>直供国内A股采购组织</v>
          </cell>
          <cell r="F818" t="str">
            <v>寄售</v>
          </cell>
          <cell r="G818" t="str">
            <v>2026-12-31</v>
          </cell>
          <cell r="H818" t="str">
            <v>15</v>
          </cell>
          <cell r="I818" t="str">
            <v>91.44</v>
          </cell>
        </row>
        <row r="819">
          <cell r="B819" t="str">
            <v>0011801977E</v>
          </cell>
          <cell r="C819" t="str">
            <v>室内电脑板-165mm*136mm</v>
          </cell>
          <cell r="D819" t="str">
            <v>91M1</v>
          </cell>
          <cell r="E819" t="str">
            <v>直供国内A股采购组织</v>
          </cell>
          <cell r="F819" t="str">
            <v>寄售</v>
          </cell>
          <cell r="G819" t="str">
            <v>2026-12-31</v>
          </cell>
          <cell r="H819" t="str">
            <v>15</v>
          </cell>
          <cell r="I819" t="str">
            <v>34.86</v>
          </cell>
        </row>
        <row r="820">
          <cell r="B820" t="str">
            <v>0021800442GB</v>
          </cell>
          <cell r="C820" t="str">
            <v>显示板-LED</v>
          </cell>
          <cell r="D820" t="str">
            <v>91M1</v>
          </cell>
          <cell r="E820" t="str">
            <v>直供国内A股采购组织</v>
          </cell>
          <cell r="F820" t="str">
            <v>寄售</v>
          </cell>
          <cell r="G820" t="str">
            <v>2026-12-31</v>
          </cell>
          <cell r="H820" t="str">
            <v>14</v>
          </cell>
          <cell r="I820" t="str">
            <v>27.72</v>
          </cell>
        </row>
        <row r="821">
          <cell r="B821" t="str">
            <v>0021800616C</v>
          </cell>
          <cell r="C821" t="str">
            <v>显示板-电脑版\LED</v>
          </cell>
          <cell r="D821" t="str">
            <v>91M1</v>
          </cell>
          <cell r="E821" t="str">
            <v>直供国内A股采购组织</v>
          </cell>
          <cell r="F821" t="str">
            <v>寄售</v>
          </cell>
          <cell r="G821" t="str">
            <v>2026-12-31</v>
          </cell>
          <cell r="H821" t="str">
            <v>10</v>
          </cell>
          <cell r="I821" t="str">
            <v>57.15</v>
          </cell>
        </row>
        <row r="822">
          <cell r="B822" t="str">
            <v>0041800751DYS</v>
          </cell>
          <cell r="C822" t="str">
            <v>AD显示板-LEDAD显示板-电热</v>
          </cell>
          <cell r="D822" t="str">
            <v>91M1</v>
          </cell>
          <cell r="E822" t="str">
            <v>直供国内A股采购组织</v>
          </cell>
          <cell r="F822" t="str">
            <v>寄售</v>
          </cell>
          <cell r="G822" t="str">
            <v>2026-12-31</v>
          </cell>
          <cell r="H822" t="str">
            <v>14</v>
          </cell>
          <cell r="I822" t="str">
            <v>16.97</v>
          </cell>
        </row>
        <row r="823">
          <cell r="B823" t="str">
            <v>0041801949</v>
          </cell>
          <cell r="C823" t="str">
            <v>AD显示板-LED显示板尺寸349mm*35mm*7mm曜石黑 HOBK-000</v>
          </cell>
          <cell r="D823" t="str">
            <v>91M1</v>
          </cell>
          <cell r="E823" t="str">
            <v>直供国内A股采购组织</v>
          </cell>
          <cell r="F823" t="str">
            <v>寄售</v>
          </cell>
          <cell r="G823" t="str">
            <v>2026-12-31</v>
          </cell>
          <cell r="H823" t="str">
            <v>14</v>
          </cell>
          <cell r="I823" t="str">
            <v>26.40</v>
          </cell>
        </row>
        <row r="824">
          <cell r="B824" t="str">
            <v>0151801031</v>
          </cell>
          <cell r="C824" t="str">
            <v>电脑板-FR-4</v>
          </cell>
          <cell r="D824" t="str">
            <v>91M1</v>
          </cell>
          <cell r="E824" t="str">
            <v>直供国内A股采购组织</v>
          </cell>
          <cell r="F824" t="str">
            <v>寄售</v>
          </cell>
          <cell r="G824" t="str">
            <v>2026-12-31</v>
          </cell>
          <cell r="H824" t="str">
            <v>45</v>
          </cell>
          <cell r="I824" t="str">
            <v>337.15</v>
          </cell>
        </row>
        <row r="825">
          <cell r="B825" t="str">
            <v>0011800612X</v>
          </cell>
          <cell r="C825" t="str">
            <v>室内电脑板-CEM-1\\</v>
          </cell>
          <cell r="D825" t="str">
            <v>91M1</v>
          </cell>
          <cell r="E825" t="str">
            <v>直供国内A股采购组织</v>
          </cell>
          <cell r="F825" t="str">
            <v>寄售</v>
          </cell>
          <cell r="G825" t="str">
            <v>2026-12-31</v>
          </cell>
          <cell r="H825" t="str">
            <v>15</v>
          </cell>
          <cell r="I825" t="str">
            <v>28.57</v>
          </cell>
        </row>
        <row r="826">
          <cell r="B826" t="str">
            <v>0011800646</v>
          </cell>
          <cell r="C826" t="str">
            <v>室内电脑板-FR-4</v>
          </cell>
          <cell r="D826" t="str">
            <v>91M1</v>
          </cell>
          <cell r="E826" t="str">
            <v>直供国内A股采购组织</v>
          </cell>
          <cell r="F826" t="str">
            <v>寄售</v>
          </cell>
          <cell r="G826" t="str">
            <v>2026-12-31</v>
          </cell>
          <cell r="H826" t="str">
            <v>15</v>
          </cell>
          <cell r="I826" t="str">
            <v>45.63</v>
          </cell>
        </row>
        <row r="827">
          <cell r="B827" t="str">
            <v>0011800879P</v>
          </cell>
          <cell r="C827" t="str">
            <v>变频外电脑板-FR-4室外电脑板</v>
          </cell>
          <cell r="D827" t="str">
            <v>91M1</v>
          </cell>
          <cell r="E827" t="str">
            <v>直供国内A股采购组织</v>
          </cell>
          <cell r="F827" t="str">
            <v>寄售</v>
          </cell>
          <cell r="G827" t="str">
            <v>2026-12-31</v>
          </cell>
          <cell r="H827" t="str">
            <v>30</v>
          </cell>
          <cell r="I827" t="str">
            <v>160.75</v>
          </cell>
        </row>
        <row r="828">
          <cell r="B828" t="str">
            <v>0011800970N</v>
          </cell>
          <cell r="C828" t="str">
            <v>变频外电脑板-通用23T直流变频</v>
          </cell>
          <cell r="D828" t="str">
            <v>91M1</v>
          </cell>
          <cell r="E828" t="str">
            <v>直供国内A股采购组织</v>
          </cell>
          <cell r="F828" t="str">
            <v>寄售</v>
          </cell>
          <cell r="G828" t="str">
            <v>2026-12-31</v>
          </cell>
          <cell r="H828" t="str">
            <v>15</v>
          </cell>
          <cell r="I828" t="str">
            <v>110.16</v>
          </cell>
        </row>
        <row r="829">
          <cell r="B829" t="str">
            <v>0011801048AC</v>
          </cell>
          <cell r="C829" t="str">
            <v>变频外电脑板-FR-4/</v>
          </cell>
          <cell r="D829" t="str">
            <v>91M1</v>
          </cell>
          <cell r="E829" t="str">
            <v>直供国内A股采购组织</v>
          </cell>
          <cell r="F829" t="str">
            <v>寄售</v>
          </cell>
          <cell r="G829" t="str">
            <v>2026-12-31</v>
          </cell>
          <cell r="H829" t="str">
            <v>3</v>
          </cell>
          <cell r="I829" t="str">
            <v>143.98</v>
          </cell>
        </row>
        <row r="830">
          <cell r="B830" t="str">
            <v>0011801372F</v>
          </cell>
          <cell r="C830" t="str">
            <v>变频外电脑板-FR-4205mm*157mm</v>
          </cell>
          <cell r="D830" t="str">
            <v>91M1</v>
          </cell>
          <cell r="E830" t="str">
            <v>直供国内A股采购组织</v>
          </cell>
          <cell r="F830" t="str">
            <v>寄售</v>
          </cell>
          <cell r="G830" t="str">
            <v>2026-12-31</v>
          </cell>
          <cell r="H830" t="str">
            <v>15</v>
          </cell>
          <cell r="I830" t="str">
            <v>90.60</v>
          </cell>
        </row>
        <row r="831">
          <cell r="B831" t="str">
            <v>0011801423T</v>
          </cell>
          <cell r="C831" t="str">
            <v>变频外电脑板-FR-4240*180</v>
          </cell>
          <cell r="D831" t="str">
            <v>91M1</v>
          </cell>
          <cell r="E831" t="str">
            <v>直供国内A股采购组织</v>
          </cell>
          <cell r="F831" t="str">
            <v>寄售</v>
          </cell>
          <cell r="G831" t="str">
            <v>2026-12-31</v>
          </cell>
          <cell r="H831" t="str">
            <v>15</v>
          </cell>
          <cell r="I831" t="str">
            <v>135.57</v>
          </cell>
        </row>
        <row r="832">
          <cell r="B832" t="str">
            <v>0011801424BA</v>
          </cell>
          <cell r="C832" t="str">
            <v>变频外电脑板-FR-4/</v>
          </cell>
          <cell r="D832" t="str">
            <v>91M1</v>
          </cell>
          <cell r="E832" t="str">
            <v>直供国内A股采购组织</v>
          </cell>
          <cell r="F832" t="str">
            <v>寄售</v>
          </cell>
          <cell r="G832" t="str">
            <v>2026-12-31</v>
          </cell>
          <cell r="H832" t="str">
            <v>15</v>
          </cell>
          <cell r="I832" t="str">
            <v>125.83</v>
          </cell>
        </row>
        <row r="833">
          <cell r="B833" t="str">
            <v>0011801424N</v>
          </cell>
          <cell r="C833" t="str">
            <v>变频外电脑板-FR-4/</v>
          </cell>
          <cell r="D833" t="str">
            <v>91M1</v>
          </cell>
          <cell r="E833" t="str">
            <v>直供国内A股采购组织</v>
          </cell>
          <cell r="F833" t="str">
            <v>寄售</v>
          </cell>
          <cell r="G833" t="str">
            <v>2026-12-31</v>
          </cell>
          <cell r="H833" t="str">
            <v>15</v>
          </cell>
          <cell r="I833" t="str">
            <v>120.03</v>
          </cell>
        </row>
        <row r="834">
          <cell r="B834" t="str">
            <v>0011801425X</v>
          </cell>
          <cell r="C834" t="str">
            <v>变频外电脑板-FR-4</v>
          </cell>
          <cell r="D834" t="str">
            <v>91M1</v>
          </cell>
          <cell r="E834" t="str">
            <v>直供国内A股采购组织</v>
          </cell>
          <cell r="F834" t="str">
            <v>寄售</v>
          </cell>
          <cell r="G834" t="str">
            <v>2026-12-31</v>
          </cell>
          <cell r="H834" t="str">
            <v>30</v>
          </cell>
          <cell r="I834" t="str">
            <v>108.85</v>
          </cell>
        </row>
        <row r="835">
          <cell r="B835" t="str">
            <v>0021800472A</v>
          </cell>
          <cell r="C835" t="str">
            <v>显示板-FR-4</v>
          </cell>
          <cell r="D835" t="str">
            <v>91M1</v>
          </cell>
          <cell r="E835" t="str">
            <v>直供国内A股采购组织</v>
          </cell>
          <cell r="F835" t="str">
            <v>寄售</v>
          </cell>
          <cell r="G835" t="str">
            <v>2026-12-31</v>
          </cell>
          <cell r="H835" t="str">
            <v>10</v>
          </cell>
          <cell r="I835" t="str">
            <v>270.15</v>
          </cell>
        </row>
        <row r="836">
          <cell r="B836" t="str">
            <v>0021800616D</v>
          </cell>
          <cell r="C836" t="str">
            <v>显示板-LEDFR-4</v>
          </cell>
          <cell r="D836" t="str">
            <v>91M1</v>
          </cell>
          <cell r="E836" t="str">
            <v>直供国内A股采购组织</v>
          </cell>
          <cell r="F836" t="str">
            <v>寄售</v>
          </cell>
          <cell r="G836" t="str">
            <v>2026-12-31</v>
          </cell>
          <cell r="H836" t="str">
            <v>10</v>
          </cell>
          <cell r="I836" t="str">
            <v>57.15</v>
          </cell>
        </row>
        <row r="837">
          <cell r="B837" t="str">
            <v>0021800866G</v>
          </cell>
          <cell r="C837" t="str">
            <v>显示板-LED</v>
          </cell>
          <cell r="D837" t="str">
            <v>91M1</v>
          </cell>
          <cell r="E837" t="str">
            <v>直供国内A股采购组织</v>
          </cell>
          <cell r="F837" t="str">
            <v>寄售</v>
          </cell>
          <cell r="G837" t="str">
            <v>2026-12-31</v>
          </cell>
          <cell r="H837" t="str">
            <v>10</v>
          </cell>
          <cell r="I837" t="str">
            <v>44.64</v>
          </cell>
        </row>
        <row r="838">
          <cell r="B838" t="str">
            <v>0040400451D</v>
          </cell>
          <cell r="C838" t="str">
            <v>电脑板电源板</v>
          </cell>
          <cell r="D838" t="str">
            <v>91M1</v>
          </cell>
          <cell r="E838" t="str">
            <v>直供国内A股采购组织</v>
          </cell>
          <cell r="F838" t="str">
            <v>寄售</v>
          </cell>
          <cell r="G838" t="str">
            <v>2026-12-31</v>
          </cell>
          <cell r="H838" t="str">
            <v>14</v>
          </cell>
          <cell r="I838" t="str">
            <v>10.90</v>
          </cell>
        </row>
        <row r="839">
          <cell r="B839" t="str">
            <v>0151800561BBA</v>
          </cell>
          <cell r="C839" t="str">
            <v>室内电脑板-/FR-4180*155</v>
          </cell>
          <cell r="D839" t="str">
            <v>91M1</v>
          </cell>
          <cell r="E839" t="str">
            <v>直供国内A股采购组织</v>
          </cell>
          <cell r="F839" t="str">
            <v>寄售</v>
          </cell>
          <cell r="G839" t="str">
            <v>2026-12-31</v>
          </cell>
          <cell r="H839" t="str">
            <v>15</v>
          </cell>
          <cell r="I839" t="str">
            <v>88.44</v>
          </cell>
        </row>
        <row r="840">
          <cell r="B840" t="str">
            <v>0151801031E</v>
          </cell>
          <cell r="C840" t="str">
            <v>单相室外一体板</v>
          </cell>
          <cell r="D840" t="str">
            <v>91M1</v>
          </cell>
          <cell r="E840" t="str">
            <v>直供国内A股采购组织</v>
          </cell>
          <cell r="F840" t="str">
            <v>寄售</v>
          </cell>
          <cell r="G840" t="str">
            <v>2026-12-31</v>
          </cell>
          <cell r="H840" t="str">
            <v>30</v>
          </cell>
          <cell r="I840" t="str">
            <v>362.18</v>
          </cell>
        </row>
        <row r="841">
          <cell r="B841" t="str">
            <v>0190400556</v>
          </cell>
          <cell r="C841" t="str">
            <v>主控板-通用净水主控板-台式机凉白开净水主控板-台式机凉白开</v>
          </cell>
          <cell r="D841" t="str">
            <v>91M1</v>
          </cell>
          <cell r="E841" t="str">
            <v>直供国内A股采购组织</v>
          </cell>
          <cell r="F841" t="str">
            <v>寄售</v>
          </cell>
          <cell r="G841" t="str">
            <v>2026-12-31</v>
          </cell>
          <cell r="H841" t="str">
            <v>7</v>
          </cell>
          <cell r="I841" t="str">
            <v>56.34</v>
          </cell>
        </row>
        <row r="842">
          <cell r="B842" t="str">
            <v>0011800324S</v>
          </cell>
          <cell r="C842" t="str">
            <v>显示面板-CEM-3</v>
          </cell>
          <cell r="D842" t="str">
            <v>91M1</v>
          </cell>
          <cell r="E842" t="str">
            <v>直供国内A股采购组织</v>
          </cell>
          <cell r="F842" t="str">
            <v>寄售</v>
          </cell>
          <cell r="G842" t="str">
            <v>2026-12-31</v>
          </cell>
          <cell r="H842" t="str">
            <v>15</v>
          </cell>
          <cell r="I842" t="str">
            <v>5.10</v>
          </cell>
        </row>
        <row r="843">
          <cell r="B843" t="str">
            <v>0011800387</v>
          </cell>
          <cell r="C843" t="str">
            <v>显示面板-FR-4</v>
          </cell>
          <cell r="D843" t="str">
            <v>91M1</v>
          </cell>
          <cell r="E843" t="str">
            <v>直供国内A股采购组织</v>
          </cell>
          <cell r="F843" t="str">
            <v>标准</v>
          </cell>
          <cell r="G843" t="str">
            <v>2026-12-31</v>
          </cell>
          <cell r="H843" t="str">
            <v>15</v>
          </cell>
          <cell r="I843" t="str">
            <v>6.66</v>
          </cell>
        </row>
        <row r="844">
          <cell r="B844" t="str">
            <v>0011800630Y</v>
          </cell>
          <cell r="C844" t="str">
            <v>室内电脑板-CEM-3室内电脑板巴基斯坦09/12室内电脑板</v>
          </cell>
          <cell r="D844" t="str">
            <v>91M1</v>
          </cell>
          <cell r="E844" t="str">
            <v>直供国内A股采购组织</v>
          </cell>
          <cell r="F844" t="str">
            <v>寄售</v>
          </cell>
          <cell r="G844" t="str">
            <v>2026-12-31</v>
          </cell>
          <cell r="H844" t="str">
            <v>15</v>
          </cell>
          <cell r="I844" t="str">
            <v>33.86</v>
          </cell>
        </row>
        <row r="845">
          <cell r="B845" t="str">
            <v>0011800646G</v>
          </cell>
          <cell r="C845" t="str">
            <v>室内电脑板-FR-4---</v>
          </cell>
          <cell r="D845" t="str">
            <v>91M1</v>
          </cell>
          <cell r="E845" t="str">
            <v>直供国内A股采购组织</v>
          </cell>
          <cell r="F845" t="str">
            <v>寄售</v>
          </cell>
          <cell r="G845" t="str">
            <v>2026-12-31</v>
          </cell>
          <cell r="H845" t="str">
            <v>15</v>
          </cell>
          <cell r="I845" t="str">
            <v>49.66</v>
          </cell>
        </row>
        <row r="846">
          <cell r="B846" t="str">
            <v>0011800646M</v>
          </cell>
          <cell r="C846" t="str">
            <v>室内电脑板-FR-4/</v>
          </cell>
          <cell r="D846" t="str">
            <v>91M1</v>
          </cell>
          <cell r="E846" t="str">
            <v>直供国内A股采购组织</v>
          </cell>
          <cell r="F846" t="str">
            <v>寄售</v>
          </cell>
          <cell r="G846" t="str">
            <v>2026-12-31</v>
          </cell>
          <cell r="H846" t="str">
            <v>15</v>
          </cell>
          <cell r="I846" t="str">
            <v>47.28</v>
          </cell>
        </row>
        <row r="847">
          <cell r="B847" t="str">
            <v>0011800697AC</v>
          </cell>
          <cell r="C847" t="str">
            <v>室内电脑板-CEM-1</v>
          </cell>
          <cell r="D847" t="str">
            <v>91M1</v>
          </cell>
          <cell r="E847" t="str">
            <v>直供国内A股采购组织</v>
          </cell>
          <cell r="F847" t="str">
            <v>寄售</v>
          </cell>
          <cell r="G847" t="str">
            <v>2026-12-31</v>
          </cell>
          <cell r="H847" t="str">
            <v>15</v>
          </cell>
          <cell r="I847" t="str">
            <v>36.99</v>
          </cell>
        </row>
        <row r="848">
          <cell r="B848" t="str">
            <v>0011800827Y</v>
          </cell>
          <cell r="C848" t="str">
            <v>变频外电脑板-FR-4</v>
          </cell>
          <cell r="D848" t="str">
            <v>91M1</v>
          </cell>
          <cell r="E848" t="str">
            <v>直供国内A股采购组织</v>
          </cell>
          <cell r="F848" t="str">
            <v>寄售</v>
          </cell>
          <cell r="G848" t="str">
            <v>2026-12-31</v>
          </cell>
          <cell r="H848" t="str">
            <v>15</v>
          </cell>
          <cell r="I848" t="str">
            <v>152.45</v>
          </cell>
        </row>
        <row r="849">
          <cell r="B849" t="str">
            <v>0011800970L</v>
          </cell>
          <cell r="C849" t="str">
            <v>变频外电脑板-通用23T直流变频</v>
          </cell>
          <cell r="D849" t="str">
            <v>91M1</v>
          </cell>
          <cell r="E849" t="str">
            <v>直供国内A股采购组织</v>
          </cell>
          <cell r="F849" t="str">
            <v>寄售</v>
          </cell>
          <cell r="G849" t="str">
            <v>2026-12-31</v>
          </cell>
          <cell r="H849" t="str">
            <v>15</v>
          </cell>
          <cell r="I849" t="str">
            <v>106.67</v>
          </cell>
        </row>
        <row r="850">
          <cell r="B850" t="str">
            <v>0011800977K</v>
          </cell>
          <cell r="C850" t="str">
            <v>室内电脑板-CEM-1/</v>
          </cell>
          <cell r="D850" t="str">
            <v>91M1</v>
          </cell>
          <cell r="E850" t="str">
            <v>直供国内A股采购组织</v>
          </cell>
          <cell r="F850" t="str">
            <v>寄售</v>
          </cell>
          <cell r="G850" t="str">
            <v>2026-12-31</v>
          </cell>
          <cell r="H850" t="str">
            <v>15</v>
          </cell>
          <cell r="I850" t="str">
            <v>28.53</v>
          </cell>
        </row>
        <row r="851">
          <cell r="B851" t="str">
            <v>0011800980E</v>
          </cell>
          <cell r="C851" t="str">
            <v>室内电脑板-FR-4P平台内机板</v>
          </cell>
          <cell r="D851" t="str">
            <v>91M1</v>
          </cell>
          <cell r="E851" t="str">
            <v>直供国内A股采购组织</v>
          </cell>
          <cell r="F851" t="str">
            <v>寄售</v>
          </cell>
          <cell r="G851" t="str">
            <v>2026-12-31</v>
          </cell>
          <cell r="H851" t="str">
            <v>15</v>
          </cell>
          <cell r="I851" t="str">
            <v>56.52</v>
          </cell>
        </row>
        <row r="852">
          <cell r="B852" t="str">
            <v>0011800997TD</v>
          </cell>
          <cell r="C852" t="str">
            <v>变频外电脑板-FR-4</v>
          </cell>
          <cell r="D852" t="str">
            <v>91M1</v>
          </cell>
          <cell r="E852" t="str">
            <v>直供国内A股采购组织</v>
          </cell>
          <cell r="F852" t="str">
            <v>寄售</v>
          </cell>
          <cell r="G852" t="str">
            <v>2026-12-31</v>
          </cell>
          <cell r="H852" t="str">
            <v>15</v>
          </cell>
          <cell r="I852" t="str">
            <v>115.49</v>
          </cell>
        </row>
        <row r="853">
          <cell r="B853" t="str">
            <v>0011800537K</v>
          </cell>
          <cell r="C853" t="str">
            <v>室内电脑板-CEM-1</v>
          </cell>
          <cell r="D853" t="str">
            <v>91M1</v>
          </cell>
          <cell r="E853" t="str">
            <v>直供国内A股采购组织</v>
          </cell>
          <cell r="F853" t="str">
            <v>寄售</v>
          </cell>
          <cell r="G853" t="str">
            <v>2026-12-31</v>
          </cell>
          <cell r="H853" t="str">
            <v>15</v>
          </cell>
          <cell r="I853" t="str">
            <v>19.22</v>
          </cell>
        </row>
        <row r="854">
          <cell r="B854" t="str">
            <v>0011800612V</v>
          </cell>
          <cell r="C854" t="str">
            <v>室内电脑板-/</v>
          </cell>
          <cell r="D854" t="str">
            <v>91M1</v>
          </cell>
          <cell r="E854" t="str">
            <v>直供国内A股采购组织</v>
          </cell>
          <cell r="F854" t="str">
            <v>寄售</v>
          </cell>
          <cell r="G854" t="str">
            <v>2026-12-31</v>
          </cell>
          <cell r="H854" t="str">
            <v>15</v>
          </cell>
          <cell r="I854" t="str">
            <v>24.63</v>
          </cell>
        </row>
        <row r="855">
          <cell r="B855" t="str">
            <v>0011801973M</v>
          </cell>
          <cell r="C855" t="str">
            <v>室内电脑板-CEM-1</v>
          </cell>
          <cell r="D855" t="str">
            <v>91M1</v>
          </cell>
          <cell r="E855" t="str">
            <v>直供国内A股采购组织</v>
          </cell>
          <cell r="F855" t="str">
            <v>寄售</v>
          </cell>
          <cell r="G855" t="str">
            <v>2026-12-31</v>
          </cell>
          <cell r="H855" t="str">
            <v>15</v>
          </cell>
          <cell r="I855" t="str">
            <v>56.93</v>
          </cell>
        </row>
        <row r="856">
          <cell r="B856" t="str">
            <v>0011802046R</v>
          </cell>
          <cell r="C856" t="str">
            <v>室内电脑板-CEM-1</v>
          </cell>
          <cell r="D856" t="str">
            <v>91M1</v>
          </cell>
          <cell r="E856" t="str">
            <v>直供国内A股采购组织</v>
          </cell>
          <cell r="F856" t="str">
            <v>寄售</v>
          </cell>
          <cell r="G856" t="str">
            <v>2026-12-31</v>
          </cell>
          <cell r="H856" t="str">
            <v>15</v>
          </cell>
          <cell r="I856" t="str">
            <v>42.40</v>
          </cell>
        </row>
        <row r="857">
          <cell r="B857" t="str">
            <v>0011801048AA</v>
          </cell>
          <cell r="C857" t="str">
            <v>变频外电脑板-FR-4/</v>
          </cell>
          <cell r="D857" t="str">
            <v>91M1</v>
          </cell>
          <cell r="E857" t="str">
            <v>直供国内A股采购组织</v>
          </cell>
          <cell r="F857" t="str">
            <v>寄售</v>
          </cell>
          <cell r="G857" t="str">
            <v>2026-12-31</v>
          </cell>
          <cell r="H857" t="str">
            <v>3</v>
          </cell>
          <cell r="I857" t="str">
            <v>143.98</v>
          </cell>
        </row>
        <row r="858">
          <cell r="B858" t="str">
            <v>0011801048AM</v>
          </cell>
          <cell r="C858" t="str">
            <v>变频外电脑板-FR-4</v>
          </cell>
          <cell r="D858" t="str">
            <v>91M1</v>
          </cell>
          <cell r="E858" t="str">
            <v>直供国内A股采购组织</v>
          </cell>
          <cell r="F858" t="str">
            <v>寄售</v>
          </cell>
          <cell r="G858" t="str">
            <v>2026-12-31</v>
          </cell>
          <cell r="H858" t="str">
            <v>15</v>
          </cell>
          <cell r="I858" t="str">
            <v>138.34</v>
          </cell>
        </row>
        <row r="859">
          <cell r="B859" t="str">
            <v>0011801118AH</v>
          </cell>
          <cell r="C859" t="str">
            <v>变频外电脑板-FR-4240*180</v>
          </cell>
          <cell r="D859" t="str">
            <v>91M1</v>
          </cell>
          <cell r="E859" t="str">
            <v>直供国内A股采购组织</v>
          </cell>
          <cell r="F859" t="str">
            <v>寄售</v>
          </cell>
          <cell r="G859" t="str">
            <v>2026-12-31</v>
          </cell>
          <cell r="H859" t="str">
            <v>15</v>
          </cell>
          <cell r="I859" t="str">
            <v>157.28</v>
          </cell>
        </row>
        <row r="860">
          <cell r="B860" t="str">
            <v>0011801123H</v>
          </cell>
          <cell r="C860" t="str">
            <v>室内电脑板-FR-4136*165</v>
          </cell>
          <cell r="D860" t="str">
            <v>91M1</v>
          </cell>
          <cell r="E860" t="str">
            <v>直供国内A股采购组织</v>
          </cell>
          <cell r="F860" t="str">
            <v>寄售</v>
          </cell>
          <cell r="G860" t="str">
            <v>2026-12-31</v>
          </cell>
          <cell r="H860" t="str">
            <v>30</v>
          </cell>
          <cell r="I860" t="str">
            <v>42.40</v>
          </cell>
        </row>
        <row r="861">
          <cell r="B861" t="str">
            <v>0011801172AV</v>
          </cell>
          <cell r="C861" t="str">
            <v>变频外电脑板-FR-4240*180</v>
          </cell>
          <cell r="D861" t="str">
            <v>91M1</v>
          </cell>
          <cell r="E861" t="str">
            <v>直供国内A股采购组织</v>
          </cell>
          <cell r="F861" t="str">
            <v>寄售</v>
          </cell>
          <cell r="G861" t="str">
            <v>2026-12-31</v>
          </cell>
          <cell r="H861" t="str">
            <v>15</v>
          </cell>
          <cell r="I861" t="str">
            <v>168.47</v>
          </cell>
        </row>
        <row r="862">
          <cell r="B862" t="str">
            <v>0011801172CG</v>
          </cell>
          <cell r="C862" t="str">
            <v>变频外电脑板-FR-4240*180</v>
          </cell>
          <cell r="D862" t="str">
            <v>91M1</v>
          </cell>
          <cell r="E862" t="str">
            <v>直供国内A股采购组织</v>
          </cell>
          <cell r="F862" t="str">
            <v>寄售</v>
          </cell>
          <cell r="G862" t="str">
            <v>2026-12-31</v>
          </cell>
          <cell r="H862" t="str">
            <v>15</v>
          </cell>
          <cell r="I862" t="str">
            <v>187.96</v>
          </cell>
        </row>
        <row r="863">
          <cell r="B863" t="str">
            <v>0011801172DG</v>
          </cell>
          <cell r="C863" t="str">
            <v>变频外电脑板-FR-4</v>
          </cell>
          <cell r="D863" t="str">
            <v>91M1</v>
          </cell>
          <cell r="E863" t="str">
            <v>直供国内A股采购组织</v>
          </cell>
          <cell r="F863" t="str">
            <v>寄售</v>
          </cell>
          <cell r="G863" t="str">
            <v>2026-12-31</v>
          </cell>
          <cell r="H863" t="str">
            <v>15</v>
          </cell>
          <cell r="I863" t="str">
            <v>162.90</v>
          </cell>
        </row>
        <row r="864">
          <cell r="B864" t="str">
            <v>0011801172DN</v>
          </cell>
          <cell r="C864" t="str">
            <v>变频外电脑板-FR-4</v>
          </cell>
          <cell r="D864" t="str">
            <v>91M1</v>
          </cell>
          <cell r="E864" t="str">
            <v>直供国内A股采购组织</v>
          </cell>
          <cell r="F864" t="str">
            <v>寄售</v>
          </cell>
          <cell r="G864" t="str">
            <v>2026-12-31</v>
          </cell>
          <cell r="H864" t="str">
            <v>15</v>
          </cell>
          <cell r="I864" t="str">
            <v>177.94</v>
          </cell>
        </row>
        <row r="865">
          <cell r="B865" t="str">
            <v>0011801172FD</v>
          </cell>
          <cell r="C865" t="str">
            <v>变频外电脑板-FR-4</v>
          </cell>
          <cell r="D865" t="str">
            <v>91M1</v>
          </cell>
          <cell r="E865" t="str">
            <v>直供国内A股采购组织</v>
          </cell>
          <cell r="F865" t="str">
            <v>寄售</v>
          </cell>
          <cell r="G865" t="str">
            <v>2026-12-31</v>
          </cell>
          <cell r="H865" t="str">
            <v>15</v>
          </cell>
          <cell r="I865" t="str">
            <v>155.09</v>
          </cell>
        </row>
        <row r="866">
          <cell r="B866" t="str">
            <v>0011801256R</v>
          </cell>
          <cell r="C866" t="str">
            <v>室内电脑板-CEM-1</v>
          </cell>
          <cell r="D866" t="str">
            <v>91M1</v>
          </cell>
          <cell r="E866" t="str">
            <v>直供国内A股采购组织</v>
          </cell>
          <cell r="F866" t="str">
            <v>寄售</v>
          </cell>
          <cell r="G866" t="str">
            <v>2026-12-31</v>
          </cell>
          <cell r="H866" t="str">
            <v>15</v>
          </cell>
          <cell r="I866" t="str">
            <v>32.93</v>
          </cell>
        </row>
        <row r="867">
          <cell r="B867" t="str">
            <v>0011801303</v>
          </cell>
          <cell r="C867" t="str">
            <v>室内电脑板-FR-4</v>
          </cell>
          <cell r="D867" t="str">
            <v>91M1</v>
          </cell>
          <cell r="E867" t="str">
            <v>直供国内A股采购组织</v>
          </cell>
          <cell r="F867" t="str">
            <v>寄售</v>
          </cell>
          <cell r="G867" t="str">
            <v>2026-12-31</v>
          </cell>
          <cell r="H867" t="str">
            <v>15</v>
          </cell>
          <cell r="I867" t="str">
            <v>196.83</v>
          </cell>
        </row>
        <row r="868">
          <cell r="B868" t="str">
            <v>0011801372C</v>
          </cell>
          <cell r="C868" t="str">
            <v>变频外电脑板-FR-4205mm*157mm</v>
          </cell>
          <cell r="D868" t="str">
            <v>91M1</v>
          </cell>
          <cell r="E868" t="str">
            <v>直供国内A股采购组织</v>
          </cell>
          <cell r="F868" t="str">
            <v>寄售</v>
          </cell>
          <cell r="G868" t="str">
            <v>2026-12-31</v>
          </cell>
          <cell r="H868" t="str">
            <v>15</v>
          </cell>
          <cell r="I868" t="str">
            <v>91.75</v>
          </cell>
        </row>
        <row r="869">
          <cell r="B869" t="str">
            <v>0011801423AX</v>
          </cell>
          <cell r="C869" t="str">
            <v>变频外电脑板-FR-4</v>
          </cell>
          <cell r="D869" t="str">
            <v>91M1</v>
          </cell>
          <cell r="E869" t="str">
            <v>直供国内A股采购组织</v>
          </cell>
          <cell r="F869" t="str">
            <v>寄售</v>
          </cell>
          <cell r="G869" t="str">
            <v>2026-12-31</v>
          </cell>
          <cell r="H869" t="str">
            <v>15</v>
          </cell>
          <cell r="I869" t="str">
            <v>141.18</v>
          </cell>
        </row>
        <row r="870">
          <cell r="B870" t="str">
            <v>0011801424AZ</v>
          </cell>
          <cell r="C870" t="str">
            <v>变频外电脑板-FR-4/</v>
          </cell>
          <cell r="D870" t="str">
            <v>91M1</v>
          </cell>
          <cell r="E870" t="str">
            <v>直供国内A股采购组织</v>
          </cell>
          <cell r="F870" t="str">
            <v>寄售</v>
          </cell>
          <cell r="G870" t="str">
            <v>2026-12-31</v>
          </cell>
          <cell r="H870" t="str">
            <v>15</v>
          </cell>
          <cell r="I870" t="str">
            <v>118.76</v>
          </cell>
        </row>
        <row r="871">
          <cell r="B871" t="str">
            <v>0011801424L</v>
          </cell>
          <cell r="C871" t="str">
            <v>变频外电脑板-FR-4/</v>
          </cell>
          <cell r="D871" t="str">
            <v>91M1</v>
          </cell>
          <cell r="E871" t="str">
            <v>直供国内A股采购组织</v>
          </cell>
          <cell r="F871" t="str">
            <v>寄售</v>
          </cell>
          <cell r="G871" t="str">
            <v>2026-12-31</v>
          </cell>
          <cell r="H871" t="str">
            <v>15</v>
          </cell>
          <cell r="I871" t="str">
            <v>130.83</v>
          </cell>
        </row>
        <row r="872">
          <cell r="B872" t="str">
            <v>0011801425T</v>
          </cell>
          <cell r="C872" t="str">
            <v>变频外电脑板-FR-4</v>
          </cell>
          <cell r="D872" t="str">
            <v>91M1</v>
          </cell>
          <cell r="E872" t="str">
            <v>直供国内A股采购组织</v>
          </cell>
          <cell r="F872" t="str">
            <v>寄售</v>
          </cell>
          <cell r="G872" t="str">
            <v>2026-12-31</v>
          </cell>
          <cell r="H872" t="str">
            <v>15</v>
          </cell>
          <cell r="I872" t="str">
            <v>127.30</v>
          </cell>
        </row>
        <row r="873">
          <cell r="B873" t="str">
            <v>0011801522B</v>
          </cell>
          <cell r="C873" t="str">
            <v>室内电脑板-CEM-1室内电脑板俄罗斯22年DAICHI客户定频12P系列室内电</v>
          </cell>
          <cell r="D873" t="str">
            <v>91M1</v>
          </cell>
          <cell r="E873" t="str">
            <v>直供国内A股采购组织</v>
          </cell>
          <cell r="F873" t="str">
            <v>寄售</v>
          </cell>
          <cell r="G873" t="str">
            <v>2026-12-31</v>
          </cell>
          <cell r="H873" t="str">
            <v>30</v>
          </cell>
          <cell r="I873" t="str">
            <v>49.99</v>
          </cell>
        </row>
        <row r="874">
          <cell r="B874" t="str">
            <v>0011801657AA</v>
          </cell>
          <cell r="C874" t="str">
            <v>变频外电脑板</v>
          </cell>
          <cell r="D874" t="str">
            <v>91M1</v>
          </cell>
          <cell r="E874" t="str">
            <v>直供国内A股采购组织</v>
          </cell>
          <cell r="F874" t="str">
            <v>寄售</v>
          </cell>
          <cell r="G874" t="str">
            <v>2026-12-31</v>
          </cell>
          <cell r="H874" t="str">
            <v>15</v>
          </cell>
          <cell r="I874" t="str">
            <v>171.40</v>
          </cell>
        </row>
        <row r="875">
          <cell r="B875" t="str">
            <v>0041801979</v>
          </cell>
          <cell r="C875" t="str">
            <v>AD显示板-显示板\PCB显示板尺寸：215mm*45mm*1.6mm，支架：4</v>
          </cell>
          <cell r="D875" t="str">
            <v>91M1</v>
          </cell>
          <cell r="E875" t="str">
            <v>直供国内A股采购组织</v>
          </cell>
          <cell r="F875" t="str">
            <v>寄售</v>
          </cell>
          <cell r="G875" t="str">
            <v>2026-12-31</v>
          </cell>
          <cell r="H875" t="str">
            <v>14</v>
          </cell>
          <cell r="I875" t="str">
            <v>15.39</v>
          </cell>
        </row>
        <row r="876">
          <cell r="B876" t="str">
            <v>0190400527D</v>
          </cell>
          <cell r="C876" t="str">
            <v>显示板-通用</v>
          </cell>
          <cell r="D876" t="str">
            <v>91M1</v>
          </cell>
          <cell r="E876" t="str">
            <v>直供国内A股采购组织</v>
          </cell>
          <cell r="F876" t="str">
            <v>寄售</v>
          </cell>
          <cell r="G876" t="str">
            <v>2026-12-31</v>
          </cell>
          <cell r="H876" t="str">
            <v>3</v>
          </cell>
          <cell r="I876" t="str">
            <v>19.15</v>
          </cell>
        </row>
        <row r="877">
          <cell r="B877" t="str">
            <v>0121800104WP</v>
          </cell>
          <cell r="C877" t="str">
            <v>显示板</v>
          </cell>
          <cell r="D877" t="str">
            <v>91M1</v>
          </cell>
          <cell r="E877" t="str">
            <v>直供国内A股采购组织</v>
          </cell>
          <cell r="F877" t="str">
            <v>寄售</v>
          </cell>
          <cell r="G877" t="str">
            <v>2026-12-31</v>
          </cell>
          <cell r="H877" t="str">
            <v>7</v>
          </cell>
          <cell r="I877" t="str">
            <v>61.10</v>
          </cell>
        </row>
        <row r="878">
          <cell r="B878" t="str">
            <v>0011800377Y</v>
          </cell>
          <cell r="C878" t="str">
            <v>功率驱动板-FR-4SNB130FYQMC压缩机30ARX62T模块驱动板30A</v>
          </cell>
          <cell r="D878" t="str">
            <v>91M1</v>
          </cell>
          <cell r="E878" t="str">
            <v>直供国内A股采购组织</v>
          </cell>
          <cell r="F878" t="str">
            <v>寄售</v>
          </cell>
          <cell r="G878" t="str">
            <v>2026-12-31</v>
          </cell>
          <cell r="H878" t="str">
            <v>15</v>
          </cell>
          <cell r="I878" t="str">
            <v>109.88</v>
          </cell>
        </row>
        <row r="879">
          <cell r="B879" t="str">
            <v>0011800537C</v>
          </cell>
          <cell r="C879" t="str">
            <v>室内电脑板-CEM-1</v>
          </cell>
          <cell r="D879" t="str">
            <v>91M1</v>
          </cell>
          <cell r="E879" t="str">
            <v>直供国内A股采购组织</v>
          </cell>
          <cell r="F879" t="str">
            <v>寄售</v>
          </cell>
          <cell r="G879" t="str">
            <v>2026-12-31</v>
          </cell>
          <cell r="H879" t="str">
            <v>15</v>
          </cell>
          <cell r="I879" t="str">
            <v>19.28</v>
          </cell>
        </row>
        <row r="880">
          <cell r="B880" t="str">
            <v>0011800646D</v>
          </cell>
          <cell r="C880" t="str">
            <v>室内电脑板-FR-4---</v>
          </cell>
          <cell r="D880" t="str">
            <v>91M1</v>
          </cell>
          <cell r="E880" t="str">
            <v>直供国内A股采购组织</v>
          </cell>
          <cell r="F880" t="str">
            <v>寄售</v>
          </cell>
          <cell r="G880" t="str">
            <v>2026-12-31</v>
          </cell>
          <cell r="H880" t="str">
            <v>15</v>
          </cell>
          <cell r="I880" t="str">
            <v>40.97</v>
          </cell>
        </row>
        <row r="881">
          <cell r="B881" t="str">
            <v>0011800970F</v>
          </cell>
          <cell r="C881" t="str">
            <v>变频外电脑板-通用23T直流变频</v>
          </cell>
          <cell r="D881" t="str">
            <v>91M1</v>
          </cell>
          <cell r="E881" t="str">
            <v>直供国内A股采购组织</v>
          </cell>
          <cell r="F881" t="str">
            <v>寄售</v>
          </cell>
          <cell r="G881" t="str">
            <v>2026-12-31</v>
          </cell>
          <cell r="H881" t="str">
            <v>15</v>
          </cell>
          <cell r="I881" t="str">
            <v>109.67</v>
          </cell>
        </row>
        <row r="882">
          <cell r="B882" t="str">
            <v>0011800980C</v>
          </cell>
          <cell r="C882" t="str">
            <v>室内电脑板-FR-4F平台内机板</v>
          </cell>
          <cell r="D882" t="str">
            <v>91M1</v>
          </cell>
          <cell r="E882" t="str">
            <v>直供国内A股采购组织</v>
          </cell>
          <cell r="F882" t="str">
            <v>寄售</v>
          </cell>
          <cell r="G882" t="str">
            <v>2026-12-31</v>
          </cell>
          <cell r="H882" t="str">
            <v>15</v>
          </cell>
          <cell r="I882" t="str">
            <v>62.60</v>
          </cell>
        </row>
        <row r="883">
          <cell r="B883" t="str">
            <v>0011801270A</v>
          </cell>
          <cell r="C883" t="str">
            <v>变频外电脑板-/</v>
          </cell>
          <cell r="D883" t="str">
            <v>91M1</v>
          </cell>
          <cell r="E883" t="str">
            <v>直供国内A股采购组织</v>
          </cell>
          <cell r="F883" t="str">
            <v>寄售</v>
          </cell>
          <cell r="G883" t="str">
            <v>2026-12-31</v>
          </cell>
          <cell r="H883" t="str">
            <v>15</v>
          </cell>
          <cell r="I883" t="str">
            <v>181.40</v>
          </cell>
        </row>
        <row r="884">
          <cell r="B884" t="str">
            <v>0011801372A</v>
          </cell>
          <cell r="C884" t="str">
            <v>变频外电脑板-FR-4205mm*157mm</v>
          </cell>
          <cell r="D884" t="str">
            <v>91M1</v>
          </cell>
          <cell r="E884" t="str">
            <v>直供国内A股采购组织</v>
          </cell>
          <cell r="F884" t="str">
            <v>寄售</v>
          </cell>
          <cell r="G884" t="str">
            <v>2026-12-31</v>
          </cell>
          <cell r="H884" t="str">
            <v>15</v>
          </cell>
          <cell r="I884" t="str">
            <v>91.59</v>
          </cell>
        </row>
        <row r="885">
          <cell r="B885" t="str">
            <v>0011801423AV</v>
          </cell>
          <cell r="C885" t="str">
            <v>变频外电脑板-FR-4</v>
          </cell>
          <cell r="D885" t="str">
            <v>91M1</v>
          </cell>
          <cell r="E885" t="str">
            <v>直供国内A股采购组织</v>
          </cell>
          <cell r="F885" t="str">
            <v>寄售</v>
          </cell>
          <cell r="G885" t="str">
            <v>2026-12-31</v>
          </cell>
          <cell r="H885" t="str">
            <v>15</v>
          </cell>
          <cell r="I885" t="str">
            <v>128.61</v>
          </cell>
        </row>
        <row r="886">
          <cell r="B886" t="str">
            <v>0011801424AX</v>
          </cell>
          <cell r="C886" t="str">
            <v>变频外电脑板-FR-4/</v>
          </cell>
          <cell r="D886" t="str">
            <v>91M1</v>
          </cell>
          <cell r="E886" t="str">
            <v>直供国内A股采购组织</v>
          </cell>
          <cell r="F886" t="str">
            <v>寄售</v>
          </cell>
          <cell r="G886" t="str">
            <v>2026-12-31</v>
          </cell>
          <cell r="H886" t="str">
            <v>15</v>
          </cell>
          <cell r="I886" t="str">
            <v>115.43</v>
          </cell>
        </row>
        <row r="887">
          <cell r="B887" t="str">
            <v>0011801424J</v>
          </cell>
          <cell r="C887" t="str">
            <v>变频外电脑板-FR-4/</v>
          </cell>
          <cell r="D887" t="str">
            <v>91M1</v>
          </cell>
          <cell r="E887" t="str">
            <v>直供国内A股采购组织</v>
          </cell>
          <cell r="F887" t="str">
            <v>寄售</v>
          </cell>
          <cell r="G887" t="str">
            <v>2026-12-31</v>
          </cell>
          <cell r="H887" t="str">
            <v>15</v>
          </cell>
          <cell r="I887" t="str">
            <v>128.87</v>
          </cell>
        </row>
        <row r="888">
          <cell r="B888" t="str">
            <v>0011801425N</v>
          </cell>
          <cell r="C888" t="str">
            <v>变频外电脑板-FR-4</v>
          </cell>
          <cell r="D888" t="str">
            <v>91M1</v>
          </cell>
          <cell r="E888" t="str">
            <v>直供国内A股采购组织</v>
          </cell>
          <cell r="F888" t="str">
            <v>寄售</v>
          </cell>
          <cell r="G888" t="str">
            <v>2026-12-31</v>
          </cell>
          <cell r="H888" t="str">
            <v>15</v>
          </cell>
          <cell r="I888" t="str">
            <v>107.24</v>
          </cell>
        </row>
        <row r="889">
          <cell r="B889" t="str">
            <v>0011801490BS</v>
          </cell>
          <cell r="C889" t="str">
            <v>变频外电脑板-FR-4</v>
          </cell>
          <cell r="D889" t="str">
            <v>91M1</v>
          </cell>
          <cell r="E889" t="str">
            <v>直供国内A股采购组织</v>
          </cell>
          <cell r="F889" t="str">
            <v>寄售</v>
          </cell>
          <cell r="G889" t="str">
            <v>2026-12-31</v>
          </cell>
          <cell r="H889" t="str">
            <v>15</v>
          </cell>
          <cell r="I889" t="str">
            <v>104.46</v>
          </cell>
        </row>
        <row r="890">
          <cell r="B890" t="str">
            <v>0011801490E</v>
          </cell>
          <cell r="C890" t="str">
            <v>变频外电脑板-FR-4</v>
          </cell>
          <cell r="D890" t="str">
            <v>91M1</v>
          </cell>
          <cell r="E890" t="str">
            <v>直供国内A股采购组织</v>
          </cell>
          <cell r="F890" t="str">
            <v>寄售</v>
          </cell>
          <cell r="G890" t="str">
            <v>2026-12-31</v>
          </cell>
          <cell r="H890" t="str">
            <v>15</v>
          </cell>
          <cell r="I890" t="str">
            <v>102.17</v>
          </cell>
        </row>
        <row r="891">
          <cell r="B891" t="str">
            <v>0011801490Y</v>
          </cell>
          <cell r="C891" t="str">
            <v>变频外电脑板-FR-4</v>
          </cell>
          <cell r="D891" t="str">
            <v>91M1</v>
          </cell>
          <cell r="E891" t="str">
            <v>直供国内A股采购组织</v>
          </cell>
          <cell r="F891" t="str">
            <v>寄售</v>
          </cell>
          <cell r="G891" t="str">
            <v>2026-12-31</v>
          </cell>
          <cell r="H891" t="str">
            <v>15</v>
          </cell>
          <cell r="I891" t="str">
            <v>101.27</v>
          </cell>
        </row>
        <row r="892">
          <cell r="B892" t="str">
            <v>0011800387</v>
          </cell>
          <cell r="C892" t="str">
            <v>显示面板-FR-4</v>
          </cell>
          <cell r="D892" t="str">
            <v>91M1</v>
          </cell>
          <cell r="E892" t="str">
            <v>直供国内A股采购组织</v>
          </cell>
          <cell r="F892" t="str">
            <v>寄售</v>
          </cell>
          <cell r="G892" t="str">
            <v>2026-12-31</v>
          </cell>
          <cell r="H892" t="str">
            <v>15</v>
          </cell>
          <cell r="I892" t="str">
            <v>6.66</v>
          </cell>
        </row>
        <row r="893">
          <cell r="B893" t="str">
            <v>0011800537F</v>
          </cell>
          <cell r="C893" t="str">
            <v>室内电脑板-CEM-1</v>
          </cell>
          <cell r="D893" t="str">
            <v>91M1</v>
          </cell>
          <cell r="E893" t="str">
            <v>直供国内A股采购组织</v>
          </cell>
          <cell r="F893" t="str">
            <v>寄售</v>
          </cell>
          <cell r="G893" t="str">
            <v>2026-12-31</v>
          </cell>
          <cell r="H893" t="str">
            <v>15</v>
          </cell>
          <cell r="I893" t="str">
            <v>19.22</v>
          </cell>
        </row>
        <row r="894">
          <cell r="B894" t="str">
            <v>0011800612T</v>
          </cell>
          <cell r="C894" t="str">
            <v>室内电脑板-CEM-1</v>
          </cell>
          <cell r="D894" t="str">
            <v>91M1</v>
          </cell>
          <cell r="E894" t="str">
            <v>直供国内A股采购组织</v>
          </cell>
          <cell r="F894" t="str">
            <v>寄售</v>
          </cell>
          <cell r="G894" t="str">
            <v>2026-12-31</v>
          </cell>
          <cell r="H894" t="str">
            <v>15</v>
          </cell>
          <cell r="I894" t="str">
            <v>32.87</v>
          </cell>
        </row>
        <row r="895">
          <cell r="B895" t="str">
            <v>0011800630S</v>
          </cell>
          <cell r="C895" t="str">
            <v>室内电脑板-/</v>
          </cell>
          <cell r="D895" t="str">
            <v>91M1</v>
          </cell>
          <cell r="E895" t="str">
            <v>直供国内A股采购组织</v>
          </cell>
          <cell r="F895" t="str">
            <v>寄售</v>
          </cell>
          <cell r="G895" t="str">
            <v>2026-12-31</v>
          </cell>
          <cell r="H895" t="str">
            <v>15</v>
          </cell>
          <cell r="I895" t="str">
            <v>29.25</v>
          </cell>
        </row>
        <row r="896">
          <cell r="B896" t="str">
            <v>0011800807</v>
          </cell>
          <cell r="C896" t="str">
            <v>室内电脑板-FR-4</v>
          </cell>
          <cell r="D896" t="str">
            <v>91M1</v>
          </cell>
          <cell r="E896" t="str">
            <v>直供国内A股采购组织</v>
          </cell>
          <cell r="F896" t="str">
            <v>寄售</v>
          </cell>
          <cell r="G896" t="str">
            <v>2026-12-31</v>
          </cell>
          <cell r="H896" t="str">
            <v>15</v>
          </cell>
          <cell r="I896" t="str">
            <v>41.75</v>
          </cell>
        </row>
        <row r="897">
          <cell r="B897" t="str">
            <v>0011800980D</v>
          </cell>
          <cell r="C897" t="str">
            <v>室内电脑板-FR-4136*165</v>
          </cell>
          <cell r="D897" t="str">
            <v>91M1</v>
          </cell>
          <cell r="E897" t="str">
            <v>直供国内A股采购组织</v>
          </cell>
          <cell r="F897" t="str">
            <v>寄售</v>
          </cell>
          <cell r="G897" t="str">
            <v>2026-12-31</v>
          </cell>
          <cell r="H897" t="str">
            <v>30</v>
          </cell>
          <cell r="I897" t="str">
            <v>65.90</v>
          </cell>
        </row>
        <row r="898">
          <cell r="B898" t="str">
            <v>0011801045D</v>
          </cell>
          <cell r="C898" t="str">
            <v>显示板-FR-4</v>
          </cell>
          <cell r="D898" t="str">
            <v>91M1</v>
          </cell>
          <cell r="E898" t="str">
            <v>直供国内A股采购组织</v>
          </cell>
          <cell r="F898" t="str">
            <v>寄售</v>
          </cell>
          <cell r="G898" t="str">
            <v>2026-12-31</v>
          </cell>
          <cell r="H898" t="str">
            <v>15</v>
          </cell>
          <cell r="I898" t="str">
            <v>10.33</v>
          </cell>
        </row>
        <row r="899">
          <cell r="B899" t="str">
            <v>0011801150J</v>
          </cell>
          <cell r="C899" t="str">
            <v>变频外电脑板-FR-4230mm*157mm</v>
          </cell>
          <cell r="D899" t="str">
            <v>91M1</v>
          </cell>
          <cell r="E899" t="str">
            <v>直供国内A股采购组织</v>
          </cell>
          <cell r="F899" t="str">
            <v>寄售</v>
          </cell>
          <cell r="G899" t="str">
            <v>2026-12-31</v>
          </cell>
          <cell r="H899" t="str">
            <v>15</v>
          </cell>
          <cell r="I899" t="str">
            <v>135.85</v>
          </cell>
        </row>
        <row r="900">
          <cell r="B900" t="str">
            <v>0011801302</v>
          </cell>
          <cell r="C900" t="str">
            <v>变频外电脑板-通用/</v>
          </cell>
          <cell r="D900" t="str">
            <v>91M1</v>
          </cell>
          <cell r="E900" t="str">
            <v>直供国内A股采购组织</v>
          </cell>
          <cell r="F900" t="str">
            <v>寄售</v>
          </cell>
          <cell r="G900" t="str">
            <v>2026-12-31</v>
          </cell>
          <cell r="H900" t="str">
            <v>30</v>
          </cell>
          <cell r="I900" t="str">
            <v>73.80</v>
          </cell>
        </row>
        <row r="901">
          <cell r="B901" t="str">
            <v>0011801372B</v>
          </cell>
          <cell r="C901" t="str">
            <v>变频外电脑板-FR-4205mm*157mm</v>
          </cell>
          <cell r="D901" t="str">
            <v>91M1</v>
          </cell>
          <cell r="E901" t="str">
            <v>直供国内A股采购组织</v>
          </cell>
          <cell r="F901" t="str">
            <v>寄售</v>
          </cell>
          <cell r="G901" t="str">
            <v>2026-12-31</v>
          </cell>
          <cell r="H901" t="str">
            <v>15</v>
          </cell>
          <cell r="I901" t="str">
            <v>88.06</v>
          </cell>
        </row>
        <row r="902">
          <cell r="B902" t="str">
            <v>0011801423AW</v>
          </cell>
          <cell r="C902" t="str">
            <v>变频外电脑板-FR-4</v>
          </cell>
          <cell r="D902" t="str">
            <v>91M1</v>
          </cell>
          <cell r="E902" t="str">
            <v>直供国内A股采购组织</v>
          </cell>
          <cell r="F902" t="str">
            <v>寄售</v>
          </cell>
          <cell r="G902" t="str">
            <v>2026-12-31</v>
          </cell>
          <cell r="H902" t="str">
            <v>15</v>
          </cell>
          <cell r="I902" t="str">
            <v>158.97</v>
          </cell>
        </row>
        <row r="903">
          <cell r="B903" t="str">
            <v>0011801424AY</v>
          </cell>
          <cell r="C903" t="str">
            <v>变频外电脑板-FR-4</v>
          </cell>
          <cell r="D903" t="str">
            <v>91M1</v>
          </cell>
          <cell r="E903" t="str">
            <v>直供国内A股采购组织</v>
          </cell>
          <cell r="F903" t="str">
            <v>寄售</v>
          </cell>
          <cell r="G903" t="str">
            <v>2026-12-31</v>
          </cell>
          <cell r="H903" t="str">
            <v>15</v>
          </cell>
          <cell r="I903" t="str">
            <v>122.40</v>
          </cell>
        </row>
        <row r="904">
          <cell r="B904" t="str">
            <v>0011801424K</v>
          </cell>
          <cell r="C904" t="str">
            <v>变频外电脑板-FR-4/</v>
          </cell>
          <cell r="D904" t="str">
            <v>91M1</v>
          </cell>
          <cell r="E904" t="str">
            <v>直供国内A股采购组织</v>
          </cell>
          <cell r="F904" t="str">
            <v>寄售</v>
          </cell>
          <cell r="G904" t="str">
            <v>2026-12-31</v>
          </cell>
          <cell r="H904" t="str">
            <v>15</v>
          </cell>
          <cell r="I904" t="str">
            <v>114.63</v>
          </cell>
        </row>
        <row r="905">
          <cell r="B905" t="str">
            <v>0011801425P</v>
          </cell>
          <cell r="C905" t="str">
            <v>变频外电脑板-FR-4</v>
          </cell>
          <cell r="D905" t="str">
            <v>91M1</v>
          </cell>
          <cell r="E905" t="str">
            <v>直供国内A股采购组织</v>
          </cell>
          <cell r="F905" t="str">
            <v>寄售</v>
          </cell>
          <cell r="G905" t="str">
            <v>2026-12-31</v>
          </cell>
          <cell r="H905" t="str">
            <v>15</v>
          </cell>
          <cell r="I905" t="str">
            <v>109.09</v>
          </cell>
        </row>
        <row r="906">
          <cell r="B906" t="str">
            <v>0011801583AE</v>
          </cell>
          <cell r="C906" t="str">
            <v>室内电脑板-CEM-1</v>
          </cell>
          <cell r="D906" t="str">
            <v>91M1</v>
          </cell>
          <cell r="E906" t="str">
            <v>直供国内A股采购组织</v>
          </cell>
          <cell r="F906" t="str">
            <v>寄售</v>
          </cell>
          <cell r="G906" t="str">
            <v>2026-12-31</v>
          </cell>
          <cell r="H906" t="str">
            <v>15</v>
          </cell>
          <cell r="I906" t="str">
            <v>31.22</v>
          </cell>
        </row>
        <row r="907">
          <cell r="B907" t="str">
            <v>0011801606L</v>
          </cell>
          <cell r="C907" t="str">
            <v>室内电脑板-FR-4340*88mm</v>
          </cell>
          <cell r="D907" t="str">
            <v>91M1</v>
          </cell>
          <cell r="E907" t="str">
            <v>直供国内A股采购组织</v>
          </cell>
          <cell r="F907" t="str">
            <v>寄售</v>
          </cell>
          <cell r="G907" t="str">
            <v>2026-12-31</v>
          </cell>
          <cell r="H907" t="str">
            <v>15</v>
          </cell>
          <cell r="I907" t="str">
            <v>75.21</v>
          </cell>
        </row>
        <row r="908">
          <cell r="B908" t="str">
            <v>0011801675AP</v>
          </cell>
          <cell r="C908" t="str">
            <v>室内电脑板-CEM-1</v>
          </cell>
          <cell r="D908" t="str">
            <v>91M1</v>
          </cell>
          <cell r="E908" t="str">
            <v>直供国内A股采购组织</v>
          </cell>
          <cell r="F908" t="str">
            <v>寄售</v>
          </cell>
          <cell r="G908" t="str">
            <v>2026-12-31</v>
          </cell>
          <cell r="H908" t="str">
            <v>15</v>
          </cell>
          <cell r="I908" t="str">
            <v>38.82</v>
          </cell>
        </row>
        <row r="909">
          <cell r="B909" t="str">
            <v>0011801737</v>
          </cell>
          <cell r="C909" t="str">
            <v>显示板-LED166*93mm</v>
          </cell>
          <cell r="D909" t="str">
            <v>91M1</v>
          </cell>
          <cell r="E909" t="str">
            <v>直供国内A股采购组织</v>
          </cell>
          <cell r="F909" t="str">
            <v>寄售</v>
          </cell>
          <cell r="G909" t="str">
            <v>2026-12-31</v>
          </cell>
          <cell r="H909" t="str">
            <v>30</v>
          </cell>
          <cell r="I909" t="str">
            <v>33.31</v>
          </cell>
        </row>
        <row r="910">
          <cell r="B910" t="str">
            <v>0011801843W</v>
          </cell>
          <cell r="C910" t="str">
            <v>变频外电脑板-FR-4</v>
          </cell>
          <cell r="D910" t="str">
            <v>91M1</v>
          </cell>
          <cell r="E910" t="str">
            <v>直供国内A股采购组织</v>
          </cell>
          <cell r="F910" t="str">
            <v>寄售</v>
          </cell>
          <cell r="G910" t="str">
            <v>2026-12-31</v>
          </cell>
          <cell r="H910" t="str">
            <v>15</v>
          </cell>
          <cell r="I910" t="str">
            <v>122.18</v>
          </cell>
        </row>
        <row r="911">
          <cell r="B911" t="str">
            <v>0011801859G</v>
          </cell>
          <cell r="C911" t="str">
            <v>室内电脑板-FR-4</v>
          </cell>
          <cell r="D911" t="str">
            <v>91M1</v>
          </cell>
          <cell r="E911" t="str">
            <v>直供国内A股采购组织</v>
          </cell>
          <cell r="F911" t="str">
            <v>寄售</v>
          </cell>
          <cell r="G911" t="str">
            <v>2026-12-31</v>
          </cell>
          <cell r="H911" t="str">
            <v>15</v>
          </cell>
          <cell r="I911" t="str">
            <v>95.78</v>
          </cell>
        </row>
        <row r="912">
          <cell r="B912" t="str">
            <v>0020817461</v>
          </cell>
          <cell r="C912" t="str">
            <v>售后检测工装</v>
          </cell>
          <cell r="D912" t="str">
            <v>91M1</v>
          </cell>
          <cell r="E912" t="str">
            <v>直供国内A股采购组织</v>
          </cell>
          <cell r="F912" t="str">
            <v>寄售</v>
          </cell>
          <cell r="G912" t="str">
            <v>2026-12-31</v>
          </cell>
          <cell r="H912" t="str">
            <v>10</v>
          </cell>
          <cell r="I912" t="str">
            <v>797.98</v>
          </cell>
        </row>
        <row r="913">
          <cell r="B913" t="str">
            <v>0021800442G</v>
          </cell>
          <cell r="C913" t="str">
            <v>显示板-LED12VDC12VDC</v>
          </cell>
          <cell r="D913" t="str">
            <v>91M1</v>
          </cell>
          <cell r="E913" t="str">
            <v>直供国内A股采购组织</v>
          </cell>
          <cell r="F913" t="str">
            <v>寄售</v>
          </cell>
          <cell r="G913" t="str">
            <v>2026-12-31</v>
          </cell>
          <cell r="H913" t="str">
            <v>14</v>
          </cell>
          <cell r="I913" t="str">
            <v>27.72</v>
          </cell>
        </row>
        <row r="914">
          <cell r="B914" t="str">
            <v>0021800616A</v>
          </cell>
          <cell r="C914" t="str">
            <v>显示板-组件</v>
          </cell>
          <cell r="D914" t="str">
            <v>91M1</v>
          </cell>
          <cell r="E914" t="str">
            <v>直供国内A股采购组织</v>
          </cell>
          <cell r="F914" t="str">
            <v>寄售</v>
          </cell>
          <cell r="G914" t="str">
            <v>2026-12-31</v>
          </cell>
          <cell r="H914" t="str">
            <v>10</v>
          </cell>
          <cell r="I914" t="str">
            <v>57.15</v>
          </cell>
        </row>
        <row r="915">
          <cell r="B915" t="str">
            <v>0021800841</v>
          </cell>
          <cell r="C915" t="str">
            <v>显示板-LED</v>
          </cell>
          <cell r="D915" t="str">
            <v>91M1</v>
          </cell>
          <cell r="E915" t="str">
            <v>直供国内A股采购组织</v>
          </cell>
          <cell r="F915" t="str">
            <v>寄售</v>
          </cell>
          <cell r="G915" t="str">
            <v>2026-12-31</v>
          </cell>
          <cell r="H915" t="str">
            <v>10</v>
          </cell>
          <cell r="I915" t="str">
            <v>3.36</v>
          </cell>
        </row>
        <row r="916">
          <cell r="B916" t="str">
            <v>0011800495W</v>
          </cell>
          <cell r="C916" t="str">
            <v>显示面板-CEM-1PCB</v>
          </cell>
          <cell r="D916" t="str">
            <v>91M1</v>
          </cell>
          <cell r="E916" t="str">
            <v>直供国内A股采购组织</v>
          </cell>
          <cell r="F916" t="str">
            <v>寄售</v>
          </cell>
          <cell r="G916" t="str">
            <v>2026-12-31</v>
          </cell>
          <cell r="H916" t="str">
            <v>15</v>
          </cell>
          <cell r="I916" t="str">
            <v>26.60</v>
          </cell>
        </row>
        <row r="917">
          <cell r="B917" t="str">
            <v>0011800612H</v>
          </cell>
          <cell r="C917" t="str">
            <v>室内电脑板-/---</v>
          </cell>
          <cell r="D917" t="str">
            <v>91M1</v>
          </cell>
          <cell r="E917" t="str">
            <v>直供国内A股采购组织</v>
          </cell>
          <cell r="F917" t="str">
            <v>寄售</v>
          </cell>
          <cell r="G917" t="str">
            <v>2026-12-31</v>
          </cell>
          <cell r="H917" t="str">
            <v>15</v>
          </cell>
          <cell r="I917" t="str">
            <v>23.91</v>
          </cell>
        </row>
        <row r="918">
          <cell r="B918" t="str">
            <v>0011800630J</v>
          </cell>
          <cell r="C918" t="str">
            <v>室内电脑板-CEM-1室内电脑板俄罗斯07/09/12P系列室内电脑板</v>
          </cell>
          <cell r="D918" t="str">
            <v>91M1</v>
          </cell>
          <cell r="E918" t="str">
            <v>直供国内A股采购组织</v>
          </cell>
          <cell r="F918" t="str">
            <v>寄售</v>
          </cell>
          <cell r="G918" t="str">
            <v>2026-12-31</v>
          </cell>
          <cell r="H918" t="str">
            <v>15</v>
          </cell>
          <cell r="I918" t="str">
            <v>27.66</v>
          </cell>
        </row>
        <row r="919">
          <cell r="B919" t="str">
            <v>0011800646B</v>
          </cell>
          <cell r="C919" t="str">
            <v>室内电脑板-FR-4</v>
          </cell>
          <cell r="D919" t="str">
            <v>91M1</v>
          </cell>
          <cell r="E919" t="str">
            <v>直供国内A股采购组织</v>
          </cell>
          <cell r="F919" t="str">
            <v>寄售</v>
          </cell>
          <cell r="G919" t="str">
            <v>2026-12-31</v>
          </cell>
          <cell r="H919" t="str">
            <v>15</v>
          </cell>
          <cell r="I919" t="str">
            <v>48.97</v>
          </cell>
        </row>
        <row r="920">
          <cell r="B920" t="str">
            <v>0011800933Y</v>
          </cell>
          <cell r="C920" t="str">
            <v>变频外电脑板-FR-4215mm*157mm</v>
          </cell>
          <cell r="D920" t="str">
            <v>91M1</v>
          </cell>
          <cell r="E920" t="str">
            <v>直供国内A股采购组织</v>
          </cell>
          <cell r="F920" t="str">
            <v>寄售</v>
          </cell>
          <cell r="G920" t="str">
            <v>2026-12-31</v>
          </cell>
          <cell r="H920" t="str">
            <v>15</v>
          </cell>
          <cell r="I920" t="str">
            <v>127.89</v>
          </cell>
        </row>
        <row r="921">
          <cell r="B921" t="str">
            <v>0011801330G</v>
          </cell>
          <cell r="C921" t="str">
            <v>室内电脑板-CEM-1</v>
          </cell>
          <cell r="D921" t="str">
            <v>91M1</v>
          </cell>
          <cell r="E921" t="str">
            <v>直供国内A股采购组织</v>
          </cell>
          <cell r="F921" t="str">
            <v>寄售</v>
          </cell>
          <cell r="G921" t="str">
            <v>2026-12-31</v>
          </cell>
          <cell r="H921" t="str">
            <v>15</v>
          </cell>
          <cell r="I921" t="str">
            <v>35.67</v>
          </cell>
        </row>
        <row r="922">
          <cell r="B922" t="str">
            <v>0011801423AL</v>
          </cell>
          <cell r="C922" t="str">
            <v>变频外电脑板-FR-4</v>
          </cell>
          <cell r="D922" t="str">
            <v>91M1</v>
          </cell>
          <cell r="E922" t="str">
            <v>直供国内A股采购组织</v>
          </cell>
          <cell r="F922" t="str">
            <v>寄售</v>
          </cell>
          <cell r="G922" t="str">
            <v>2026-12-31</v>
          </cell>
          <cell r="H922" t="str">
            <v>15</v>
          </cell>
          <cell r="I922" t="str">
            <v>141.18</v>
          </cell>
        </row>
        <row r="923">
          <cell r="B923" t="str">
            <v>0011801424AF</v>
          </cell>
          <cell r="C923" t="str">
            <v>变频外电脑板-FR-4/</v>
          </cell>
          <cell r="D923" t="str">
            <v>91M1</v>
          </cell>
          <cell r="E923" t="str">
            <v>直供国内A股采购组织</v>
          </cell>
          <cell r="F923" t="str">
            <v>寄售</v>
          </cell>
          <cell r="G923" t="str">
            <v>2026-12-31</v>
          </cell>
          <cell r="H923" t="str">
            <v>15</v>
          </cell>
          <cell r="I923" t="str">
            <v>116.13</v>
          </cell>
        </row>
        <row r="924">
          <cell r="B924" t="str">
            <v>0011801424D</v>
          </cell>
          <cell r="C924" t="str">
            <v>变频外电脑板-FR-4/</v>
          </cell>
          <cell r="D924" t="str">
            <v>91M1</v>
          </cell>
          <cell r="E924" t="str">
            <v>直供国内A股采购组织</v>
          </cell>
          <cell r="F924" t="str">
            <v>寄售</v>
          </cell>
          <cell r="G924" t="str">
            <v>2026-12-31</v>
          </cell>
          <cell r="H924" t="str">
            <v>15</v>
          </cell>
          <cell r="I924" t="str">
            <v>136.88</v>
          </cell>
        </row>
        <row r="925">
          <cell r="B925" t="str">
            <v>0011801424Z</v>
          </cell>
          <cell r="C925" t="str">
            <v>变频外电脑板-FR-4/</v>
          </cell>
          <cell r="D925" t="str">
            <v>91M1</v>
          </cell>
          <cell r="E925" t="str">
            <v>直供国内A股采购组织</v>
          </cell>
          <cell r="F925" t="str">
            <v>寄售</v>
          </cell>
          <cell r="G925" t="str">
            <v>2026-12-31</v>
          </cell>
          <cell r="H925" t="str">
            <v>15</v>
          </cell>
          <cell r="I925" t="str">
            <v>137.83</v>
          </cell>
        </row>
        <row r="926">
          <cell r="B926" t="str">
            <v>0011801490AV</v>
          </cell>
          <cell r="C926" t="str">
            <v>变频外电脑板</v>
          </cell>
          <cell r="D926" t="str">
            <v>91M1</v>
          </cell>
          <cell r="E926" t="str">
            <v>直供国内A股采购组织</v>
          </cell>
          <cell r="F926" t="str">
            <v>寄售</v>
          </cell>
          <cell r="G926" t="str">
            <v>2026-12-31</v>
          </cell>
          <cell r="H926" t="str">
            <v>15</v>
          </cell>
          <cell r="I926" t="str">
            <v>99.67</v>
          </cell>
        </row>
        <row r="927">
          <cell r="B927" t="str">
            <v>0011801490BY</v>
          </cell>
          <cell r="C927" t="str">
            <v>变频外电脑板-FR-4</v>
          </cell>
          <cell r="D927" t="str">
            <v>91M1</v>
          </cell>
          <cell r="E927" t="str">
            <v>直供国内A股采购组织</v>
          </cell>
          <cell r="F927" t="str">
            <v>寄售</v>
          </cell>
          <cell r="G927" t="str">
            <v>2026-12-31</v>
          </cell>
          <cell r="H927" t="str">
            <v>15</v>
          </cell>
          <cell r="I927" t="str">
            <v>100.06</v>
          </cell>
        </row>
        <row r="928">
          <cell r="B928" t="str">
            <v>0011801490JZ</v>
          </cell>
          <cell r="C928" t="str">
            <v>变频外电脑板-FR-4</v>
          </cell>
          <cell r="D928" t="str">
            <v>91M1</v>
          </cell>
          <cell r="E928" t="str">
            <v>直供国内A股采购组织</v>
          </cell>
          <cell r="F928" t="str">
            <v>寄售</v>
          </cell>
          <cell r="G928" t="str">
            <v>2026-12-31</v>
          </cell>
          <cell r="H928" t="str">
            <v>15</v>
          </cell>
          <cell r="I928" t="str">
            <v>98.14</v>
          </cell>
        </row>
        <row r="929">
          <cell r="B929" t="str">
            <v>0011801497</v>
          </cell>
          <cell r="C929" t="str">
            <v>变频外电脑板-FR-4/</v>
          </cell>
          <cell r="D929" t="str">
            <v>91M1</v>
          </cell>
          <cell r="E929" t="str">
            <v>直供国内A股采购组织</v>
          </cell>
          <cell r="F929" t="str">
            <v>寄售</v>
          </cell>
          <cell r="G929" t="str">
            <v>2026-12-31</v>
          </cell>
          <cell r="H929" t="str">
            <v>15</v>
          </cell>
          <cell r="I929" t="str">
            <v>125.32</v>
          </cell>
        </row>
        <row r="930">
          <cell r="B930" t="str">
            <v>0021800442GA</v>
          </cell>
          <cell r="C930" t="str">
            <v>显示板-LED12VDC12VDC</v>
          </cell>
          <cell r="D930" t="str">
            <v>91M1</v>
          </cell>
          <cell r="E930" t="str">
            <v>直供国内A股采购组织</v>
          </cell>
          <cell r="F930" t="str">
            <v>寄售</v>
          </cell>
          <cell r="G930" t="str">
            <v>2026-12-31</v>
          </cell>
          <cell r="H930" t="str">
            <v>14</v>
          </cell>
          <cell r="I930" t="str">
            <v>27.72</v>
          </cell>
        </row>
        <row r="931">
          <cell r="B931" t="str">
            <v>0021800616B</v>
          </cell>
          <cell r="C931" t="str">
            <v>显示板-电脑版\LED</v>
          </cell>
          <cell r="D931" t="str">
            <v>91M1</v>
          </cell>
          <cell r="E931" t="str">
            <v>直供国内A股采购组织</v>
          </cell>
          <cell r="F931" t="str">
            <v>寄售</v>
          </cell>
          <cell r="G931" t="str">
            <v>2026-12-31</v>
          </cell>
          <cell r="H931" t="str">
            <v>10</v>
          </cell>
          <cell r="I931" t="str">
            <v>57.15</v>
          </cell>
        </row>
        <row r="932">
          <cell r="B932" t="str">
            <v>0021800866</v>
          </cell>
          <cell r="C932" t="str">
            <v>显示板-LEDDC12V</v>
          </cell>
          <cell r="D932" t="str">
            <v>91M1</v>
          </cell>
          <cell r="E932" t="str">
            <v>直供国内A股采购组织</v>
          </cell>
          <cell r="F932" t="str">
            <v>寄售</v>
          </cell>
          <cell r="G932" t="str">
            <v>2026-12-31</v>
          </cell>
          <cell r="H932" t="str">
            <v>10</v>
          </cell>
          <cell r="I932" t="str">
            <v>46.74</v>
          </cell>
        </row>
        <row r="933">
          <cell r="B933" t="str">
            <v>0031800517</v>
          </cell>
          <cell r="C933" t="str">
            <v>显示板-LED</v>
          </cell>
          <cell r="D933" t="str">
            <v>91M1</v>
          </cell>
          <cell r="E933" t="str">
            <v>直供国内A股采购组织</v>
          </cell>
          <cell r="F933" t="str">
            <v>寄售</v>
          </cell>
          <cell r="G933" t="str">
            <v>2026-12-31</v>
          </cell>
          <cell r="H933" t="str">
            <v>10</v>
          </cell>
          <cell r="I933" t="str">
            <v>26.93</v>
          </cell>
        </row>
        <row r="934">
          <cell r="B934" t="str">
            <v>0011800612M</v>
          </cell>
          <cell r="C934" t="str">
            <v>室内电脑板-CEM-1</v>
          </cell>
          <cell r="D934" t="str">
            <v>91M1</v>
          </cell>
          <cell r="E934" t="str">
            <v>直供国内A股采购组织</v>
          </cell>
          <cell r="F934" t="str">
            <v>寄售</v>
          </cell>
          <cell r="G934" t="str">
            <v>2026-12-31</v>
          </cell>
          <cell r="H934" t="str">
            <v>15</v>
          </cell>
          <cell r="I934" t="str">
            <v>27.02</v>
          </cell>
        </row>
        <row r="935">
          <cell r="B935" t="str">
            <v>0011800630L</v>
          </cell>
          <cell r="C935" t="str">
            <v>室内电脑板-CEM-1室内电脑板泰国09/12P系列定频室内电脑板</v>
          </cell>
          <cell r="D935" t="str">
            <v>91M1</v>
          </cell>
          <cell r="E935" t="str">
            <v>直供国内A股采购组织</v>
          </cell>
          <cell r="F935" t="str">
            <v>寄售</v>
          </cell>
          <cell r="G935" t="str">
            <v>2026-12-31</v>
          </cell>
          <cell r="H935" t="str">
            <v>15</v>
          </cell>
          <cell r="I935" t="str">
            <v>23.85</v>
          </cell>
        </row>
        <row r="936">
          <cell r="B936" t="str">
            <v>0011800950D</v>
          </cell>
          <cell r="C936" t="str">
            <v>显示板-LED/</v>
          </cell>
          <cell r="D936" t="str">
            <v>91M1</v>
          </cell>
          <cell r="E936" t="str">
            <v>直供国内A股采购组织</v>
          </cell>
          <cell r="F936" t="str">
            <v>标准</v>
          </cell>
          <cell r="G936" t="str">
            <v>2026-12-31</v>
          </cell>
          <cell r="H936" t="str">
            <v>15</v>
          </cell>
          <cell r="I936" t="str">
            <v>19.90</v>
          </cell>
        </row>
        <row r="937">
          <cell r="B937" t="str">
            <v>0011800977R</v>
          </cell>
          <cell r="C937" t="str">
            <v>室内电脑板-CEM-1/</v>
          </cell>
          <cell r="D937" t="str">
            <v>91M1</v>
          </cell>
          <cell r="E937" t="str">
            <v>直供国内A股采购组织</v>
          </cell>
          <cell r="F937" t="str">
            <v>寄售</v>
          </cell>
          <cell r="G937" t="str">
            <v>2026-12-31</v>
          </cell>
          <cell r="H937" t="str">
            <v>30</v>
          </cell>
          <cell r="I937" t="str">
            <v>27.96</v>
          </cell>
        </row>
        <row r="938">
          <cell r="B938" t="str">
            <v>0011801583AF</v>
          </cell>
          <cell r="C938" t="str">
            <v>室内电脑板</v>
          </cell>
          <cell r="D938" t="str">
            <v>91M1</v>
          </cell>
          <cell r="E938" t="str">
            <v>直供国内A股采购组织</v>
          </cell>
          <cell r="F938" t="str">
            <v>寄售</v>
          </cell>
          <cell r="G938" t="str">
            <v>2026-12-31</v>
          </cell>
          <cell r="H938" t="str">
            <v>15</v>
          </cell>
          <cell r="I938" t="str">
            <v>32.49</v>
          </cell>
        </row>
        <row r="939">
          <cell r="B939" t="str">
            <v>0011801583YA</v>
          </cell>
          <cell r="C939" t="str">
            <v>室内电脑板-CEM-1</v>
          </cell>
          <cell r="D939" t="str">
            <v>91M1</v>
          </cell>
          <cell r="E939" t="str">
            <v>直供国内A股采购组织</v>
          </cell>
          <cell r="F939" t="str">
            <v>寄售</v>
          </cell>
          <cell r="G939" t="str">
            <v>2026-12-31</v>
          </cell>
          <cell r="H939" t="str">
            <v>15</v>
          </cell>
          <cell r="I939" t="str">
            <v>31.22</v>
          </cell>
        </row>
        <row r="940">
          <cell r="B940" t="str">
            <v>0011801606M</v>
          </cell>
          <cell r="C940" t="str">
            <v>室内电脑板-FR-4</v>
          </cell>
          <cell r="D940" t="str">
            <v>91M1</v>
          </cell>
          <cell r="E940" t="str">
            <v>直供国内A股采购组织</v>
          </cell>
          <cell r="F940" t="str">
            <v>寄售</v>
          </cell>
          <cell r="G940" t="str">
            <v>2026-12-31</v>
          </cell>
          <cell r="H940" t="str">
            <v>15</v>
          </cell>
          <cell r="I940" t="str">
            <v>80.10</v>
          </cell>
        </row>
        <row r="941">
          <cell r="B941" t="str">
            <v>0011801659</v>
          </cell>
          <cell r="C941" t="str">
            <v>显示板-LED</v>
          </cell>
          <cell r="D941" t="str">
            <v>91M1</v>
          </cell>
          <cell r="E941" t="str">
            <v>直供国内A股采购组织</v>
          </cell>
          <cell r="F941" t="str">
            <v>寄售</v>
          </cell>
          <cell r="G941" t="str">
            <v>2026-12-31</v>
          </cell>
          <cell r="H941" t="str">
            <v>15</v>
          </cell>
          <cell r="I941" t="str">
            <v>7.37</v>
          </cell>
        </row>
        <row r="942">
          <cell r="B942" t="str">
            <v>0011801675B</v>
          </cell>
          <cell r="C942" t="str">
            <v>室内电脑板-CEM-1155*136</v>
          </cell>
          <cell r="D942" t="str">
            <v>91M1</v>
          </cell>
          <cell r="E942" t="str">
            <v>直供国内A股采购组织</v>
          </cell>
          <cell r="F942" t="str">
            <v>寄售</v>
          </cell>
          <cell r="G942" t="str">
            <v>2026-12-31</v>
          </cell>
          <cell r="H942" t="str">
            <v>15</v>
          </cell>
          <cell r="I942" t="str">
            <v>37.58</v>
          </cell>
        </row>
        <row r="943">
          <cell r="B943" t="str">
            <v>0011801710H</v>
          </cell>
          <cell r="C943" t="str">
            <v>室内电脑板-FR-4240*120mm</v>
          </cell>
          <cell r="D943" t="str">
            <v>91M1</v>
          </cell>
          <cell r="E943" t="str">
            <v>直供国内A股采购组织</v>
          </cell>
          <cell r="F943" t="str">
            <v>寄售</v>
          </cell>
          <cell r="G943" t="str">
            <v>2026-12-31</v>
          </cell>
          <cell r="H943" t="str">
            <v>15</v>
          </cell>
          <cell r="I943" t="str">
            <v>73.12</v>
          </cell>
        </row>
        <row r="944">
          <cell r="B944" t="str">
            <v>0011801737A</v>
          </cell>
          <cell r="C944" t="str">
            <v>显示板-LED166*93mm</v>
          </cell>
          <cell r="D944" t="str">
            <v>91M1</v>
          </cell>
          <cell r="E944" t="str">
            <v>直供国内A股采购组织</v>
          </cell>
          <cell r="F944" t="str">
            <v>寄售</v>
          </cell>
          <cell r="G944" t="str">
            <v>2026-12-31</v>
          </cell>
          <cell r="H944" t="str">
            <v>30</v>
          </cell>
          <cell r="I944" t="str">
            <v>28.50</v>
          </cell>
        </row>
        <row r="945">
          <cell r="B945" t="str">
            <v>0011801826</v>
          </cell>
          <cell r="C945" t="str">
            <v>室内电脑板-FR-4136*165</v>
          </cell>
          <cell r="D945" t="str">
            <v>91M1</v>
          </cell>
          <cell r="E945" t="str">
            <v>直供国内A股采购组织</v>
          </cell>
          <cell r="F945" t="str">
            <v>寄售</v>
          </cell>
          <cell r="G945" t="str">
            <v>2026-12-31</v>
          </cell>
          <cell r="H945" t="str">
            <v>15</v>
          </cell>
          <cell r="I945" t="str">
            <v>51.02</v>
          </cell>
        </row>
        <row r="946">
          <cell r="B946" t="str">
            <v>0011801843X</v>
          </cell>
          <cell r="C946" t="str">
            <v>变频外电脑板-FR-4</v>
          </cell>
          <cell r="D946" t="str">
            <v>91M1</v>
          </cell>
          <cell r="E946" t="str">
            <v>直供国内A股采购组织</v>
          </cell>
          <cell r="F946" t="str">
            <v>寄售</v>
          </cell>
          <cell r="G946" t="str">
            <v>2026-12-31</v>
          </cell>
          <cell r="H946" t="str">
            <v>15</v>
          </cell>
          <cell r="I946" t="str">
            <v>131.06</v>
          </cell>
        </row>
        <row r="947">
          <cell r="B947" t="str">
            <v>0011801852D</v>
          </cell>
          <cell r="C947" t="str">
            <v>室内电脑板</v>
          </cell>
          <cell r="D947" t="str">
            <v>91M1</v>
          </cell>
          <cell r="E947" t="str">
            <v>直供国内A股采购组织</v>
          </cell>
          <cell r="F947" t="str">
            <v>寄售</v>
          </cell>
          <cell r="G947" t="str">
            <v>2026-12-31</v>
          </cell>
          <cell r="H947" t="str">
            <v>15</v>
          </cell>
          <cell r="I947" t="str">
            <v>90.22</v>
          </cell>
        </row>
        <row r="948">
          <cell r="B948" t="str">
            <v>0021800839</v>
          </cell>
          <cell r="C948" t="str">
            <v>流程板</v>
          </cell>
          <cell r="D948" t="str">
            <v>91M1</v>
          </cell>
          <cell r="E948" t="str">
            <v>直供国内A股采购组织</v>
          </cell>
          <cell r="F948" t="str">
            <v>寄售</v>
          </cell>
          <cell r="G948" t="str">
            <v>2026-12-31</v>
          </cell>
          <cell r="H948" t="str">
            <v>10</v>
          </cell>
          <cell r="I948" t="str">
            <v>22.17</v>
          </cell>
        </row>
        <row r="949">
          <cell r="B949" t="str">
            <v>0041800728E</v>
          </cell>
          <cell r="C949" t="str">
            <v>电脑板显示板-CEM-1-热泵</v>
          </cell>
          <cell r="D949" t="str">
            <v>91M1</v>
          </cell>
          <cell r="E949" t="str">
            <v>直供国内A股采购组织</v>
          </cell>
          <cell r="F949" t="str">
            <v>寄售</v>
          </cell>
          <cell r="G949" t="str">
            <v>2026-12-31</v>
          </cell>
          <cell r="H949" t="str">
            <v>14</v>
          </cell>
          <cell r="I949" t="str">
            <v>11.52</v>
          </cell>
        </row>
        <row r="950">
          <cell r="B950" t="str">
            <v>0041801687</v>
          </cell>
          <cell r="C950" t="str">
            <v>电脑板-220V140*108mm</v>
          </cell>
          <cell r="D950" t="str">
            <v>91M1</v>
          </cell>
          <cell r="E950" t="str">
            <v>直供国内A股采购组织</v>
          </cell>
          <cell r="F950" t="str">
            <v>寄售</v>
          </cell>
          <cell r="G950" t="str">
            <v>2026-12-31</v>
          </cell>
          <cell r="H950" t="str">
            <v>7</v>
          </cell>
          <cell r="I950" t="str">
            <v>61.38</v>
          </cell>
        </row>
        <row r="951">
          <cell r="B951" t="str">
            <v>0121800104WG</v>
          </cell>
          <cell r="C951" t="str">
            <v>显示板</v>
          </cell>
          <cell r="D951" t="str">
            <v>91M1</v>
          </cell>
          <cell r="E951" t="str">
            <v>直供国内A股采购组织</v>
          </cell>
          <cell r="F951" t="str">
            <v>寄售</v>
          </cell>
          <cell r="G951" t="str">
            <v>2026-12-31</v>
          </cell>
          <cell r="H951" t="str">
            <v>7</v>
          </cell>
          <cell r="I951" t="str">
            <v>61.54</v>
          </cell>
        </row>
        <row r="952">
          <cell r="B952" t="str">
            <v>0011801890C</v>
          </cell>
          <cell r="C952" t="str">
            <v>室内电脑板-CEM-1</v>
          </cell>
          <cell r="D952" t="str">
            <v>91M1</v>
          </cell>
          <cell r="E952" t="str">
            <v>直供国内A股采购组织</v>
          </cell>
          <cell r="F952" t="str">
            <v>寄售</v>
          </cell>
          <cell r="G952" t="str">
            <v>2026-12-31</v>
          </cell>
          <cell r="H952" t="str">
            <v>15</v>
          </cell>
          <cell r="I952" t="str">
            <v>41.66</v>
          </cell>
        </row>
        <row r="953">
          <cell r="B953" t="str">
            <v>0011801911A</v>
          </cell>
          <cell r="C953" t="str">
            <v>显示板-LED</v>
          </cell>
          <cell r="D953" t="str">
            <v>91M1</v>
          </cell>
          <cell r="E953" t="str">
            <v>直供国内A股采购组织</v>
          </cell>
          <cell r="F953" t="str">
            <v>寄售</v>
          </cell>
          <cell r="G953" t="str">
            <v>2026-12-31</v>
          </cell>
          <cell r="H953" t="str">
            <v>15</v>
          </cell>
          <cell r="I953" t="str">
            <v>8.72</v>
          </cell>
        </row>
        <row r="954">
          <cell r="B954" t="str">
            <v>0011801917D</v>
          </cell>
          <cell r="C954" t="str">
            <v>显示板</v>
          </cell>
          <cell r="D954" t="str">
            <v>91M1</v>
          </cell>
          <cell r="E954" t="str">
            <v>直供国内A股采购组织</v>
          </cell>
          <cell r="F954" t="str">
            <v>寄售</v>
          </cell>
          <cell r="G954" t="str">
            <v>2026-12-31</v>
          </cell>
          <cell r="H954" t="str">
            <v>15</v>
          </cell>
          <cell r="I954" t="str">
            <v>38.00</v>
          </cell>
        </row>
        <row r="955">
          <cell r="B955" t="str">
            <v>0011801922G</v>
          </cell>
          <cell r="C955" t="str">
            <v>室内电脑板-CEM-1</v>
          </cell>
          <cell r="D955" t="str">
            <v>91M1</v>
          </cell>
          <cell r="E955" t="str">
            <v>直供国内A股采购组织</v>
          </cell>
          <cell r="F955" t="str">
            <v>寄售</v>
          </cell>
          <cell r="G955" t="str">
            <v>2026-12-31</v>
          </cell>
          <cell r="H955" t="str">
            <v>15</v>
          </cell>
          <cell r="I955" t="str">
            <v>43.49</v>
          </cell>
        </row>
        <row r="956">
          <cell r="B956" t="str">
            <v>0011801973A</v>
          </cell>
          <cell r="C956" t="str">
            <v>室内电脑板-CEM-3</v>
          </cell>
          <cell r="D956" t="str">
            <v>91M1</v>
          </cell>
          <cell r="E956" t="str">
            <v>直供国内A股采购组织</v>
          </cell>
          <cell r="F956" t="str">
            <v>寄售</v>
          </cell>
          <cell r="G956" t="str">
            <v>2026-12-31</v>
          </cell>
          <cell r="H956" t="str">
            <v>15</v>
          </cell>
          <cell r="I956" t="str">
            <v>59.46</v>
          </cell>
        </row>
        <row r="957">
          <cell r="B957" t="str">
            <v>0011802040</v>
          </cell>
          <cell r="C957" t="str">
            <v>显示板</v>
          </cell>
          <cell r="D957" t="str">
            <v>91M1</v>
          </cell>
          <cell r="E957" t="str">
            <v>直供国内A股采购组织</v>
          </cell>
          <cell r="F957" t="str">
            <v>寄售</v>
          </cell>
          <cell r="G957" t="str">
            <v>2026-12-31</v>
          </cell>
          <cell r="H957" t="str">
            <v>15</v>
          </cell>
          <cell r="I957" t="str">
            <v>33.50</v>
          </cell>
        </row>
        <row r="958">
          <cell r="B958" t="str">
            <v>0021800615B</v>
          </cell>
          <cell r="C958" t="str">
            <v>显示板-LCD5V</v>
          </cell>
          <cell r="D958" t="str">
            <v>91M1</v>
          </cell>
          <cell r="E958" t="str">
            <v>直供国内A股采购组织</v>
          </cell>
          <cell r="F958" t="str">
            <v>寄售</v>
          </cell>
          <cell r="G958" t="str">
            <v>2026-12-31</v>
          </cell>
          <cell r="H958" t="str">
            <v>10</v>
          </cell>
          <cell r="I958" t="str">
            <v>67.19</v>
          </cell>
        </row>
        <row r="959">
          <cell r="B959" t="str">
            <v>0021800616J</v>
          </cell>
          <cell r="C959" t="str">
            <v>显示板-FR-4</v>
          </cell>
          <cell r="D959" t="str">
            <v>91M1</v>
          </cell>
          <cell r="E959" t="str">
            <v>直供国内A股采购组织</v>
          </cell>
          <cell r="F959" t="str">
            <v>寄售</v>
          </cell>
          <cell r="G959" t="str">
            <v>2026-12-31</v>
          </cell>
          <cell r="H959" t="str">
            <v>10</v>
          </cell>
          <cell r="I959" t="str">
            <v>57.15</v>
          </cell>
        </row>
        <row r="960">
          <cell r="B960" t="str">
            <v>0011800612AB</v>
          </cell>
          <cell r="C960" t="str">
            <v>室内电脑板-CEM-1\\</v>
          </cell>
          <cell r="D960" t="str">
            <v>91M1</v>
          </cell>
          <cell r="E960" t="str">
            <v>直供国内A股采购组织</v>
          </cell>
          <cell r="F960" t="str">
            <v>寄售</v>
          </cell>
          <cell r="G960" t="str">
            <v>2026-12-31</v>
          </cell>
          <cell r="H960" t="str">
            <v>15</v>
          </cell>
          <cell r="I960" t="str">
            <v>28.63</v>
          </cell>
        </row>
        <row r="961">
          <cell r="B961" t="str">
            <v>0011800612W</v>
          </cell>
          <cell r="C961" t="str">
            <v>室内电脑板-CEM-1\</v>
          </cell>
          <cell r="D961" t="str">
            <v>91M1</v>
          </cell>
          <cell r="E961" t="str">
            <v>直供国内A股采购组织</v>
          </cell>
          <cell r="F961" t="str">
            <v>寄售</v>
          </cell>
          <cell r="G961" t="str">
            <v>2026-12-31</v>
          </cell>
          <cell r="H961" t="str">
            <v>15</v>
          </cell>
          <cell r="I961" t="str">
            <v>26.66</v>
          </cell>
        </row>
        <row r="962">
          <cell r="B962" t="str">
            <v>0011800630Z</v>
          </cell>
          <cell r="C962" t="str">
            <v>室内电脑板-CEM-3室内电脑板马来09/12室内电脑板</v>
          </cell>
          <cell r="D962" t="str">
            <v>91M1</v>
          </cell>
          <cell r="E962" t="str">
            <v>直供国内A股采购组织</v>
          </cell>
          <cell r="F962" t="str">
            <v>寄售</v>
          </cell>
          <cell r="G962" t="str">
            <v>2026-12-31</v>
          </cell>
          <cell r="H962" t="str">
            <v>15</v>
          </cell>
          <cell r="I962" t="str">
            <v>34.68</v>
          </cell>
        </row>
        <row r="963">
          <cell r="B963" t="str">
            <v>0011800970M</v>
          </cell>
          <cell r="C963" t="str">
            <v>变频外电脑板-通用23T直流变频</v>
          </cell>
          <cell r="D963" t="str">
            <v>91M1</v>
          </cell>
          <cell r="E963" t="str">
            <v>直供国内A股采购组织</v>
          </cell>
          <cell r="F963" t="str">
            <v>寄售</v>
          </cell>
          <cell r="G963" t="str">
            <v>2026-12-31</v>
          </cell>
          <cell r="H963" t="str">
            <v>15</v>
          </cell>
          <cell r="I963" t="str">
            <v>109.66</v>
          </cell>
        </row>
        <row r="964">
          <cell r="B964" t="str">
            <v>0011801048AB</v>
          </cell>
          <cell r="C964" t="str">
            <v>变频外电脑板-FR-4/</v>
          </cell>
          <cell r="D964" t="str">
            <v>91M1</v>
          </cell>
          <cell r="E964" t="str">
            <v>直供国内A股采购组织</v>
          </cell>
          <cell r="F964" t="str">
            <v>寄售</v>
          </cell>
          <cell r="G964" t="str">
            <v>2026-12-31</v>
          </cell>
          <cell r="H964" t="str">
            <v>15</v>
          </cell>
          <cell r="I964" t="str">
            <v>142.75</v>
          </cell>
        </row>
        <row r="965">
          <cell r="B965" t="str">
            <v>0011801118BYD</v>
          </cell>
          <cell r="C965" t="str">
            <v>变频外电脑板-FR-4240*180</v>
          </cell>
          <cell r="D965" t="str">
            <v>91M1</v>
          </cell>
          <cell r="E965" t="str">
            <v>直供国内A股采购组织</v>
          </cell>
          <cell r="F965" t="str">
            <v>寄售</v>
          </cell>
          <cell r="G965" t="str">
            <v>2026-12-31</v>
          </cell>
          <cell r="H965" t="str">
            <v>15</v>
          </cell>
          <cell r="I965" t="str">
            <v>160.99</v>
          </cell>
        </row>
        <row r="966">
          <cell r="B966" t="str">
            <v>0011801172BA</v>
          </cell>
          <cell r="C966" t="str">
            <v>变频外电脑板-FR-4240*180</v>
          </cell>
          <cell r="D966" t="str">
            <v>91M1</v>
          </cell>
          <cell r="E966" t="str">
            <v>直供国内A股采购组织</v>
          </cell>
          <cell r="F966" t="str">
            <v>寄售</v>
          </cell>
          <cell r="G966" t="str">
            <v>2026-12-31</v>
          </cell>
          <cell r="H966" t="str">
            <v>15</v>
          </cell>
          <cell r="I966" t="str">
            <v>151.95</v>
          </cell>
        </row>
        <row r="967">
          <cell r="B967" t="str">
            <v>0011801327</v>
          </cell>
          <cell r="C967" t="str">
            <v>变频外电脑板-FR-4</v>
          </cell>
          <cell r="D967" t="str">
            <v>91M1</v>
          </cell>
          <cell r="E967" t="str">
            <v>直供国内A股采购组织</v>
          </cell>
          <cell r="F967" t="str">
            <v>寄售</v>
          </cell>
          <cell r="G967" t="str">
            <v>2026-12-31</v>
          </cell>
          <cell r="H967" t="str">
            <v>15</v>
          </cell>
          <cell r="I967" t="str">
            <v>54.92</v>
          </cell>
        </row>
        <row r="968">
          <cell r="B968" t="str">
            <v>0011801372D</v>
          </cell>
          <cell r="C968" t="str">
            <v>变频外电脑板-FR-4205mm*157mm</v>
          </cell>
          <cell r="D968" t="str">
            <v>91M1</v>
          </cell>
          <cell r="E968" t="str">
            <v>直供国内A股采购组织</v>
          </cell>
          <cell r="F968" t="str">
            <v>寄售</v>
          </cell>
          <cell r="G968" t="str">
            <v>2026-12-31</v>
          </cell>
          <cell r="H968" t="str">
            <v>15</v>
          </cell>
          <cell r="I968" t="str">
            <v>96.53</v>
          </cell>
        </row>
        <row r="969">
          <cell r="B969" t="str">
            <v>0011801423BA</v>
          </cell>
          <cell r="C969" t="str">
            <v>变频外电脑板-FR-4</v>
          </cell>
          <cell r="D969" t="str">
            <v>91M1</v>
          </cell>
          <cell r="E969" t="str">
            <v>直供国内A股采购组织</v>
          </cell>
          <cell r="F969" t="str">
            <v>寄售</v>
          </cell>
          <cell r="G969" t="str">
            <v>2026-12-31</v>
          </cell>
          <cell r="H969" t="str">
            <v>15</v>
          </cell>
          <cell r="I969" t="str">
            <v>151.54</v>
          </cell>
        </row>
        <row r="970">
          <cell r="B970" t="str">
            <v>0011801424B</v>
          </cell>
          <cell r="C970" t="str">
            <v>变频外电脑板-FR-4/</v>
          </cell>
          <cell r="D970" t="str">
            <v>91M1</v>
          </cell>
          <cell r="E970" t="str">
            <v>直供国内A股采购组织</v>
          </cell>
          <cell r="F970" t="str">
            <v>寄售</v>
          </cell>
          <cell r="G970" t="str">
            <v>2026-12-31</v>
          </cell>
          <cell r="H970" t="str">
            <v>15</v>
          </cell>
          <cell r="I970" t="str">
            <v>116.12</v>
          </cell>
        </row>
        <row r="971">
          <cell r="B971" t="str">
            <v>0011801424M</v>
          </cell>
          <cell r="C971" t="str">
            <v>变频外电脑板-FR-4/</v>
          </cell>
          <cell r="D971" t="str">
            <v>91M1</v>
          </cell>
          <cell r="E971" t="str">
            <v>直供国内A股采购组织</v>
          </cell>
          <cell r="F971" t="str">
            <v>寄售</v>
          </cell>
          <cell r="G971" t="str">
            <v>2026-12-31</v>
          </cell>
          <cell r="H971" t="str">
            <v>15</v>
          </cell>
          <cell r="I971" t="str">
            <v>139.19</v>
          </cell>
        </row>
        <row r="972">
          <cell r="B972" t="str">
            <v>0011801425W</v>
          </cell>
          <cell r="C972" t="str">
            <v>变频外电脑板-FR-4</v>
          </cell>
          <cell r="D972" t="str">
            <v>91M1</v>
          </cell>
          <cell r="E972" t="str">
            <v>直供国内A股采购组织</v>
          </cell>
          <cell r="F972" t="str">
            <v>寄售</v>
          </cell>
          <cell r="G972" t="str">
            <v>2026-12-31</v>
          </cell>
          <cell r="H972" t="str">
            <v>30</v>
          </cell>
          <cell r="I972" t="str">
            <v>109.12</v>
          </cell>
        </row>
        <row r="973">
          <cell r="B973" t="str">
            <v>0011801583C</v>
          </cell>
          <cell r="C973" t="str">
            <v>室内电脑板-/162mm*130mm</v>
          </cell>
          <cell r="D973" t="str">
            <v>91M1</v>
          </cell>
          <cell r="E973" t="str">
            <v>直供国内A股采购组织</v>
          </cell>
          <cell r="F973" t="str">
            <v>寄售</v>
          </cell>
          <cell r="G973" t="str">
            <v>2026-12-31</v>
          </cell>
          <cell r="H973" t="str">
            <v>30</v>
          </cell>
          <cell r="I973" t="str">
            <v>31.63</v>
          </cell>
        </row>
        <row r="974">
          <cell r="B974" t="str">
            <v>0011801652</v>
          </cell>
          <cell r="C974" t="str">
            <v>室内电脑板-/</v>
          </cell>
          <cell r="D974" t="str">
            <v>91M1</v>
          </cell>
          <cell r="E974" t="str">
            <v>直供国内A股采购组织</v>
          </cell>
          <cell r="F974" t="str">
            <v>寄售</v>
          </cell>
          <cell r="G974" t="str">
            <v>2026-12-31</v>
          </cell>
          <cell r="H974" t="str">
            <v>15</v>
          </cell>
          <cell r="I974" t="str">
            <v>47.16</v>
          </cell>
        </row>
        <row r="975">
          <cell r="B975" t="str">
            <v>0011801675C</v>
          </cell>
          <cell r="C975" t="str">
            <v>室内电脑板-CEM-1165*136</v>
          </cell>
          <cell r="D975" t="str">
            <v>91M1</v>
          </cell>
          <cell r="E975" t="str">
            <v>直供国内A股采购组织</v>
          </cell>
          <cell r="F975" t="str">
            <v>寄售</v>
          </cell>
          <cell r="G975" t="str">
            <v>2026-12-31</v>
          </cell>
          <cell r="H975" t="str">
            <v>15</v>
          </cell>
          <cell r="I975" t="str">
            <v>42.28</v>
          </cell>
        </row>
        <row r="976">
          <cell r="B976" t="str">
            <v>0011801737B</v>
          </cell>
          <cell r="C976" t="str">
            <v>显示板-LED166*93mm</v>
          </cell>
          <cell r="D976" t="str">
            <v>91M1</v>
          </cell>
          <cell r="E976" t="str">
            <v>直供国内A股采购组织</v>
          </cell>
          <cell r="F976" t="str">
            <v>寄售</v>
          </cell>
          <cell r="G976" t="str">
            <v>2026-12-31</v>
          </cell>
          <cell r="H976" t="str">
            <v>15</v>
          </cell>
          <cell r="I976" t="str">
            <v>26.00</v>
          </cell>
        </row>
        <row r="977">
          <cell r="B977" t="str">
            <v>0121800104WE</v>
          </cell>
          <cell r="C977" t="str">
            <v>显示板-220V</v>
          </cell>
          <cell r="D977" t="str">
            <v>91M1</v>
          </cell>
          <cell r="E977" t="str">
            <v>直供国内A股采购组织</v>
          </cell>
          <cell r="F977" t="str">
            <v>寄售</v>
          </cell>
          <cell r="G977" t="str">
            <v>2026-12-31</v>
          </cell>
          <cell r="H977" t="str">
            <v>3</v>
          </cell>
          <cell r="I977" t="str">
            <v>61.14</v>
          </cell>
        </row>
        <row r="978">
          <cell r="B978" t="str">
            <v>0151801003AC</v>
          </cell>
          <cell r="C978" t="str">
            <v>室外控制板</v>
          </cell>
          <cell r="D978" t="str">
            <v>91M1</v>
          </cell>
          <cell r="E978" t="str">
            <v>直供国内A股采购组织</v>
          </cell>
          <cell r="F978" t="str">
            <v>寄售</v>
          </cell>
          <cell r="G978" t="str">
            <v>2026-12-31</v>
          </cell>
          <cell r="H978" t="str">
            <v>30</v>
          </cell>
          <cell r="I978" t="str">
            <v>84.43</v>
          </cell>
        </row>
        <row r="979">
          <cell r="B979" t="str">
            <v>0121800104WJ</v>
          </cell>
          <cell r="C979" t="str">
            <v>显示板-其他\/</v>
          </cell>
          <cell r="D979" t="str">
            <v>91M1</v>
          </cell>
          <cell r="E979" t="str">
            <v>直供国内A股采购组织</v>
          </cell>
          <cell r="F979" t="str">
            <v>寄售</v>
          </cell>
          <cell r="G979" t="str">
            <v>2026-12-31</v>
          </cell>
          <cell r="H979" t="str">
            <v>7</v>
          </cell>
          <cell r="I979" t="str">
            <v>61.10</v>
          </cell>
        </row>
        <row r="980">
          <cell r="B980" t="str">
            <v>0151801031AA</v>
          </cell>
          <cell r="C980" t="str">
            <v>室外控制板</v>
          </cell>
          <cell r="D980" t="str">
            <v>91M1</v>
          </cell>
          <cell r="E980" t="str">
            <v>直供国内A股采购组织</v>
          </cell>
          <cell r="F980" t="str">
            <v>寄售</v>
          </cell>
          <cell r="G980" t="str">
            <v>2026-12-31</v>
          </cell>
          <cell r="H980" t="str">
            <v>30</v>
          </cell>
          <cell r="I980" t="str">
            <v>323.74</v>
          </cell>
        </row>
        <row r="981">
          <cell r="B981" t="str">
            <v>0041801949AB</v>
          </cell>
          <cell r="C981" t="str">
            <v>显示板-其他\/</v>
          </cell>
          <cell r="D981" t="str">
            <v>91M1</v>
          </cell>
          <cell r="E981" t="str">
            <v>直供国内A股采购组织</v>
          </cell>
          <cell r="F981" t="str">
            <v>寄售</v>
          </cell>
          <cell r="G981" t="str">
            <v>2026-12-31</v>
          </cell>
          <cell r="H981" t="str">
            <v>14</v>
          </cell>
          <cell r="I981" t="str">
            <v>26.40</v>
          </cell>
        </row>
        <row r="982">
          <cell r="B982" t="str">
            <v>0011800324H</v>
          </cell>
          <cell r="C982" t="str">
            <v>显示面板-CEM-1</v>
          </cell>
          <cell r="D982" t="str">
            <v>91M1</v>
          </cell>
          <cell r="E982" t="str">
            <v>直供国内A股采购组织</v>
          </cell>
          <cell r="F982" t="str">
            <v>寄售</v>
          </cell>
          <cell r="G982" t="str">
            <v>2026-12-31</v>
          </cell>
          <cell r="H982" t="str">
            <v>15</v>
          </cell>
          <cell r="I982" t="str">
            <v>7.37</v>
          </cell>
        </row>
        <row r="983">
          <cell r="B983" t="str">
            <v>0011800612E</v>
          </cell>
          <cell r="C983" t="str">
            <v>室内电脑板-CEM-1</v>
          </cell>
          <cell r="D983" t="str">
            <v>91M1</v>
          </cell>
          <cell r="E983" t="str">
            <v>直供国内A股采购组织</v>
          </cell>
          <cell r="F983" t="str">
            <v>寄售</v>
          </cell>
          <cell r="G983" t="str">
            <v>2026-12-31</v>
          </cell>
          <cell r="H983" t="str">
            <v>15</v>
          </cell>
          <cell r="I983" t="str">
            <v>33.35</v>
          </cell>
        </row>
        <row r="984">
          <cell r="B984" t="str">
            <v>0011800630</v>
          </cell>
          <cell r="C984" t="str">
            <v>室内电脑板-CEM-1</v>
          </cell>
          <cell r="D984" t="str">
            <v>91M1</v>
          </cell>
          <cell r="E984" t="str">
            <v>直供国内A股采购组织</v>
          </cell>
          <cell r="F984" t="str">
            <v>寄售</v>
          </cell>
          <cell r="G984" t="str">
            <v>2026-12-31</v>
          </cell>
          <cell r="H984" t="str">
            <v>15</v>
          </cell>
          <cell r="I984" t="str">
            <v>31.30</v>
          </cell>
        </row>
        <row r="985">
          <cell r="B985" t="str">
            <v>0011800932E</v>
          </cell>
          <cell r="C985" t="str">
            <v>变频外电脑板-FR-4270*180</v>
          </cell>
          <cell r="D985" t="str">
            <v>91M1</v>
          </cell>
          <cell r="E985" t="str">
            <v>直供国内A股采购组织</v>
          </cell>
          <cell r="F985" t="str">
            <v>寄售</v>
          </cell>
          <cell r="G985" t="str">
            <v>2026-12-31</v>
          </cell>
          <cell r="H985" t="str">
            <v>15</v>
          </cell>
          <cell r="I985" t="str">
            <v>202.48</v>
          </cell>
        </row>
        <row r="986">
          <cell r="B986" t="str">
            <v>0011800977C</v>
          </cell>
          <cell r="C986" t="str">
            <v>室内电脑板-CEM-1/</v>
          </cell>
          <cell r="D986" t="str">
            <v>91M1</v>
          </cell>
          <cell r="E986" t="str">
            <v>直供国内A股采购组织</v>
          </cell>
          <cell r="F986" t="str">
            <v>寄售</v>
          </cell>
          <cell r="G986" t="str">
            <v>2026-12-31</v>
          </cell>
          <cell r="H986" t="str">
            <v>15</v>
          </cell>
          <cell r="I986" t="str">
            <v>28.59</v>
          </cell>
        </row>
        <row r="987">
          <cell r="B987" t="str">
            <v>0011800997BZ</v>
          </cell>
          <cell r="C987" t="str">
            <v>变频外电脑板</v>
          </cell>
          <cell r="D987" t="str">
            <v>91M1</v>
          </cell>
          <cell r="E987" t="str">
            <v>直供国内A股采购组织</v>
          </cell>
          <cell r="F987" t="str">
            <v>寄售</v>
          </cell>
          <cell r="G987" t="str">
            <v>2026-12-31</v>
          </cell>
          <cell r="H987" t="str">
            <v>15</v>
          </cell>
          <cell r="I987" t="str">
            <v>101.74</v>
          </cell>
        </row>
        <row r="988">
          <cell r="B988" t="str">
            <v>0011801330AK</v>
          </cell>
          <cell r="C988" t="str">
            <v>室内电脑板-CEM-1</v>
          </cell>
          <cell r="D988" t="str">
            <v>91M1</v>
          </cell>
          <cell r="E988" t="str">
            <v>直供国内A股采购组织</v>
          </cell>
          <cell r="F988" t="str">
            <v>寄售</v>
          </cell>
          <cell r="G988" t="str">
            <v>2026-12-31</v>
          </cell>
          <cell r="H988" t="str">
            <v>15</v>
          </cell>
          <cell r="I988" t="str">
            <v>35.79</v>
          </cell>
        </row>
        <row r="989">
          <cell r="B989" t="str">
            <v>0011801423AC</v>
          </cell>
          <cell r="C989" t="str">
            <v>变频外电脑板-FR-4</v>
          </cell>
          <cell r="D989" t="str">
            <v>91M1</v>
          </cell>
          <cell r="E989" t="str">
            <v>直供国内A股采购组织</v>
          </cell>
          <cell r="F989" t="str">
            <v>寄售</v>
          </cell>
          <cell r="G989" t="str">
            <v>2026-12-31</v>
          </cell>
          <cell r="H989" t="str">
            <v>15</v>
          </cell>
          <cell r="I989" t="str">
            <v>141.18</v>
          </cell>
        </row>
        <row r="990">
          <cell r="B990" t="str">
            <v>0011801424AB</v>
          </cell>
          <cell r="C990" t="str">
            <v>变频外电脑板-FR-4/</v>
          </cell>
          <cell r="D990" t="str">
            <v>91M1</v>
          </cell>
          <cell r="E990" t="str">
            <v>直供国内A股采购组织</v>
          </cell>
          <cell r="F990" t="str">
            <v>寄售</v>
          </cell>
          <cell r="G990" t="str">
            <v>2026-12-31</v>
          </cell>
          <cell r="H990" t="str">
            <v>15</v>
          </cell>
          <cell r="I990" t="str">
            <v>109.23</v>
          </cell>
        </row>
        <row r="991">
          <cell r="B991" t="str">
            <v>0011801424BM</v>
          </cell>
          <cell r="C991" t="str">
            <v>变频外电脑板-FR-4</v>
          </cell>
          <cell r="D991" t="str">
            <v>91M1</v>
          </cell>
          <cell r="E991" t="str">
            <v>直供国内A股采购组织</v>
          </cell>
          <cell r="F991" t="str">
            <v>寄售</v>
          </cell>
          <cell r="G991" t="str">
            <v>2026-12-31</v>
          </cell>
          <cell r="H991" t="str">
            <v>15</v>
          </cell>
          <cell r="I991" t="str">
            <v>124.60</v>
          </cell>
        </row>
        <row r="992">
          <cell r="B992" t="str">
            <v>0011801424X</v>
          </cell>
          <cell r="C992" t="str">
            <v>变频外电脑板-FR-4/</v>
          </cell>
          <cell r="D992" t="str">
            <v>91M1</v>
          </cell>
          <cell r="E992" t="str">
            <v>直供国内A股采购组织</v>
          </cell>
          <cell r="F992" t="str">
            <v>寄售</v>
          </cell>
          <cell r="G992" t="str">
            <v>2026-12-31</v>
          </cell>
          <cell r="H992" t="str">
            <v>15</v>
          </cell>
          <cell r="I992" t="str">
            <v>130.21</v>
          </cell>
        </row>
        <row r="993">
          <cell r="B993" t="str">
            <v>0011801490AP</v>
          </cell>
          <cell r="C993" t="str">
            <v>变频外电脑板-FR-4</v>
          </cell>
          <cell r="D993" t="str">
            <v>91M1</v>
          </cell>
          <cell r="E993" t="str">
            <v>直供国内A股采购组织</v>
          </cell>
          <cell r="F993" t="str">
            <v>寄售</v>
          </cell>
          <cell r="G993" t="str">
            <v>2026-12-31</v>
          </cell>
          <cell r="H993" t="str">
            <v>15</v>
          </cell>
          <cell r="I993" t="str">
            <v>109.92</v>
          </cell>
        </row>
        <row r="994">
          <cell r="B994" t="str">
            <v>0011801583U</v>
          </cell>
          <cell r="C994" t="str">
            <v>室内电脑板-CEM-1</v>
          </cell>
          <cell r="D994" t="str">
            <v>91M1</v>
          </cell>
          <cell r="E994" t="str">
            <v>直供国内A股采购组织</v>
          </cell>
          <cell r="F994" t="str">
            <v>寄售</v>
          </cell>
          <cell r="G994" t="str">
            <v>2026-12-31</v>
          </cell>
          <cell r="H994" t="str">
            <v>15</v>
          </cell>
          <cell r="I994" t="str">
            <v>38.82</v>
          </cell>
        </row>
        <row r="995">
          <cell r="B995" t="str">
            <v>0011801657</v>
          </cell>
          <cell r="C995" t="str">
            <v>变频外电脑板-/</v>
          </cell>
          <cell r="D995" t="str">
            <v>91M1</v>
          </cell>
          <cell r="E995" t="str">
            <v>直供国内A股采购组织</v>
          </cell>
          <cell r="F995" t="str">
            <v>寄售</v>
          </cell>
          <cell r="G995" t="str">
            <v>2026-12-31</v>
          </cell>
          <cell r="H995" t="str">
            <v>15</v>
          </cell>
          <cell r="I995" t="str">
            <v>166.71</v>
          </cell>
        </row>
        <row r="996">
          <cell r="B996" t="str">
            <v>0011801675K</v>
          </cell>
          <cell r="C996" t="str">
            <v>室内电脑板-FR-4165*136</v>
          </cell>
          <cell r="D996" t="str">
            <v>91M1</v>
          </cell>
          <cell r="E996" t="str">
            <v>直供国内A股采购组织</v>
          </cell>
          <cell r="F996" t="str">
            <v>寄售</v>
          </cell>
          <cell r="G996" t="str">
            <v>2026-12-31</v>
          </cell>
          <cell r="H996" t="str">
            <v>15</v>
          </cell>
          <cell r="I996" t="str">
            <v>38.13</v>
          </cell>
        </row>
        <row r="997">
          <cell r="B997" t="str">
            <v>0011801889A</v>
          </cell>
          <cell r="C997" t="str">
            <v>室内电脑板-FR-4</v>
          </cell>
          <cell r="D997" t="str">
            <v>91M1</v>
          </cell>
          <cell r="E997" t="str">
            <v>直供国内A股采购组织</v>
          </cell>
          <cell r="F997" t="str">
            <v>寄售</v>
          </cell>
          <cell r="G997" t="str">
            <v>2026-12-31</v>
          </cell>
          <cell r="H997" t="str">
            <v>15</v>
          </cell>
          <cell r="I997" t="str">
            <v>99.37</v>
          </cell>
        </row>
        <row r="998">
          <cell r="B998" t="str">
            <v>0011802020A</v>
          </cell>
          <cell r="C998" t="str">
            <v>室内电脑板-CEM-1</v>
          </cell>
          <cell r="D998" t="str">
            <v>91M1</v>
          </cell>
          <cell r="E998" t="str">
            <v>直供国内A股采购组织</v>
          </cell>
          <cell r="F998" t="str">
            <v>寄售</v>
          </cell>
          <cell r="G998" t="str">
            <v>2026-12-31</v>
          </cell>
          <cell r="H998" t="str">
            <v>15</v>
          </cell>
          <cell r="I998" t="str">
            <v>29.50</v>
          </cell>
        </row>
        <row r="999">
          <cell r="B999" t="str">
            <v>0021800615</v>
          </cell>
          <cell r="C999" t="str">
            <v>显示板-LED5V</v>
          </cell>
          <cell r="D999" t="str">
            <v>91M1</v>
          </cell>
          <cell r="E999" t="str">
            <v>直供国内A股采购组织</v>
          </cell>
          <cell r="F999" t="str">
            <v>寄售</v>
          </cell>
          <cell r="G999" t="str">
            <v>2026-12-31</v>
          </cell>
          <cell r="H999" t="str">
            <v>10</v>
          </cell>
          <cell r="I999" t="str">
            <v>67.19</v>
          </cell>
        </row>
        <row r="1000">
          <cell r="B1000" t="str">
            <v>0021800616G</v>
          </cell>
          <cell r="C1000" t="str">
            <v>显示板-LED</v>
          </cell>
          <cell r="D1000" t="str">
            <v>91M1</v>
          </cell>
          <cell r="E1000" t="str">
            <v>直供国内A股采购组织</v>
          </cell>
          <cell r="F1000" t="str">
            <v>寄售</v>
          </cell>
          <cell r="G1000" t="str">
            <v>2026-12-31</v>
          </cell>
          <cell r="H1000" t="str">
            <v>10</v>
          </cell>
          <cell r="I1000" t="str">
            <v>57.72</v>
          </cell>
        </row>
        <row r="1001">
          <cell r="B1001" t="str">
            <v>0011801172BK</v>
          </cell>
          <cell r="C1001" t="str">
            <v>变频外电脑板-FR-4</v>
          </cell>
          <cell r="D1001" t="str">
            <v>91M1</v>
          </cell>
          <cell r="E1001" t="str">
            <v>直供国内A股采购组织</v>
          </cell>
          <cell r="F1001" t="str">
            <v>寄售</v>
          </cell>
          <cell r="G1001" t="str">
            <v>2026-12-31</v>
          </cell>
          <cell r="H1001" t="str">
            <v>30</v>
          </cell>
          <cell r="I1001" t="str">
            <v>161.24</v>
          </cell>
        </row>
        <row r="1002">
          <cell r="B1002" t="str">
            <v>0011801327</v>
          </cell>
          <cell r="C1002" t="str">
            <v>变频外电脑板-FR-4</v>
          </cell>
          <cell r="D1002" t="str">
            <v>91M1</v>
          </cell>
          <cell r="E1002" t="str">
            <v>直供国内A股采购组织</v>
          </cell>
          <cell r="F1002" t="str">
            <v>寄售</v>
          </cell>
          <cell r="G1002" t="str">
            <v>2026-12-31</v>
          </cell>
          <cell r="H1002" t="str">
            <v>3</v>
          </cell>
          <cell r="I1002" t="str">
            <v>54.92</v>
          </cell>
        </row>
        <row r="1003">
          <cell r="B1003" t="str">
            <v>0011801424B</v>
          </cell>
          <cell r="C1003" t="str">
            <v>变频外电脑板-FR-4/</v>
          </cell>
          <cell r="D1003" t="str">
            <v>91M1</v>
          </cell>
          <cell r="E1003" t="str">
            <v>直供国内A股采购组织</v>
          </cell>
          <cell r="F1003" t="str">
            <v>寄售</v>
          </cell>
          <cell r="G1003" t="str">
            <v>2026-12-31</v>
          </cell>
          <cell r="H1003" t="str">
            <v>3</v>
          </cell>
          <cell r="I1003" t="str">
            <v>116.12</v>
          </cell>
        </row>
        <row r="1004">
          <cell r="B1004" t="str">
            <v>0011801424X</v>
          </cell>
          <cell r="C1004" t="str">
            <v>变频外电脑板-FR-4/</v>
          </cell>
          <cell r="D1004" t="str">
            <v>91M1</v>
          </cell>
          <cell r="E1004" t="str">
            <v>直供国内A股采购组织</v>
          </cell>
          <cell r="F1004" t="str">
            <v>寄售</v>
          </cell>
          <cell r="G1004" t="str">
            <v>2026-12-31</v>
          </cell>
          <cell r="H1004" t="str">
            <v>3</v>
          </cell>
          <cell r="I1004" t="str">
            <v>130.21</v>
          </cell>
        </row>
        <row r="1005">
          <cell r="B1005" t="str">
            <v>0011801516G</v>
          </cell>
          <cell r="C1005" t="str">
            <v>变频外电脑板-FR-4</v>
          </cell>
          <cell r="D1005" t="str">
            <v>91M1</v>
          </cell>
          <cell r="E1005" t="str">
            <v>直供国内A股采购组织</v>
          </cell>
          <cell r="F1005" t="str">
            <v>寄售</v>
          </cell>
          <cell r="G1005" t="str">
            <v>2026-12-31</v>
          </cell>
          <cell r="H1005" t="str">
            <v>15</v>
          </cell>
          <cell r="I1005" t="str">
            <v>172.68</v>
          </cell>
        </row>
        <row r="1006">
          <cell r="B1006" t="str">
            <v>0021800442A</v>
          </cell>
          <cell r="C1006" t="str">
            <v>显示板-LED12VDC12VDC</v>
          </cell>
          <cell r="D1006" t="str">
            <v>91M1</v>
          </cell>
          <cell r="E1006" t="str">
            <v>直供国内A股采购组织</v>
          </cell>
          <cell r="F1006" t="str">
            <v>寄售</v>
          </cell>
          <cell r="G1006" t="str">
            <v>2026-12-31</v>
          </cell>
          <cell r="H1006" t="str">
            <v>10</v>
          </cell>
          <cell r="I1006" t="str">
            <v>27.72</v>
          </cell>
        </row>
        <row r="1007">
          <cell r="B1007" t="str">
            <v>0011800950D</v>
          </cell>
          <cell r="C1007" t="str">
            <v>显示板-LED/</v>
          </cell>
          <cell r="D1007" t="str">
            <v>9122</v>
          </cell>
          <cell r="E1007" t="str">
            <v>WGG大连一般贸易采购组织</v>
          </cell>
          <cell r="F1007" t="str">
            <v>标准</v>
          </cell>
          <cell r="G1007" t="str">
            <v>2026-12-31</v>
          </cell>
          <cell r="H1007" t="str">
            <v>30</v>
          </cell>
          <cell r="I1007" t="str">
            <v>19.90</v>
          </cell>
        </row>
        <row r="1008">
          <cell r="B1008" t="str">
            <v>0011800950D</v>
          </cell>
          <cell r="C1008" t="str">
            <v>显示板-LED/</v>
          </cell>
          <cell r="D1008" t="str">
            <v>9122</v>
          </cell>
          <cell r="E1008" t="str">
            <v>WGG大连一般贸易采购组织</v>
          </cell>
          <cell r="F1008" t="str">
            <v>寄售</v>
          </cell>
          <cell r="G1008" t="str">
            <v>2026-12-31</v>
          </cell>
          <cell r="H1008" t="str">
            <v>3</v>
          </cell>
          <cell r="I1008" t="str">
            <v>19.90</v>
          </cell>
        </row>
        <row r="1009">
          <cell r="B1009" t="str">
            <v>0011801424C</v>
          </cell>
          <cell r="C1009" t="str">
            <v>变频外电脑板-FR-4/</v>
          </cell>
          <cell r="D1009" t="str">
            <v>91C1</v>
          </cell>
          <cell r="E1009" t="str">
            <v>青岛海达源国内A股采购组织</v>
          </cell>
          <cell r="F1009" t="str">
            <v>寄售</v>
          </cell>
          <cell r="G1009" t="str">
            <v>2026-12-31</v>
          </cell>
          <cell r="H1009" t="str">
            <v>3</v>
          </cell>
          <cell r="I1009" t="str">
            <v>118.50</v>
          </cell>
        </row>
        <row r="1010">
          <cell r="B1010" t="str">
            <v>0011801424D</v>
          </cell>
          <cell r="C1010" t="str">
            <v>变频外电脑板-FR-4/</v>
          </cell>
          <cell r="D1010" t="str">
            <v>91C1</v>
          </cell>
          <cell r="E1010" t="str">
            <v>青岛海达源国内A股采购组织</v>
          </cell>
          <cell r="F1010" t="str">
            <v>寄售</v>
          </cell>
          <cell r="G1010" t="str">
            <v>2026-12-31</v>
          </cell>
          <cell r="H1010" t="str">
            <v>3</v>
          </cell>
          <cell r="I1010" t="str">
            <v>136.88</v>
          </cell>
        </row>
        <row r="1011">
          <cell r="B1011" t="str">
            <v>0190400102C</v>
          </cell>
          <cell r="C1011" t="str">
            <v>主控板-/FR-4净水主控板</v>
          </cell>
          <cell r="D1011" t="str">
            <v>91C1</v>
          </cell>
          <cell r="E1011" t="str">
            <v>青岛海达源国内A股采购组织</v>
          </cell>
          <cell r="F1011" t="str">
            <v>寄售</v>
          </cell>
          <cell r="G1011" t="str">
            <v>2026-12-31</v>
          </cell>
          <cell r="H1011" t="str">
            <v>7</v>
          </cell>
          <cell r="I1011" t="str">
            <v>37.07</v>
          </cell>
        </row>
        <row r="1012">
          <cell r="B1012" t="str">
            <v>0011801425N</v>
          </cell>
          <cell r="C1012" t="str">
            <v>变频外电脑板-FR-4</v>
          </cell>
          <cell r="D1012" t="str">
            <v>91C1</v>
          </cell>
          <cell r="E1012" t="str">
            <v>青岛海达源国内A股采购组织</v>
          </cell>
          <cell r="F1012" t="str">
            <v>寄售</v>
          </cell>
          <cell r="G1012" t="str">
            <v>2026-12-31</v>
          </cell>
          <cell r="H1012" t="str">
            <v>3</v>
          </cell>
          <cell r="I1012" t="str">
            <v>107.24</v>
          </cell>
        </row>
        <row r="1013">
          <cell r="B1013" t="str">
            <v>0011801425P</v>
          </cell>
          <cell r="C1013" t="str">
            <v>变频外电脑板-FR-4</v>
          </cell>
          <cell r="D1013" t="str">
            <v>91C1</v>
          </cell>
          <cell r="E1013" t="str">
            <v>青岛海达源国内A股采购组织</v>
          </cell>
          <cell r="F1013" t="str">
            <v>寄售</v>
          </cell>
          <cell r="G1013" t="str">
            <v>2026-12-31</v>
          </cell>
          <cell r="H1013" t="str">
            <v>3</v>
          </cell>
          <cell r="I1013" t="str">
            <v>109.09</v>
          </cell>
        </row>
        <row r="1014">
          <cell r="B1014" t="str">
            <v>0041800898A</v>
          </cell>
          <cell r="C1014" t="str">
            <v>电源板-CEM-1继电器16A,开关电源方案</v>
          </cell>
          <cell r="D1014" t="str">
            <v>91C1</v>
          </cell>
          <cell r="E1014" t="str">
            <v>青岛海达源国内A股采购组织</v>
          </cell>
          <cell r="F1014" t="str">
            <v>寄售</v>
          </cell>
          <cell r="G1014" t="str">
            <v>2026-12-31</v>
          </cell>
          <cell r="H1014" t="str">
            <v>14</v>
          </cell>
          <cell r="I1014" t="str">
            <v>25.37</v>
          </cell>
        </row>
        <row r="1015">
          <cell r="B1015" t="str">
            <v>0190400102D</v>
          </cell>
          <cell r="C1015" t="str">
            <v>主控板-/净水</v>
          </cell>
          <cell r="D1015" t="str">
            <v>91C1</v>
          </cell>
          <cell r="E1015" t="str">
            <v>青岛海达源国内A股采购组织</v>
          </cell>
          <cell r="F1015" t="str">
            <v>寄售</v>
          </cell>
          <cell r="G1015" t="str">
            <v>2026-12-31</v>
          </cell>
          <cell r="H1015" t="str">
            <v>7</v>
          </cell>
          <cell r="I1015" t="str">
            <v>37.07</v>
          </cell>
        </row>
        <row r="1016">
          <cell r="B1016" t="str">
            <v>0011800612Z</v>
          </cell>
          <cell r="C1016" t="str">
            <v>室内电脑板-CEM-1\--</v>
          </cell>
          <cell r="D1016" t="str">
            <v>91C1</v>
          </cell>
          <cell r="E1016" t="str">
            <v>青岛海达源国内A股采购组织</v>
          </cell>
          <cell r="F1016" t="str">
            <v>寄售</v>
          </cell>
          <cell r="G1016" t="str">
            <v>2026-12-31</v>
          </cell>
          <cell r="H1016" t="str">
            <v>30</v>
          </cell>
          <cell r="I1016" t="str">
            <v>25.75</v>
          </cell>
        </row>
        <row r="1017">
          <cell r="B1017" t="str">
            <v>0011800537</v>
          </cell>
          <cell r="C1017" t="str">
            <v>室内电脑板-CEM-1</v>
          </cell>
          <cell r="D1017" t="str">
            <v>91C1</v>
          </cell>
          <cell r="E1017" t="str">
            <v>青岛海达源国内A股采购组织</v>
          </cell>
          <cell r="F1017" t="str">
            <v>寄售</v>
          </cell>
          <cell r="G1017" t="str">
            <v>2026-12-31</v>
          </cell>
          <cell r="H1017" t="str">
            <v>30</v>
          </cell>
          <cell r="I1017" t="str">
            <v>20.70</v>
          </cell>
        </row>
        <row r="1018">
          <cell r="B1018" t="str">
            <v>0011800612M</v>
          </cell>
          <cell r="C1018" t="str">
            <v>室内电脑板-CEM-1</v>
          </cell>
          <cell r="D1018" t="str">
            <v>91C1</v>
          </cell>
          <cell r="E1018" t="str">
            <v>青岛海达源国内A股采购组织</v>
          </cell>
          <cell r="F1018" t="str">
            <v>寄售</v>
          </cell>
          <cell r="G1018" t="str">
            <v>2026-12-31</v>
          </cell>
          <cell r="H1018" t="str">
            <v>30</v>
          </cell>
          <cell r="I1018" t="str">
            <v>27.02</v>
          </cell>
        </row>
        <row r="1019">
          <cell r="B1019" t="str">
            <v>0041800811K</v>
          </cell>
          <cell r="C1019" t="str">
            <v>电脑板控制板-FR-4120*100*35-热泵</v>
          </cell>
          <cell r="D1019" t="str">
            <v>91C1</v>
          </cell>
          <cell r="E1019" t="str">
            <v>青岛海达源国内A股采购组织</v>
          </cell>
          <cell r="F1019" t="str">
            <v>寄售</v>
          </cell>
          <cell r="G1019" t="str">
            <v>2026-12-31</v>
          </cell>
          <cell r="H1019" t="str">
            <v>14</v>
          </cell>
          <cell r="I1019" t="str">
            <v>40.72</v>
          </cell>
        </row>
        <row r="1020">
          <cell r="B1020" t="str">
            <v>0011800537B</v>
          </cell>
          <cell r="C1020" t="str">
            <v>室内电脑板-CEM-1</v>
          </cell>
          <cell r="D1020" t="str">
            <v>91C1</v>
          </cell>
          <cell r="E1020" t="str">
            <v>青岛海达源国内A股采购组织</v>
          </cell>
          <cell r="F1020" t="str">
            <v>寄售</v>
          </cell>
          <cell r="G1020" t="str">
            <v>2026-12-31</v>
          </cell>
          <cell r="H1020" t="str">
            <v>30</v>
          </cell>
          <cell r="I1020" t="str">
            <v>23.62</v>
          </cell>
        </row>
        <row r="1021">
          <cell r="B1021" t="str">
            <v>0011800612W</v>
          </cell>
          <cell r="C1021" t="str">
            <v>室内电脑板-CEM-1\</v>
          </cell>
          <cell r="D1021" t="str">
            <v>91C1</v>
          </cell>
          <cell r="E1021" t="str">
            <v>青岛海达源国内A股采购组织</v>
          </cell>
          <cell r="F1021" t="str">
            <v>寄售</v>
          </cell>
          <cell r="G1021" t="str">
            <v>2026-12-31</v>
          </cell>
          <cell r="H1021" t="str">
            <v>30</v>
          </cell>
          <cell r="I1021" t="str">
            <v>26.66</v>
          </cell>
        </row>
        <row r="1022">
          <cell r="B1022" t="str">
            <v>0011800630J</v>
          </cell>
          <cell r="C1022" t="str">
            <v>室内电脑板-CEM-1室内电脑板俄罗斯07/09/12P系列室内电脑板</v>
          </cell>
          <cell r="D1022" t="str">
            <v>91C1</v>
          </cell>
          <cell r="E1022" t="str">
            <v>青岛海达源国内A股采购组织</v>
          </cell>
          <cell r="F1022" t="str">
            <v>寄售</v>
          </cell>
          <cell r="G1022" t="str">
            <v>2026-12-31</v>
          </cell>
          <cell r="H1022" t="str">
            <v>30</v>
          </cell>
          <cell r="I1022" t="str">
            <v>27.66</v>
          </cell>
        </row>
        <row r="1023">
          <cell r="B1023" t="str">
            <v>0011800630L</v>
          </cell>
          <cell r="C1023" t="str">
            <v>室内电脑板-CEM-1室内电脑板泰国09/12P系列定频室内电脑板</v>
          </cell>
          <cell r="D1023" t="str">
            <v>91C1</v>
          </cell>
          <cell r="E1023" t="str">
            <v>青岛海达源国内A股采购组织</v>
          </cell>
          <cell r="F1023" t="str">
            <v>寄售</v>
          </cell>
          <cell r="G1023" t="str">
            <v>2026-12-31</v>
          </cell>
          <cell r="H1023" t="str">
            <v>30</v>
          </cell>
          <cell r="I1023" t="str">
            <v>23.85</v>
          </cell>
        </row>
        <row r="1024">
          <cell r="B1024" t="str">
            <v>0011800646F</v>
          </cell>
          <cell r="C1024" t="str">
            <v>室内电脑板-FR-4</v>
          </cell>
          <cell r="D1024" t="str">
            <v>91C1</v>
          </cell>
          <cell r="E1024" t="str">
            <v>青岛海达源国内A股采购组织</v>
          </cell>
          <cell r="F1024" t="str">
            <v>寄售</v>
          </cell>
          <cell r="G1024" t="str">
            <v>2026-12-31</v>
          </cell>
          <cell r="H1024" t="str">
            <v>30</v>
          </cell>
          <cell r="I1024" t="str">
            <v>40.38</v>
          </cell>
        </row>
        <row r="1025">
          <cell r="B1025" t="str">
            <v>0011800646J</v>
          </cell>
          <cell r="C1025" t="str">
            <v>室内电脑板-FR-4</v>
          </cell>
          <cell r="D1025" t="str">
            <v>91C1</v>
          </cell>
          <cell r="E1025" t="str">
            <v>青岛海达源国内A股采购组织</v>
          </cell>
          <cell r="F1025" t="str">
            <v>寄售</v>
          </cell>
          <cell r="G1025" t="str">
            <v>2026-12-31</v>
          </cell>
          <cell r="H1025" t="str">
            <v>30</v>
          </cell>
          <cell r="I1025" t="str">
            <v>49.01</v>
          </cell>
        </row>
        <row r="1026">
          <cell r="B1026" t="str">
            <v>0011800612T</v>
          </cell>
          <cell r="C1026" t="str">
            <v>室内电脑板-CEM-1</v>
          </cell>
          <cell r="D1026" t="str">
            <v>91C1</v>
          </cell>
          <cell r="E1026" t="str">
            <v>青岛海达源国内A股采购组织</v>
          </cell>
          <cell r="F1026" t="str">
            <v>寄售</v>
          </cell>
          <cell r="G1026" t="str">
            <v>2026-12-31</v>
          </cell>
          <cell r="H1026" t="str">
            <v>30</v>
          </cell>
          <cell r="I1026" t="str">
            <v>32.87</v>
          </cell>
        </row>
        <row r="1027">
          <cell r="B1027" t="str">
            <v>0011801424Y</v>
          </cell>
          <cell r="C1027" t="str">
            <v>变频外电脑板-FR-4/</v>
          </cell>
          <cell r="D1027" t="str">
            <v>91C1</v>
          </cell>
          <cell r="E1027" t="str">
            <v>青岛海达源国内A股采购组织</v>
          </cell>
          <cell r="F1027" t="str">
            <v>寄售</v>
          </cell>
          <cell r="G1027" t="str">
            <v>2026-12-31</v>
          </cell>
          <cell r="H1027" t="str">
            <v>3</v>
          </cell>
          <cell r="I1027" t="str">
            <v>144.35</v>
          </cell>
        </row>
        <row r="1028">
          <cell r="B1028" t="str">
            <v>0011800630Y</v>
          </cell>
          <cell r="C1028" t="str">
            <v>室内电脑板-CEM-3室内电脑板巴基斯坦09/12室内电脑板</v>
          </cell>
          <cell r="D1028" t="str">
            <v>91C1</v>
          </cell>
          <cell r="E1028" t="str">
            <v>青岛海达源国内A股采购组织</v>
          </cell>
          <cell r="F1028" t="str">
            <v>寄售</v>
          </cell>
          <cell r="G1028" t="str">
            <v>2026-12-31</v>
          </cell>
          <cell r="H1028" t="str">
            <v>30</v>
          </cell>
          <cell r="I1028" t="str">
            <v>33.86</v>
          </cell>
        </row>
        <row r="1029">
          <cell r="B1029" t="str">
            <v>0011800630S</v>
          </cell>
          <cell r="C1029" t="str">
            <v>室内电脑板-/</v>
          </cell>
          <cell r="D1029" t="str">
            <v>91C1</v>
          </cell>
          <cell r="E1029" t="str">
            <v>青岛海达源国内A股采购组织</v>
          </cell>
          <cell r="F1029" t="str">
            <v>寄售</v>
          </cell>
          <cell r="G1029" t="str">
            <v>2026-12-31</v>
          </cell>
          <cell r="H1029" t="str">
            <v>30</v>
          </cell>
          <cell r="I1029" t="str">
            <v>29.25</v>
          </cell>
        </row>
        <row r="1030">
          <cell r="B1030" t="str">
            <v>0011800537A</v>
          </cell>
          <cell r="C1030" t="str">
            <v>室内电脑板-CEM-1</v>
          </cell>
          <cell r="D1030" t="str">
            <v>91C1</v>
          </cell>
          <cell r="E1030" t="str">
            <v>青岛海达源国内A股采购组织</v>
          </cell>
          <cell r="F1030" t="str">
            <v>寄售</v>
          </cell>
          <cell r="G1030" t="str">
            <v>2026-12-31</v>
          </cell>
          <cell r="H1030" t="str">
            <v>30</v>
          </cell>
          <cell r="I1030" t="str">
            <v>19.89</v>
          </cell>
        </row>
        <row r="1031">
          <cell r="B1031" t="str">
            <v>0011800612V</v>
          </cell>
          <cell r="C1031" t="str">
            <v>室内电脑板-/</v>
          </cell>
          <cell r="D1031" t="str">
            <v>91C1</v>
          </cell>
          <cell r="E1031" t="str">
            <v>青岛海达源国内A股采购组织</v>
          </cell>
          <cell r="F1031" t="str">
            <v>寄售</v>
          </cell>
          <cell r="G1031" t="str">
            <v>2026-12-31</v>
          </cell>
          <cell r="H1031" t="str">
            <v>30</v>
          </cell>
          <cell r="I1031" t="str">
            <v>24.63</v>
          </cell>
        </row>
        <row r="1032">
          <cell r="B1032" t="str">
            <v>0011800970L</v>
          </cell>
          <cell r="C1032" t="str">
            <v>变频外电脑板-通用23T直流变频</v>
          </cell>
          <cell r="D1032" t="str">
            <v>91C1</v>
          </cell>
          <cell r="E1032" t="str">
            <v>青岛海达源国内A股采购组织</v>
          </cell>
          <cell r="F1032" t="str">
            <v>寄售</v>
          </cell>
          <cell r="G1032" t="str">
            <v>2026-12-31</v>
          </cell>
          <cell r="H1032" t="str">
            <v>15</v>
          </cell>
          <cell r="I1032" t="str">
            <v>106.67</v>
          </cell>
        </row>
        <row r="1033">
          <cell r="B1033" t="str">
            <v>0190400113G</v>
          </cell>
          <cell r="C1033" t="str">
            <v>主控板-通用云鳟系列产品CRO800-Q3PBU1用主控板长176.6mm宽63</v>
          </cell>
          <cell r="D1033" t="str">
            <v>91C1</v>
          </cell>
          <cell r="E1033" t="str">
            <v>青岛海达源国内A股采购组织</v>
          </cell>
          <cell r="F1033" t="str">
            <v>寄售</v>
          </cell>
          <cell r="G1033" t="str">
            <v>2026-12-26</v>
          </cell>
          <cell r="H1033" t="str">
            <v>7</v>
          </cell>
          <cell r="I1033" t="str">
            <v>27.00</v>
          </cell>
        </row>
        <row r="1034">
          <cell r="B1034" t="str">
            <v>0011800980C</v>
          </cell>
          <cell r="C1034" t="str">
            <v>室内电脑板-FR-4F平台内机板</v>
          </cell>
          <cell r="D1034" t="str">
            <v>91C1</v>
          </cell>
          <cell r="E1034" t="str">
            <v>青岛海达源国内A股采购组织</v>
          </cell>
          <cell r="F1034" t="str">
            <v>寄售</v>
          </cell>
          <cell r="G1034" t="str">
            <v>2026-12-31</v>
          </cell>
          <cell r="H1034" t="str">
            <v>3</v>
          </cell>
          <cell r="I1034" t="str">
            <v>62.60</v>
          </cell>
        </row>
        <row r="1035">
          <cell r="B1035" t="str">
            <v>0011800970AB</v>
          </cell>
          <cell r="C1035" t="str">
            <v>变频外电脑板-通用23T直流变频</v>
          </cell>
          <cell r="D1035" t="str">
            <v>91C1</v>
          </cell>
          <cell r="E1035" t="str">
            <v>青岛海达源国内A股采购组织</v>
          </cell>
          <cell r="F1035" t="str">
            <v>寄售</v>
          </cell>
          <cell r="G1035" t="str">
            <v>2026-12-31</v>
          </cell>
          <cell r="H1035" t="str">
            <v>30</v>
          </cell>
          <cell r="I1035" t="str">
            <v>114.94</v>
          </cell>
        </row>
        <row r="1036">
          <cell r="B1036" t="str">
            <v>0190400002H</v>
          </cell>
          <cell r="C1036" t="str">
            <v>主控板-//CRO500-S3PAU1</v>
          </cell>
          <cell r="D1036" t="str">
            <v>91C1</v>
          </cell>
          <cell r="E1036" t="str">
            <v>青岛海达源国内A股采购组织</v>
          </cell>
          <cell r="F1036" t="str">
            <v>寄售</v>
          </cell>
          <cell r="G1036" t="str">
            <v>2026-12-31</v>
          </cell>
          <cell r="H1036" t="str">
            <v>7</v>
          </cell>
          <cell r="I1036" t="str">
            <v>37.30</v>
          </cell>
        </row>
        <row r="1037">
          <cell r="B1037" t="str">
            <v>0190400164</v>
          </cell>
          <cell r="C1037" t="str">
            <v>主控板-通用电解模块驱动板倒极及恒流2A功能</v>
          </cell>
          <cell r="D1037" t="str">
            <v>91C1</v>
          </cell>
          <cell r="E1037" t="str">
            <v>青岛海达源国内A股采购组织</v>
          </cell>
          <cell r="F1037" t="str">
            <v>寄售</v>
          </cell>
          <cell r="G1037" t="str">
            <v>2026-12-31</v>
          </cell>
          <cell r="H1037" t="str">
            <v>7</v>
          </cell>
          <cell r="I1037" t="str">
            <v>20.58</v>
          </cell>
        </row>
        <row r="1038">
          <cell r="B1038" t="str">
            <v>0011801036</v>
          </cell>
          <cell r="C1038" t="str">
            <v>一体机电脑板-FR-4强电板</v>
          </cell>
          <cell r="D1038" t="str">
            <v>91C1</v>
          </cell>
          <cell r="E1038" t="str">
            <v>青岛海达源国内A股采购组织</v>
          </cell>
          <cell r="F1038" t="str">
            <v>寄售</v>
          </cell>
          <cell r="G1038" t="str">
            <v>2026-12-31</v>
          </cell>
          <cell r="H1038" t="str">
            <v>30</v>
          </cell>
          <cell r="I1038" t="str">
            <v>142.05</v>
          </cell>
        </row>
        <row r="1039">
          <cell r="B1039" t="str">
            <v>0041800757BA</v>
          </cell>
          <cell r="C1039" t="str">
            <v>电脑板显示板-FR-486盒显示板热泵</v>
          </cell>
          <cell r="D1039" t="str">
            <v>91C1</v>
          </cell>
          <cell r="E1039" t="str">
            <v>青岛海达源国内A股采购组织</v>
          </cell>
          <cell r="F1039" t="str">
            <v>寄售</v>
          </cell>
          <cell r="G1039" t="str">
            <v>2026-12-31</v>
          </cell>
          <cell r="H1039" t="str">
            <v>14</v>
          </cell>
          <cell r="I1039" t="str">
            <v>67.66</v>
          </cell>
        </row>
        <row r="1040">
          <cell r="B1040" t="str">
            <v>0190400001C</v>
          </cell>
          <cell r="C1040" t="str">
            <v>显示板-//</v>
          </cell>
          <cell r="D1040" t="str">
            <v>91C1</v>
          </cell>
          <cell r="E1040" t="str">
            <v>青岛海达源国内A股采购组织</v>
          </cell>
          <cell r="F1040" t="str">
            <v>寄售</v>
          </cell>
          <cell r="G1040" t="str">
            <v>2026-12-31</v>
          </cell>
          <cell r="H1040" t="str">
            <v>7</v>
          </cell>
          <cell r="I1040" t="str">
            <v>52.97</v>
          </cell>
        </row>
        <row r="1041">
          <cell r="B1041" t="str">
            <v>0041800757B</v>
          </cell>
          <cell r="C1041" t="str">
            <v>电脑板显示板-通用86*86*20-海尔电辅-WIFI-通用热泵</v>
          </cell>
          <cell r="D1041" t="str">
            <v>91C1</v>
          </cell>
          <cell r="E1041" t="str">
            <v>青岛海达源国内A股采购组织</v>
          </cell>
          <cell r="F1041" t="str">
            <v>寄售</v>
          </cell>
          <cell r="G1041" t="str">
            <v>2026-12-31</v>
          </cell>
          <cell r="H1041" t="str">
            <v>14</v>
          </cell>
          <cell r="I1041" t="str">
            <v>67.66</v>
          </cell>
        </row>
        <row r="1042">
          <cell r="B1042" t="str">
            <v>0011800377X</v>
          </cell>
          <cell r="C1042" t="str">
            <v>功率驱动板-FR-4SNB130FYQMC压缩机30ARX62T模块驱动板30A</v>
          </cell>
          <cell r="D1042" t="str">
            <v>91C1</v>
          </cell>
          <cell r="E1042" t="str">
            <v>青岛海达源国内A股采购组织</v>
          </cell>
          <cell r="F1042" t="str">
            <v>寄售</v>
          </cell>
          <cell r="G1042" t="str">
            <v>2026-12-31</v>
          </cell>
          <cell r="H1042" t="str">
            <v>3</v>
          </cell>
          <cell r="I1042" t="str">
            <v>107.38</v>
          </cell>
        </row>
        <row r="1043">
          <cell r="B1043" t="str">
            <v>0011801424A</v>
          </cell>
          <cell r="C1043" t="str">
            <v>变频外电脑板-FR-4/</v>
          </cell>
          <cell r="D1043" t="str">
            <v>91C1</v>
          </cell>
          <cell r="E1043" t="str">
            <v>青岛海达源国内A股采购组织</v>
          </cell>
          <cell r="F1043" t="str">
            <v>寄售</v>
          </cell>
          <cell r="G1043" t="str">
            <v>2026-12-31</v>
          </cell>
          <cell r="H1043" t="str">
            <v>3</v>
          </cell>
          <cell r="I1043" t="str">
            <v>116.55</v>
          </cell>
        </row>
        <row r="1044">
          <cell r="B1044" t="str">
            <v>0011801424B</v>
          </cell>
          <cell r="C1044" t="str">
            <v>变频外电脑板-FR-4/</v>
          </cell>
          <cell r="D1044" t="str">
            <v>91C1</v>
          </cell>
          <cell r="E1044" t="str">
            <v>青岛海达源国内A股采购组织</v>
          </cell>
          <cell r="F1044" t="str">
            <v>寄售</v>
          </cell>
          <cell r="G1044" t="str">
            <v>2026-12-31</v>
          </cell>
          <cell r="H1044" t="str">
            <v>3</v>
          </cell>
          <cell r="I1044" t="str">
            <v>116.12</v>
          </cell>
        </row>
        <row r="1045">
          <cell r="B1045" t="str">
            <v>0011800376AG</v>
          </cell>
          <cell r="C1045" t="str">
            <v>室内电脑板-CEM-1</v>
          </cell>
          <cell r="D1045" t="str">
            <v>91C1</v>
          </cell>
          <cell r="E1045" t="str">
            <v>青岛海达源国内A股采购组织</v>
          </cell>
          <cell r="F1045" t="str">
            <v>寄售</v>
          </cell>
          <cell r="G1045" t="str">
            <v>2026-12-31</v>
          </cell>
          <cell r="H1045" t="str">
            <v>10</v>
          </cell>
          <cell r="I1045" t="str">
            <v>41.11</v>
          </cell>
        </row>
        <row r="1046">
          <cell r="B1046" t="str">
            <v>0011801270A</v>
          </cell>
          <cell r="C1046" t="str">
            <v>变频外电脑板-/</v>
          </cell>
          <cell r="D1046" t="str">
            <v>91C1</v>
          </cell>
          <cell r="E1046" t="str">
            <v>青岛海达源国内A股采购组织</v>
          </cell>
          <cell r="F1046" t="str">
            <v>寄售</v>
          </cell>
          <cell r="G1046" t="str">
            <v>2026-12-31</v>
          </cell>
          <cell r="H1046" t="str">
            <v>3</v>
          </cell>
          <cell r="I1046" t="str">
            <v>181.40</v>
          </cell>
        </row>
        <row r="1047">
          <cell r="B1047" t="str">
            <v>0041800757H</v>
          </cell>
          <cell r="C1047" t="str">
            <v>AD显示板-LCD86*86*20-海尔电辅-通用-热泵</v>
          </cell>
          <cell r="D1047" t="str">
            <v>91C1</v>
          </cell>
          <cell r="E1047" t="str">
            <v>青岛海达源国内A股采购组织</v>
          </cell>
          <cell r="F1047" t="str">
            <v>寄售</v>
          </cell>
          <cell r="G1047" t="str">
            <v>2026-12-31</v>
          </cell>
          <cell r="H1047" t="str">
            <v>14</v>
          </cell>
          <cell r="I1047" t="str">
            <v>48.38</v>
          </cell>
        </row>
        <row r="1048">
          <cell r="B1048" t="str">
            <v>0011800537C</v>
          </cell>
          <cell r="C1048" t="str">
            <v>室内电脑板-CEM-1</v>
          </cell>
          <cell r="D1048" t="str">
            <v>91C1</v>
          </cell>
          <cell r="E1048" t="str">
            <v>青岛海达源国内A股采购组织</v>
          </cell>
          <cell r="F1048" t="str">
            <v>寄售</v>
          </cell>
          <cell r="G1048" t="str">
            <v>2026-12-31</v>
          </cell>
          <cell r="H1048" t="str">
            <v>7</v>
          </cell>
          <cell r="I1048" t="str">
            <v>19.28</v>
          </cell>
        </row>
        <row r="1049">
          <cell r="B1049" t="str">
            <v>0011801424F</v>
          </cell>
          <cell r="C1049" t="str">
            <v>变频外电脑板-FR-4/</v>
          </cell>
          <cell r="D1049" t="str">
            <v>91C1</v>
          </cell>
          <cell r="E1049" t="str">
            <v>青岛海达源国内A股采购组织</v>
          </cell>
          <cell r="F1049" t="str">
            <v>寄售</v>
          </cell>
          <cell r="G1049" t="str">
            <v>2026-12-31</v>
          </cell>
          <cell r="H1049" t="str">
            <v>3</v>
          </cell>
          <cell r="I1049" t="str">
            <v>145.49</v>
          </cell>
        </row>
        <row r="1050">
          <cell r="B1050" t="str">
            <v>0011800932E</v>
          </cell>
          <cell r="C1050" t="str">
            <v>变频外电脑板-FR-4270*180</v>
          </cell>
          <cell r="D1050" t="str">
            <v>91C1</v>
          </cell>
          <cell r="E1050" t="str">
            <v>青岛海达源国内A股采购组织</v>
          </cell>
          <cell r="F1050" t="str">
            <v>寄售</v>
          </cell>
          <cell r="G1050" t="str">
            <v>2026-12-31</v>
          </cell>
          <cell r="H1050" t="str">
            <v>10</v>
          </cell>
          <cell r="I1050" t="str">
            <v>202.48</v>
          </cell>
        </row>
        <row r="1051">
          <cell r="B1051" t="str">
            <v>0011800970AA</v>
          </cell>
          <cell r="C1051" t="str">
            <v>变频外电脑板-通用23T直流变频</v>
          </cell>
          <cell r="D1051" t="str">
            <v>91C1</v>
          </cell>
          <cell r="E1051" t="str">
            <v>青岛海达源国内A股采购组织</v>
          </cell>
          <cell r="F1051" t="str">
            <v>寄售</v>
          </cell>
          <cell r="G1051" t="str">
            <v>2026-12-31</v>
          </cell>
          <cell r="H1051" t="str">
            <v>30</v>
          </cell>
          <cell r="I1051" t="str">
            <v>106.76</v>
          </cell>
        </row>
        <row r="1052">
          <cell r="B1052" t="str">
            <v>0011801424V</v>
          </cell>
          <cell r="C1052" t="str">
            <v>变频外电脑板-FR-4/</v>
          </cell>
          <cell r="D1052" t="str">
            <v>91C1</v>
          </cell>
          <cell r="E1052" t="str">
            <v>青岛海达源国内A股采购组织</v>
          </cell>
          <cell r="F1052" t="str">
            <v>寄售</v>
          </cell>
          <cell r="G1052" t="str">
            <v>2026-12-31</v>
          </cell>
          <cell r="H1052" t="str">
            <v>3</v>
          </cell>
          <cell r="I1052" t="str">
            <v>139.77</v>
          </cell>
        </row>
        <row r="1053">
          <cell r="B1053" t="str">
            <v>0011801424W</v>
          </cell>
          <cell r="C1053" t="str">
            <v>变频外电脑板-FR-4/</v>
          </cell>
          <cell r="D1053" t="str">
            <v>91C1</v>
          </cell>
          <cell r="E1053" t="str">
            <v>青岛海达源国内A股采购组织</v>
          </cell>
          <cell r="F1053" t="str">
            <v>寄售</v>
          </cell>
          <cell r="G1053" t="str">
            <v>2026-12-31</v>
          </cell>
          <cell r="H1053" t="str">
            <v>3</v>
          </cell>
          <cell r="I1053" t="str">
            <v>133.88</v>
          </cell>
        </row>
        <row r="1054">
          <cell r="B1054" t="str">
            <v>0190400001D</v>
          </cell>
          <cell r="C1054" t="str">
            <v>显示板-//</v>
          </cell>
          <cell r="D1054" t="str">
            <v>91C1</v>
          </cell>
          <cell r="E1054" t="str">
            <v>青岛海达源国内A股采购组织</v>
          </cell>
          <cell r="F1054" t="str">
            <v>寄售</v>
          </cell>
          <cell r="G1054" t="str">
            <v>2026-12-31</v>
          </cell>
          <cell r="H1054" t="str">
            <v>7</v>
          </cell>
          <cell r="I1054" t="str">
            <v>54.71</v>
          </cell>
        </row>
        <row r="1055">
          <cell r="B1055" t="str">
            <v>0190400103</v>
          </cell>
          <cell r="C1055" t="str">
            <v>显示板-通用CRO800-C3U1显示板三根芯鲜活系列CRO800-C3U1显示</v>
          </cell>
          <cell r="D1055" t="str">
            <v>91C1</v>
          </cell>
          <cell r="E1055" t="str">
            <v>青岛海达源国内A股采购组织</v>
          </cell>
          <cell r="F1055" t="str">
            <v>寄售</v>
          </cell>
          <cell r="G1055" t="str">
            <v>2026-12-31</v>
          </cell>
          <cell r="H1055" t="str">
            <v>7</v>
          </cell>
          <cell r="I1055" t="str">
            <v>18.68</v>
          </cell>
        </row>
        <row r="1056">
          <cell r="B1056" t="str">
            <v>0190400105</v>
          </cell>
          <cell r="C1056" t="str">
            <v>信号转接板-通用三根芯鲜活系列CRO800-C3U1信号转接板FR-4,尺寸43</v>
          </cell>
          <cell r="D1056" t="str">
            <v>91C1</v>
          </cell>
          <cell r="E1056" t="str">
            <v>青岛海达源国内A股采购组织</v>
          </cell>
          <cell r="F1056" t="str">
            <v>寄售</v>
          </cell>
          <cell r="G1056" t="str">
            <v>2026-12-31</v>
          </cell>
          <cell r="H1056" t="str">
            <v>7</v>
          </cell>
          <cell r="I1056" t="str">
            <v>7.32</v>
          </cell>
        </row>
        <row r="1057">
          <cell r="B1057" t="str">
            <v>0190400002D</v>
          </cell>
          <cell r="C1057" t="str">
            <v>主控板-//</v>
          </cell>
          <cell r="D1057" t="str">
            <v>91C1</v>
          </cell>
          <cell r="E1057" t="str">
            <v>青岛海达源国内A股采购组织</v>
          </cell>
          <cell r="F1057" t="str">
            <v>寄售</v>
          </cell>
          <cell r="G1057" t="str">
            <v>2026-12-31</v>
          </cell>
          <cell r="H1057" t="str">
            <v>7</v>
          </cell>
          <cell r="I1057" t="str">
            <v>37.33</v>
          </cell>
        </row>
        <row r="1058">
          <cell r="B1058" t="str">
            <v>0190400112A</v>
          </cell>
          <cell r="C1058" t="str">
            <v>显示板-//</v>
          </cell>
          <cell r="D1058" t="str">
            <v>91C1</v>
          </cell>
          <cell r="E1058" t="str">
            <v>青岛海达源国内A股采购组织</v>
          </cell>
          <cell r="F1058" t="str">
            <v>寄售</v>
          </cell>
          <cell r="G1058" t="str">
            <v>2026-12-31</v>
          </cell>
          <cell r="H1058" t="str">
            <v>7</v>
          </cell>
          <cell r="I1058" t="str">
            <v>19.36</v>
          </cell>
        </row>
        <row r="1059">
          <cell r="B1059" t="str">
            <v>0041800757E</v>
          </cell>
          <cell r="C1059" t="str">
            <v>电脑板显示板-FR-486*86*20卡萨帝-wifi-55℃-通用热泵</v>
          </cell>
          <cell r="D1059" t="str">
            <v>91C1</v>
          </cell>
          <cell r="E1059" t="str">
            <v>青岛海达源国内A股采购组织</v>
          </cell>
          <cell r="F1059" t="str">
            <v>寄售</v>
          </cell>
          <cell r="G1059" t="str">
            <v>2026-12-31</v>
          </cell>
          <cell r="H1059" t="str">
            <v>14</v>
          </cell>
          <cell r="I1059" t="str">
            <v>69.12</v>
          </cell>
        </row>
        <row r="1060">
          <cell r="B1060" t="str">
            <v>0041800757F</v>
          </cell>
          <cell r="C1060" t="str">
            <v>电脑板显示板-FR-486*86*20卡萨帝-wifi-55℃-通用热泵</v>
          </cell>
          <cell r="D1060" t="str">
            <v>91C1</v>
          </cell>
          <cell r="E1060" t="str">
            <v>青岛海达源国内A股采购组织</v>
          </cell>
          <cell r="F1060" t="str">
            <v>寄售</v>
          </cell>
          <cell r="G1060" t="str">
            <v>2026-12-31</v>
          </cell>
          <cell r="H1060" t="str">
            <v>14</v>
          </cell>
          <cell r="I1060" t="str">
            <v>69.12</v>
          </cell>
        </row>
        <row r="1061">
          <cell r="B1061" t="str">
            <v>0190400223</v>
          </cell>
          <cell r="C1061" t="str">
            <v>主控板-通用mini系列电源转接mini系列电源转接</v>
          </cell>
          <cell r="D1061" t="str">
            <v>91C1</v>
          </cell>
          <cell r="E1061" t="str">
            <v>青岛海达源国内A股采购组织</v>
          </cell>
          <cell r="F1061" t="str">
            <v>寄售</v>
          </cell>
          <cell r="G1061" t="str">
            <v>2026-12-31</v>
          </cell>
          <cell r="H1061" t="str">
            <v>7</v>
          </cell>
          <cell r="I1061" t="str">
            <v>1.90</v>
          </cell>
        </row>
        <row r="1062">
          <cell r="B1062" t="str">
            <v>0011800377Y</v>
          </cell>
          <cell r="C1062" t="str">
            <v>功率驱动板-FR-4SNB130FYQMC压缩机30ARX62T模块驱动板30A</v>
          </cell>
          <cell r="D1062" t="str">
            <v>91C1</v>
          </cell>
          <cell r="E1062" t="str">
            <v>青岛海达源国内A股采购组织</v>
          </cell>
          <cell r="F1062" t="str">
            <v>寄售</v>
          </cell>
          <cell r="G1062" t="str">
            <v>2026-12-31</v>
          </cell>
          <cell r="H1062" t="str">
            <v>3</v>
          </cell>
          <cell r="I1062" t="str">
            <v>109.88</v>
          </cell>
        </row>
        <row r="1063">
          <cell r="B1063" t="str">
            <v>0021800442</v>
          </cell>
          <cell r="C1063" t="str">
            <v>显示板-LED12VDC12VDC</v>
          </cell>
          <cell r="D1063" t="str">
            <v>91C1</v>
          </cell>
          <cell r="E1063" t="str">
            <v>青岛海达源国内A股采购组织</v>
          </cell>
          <cell r="F1063" t="str">
            <v>寄售</v>
          </cell>
          <cell r="G1063" t="str">
            <v>2026-12-31</v>
          </cell>
          <cell r="H1063" t="str">
            <v>10</v>
          </cell>
          <cell r="I1063" t="str">
            <v>27.00</v>
          </cell>
        </row>
        <row r="1064">
          <cell r="B1064" t="str">
            <v>0011801424E</v>
          </cell>
          <cell r="C1064" t="str">
            <v>变频外电脑板-FR-4/</v>
          </cell>
          <cell r="D1064" t="str">
            <v>91C1</v>
          </cell>
          <cell r="E1064" t="str">
            <v>青岛海达源国内A股采购组织</v>
          </cell>
          <cell r="F1064" t="str">
            <v>寄售</v>
          </cell>
          <cell r="G1064" t="str">
            <v>2026-12-31</v>
          </cell>
          <cell r="H1064" t="str">
            <v>3</v>
          </cell>
          <cell r="I1064" t="str">
            <v>144.39</v>
          </cell>
        </row>
        <row r="1065">
          <cell r="B1065" t="str">
            <v>0011800977C</v>
          </cell>
          <cell r="C1065" t="str">
            <v>室内电脑板-CEM-1/</v>
          </cell>
          <cell r="D1065" t="str">
            <v>91C1</v>
          </cell>
          <cell r="E1065" t="str">
            <v>青岛海达源国内A股采购组织</v>
          </cell>
          <cell r="F1065" t="str">
            <v>寄售</v>
          </cell>
          <cell r="G1065" t="str">
            <v>2026-12-31</v>
          </cell>
          <cell r="H1065" t="str">
            <v>10</v>
          </cell>
          <cell r="I1065" t="str">
            <v>28.59</v>
          </cell>
        </row>
        <row r="1066">
          <cell r="B1066" t="str">
            <v>0190400113F</v>
          </cell>
          <cell r="C1066" t="str">
            <v>主控板-通用云鳟系列产品CRO600-Q3PBU1用主控板长176.6mm宽63</v>
          </cell>
          <cell r="D1066" t="str">
            <v>91C1</v>
          </cell>
          <cell r="E1066" t="str">
            <v>青岛海达源国内A股采购组织</v>
          </cell>
          <cell r="F1066" t="str">
            <v>寄售</v>
          </cell>
          <cell r="G1066" t="str">
            <v>2026-12-31</v>
          </cell>
          <cell r="H1066" t="str">
            <v>7</v>
          </cell>
          <cell r="I1066" t="str">
            <v>26.97</v>
          </cell>
        </row>
        <row r="1067">
          <cell r="B1067" t="str">
            <v>0011800827Y</v>
          </cell>
          <cell r="C1067" t="str">
            <v>变频外电脑板-FR-4</v>
          </cell>
          <cell r="D1067" t="str">
            <v>91C1</v>
          </cell>
          <cell r="E1067" t="str">
            <v>青岛海达源国内A股采购组织</v>
          </cell>
          <cell r="F1067" t="str">
            <v>寄售</v>
          </cell>
          <cell r="G1067" t="str">
            <v>2026-12-31</v>
          </cell>
          <cell r="H1067" t="str">
            <v>10</v>
          </cell>
          <cell r="I1067" t="str">
            <v>152.45</v>
          </cell>
        </row>
        <row r="1068">
          <cell r="B1068" t="str">
            <v>0190400348</v>
          </cell>
          <cell r="C1068" t="str">
            <v>主控板-通用电控板尺寸:86mm*31mm净水</v>
          </cell>
          <cell r="D1068" t="str">
            <v>91C1</v>
          </cell>
          <cell r="E1068" t="str">
            <v>青岛海达源国内A股采购组织</v>
          </cell>
          <cell r="F1068" t="str">
            <v>寄售</v>
          </cell>
          <cell r="G1068" t="str">
            <v>2026-12-31</v>
          </cell>
          <cell r="H1068" t="str">
            <v>7</v>
          </cell>
          <cell r="I1068" t="str">
            <v>11.93</v>
          </cell>
        </row>
        <row r="1069">
          <cell r="B1069" t="str">
            <v>0190400169A</v>
          </cell>
          <cell r="C1069" t="str">
            <v>显示板-通用</v>
          </cell>
          <cell r="D1069" t="str">
            <v>91C1</v>
          </cell>
          <cell r="E1069" t="str">
            <v>青岛海达源国内A股采购组织</v>
          </cell>
          <cell r="F1069" t="str">
            <v>寄售</v>
          </cell>
          <cell r="G1069" t="str">
            <v>2026-12-31</v>
          </cell>
          <cell r="H1069" t="str">
            <v>7</v>
          </cell>
          <cell r="I1069" t="str">
            <v>28.67</v>
          </cell>
        </row>
        <row r="1070">
          <cell r="B1070" t="str">
            <v>0011801150G</v>
          </cell>
          <cell r="C1070" t="str">
            <v>变频外电脑板-FR-4230mm*157mm</v>
          </cell>
          <cell r="D1070" t="str">
            <v>91C1</v>
          </cell>
          <cell r="E1070" t="str">
            <v>青岛海达源国内A股采购组织</v>
          </cell>
          <cell r="F1070" t="str">
            <v>寄售</v>
          </cell>
          <cell r="G1070" t="str">
            <v>2026-12-31</v>
          </cell>
          <cell r="H1070" t="str">
            <v>10</v>
          </cell>
          <cell r="I1070" t="str">
            <v>134.12</v>
          </cell>
        </row>
        <row r="1071">
          <cell r="B1071" t="str">
            <v>0011801150J</v>
          </cell>
          <cell r="C1071" t="str">
            <v>变频外电脑板-FR-4230mm*157mm</v>
          </cell>
          <cell r="D1071" t="str">
            <v>91C1</v>
          </cell>
          <cell r="E1071" t="str">
            <v>青岛海达源国内A股采购组织</v>
          </cell>
          <cell r="F1071" t="str">
            <v>寄售</v>
          </cell>
          <cell r="G1071" t="str">
            <v>2026-12-31</v>
          </cell>
          <cell r="H1071" t="str">
            <v>10</v>
          </cell>
          <cell r="I1071" t="str">
            <v>135.85</v>
          </cell>
        </row>
        <row r="1072">
          <cell r="B1072" t="str">
            <v>0190400172</v>
          </cell>
          <cell r="C1072" t="str">
            <v>主控板-//</v>
          </cell>
          <cell r="D1072" t="str">
            <v>91C1</v>
          </cell>
          <cell r="E1072" t="str">
            <v>青岛海达源国内A股采购组织</v>
          </cell>
          <cell r="F1072" t="str">
            <v>寄售</v>
          </cell>
          <cell r="G1072" t="str">
            <v>2026-12-31</v>
          </cell>
          <cell r="H1072" t="str">
            <v>7</v>
          </cell>
          <cell r="I1072" t="str">
            <v>16.20</v>
          </cell>
        </row>
        <row r="1073">
          <cell r="B1073" t="str">
            <v>0190400174A</v>
          </cell>
          <cell r="C1073" t="str">
            <v>显示板-通用</v>
          </cell>
          <cell r="D1073" t="str">
            <v>91C1</v>
          </cell>
          <cell r="E1073" t="str">
            <v>青岛海达源国内A股采购组织</v>
          </cell>
          <cell r="F1073" t="str">
            <v>寄售</v>
          </cell>
          <cell r="G1073" t="str">
            <v>2026-12-31</v>
          </cell>
          <cell r="H1073" t="str">
            <v>7</v>
          </cell>
          <cell r="I1073" t="str">
            <v>9.96</v>
          </cell>
        </row>
        <row r="1074">
          <cell r="B1074" t="str">
            <v>0011800970M</v>
          </cell>
          <cell r="C1074" t="str">
            <v>变频外电脑板-通用23T直流变频</v>
          </cell>
          <cell r="D1074" t="str">
            <v>91C1</v>
          </cell>
          <cell r="E1074" t="str">
            <v>青岛海达源国内A股采购组织</v>
          </cell>
          <cell r="F1074" t="str">
            <v>寄售</v>
          </cell>
          <cell r="G1074" t="str">
            <v>2026-12-31</v>
          </cell>
          <cell r="H1074" t="str">
            <v>15</v>
          </cell>
          <cell r="I1074" t="str">
            <v>109.66</v>
          </cell>
        </row>
        <row r="1075">
          <cell r="B1075" t="str">
            <v>0011800970N</v>
          </cell>
          <cell r="C1075" t="str">
            <v>变频外电脑板-通用23T直流变频</v>
          </cell>
          <cell r="D1075" t="str">
            <v>91C1</v>
          </cell>
          <cell r="E1075" t="str">
            <v>青岛海达源国内A股采购组织</v>
          </cell>
          <cell r="F1075" t="str">
            <v>寄售</v>
          </cell>
          <cell r="G1075" t="str">
            <v>2026-12-31</v>
          </cell>
          <cell r="H1075" t="str">
            <v>15</v>
          </cell>
          <cell r="I1075" t="str">
            <v>110.16</v>
          </cell>
        </row>
        <row r="1076">
          <cell r="B1076" t="str">
            <v>0011800970G</v>
          </cell>
          <cell r="C1076" t="str">
            <v>变频外电脑板-通用23T直流变频</v>
          </cell>
          <cell r="D1076" t="str">
            <v>91C1</v>
          </cell>
          <cell r="E1076" t="str">
            <v>青岛海达源国内A股采购组织</v>
          </cell>
          <cell r="F1076" t="str">
            <v>寄售</v>
          </cell>
          <cell r="G1076" t="str">
            <v>2026-12-31</v>
          </cell>
          <cell r="H1076" t="str">
            <v>15</v>
          </cell>
          <cell r="I1076" t="str">
            <v>117.76</v>
          </cell>
        </row>
        <row r="1077">
          <cell r="B1077" t="str">
            <v>0011800807</v>
          </cell>
          <cell r="C1077" t="str">
            <v>室内电脑板-FR-4</v>
          </cell>
          <cell r="D1077" t="str">
            <v>91C1</v>
          </cell>
          <cell r="E1077" t="str">
            <v>青岛海达源国内A股采购组织</v>
          </cell>
          <cell r="F1077" t="str">
            <v>寄售</v>
          </cell>
          <cell r="G1077" t="str">
            <v>2026-12-31</v>
          </cell>
          <cell r="H1077" t="str">
            <v>7</v>
          </cell>
          <cell r="I1077" t="str">
            <v>41.75</v>
          </cell>
        </row>
        <row r="1078">
          <cell r="B1078" t="str">
            <v>0011801424M</v>
          </cell>
          <cell r="C1078" t="str">
            <v>变频外电脑板-FR-4/</v>
          </cell>
          <cell r="D1078" t="str">
            <v>91C1</v>
          </cell>
          <cell r="E1078" t="str">
            <v>青岛海达源国内A股采购组织</v>
          </cell>
          <cell r="F1078" t="str">
            <v>寄售</v>
          </cell>
          <cell r="G1078" t="str">
            <v>2026-12-31</v>
          </cell>
          <cell r="H1078" t="str">
            <v>3</v>
          </cell>
          <cell r="I1078" t="str">
            <v>139.19</v>
          </cell>
        </row>
        <row r="1079">
          <cell r="B1079" t="str">
            <v>0011800376AD</v>
          </cell>
          <cell r="C1079" t="str">
            <v>室内电脑板-CEM-3208mm*105mm</v>
          </cell>
          <cell r="D1079" t="str">
            <v>91C1</v>
          </cell>
          <cell r="E1079" t="str">
            <v>青岛海达源国内A股采购组织</v>
          </cell>
          <cell r="F1079" t="str">
            <v>寄售</v>
          </cell>
          <cell r="G1079" t="str">
            <v>2026-12-31</v>
          </cell>
          <cell r="H1079" t="str">
            <v>10</v>
          </cell>
          <cell r="I1079" t="str">
            <v>42.39</v>
          </cell>
        </row>
        <row r="1080">
          <cell r="B1080" t="str">
            <v>0041800757J</v>
          </cell>
          <cell r="C1080" t="str">
            <v>AD显示板-LCD86*86*20-海尔电辅-通用-热泵</v>
          </cell>
          <cell r="D1080" t="str">
            <v>91C1</v>
          </cell>
          <cell r="E1080" t="str">
            <v>青岛海达源国内A股采购组织</v>
          </cell>
          <cell r="F1080" t="str">
            <v>寄售</v>
          </cell>
          <cell r="G1080" t="str">
            <v>2026-12-31</v>
          </cell>
          <cell r="H1080" t="str">
            <v>14</v>
          </cell>
          <cell r="I1080" t="str">
            <v>69.12</v>
          </cell>
        </row>
        <row r="1081">
          <cell r="B1081" t="str">
            <v>0190400002</v>
          </cell>
          <cell r="C1081" t="str">
            <v>主控板-//</v>
          </cell>
          <cell r="D1081" t="str">
            <v>91C1</v>
          </cell>
          <cell r="E1081" t="str">
            <v>青岛海达源国内A股采购组织</v>
          </cell>
          <cell r="F1081" t="str">
            <v>寄售</v>
          </cell>
          <cell r="G1081" t="str">
            <v>2026-12-31</v>
          </cell>
          <cell r="H1081" t="str">
            <v>7</v>
          </cell>
          <cell r="I1081" t="str">
            <v>37.30</v>
          </cell>
        </row>
        <row r="1082">
          <cell r="B1082" t="str">
            <v>0190400001H</v>
          </cell>
          <cell r="C1082" t="str">
            <v>显示板-//CRO500-S3PAU1</v>
          </cell>
          <cell r="D1082" t="str">
            <v>91C1</v>
          </cell>
          <cell r="E1082" t="str">
            <v>青岛海达源国内A股采购组织</v>
          </cell>
          <cell r="F1082" t="str">
            <v>寄售</v>
          </cell>
          <cell r="G1082" t="str">
            <v>2026-12-31</v>
          </cell>
          <cell r="H1082" t="str">
            <v>7</v>
          </cell>
          <cell r="I1082" t="str">
            <v>52.97</v>
          </cell>
        </row>
        <row r="1083">
          <cell r="B1083" t="str">
            <v>0190400174</v>
          </cell>
          <cell r="C1083" t="str">
            <v>显示板-//</v>
          </cell>
          <cell r="D1083" t="str">
            <v>91C1</v>
          </cell>
          <cell r="E1083" t="str">
            <v>青岛海达源国内A股采购组织</v>
          </cell>
          <cell r="F1083" t="str">
            <v>寄售</v>
          </cell>
          <cell r="G1083" t="str">
            <v>2026-12-31</v>
          </cell>
          <cell r="H1083" t="str">
            <v>7</v>
          </cell>
          <cell r="I1083" t="str">
            <v>9.96</v>
          </cell>
        </row>
        <row r="1084">
          <cell r="B1084" t="str">
            <v>0190400102</v>
          </cell>
          <cell r="C1084" t="str">
            <v>主控板-通用CRO800-C3U1主控板三根芯鲜活系列CRO800-C3U1主控</v>
          </cell>
          <cell r="D1084" t="str">
            <v>91C1</v>
          </cell>
          <cell r="E1084" t="str">
            <v>青岛海达源国内A股采购组织</v>
          </cell>
          <cell r="F1084" t="str">
            <v>寄售</v>
          </cell>
          <cell r="G1084" t="str">
            <v>2026-12-31</v>
          </cell>
          <cell r="H1084" t="str">
            <v>7</v>
          </cell>
          <cell r="I1084" t="str">
            <v>37.07</v>
          </cell>
        </row>
        <row r="1085">
          <cell r="B1085" t="str">
            <v>0011800630M</v>
          </cell>
          <cell r="C1085" t="str">
            <v>室内电脑板-CEM-1室内电脑板俄罗斯07/09/12P系列室内电脑板</v>
          </cell>
          <cell r="D1085" t="str">
            <v>91C1</v>
          </cell>
          <cell r="E1085" t="str">
            <v>青岛海达源国内A股采购组织</v>
          </cell>
          <cell r="F1085" t="str">
            <v>寄售</v>
          </cell>
          <cell r="G1085" t="str">
            <v>2026-12-31</v>
          </cell>
          <cell r="H1085" t="str">
            <v>7</v>
          </cell>
          <cell r="I1085" t="str">
            <v>27.69</v>
          </cell>
        </row>
        <row r="1086">
          <cell r="B1086" t="str">
            <v>0011801424H</v>
          </cell>
          <cell r="C1086" t="str">
            <v>变频外电脑板-FR-4/</v>
          </cell>
          <cell r="D1086" t="str">
            <v>91C1</v>
          </cell>
          <cell r="E1086" t="str">
            <v>青岛海达源国内A股采购组织</v>
          </cell>
          <cell r="F1086" t="str">
            <v>寄售</v>
          </cell>
          <cell r="G1086" t="str">
            <v>2026-12-31</v>
          </cell>
          <cell r="H1086" t="str">
            <v>30</v>
          </cell>
          <cell r="I1086" t="str">
            <v>115.49</v>
          </cell>
        </row>
        <row r="1087">
          <cell r="B1087" t="str">
            <v>0190400002B</v>
          </cell>
          <cell r="C1087" t="str">
            <v>主控板-//</v>
          </cell>
          <cell r="D1087" t="str">
            <v>91C1</v>
          </cell>
          <cell r="E1087" t="str">
            <v>青岛海达源国内A股采购组织</v>
          </cell>
          <cell r="F1087" t="str">
            <v>寄售</v>
          </cell>
          <cell r="G1087" t="str">
            <v>2026-12-31</v>
          </cell>
          <cell r="H1087" t="str">
            <v>7</v>
          </cell>
          <cell r="I1087" t="str">
            <v>37.30</v>
          </cell>
        </row>
        <row r="1088">
          <cell r="B1088" t="str">
            <v>0011800933S</v>
          </cell>
          <cell r="C1088" t="str">
            <v>变频外电脑板-FR-4215mm*157mm</v>
          </cell>
          <cell r="D1088" t="str">
            <v>91C1</v>
          </cell>
          <cell r="E1088" t="str">
            <v>青岛海达源国内A股采购组织</v>
          </cell>
          <cell r="F1088" t="str">
            <v>寄售</v>
          </cell>
          <cell r="G1088" t="str">
            <v>2026-12-31</v>
          </cell>
          <cell r="H1088" t="str">
            <v>10</v>
          </cell>
          <cell r="I1088" t="str">
            <v>133.00</v>
          </cell>
        </row>
        <row r="1089">
          <cell r="B1089" t="str">
            <v>0011800933Y</v>
          </cell>
          <cell r="C1089" t="str">
            <v>变频外电脑板-FR-4215mm*157mm</v>
          </cell>
          <cell r="D1089" t="str">
            <v>91C1</v>
          </cell>
          <cell r="E1089" t="str">
            <v>青岛海达源国内A股采购组织</v>
          </cell>
          <cell r="F1089" t="str">
            <v>寄售</v>
          </cell>
          <cell r="G1089" t="str">
            <v>2026-12-31</v>
          </cell>
          <cell r="H1089" t="str">
            <v>10</v>
          </cell>
          <cell r="I1089" t="str">
            <v>127.89</v>
          </cell>
        </row>
        <row r="1090">
          <cell r="B1090" t="str">
            <v>0011800977B</v>
          </cell>
          <cell r="C1090" t="str">
            <v>室内电脑板-CEM-1/</v>
          </cell>
          <cell r="D1090" t="str">
            <v>91C1</v>
          </cell>
          <cell r="E1090" t="str">
            <v>青岛海达源国内A股采购组织</v>
          </cell>
          <cell r="F1090" t="str">
            <v>寄售</v>
          </cell>
          <cell r="G1090" t="str">
            <v>2026-12-31</v>
          </cell>
          <cell r="H1090" t="str">
            <v>10</v>
          </cell>
          <cell r="I1090" t="str">
            <v>28.99</v>
          </cell>
        </row>
        <row r="1091">
          <cell r="B1091" t="str">
            <v>0041800693</v>
          </cell>
          <cell r="C1091" t="str">
            <v>AD电源板-CEM-3单功率通用-单继电器-</v>
          </cell>
          <cell r="D1091" t="str">
            <v>91C1</v>
          </cell>
          <cell r="E1091" t="str">
            <v>青岛海达源国内A股采购组织</v>
          </cell>
          <cell r="F1091" t="str">
            <v>寄售</v>
          </cell>
          <cell r="G1091" t="str">
            <v>2026-12-31</v>
          </cell>
          <cell r="H1091" t="str">
            <v>14</v>
          </cell>
          <cell r="I1091" t="str">
            <v>12.52</v>
          </cell>
        </row>
        <row r="1092">
          <cell r="B1092" t="str">
            <v>0190400112B</v>
          </cell>
          <cell r="C1092" t="str">
            <v>显示板-/</v>
          </cell>
          <cell r="D1092" t="str">
            <v>91C1</v>
          </cell>
          <cell r="E1092" t="str">
            <v>青岛海达源国内A股采购组织</v>
          </cell>
          <cell r="F1092" t="str">
            <v>寄售</v>
          </cell>
          <cell r="G1092" t="str">
            <v>2026-12-26</v>
          </cell>
          <cell r="H1092" t="str">
            <v>7</v>
          </cell>
          <cell r="I1092" t="str">
            <v>19.39</v>
          </cell>
        </row>
        <row r="1093">
          <cell r="B1093" t="str">
            <v>0011800691AF</v>
          </cell>
          <cell r="C1093" t="str">
            <v>室内电脑板-/162mm*130mm</v>
          </cell>
          <cell r="D1093" t="str">
            <v>91C1</v>
          </cell>
          <cell r="E1093" t="str">
            <v>青岛海达源国内A股采购组织</v>
          </cell>
          <cell r="F1093" t="str">
            <v>寄售</v>
          </cell>
          <cell r="G1093" t="str">
            <v>2026-12-31</v>
          </cell>
          <cell r="H1093" t="str">
            <v>10</v>
          </cell>
          <cell r="I1093" t="str">
            <v>40.64</v>
          </cell>
        </row>
        <row r="1094">
          <cell r="B1094" t="str">
            <v>0011800970F</v>
          </cell>
          <cell r="C1094" t="str">
            <v>变频外电脑板-通用23T直流变频</v>
          </cell>
          <cell r="D1094" t="str">
            <v>91C1</v>
          </cell>
          <cell r="E1094" t="str">
            <v>青岛海达源国内A股采购组织</v>
          </cell>
          <cell r="F1094" t="str">
            <v>寄售</v>
          </cell>
          <cell r="G1094" t="str">
            <v>2026-12-31</v>
          </cell>
          <cell r="H1094" t="str">
            <v>15</v>
          </cell>
          <cell r="I1094" t="str">
            <v>109.67</v>
          </cell>
        </row>
        <row r="1095">
          <cell r="B1095" t="str">
            <v>0190400001B</v>
          </cell>
          <cell r="C1095" t="str">
            <v>显示板-//</v>
          </cell>
          <cell r="D1095" t="str">
            <v>91C1</v>
          </cell>
          <cell r="E1095" t="str">
            <v>青岛海达源国内A股采购组织</v>
          </cell>
          <cell r="F1095" t="str">
            <v>寄售</v>
          </cell>
          <cell r="G1095" t="str">
            <v>2026-12-31</v>
          </cell>
          <cell r="H1095" t="str">
            <v>7</v>
          </cell>
          <cell r="I1095" t="str">
            <v>52.45</v>
          </cell>
        </row>
        <row r="1096">
          <cell r="B1096" t="str">
            <v>0190400127</v>
          </cell>
          <cell r="C1096" t="str">
            <v>信号转接板-通用信号转接板主控板端FR-4,板尺寸43*25</v>
          </cell>
          <cell r="D1096" t="str">
            <v>91C1</v>
          </cell>
          <cell r="E1096" t="str">
            <v>青岛海达源国内A股采购组织</v>
          </cell>
          <cell r="F1096" t="str">
            <v>寄售</v>
          </cell>
          <cell r="G1096" t="str">
            <v>2026-12-31</v>
          </cell>
          <cell r="H1096" t="str">
            <v>7</v>
          </cell>
          <cell r="I1096" t="str">
            <v>11.18</v>
          </cell>
        </row>
        <row r="1097">
          <cell r="B1097" t="str">
            <v>0011800981H</v>
          </cell>
          <cell r="C1097" t="str">
            <v>变频外电脑板-FR-4230*196</v>
          </cell>
          <cell r="D1097" t="str">
            <v>91C1</v>
          </cell>
          <cell r="E1097" t="str">
            <v>青岛海达源国内A股采购组织</v>
          </cell>
          <cell r="F1097" t="str">
            <v>寄售</v>
          </cell>
          <cell r="G1097" t="str">
            <v>2026-12-31</v>
          </cell>
          <cell r="H1097" t="str">
            <v>3</v>
          </cell>
          <cell r="I1097" t="str">
            <v>126.30</v>
          </cell>
        </row>
        <row r="1098">
          <cell r="B1098" t="str">
            <v>0011801424J</v>
          </cell>
          <cell r="C1098" t="str">
            <v>变频外电脑板-FR-4/</v>
          </cell>
          <cell r="D1098" t="str">
            <v>91C1</v>
          </cell>
          <cell r="E1098" t="str">
            <v>青岛海达源国内A股采购组织</v>
          </cell>
          <cell r="F1098" t="str">
            <v>寄售</v>
          </cell>
          <cell r="G1098" t="str">
            <v>2026-12-31</v>
          </cell>
          <cell r="H1098" t="str">
            <v>3</v>
          </cell>
          <cell r="I1098" t="str">
            <v>128.87</v>
          </cell>
        </row>
        <row r="1099">
          <cell r="B1099" t="str">
            <v>0190400001</v>
          </cell>
          <cell r="C1099" t="str">
            <v>显示板-//</v>
          </cell>
          <cell r="D1099" t="str">
            <v>91C1</v>
          </cell>
          <cell r="E1099" t="str">
            <v>青岛海达源国内A股采购组织</v>
          </cell>
          <cell r="F1099" t="str">
            <v>寄售</v>
          </cell>
          <cell r="G1099" t="str">
            <v>2026-12-31</v>
          </cell>
          <cell r="H1099" t="str">
            <v>7</v>
          </cell>
          <cell r="I1099" t="str">
            <v>52.97</v>
          </cell>
        </row>
        <row r="1100">
          <cell r="B1100" t="str">
            <v>0011801172G</v>
          </cell>
          <cell r="C1100" t="str">
            <v>变频外电脑板-FR-4</v>
          </cell>
          <cell r="D1100" t="str">
            <v>91C1</v>
          </cell>
          <cell r="E1100" t="str">
            <v>青岛海达源国内A股采购组织</v>
          </cell>
          <cell r="F1100" t="str">
            <v>寄售</v>
          </cell>
          <cell r="G1100" t="str">
            <v>2026-12-31</v>
          </cell>
          <cell r="H1100" t="str">
            <v>15</v>
          </cell>
          <cell r="I1100" t="str">
            <v>168.41</v>
          </cell>
        </row>
        <row r="1101">
          <cell r="B1101" t="str">
            <v>0041800751YSA</v>
          </cell>
          <cell r="C1101" t="str">
            <v>AD显示板-LED348*45*8mm电热</v>
          </cell>
          <cell r="D1101" t="str">
            <v>91C1</v>
          </cell>
          <cell r="E1101" t="str">
            <v>青岛海达源国内A股采购组织</v>
          </cell>
          <cell r="F1101" t="str">
            <v>寄售</v>
          </cell>
          <cell r="G1101" t="str">
            <v>2026-12-31</v>
          </cell>
          <cell r="H1101" t="str">
            <v>14</v>
          </cell>
          <cell r="I1101" t="str">
            <v>18.02</v>
          </cell>
        </row>
        <row r="1102">
          <cell r="B1102" t="str">
            <v>0011801036C</v>
          </cell>
          <cell r="C1102" t="str">
            <v>一体机电脑板-FR-4</v>
          </cell>
          <cell r="D1102" t="str">
            <v>9163</v>
          </cell>
          <cell r="E1102" t="str">
            <v>大连保税人民币采购组织</v>
          </cell>
          <cell r="F1102" t="str">
            <v>标准</v>
          </cell>
          <cell r="G1102" t="str">
            <v>2026-12-31</v>
          </cell>
          <cell r="H1102" t="str">
            <v>15</v>
          </cell>
          <cell r="I1102" t="str">
            <v>151.31</v>
          </cell>
        </row>
        <row r="1103">
          <cell r="B1103" t="str">
            <v>0011800607R</v>
          </cell>
          <cell r="C1103" t="str">
            <v>显示板-LED/</v>
          </cell>
          <cell r="D1103" t="str">
            <v>9163</v>
          </cell>
          <cell r="E1103" t="str">
            <v>大连保税人民币采购组织</v>
          </cell>
          <cell r="F1103" t="str">
            <v>标准</v>
          </cell>
          <cell r="G1103" t="str">
            <v>2026-12-31</v>
          </cell>
          <cell r="H1103" t="str">
            <v>15</v>
          </cell>
          <cell r="I1103" t="str">
            <v>22.46</v>
          </cell>
        </row>
        <row r="1104">
          <cell r="B1104" t="str">
            <v>0041800751MYS</v>
          </cell>
          <cell r="C1104" t="str">
            <v>AD显示板-LED-电热</v>
          </cell>
          <cell r="D1104" t="str">
            <v>91C1</v>
          </cell>
          <cell r="E1104" t="str">
            <v>青岛海达源国内A股采购组织</v>
          </cell>
          <cell r="F1104" t="str">
            <v>寄售</v>
          </cell>
          <cell r="G1104" t="str">
            <v>2026-12-31</v>
          </cell>
          <cell r="H1104" t="str">
            <v>14</v>
          </cell>
          <cell r="I1104" t="str">
            <v>17.57</v>
          </cell>
        </row>
        <row r="1105">
          <cell r="B1105" t="str">
            <v>0021800442A</v>
          </cell>
          <cell r="C1105" t="str">
            <v>显示板-LED12VDC12VDC</v>
          </cell>
          <cell r="D1105" t="str">
            <v>91C1</v>
          </cell>
          <cell r="E1105" t="str">
            <v>青岛海达源国内A股采购组织</v>
          </cell>
          <cell r="F1105" t="str">
            <v>寄售</v>
          </cell>
          <cell r="G1105" t="str">
            <v>2026-12-31</v>
          </cell>
          <cell r="H1105" t="str">
            <v>10</v>
          </cell>
          <cell r="I1105" t="str">
            <v>27.72</v>
          </cell>
        </row>
        <row r="1106">
          <cell r="B1106" t="str">
            <v>0011801037A</v>
          </cell>
          <cell r="C1106" t="str">
            <v>显示板-LEDFR-4</v>
          </cell>
          <cell r="D1106" t="str">
            <v>9163</v>
          </cell>
          <cell r="E1106" t="str">
            <v>大连保税人民币采购组织</v>
          </cell>
          <cell r="F1106" t="str">
            <v>标准</v>
          </cell>
          <cell r="G1106" t="str">
            <v>2026-12-31</v>
          </cell>
          <cell r="H1106" t="str">
            <v>15</v>
          </cell>
          <cell r="I1106" t="str">
            <v>35.32</v>
          </cell>
        </row>
        <row r="1107">
          <cell r="B1107" t="str">
            <v>0011801429</v>
          </cell>
          <cell r="C1107" t="str">
            <v>显示板-LED/</v>
          </cell>
          <cell r="D1107" t="str">
            <v>9163</v>
          </cell>
          <cell r="E1107" t="str">
            <v>大连保税人民币采购组织</v>
          </cell>
          <cell r="F1107" t="str">
            <v>标准</v>
          </cell>
          <cell r="G1107" t="str">
            <v>2026-12-31</v>
          </cell>
          <cell r="H1107" t="str">
            <v>15</v>
          </cell>
          <cell r="I1107" t="str">
            <v>20.43</v>
          </cell>
        </row>
        <row r="1108">
          <cell r="B1108" t="str">
            <v>0011801036A</v>
          </cell>
          <cell r="C1108" t="str">
            <v>一体机电脑板-FR-4强电板</v>
          </cell>
          <cell r="D1108" t="str">
            <v>9163</v>
          </cell>
          <cell r="E1108" t="str">
            <v>大连保税人民币采购组织</v>
          </cell>
          <cell r="F1108" t="str">
            <v>标准</v>
          </cell>
          <cell r="G1108" t="str">
            <v>2026-12-31</v>
          </cell>
          <cell r="H1108" t="str">
            <v>15</v>
          </cell>
          <cell r="I1108" t="str">
            <v>151.56</v>
          </cell>
        </row>
        <row r="1109">
          <cell r="B1109" t="str">
            <v>0011800951B</v>
          </cell>
          <cell r="C1109" t="str">
            <v>一体机电脑板-CEM-1/</v>
          </cell>
          <cell r="D1109" t="str">
            <v>9163</v>
          </cell>
          <cell r="E1109" t="str">
            <v>大连保税人民币采购组织</v>
          </cell>
          <cell r="F1109" t="str">
            <v>标准</v>
          </cell>
          <cell r="G1109" t="str">
            <v>2026-12-31</v>
          </cell>
          <cell r="H1109" t="str">
            <v>15</v>
          </cell>
          <cell r="I1109" t="str">
            <v>15.73</v>
          </cell>
        </row>
        <row r="1110">
          <cell r="B1110" t="str">
            <v>0011800950F</v>
          </cell>
          <cell r="C1110" t="str">
            <v>显示板-LED/</v>
          </cell>
          <cell r="D1110" t="str">
            <v>9163</v>
          </cell>
          <cell r="E1110" t="str">
            <v>大连保税人民币采购组织</v>
          </cell>
          <cell r="F1110" t="str">
            <v>标准</v>
          </cell>
          <cell r="G1110" t="str">
            <v>2026-12-31</v>
          </cell>
          <cell r="H1110" t="str">
            <v>15</v>
          </cell>
          <cell r="I1110" t="str">
            <v>19.38</v>
          </cell>
        </row>
        <row r="1111">
          <cell r="B1111" t="str">
            <v>0011800950G</v>
          </cell>
          <cell r="C1111" t="str">
            <v>显示板-LED/</v>
          </cell>
          <cell r="D1111" t="str">
            <v>9163</v>
          </cell>
          <cell r="E1111" t="str">
            <v>大连保税人民币采购组织</v>
          </cell>
          <cell r="F1111" t="str">
            <v>标准</v>
          </cell>
          <cell r="G1111" t="str">
            <v>2026-12-31</v>
          </cell>
          <cell r="H1111" t="str">
            <v>15</v>
          </cell>
          <cell r="I1111" t="str">
            <v>18.87</v>
          </cell>
        </row>
        <row r="1112">
          <cell r="B1112" t="str">
            <v>0011801172Y</v>
          </cell>
          <cell r="C1112" t="str">
            <v>变频外电脑板-FR-4240*180</v>
          </cell>
          <cell r="D1112" t="str">
            <v>91C1</v>
          </cell>
          <cell r="E1112" t="str">
            <v>青岛海达源国内A股采购组织</v>
          </cell>
          <cell r="F1112" t="str">
            <v>寄售</v>
          </cell>
          <cell r="G1112" t="str">
            <v>2026-12-31</v>
          </cell>
          <cell r="H1112" t="str">
            <v>15</v>
          </cell>
          <cell r="I1112" t="str">
            <v>165.70</v>
          </cell>
        </row>
        <row r="1113">
          <cell r="B1113" t="str">
            <v>0011801036</v>
          </cell>
          <cell r="C1113" t="str">
            <v>一体机电脑板-FR-4强电板</v>
          </cell>
          <cell r="D1113" t="str">
            <v>9163</v>
          </cell>
          <cell r="E1113" t="str">
            <v>大连保税人民币采购组织</v>
          </cell>
          <cell r="F1113" t="str">
            <v>标准</v>
          </cell>
          <cell r="G1113" t="str">
            <v>2026-12-31</v>
          </cell>
          <cell r="H1113" t="str">
            <v>15</v>
          </cell>
          <cell r="I1113" t="str">
            <v>142.05</v>
          </cell>
        </row>
        <row r="1114">
          <cell r="B1114" t="str">
            <v>0011801036B</v>
          </cell>
          <cell r="C1114" t="str">
            <v>一体机电脑板-FR-4</v>
          </cell>
          <cell r="D1114" t="str">
            <v>9163</v>
          </cell>
          <cell r="E1114" t="str">
            <v>大连保税人民币采购组织</v>
          </cell>
          <cell r="F1114" t="str">
            <v>标准</v>
          </cell>
          <cell r="G1114" t="str">
            <v>2026-12-31</v>
          </cell>
          <cell r="H1114" t="str">
            <v>15</v>
          </cell>
          <cell r="I1114" t="str">
            <v>140.41</v>
          </cell>
        </row>
        <row r="1115">
          <cell r="B1115" t="str">
            <v>0011800950E</v>
          </cell>
          <cell r="C1115" t="str">
            <v>显示板-LED</v>
          </cell>
          <cell r="D1115" t="str">
            <v>9163</v>
          </cell>
          <cell r="E1115" t="str">
            <v>大连保税人民币采购组织</v>
          </cell>
          <cell r="F1115" t="str">
            <v>标准</v>
          </cell>
          <cell r="G1115" t="str">
            <v>2026-12-31</v>
          </cell>
          <cell r="H1115" t="str">
            <v>15</v>
          </cell>
          <cell r="I1115" t="str">
            <v>21.40</v>
          </cell>
        </row>
        <row r="1116">
          <cell r="B1116" t="str">
            <v>0041800773AYS</v>
          </cell>
          <cell r="C1116" t="str">
            <v>AD显示板-LEDLES60/80H-TH5A(2U1)/</v>
          </cell>
          <cell r="D1116" t="str">
            <v>91C1</v>
          </cell>
          <cell r="E1116" t="str">
            <v>青岛海达源国内A股采购组织</v>
          </cell>
          <cell r="F1116" t="str">
            <v>寄售</v>
          </cell>
          <cell r="G1116" t="str">
            <v>2026-12-31</v>
          </cell>
          <cell r="H1116" t="str">
            <v>14</v>
          </cell>
          <cell r="I1116" t="str">
            <v>12.49</v>
          </cell>
        </row>
        <row r="1117">
          <cell r="B1117" t="str">
            <v>0041800773YS</v>
          </cell>
          <cell r="C1117" t="str">
            <v>AD显示板-LEDEC5001/6001-PM1-电热</v>
          </cell>
          <cell r="D1117" t="str">
            <v>91C1</v>
          </cell>
          <cell r="E1117" t="str">
            <v>青岛海达源国内A股采购组织</v>
          </cell>
          <cell r="F1117" t="str">
            <v>寄售</v>
          </cell>
          <cell r="G1117" t="str">
            <v>2026-12-31</v>
          </cell>
          <cell r="H1117" t="str">
            <v>14</v>
          </cell>
          <cell r="I1117" t="str">
            <v>12.49</v>
          </cell>
        </row>
        <row r="1118">
          <cell r="B1118" t="str">
            <v>0021800442GA</v>
          </cell>
          <cell r="C1118" t="str">
            <v>显示板-LED12VDC12VDC</v>
          </cell>
          <cell r="D1118" t="str">
            <v>91C1</v>
          </cell>
          <cell r="E1118" t="str">
            <v>青岛海达源国内A股采购组织</v>
          </cell>
          <cell r="F1118" t="str">
            <v>寄售</v>
          </cell>
          <cell r="G1118" t="str">
            <v>2026-12-31</v>
          </cell>
          <cell r="H1118" t="str">
            <v>10</v>
          </cell>
          <cell r="I1118" t="str">
            <v>27.72</v>
          </cell>
        </row>
        <row r="1119">
          <cell r="B1119" t="str">
            <v>0031800004FP</v>
          </cell>
          <cell r="C1119" t="str">
            <v>DP一体板-通用</v>
          </cell>
          <cell r="D1119" t="str">
            <v>91C1</v>
          </cell>
          <cell r="E1119" t="str">
            <v>青岛海达源国内A股采购组织</v>
          </cell>
          <cell r="F1119" t="str">
            <v>寄售</v>
          </cell>
          <cell r="G1119" t="str">
            <v>2026-12-31</v>
          </cell>
          <cell r="H1119" t="str">
            <v>10</v>
          </cell>
          <cell r="I1119" t="str">
            <v>33.81</v>
          </cell>
        </row>
        <row r="1120">
          <cell r="B1120" t="str">
            <v>0041801155B</v>
          </cell>
          <cell r="C1120" t="str">
            <v>电脑板显示板-通用热泵</v>
          </cell>
          <cell r="D1120" t="str">
            <v>91C1</v>
          </cell>
          <cell r="E1120" t="str">
            <v>青岛海达源国内A股采购组织</v>
          </cell>
          <cell r="F1120" t="str">
            <v>寄售</v>
          </cell>
          <cell r="G1120" t="str">
            <v>2026-12-31</v>
          </cell>
          <cell r="H1120" t="str">
            <v>14</v>
          </cell>
          <cell r="I1120" t="str">
            <v>42.90</v>
          </cell>
        </row>
        <row r="1121">
          <cell r="B1121" t="str">
            <v>0041800773ABYS</v>
          </cell>
          <cell r="C1121" t="str">
            <v>AD显示板-LEDEC5001/6001-MC3(U1)-电热</v>
          </cell>
          <cell r="D1121" t="str">
            <v>91C1</v>
          </cell>
          <cell r="E1121" t="str">
            <v>青岛海达源国内A股采购组织</v>
          </cell>
          <cell r="F1121" t="str">
            <v>寄售</v>
          </cell>
          <cell r="G1121" t="str">
            <v>2026-12-31</v>
          </cell>
          <cell r="H1121" t="str">
            <v>14</v>
          </cell>
          <cell r="I1121" t="str">
            <v>12.49</v>
          </cell>
        </row>
        <row r="1122">
          <cell r="B1122" t="str">
            <v>0011800607T</v>
          </cell>
          <cell r="C1122" t="str">
            <v>显示板-LED/</v>
          </cell>
          <cell r="D1122" t="str">
            <v>9163</v>
          </cell>
          <cell r="E1122" t="str">
            <v>大连保税人民币采购组织</v>
          </cell>
          <cell r="F1122" t="str">
            <v>标准</v>
          </cell>
          <cell r="G1122" t="str">
            <v>2026-12-31</v>
          </cell>
          <cell r="H1122" t="str">
            <v>15</v>
          </cell>
          <cell r="I1122" t="str">
            <v>21.76</v>
          </cell>
        </row>
        <row r="1123">
          <cell r="B1123" t="str">
            <v>0041801039B</v>
          </cell>
          <cell r="C1123" t="str">
            <v>电脑板控制板-通用热泵</v>
          </cell>
          <cell r="D1123" t="str">
            <v>91C1</v>
          </cell>
          <cell r="E1123" t="str">
            <v>青岛海达源国内A股采购组织</v>
          </cell>
          <cell r="F1123" t="str">
            <v>寄售</v>
          </cell>
          <cell r="G1123" t="str">
            <v>2026-12-31</v>
          </cell>
          <cell r="H1123" t="str">
            <v>14</v>
          </cell>
          <cell r="I1123" t="str">
            <v>77.42</v>
          </cell>
        </row>
        <row r="1124">
          <cell r="B1124" t="str">
            <v>0021800151C</v>
          </cell>
          <cell r="C1124" t="str">
            <v>电源板-通用东南亚专用</v>
          </cell>
          <cell r="D1124" t="str">
            <v>91C1</v>
          </cell>
          <cell r="E1124" t="str">
            <v>青岛海达源国内A股采购组织</v>
          </cell>
          <cell r="F1124" t="str">
            <v>寄售</v>
          </cell>
          <cell r="G1124" t="str">
            <v>2026-12-31</v>
          </cell>
          <cell r="H1124" t="str">
            <v>10</v>
          </cell>
          <cell r="I1124" t="str">
            <v>25.45</v>
          </cell>
        </row>
        <row r="1125">
          <cell r="B1125" t="str">
            <v>0011801593A</v>
          </cell>
          <cell r="C1125" t="str">
            <v>室内电脑板-FR-4</v>
          </cell>
          <cell r="D1125" t="str">
            <v>91C1</v>
          </cell>
          <cell r="E1125" t="str">
            <v>青岛海达源国内A股采购组织</v>
          </cell>
          <cell r="F1125" t="str">
            <v>寄售</v>
          </cell>
          <cell r="G1125" t="str">
            <v>2026-12-31</v>
          </cell>
          <cell r="H1125" t="str">
            <v>15</v>
          </cell>
          <cell r="I1125" t="str">
            <v>72.95</v>
          </cell>
        </row>
        <row r="1126">
          <cell r="B1126" t="str">
            <v>0041801155C</v>
          </cell>
          <cell r="C1126" t="str">
            <v>电脑板显示板-通用热泵</v>
          </cell>
          <cell r="D1126" t="str">
            <v>91C1</v>
          </cell>
          <cell r="E1126" t="str">
            <v>青岛海达源国内A股采购组织</v>
          </cell>
          <cell r="F1126" t="str">
            <v>寄售</v>
          </cell>
          <cell r="G1126" t="str">
            <v>0000-00-00</v>
          </cell>
          <cell r="H1126" t="str">
            <v>14</v>
          </cell>
          <cell r="I1126" t="str">
            <v>0.00</v>
          </cell>
        </row>
        <row r="1127">
          <cell r="B1127" t="str">
            <v>0011801593</v>
          </cell>
          <cell r="C1127" t="str">
            <v>室内电脑板-FR-4136*165</v>
          </cell>
          <cell r="D1127" t="str">
            <v>91C1</v>
          </cell>
          <cell r="E1127" t="str">
            <v>青岛海达源国内A股采购组织</v>
          </cell>
          <cell r="F1127" t="str">
            <v>寄售</v>
          </cell>
          <cell r="G1127" t="str">
            <v>2026-12-31</v>
          </cell>
          <cell r="H1127" t="str">
            <v>15</v>
          </cell>
          <cell r="I1127" t="str">
            <v>76.20</v>
          </cell>
        </row>
        <row r="1128">
          <cell r="B1128" t="str">
            <v>0190400359B</v>
          </cell>
          <cell r="C1128" t="str">
            <v>主控板-通用净水-小商用工程款主控板</v>
          </cell>
          <cell r="D1128" t="str">
            <v>91C1</v>
          </cell>
          <cell r="E1128" t="str">
            <v>青岛海达源国内A股采购组织</v>
          </cell>
          <cell r="F1128" t="str">
            <v>寄售</v>
          </cell>
          <cell r="G1128" t="str">
            <v>2026-12-31</v>
          </cell>
          <cell r="H1128" t="str">
            <v>7</v>
          </cell>
          <cell r="I1128" t="str">
            <v>87.32</v>
          </cell>
        </row>
        <row r="1129">
          <cell r="B1129" t="str">
            <v>0011801593D</v>
          </cell>
          <cell r="C1129" t="str">
            <v>室内电脑板-FR-4</v>
          </cell>
          <cell r="D1129" t="str">
            <v>91C1</v>
          </cell>
          <cell r="E1129" t="str">
            <v>青岛海达源国内A股采购组织</v>
          </cell>
          <cell r="F1129" t="str">
            <v>寄售</v>
          </cell>
          <cell r="G1129" t="str">
            <v>2026-12-31</v>
          </cell>
          <cell r="H1129" t="str">
            <v>15</v>
          </cell>
          <cell r="I1129" t="str">
            <v>72.95</v>
          </cell>
        </row>
        <row r="1130">
          <cell r="B1130" t="str">
            <v>0031800374</v>
          </cell>
          <cell r="C1130" t="str">
            <v>显示板-通用/</v>
          </cell>
          <cell r="D1130" t="str">
            <v>91C1</v>
          </cell>
          <cell r="E1130" t="str">
            <v>青岛海达源国内A股采购组织</v>
          </cell>
          <cell r="F1130" t="str">
            <v>寄售</v>
          </cell>
          <cell r="G1130" t="str">
            <v>2026-12-31</v>
          </cell>
          <cell r="H1130" t="str">
            <v>10</v>
          </cell>
          <cell r="I1130" t="str">
            <v>56.78</v>
          </cell>
        </row>
        <row r="1131">
          <cell r="B1131" t="str">
            <v>0011801640</v>
          </cell>
          <cell r="C1131" t="str">
            <v>一体机电脑板-FR-4</v>
          </cell>
          <cell r="D1131" t="str">
            <v>9163</v>
          </cell>
          <cell r="E1131" t="str">
            <v>大连保税人民币采购组织</v>
          </cell>
          <cell r="F1131" t="str">
            <v>标准</v>
          </cell>
          <cell r="G1131" t="str">
            <v>2026-12-31</v>
          </cell>
          <cell r="H1131" t="str">
            <v>15</v>
          </cell>
          <cell r="I1131" t="str">
            <v>133.92</v>
          </cell>
        </row>
        <row r="1132">
          <cell r="B1132" t="str">
            <v>0011801516E</v>
          </cell>
          <cell r="C1132" t="str">
            <v>变频外电脑板-FR-4</v>
          </cell>
          <cell r="D1132" t="str">
            <v>91C1</v>
          </cell>
          <cell r="E1132" t="str">
            <v>青岛海达源国内A股采购组织</v>
          </cell>
          <cell r="F1132" t="str">
            <v>寄售</v>
          </cell>
          <cell r="G1132" t="str">
            <v>2026-12-31</v>
          </cell>
          <cell r="H1132" t="str">
            <v>15</v>
          </cell>
          <cell r="I1132" t="str">
            <v>191.93</v>
          </cell>
        </row>
        <row r="1133">
          <cell r="B1133" t="str">
            <v>0040400451DS</v>
          </cell>
          <cell r="C1133" t="str">
            <v>AD电源板-/电热</v>
          </cell>
          <cell r="D1133" t="str">
            <v>91C1</v>
          </cell>
          <cell r="E1133" t="str">
            <v>青岛海达源国内A股采购组织</v>
          </cell>
          <cell r="F1133" t="str">
            <v>寄售</v>
          </cell>
          <cell r="G1133" t="str">
            <v>0000-00-00</v>
          </cell>
          <cell r="H1133" t="str">
            <v>14</v>
          </cell>
          <cell r="I1133" t="str">
            <v>0.00</v>
          </cell>
        </row>
        <row r="1134">
          <cell r="B1134" t="str">
            <v>0011801172AG</v>
          </cell>
          <cell r="C1134" t="str">
            <v>变频外电脑板-FR-4240*180</v>
          </cell>
          <cell r="D1134" t="str">
            <v>91C1</v>
          </cell>
          <cell r="E1134" t="str">
            <v>青岛海达源国内A股采购组织</v>
          </cell>
          <cell r="F1134" t="str">
            <v>寄售</v>
          </cell>
          <cell r="G1134" t="str">
            <v>2026-12-31</v>
          </cell>
          <cell r="H1134" t="str">
            <v>15</v>
          </cell>
          <cell r="I1134" t="str">
            <v>158.41</v>
          </cell>
        </row>
        <row r="1135">
          <cell r="B1135" t="str">
            <v>0041800569BS</v>
          </cell>
          <cell r="C1135" t="str">
            <v>AD电源板-通用AD电源板-AD电源板</v>
          </cell>
          <cell r="D1135" t="str">
            <v>91C1</v>
          </cell>
          <cell r="E1135" t="str">
            <v>青岛海达源国内A股采购组织</v>
          </cell>
          <cell r="F1135" t="str">
            <v>寄售</v>
          </cell>
          <cell r="G1135" t="str">
            <v>0000-00-00</v>
          </cell>
          <cell r="H1135" t="str">
            <v>14</v>
          </cell>
          <cell r="I1135" t="str">
            <v>0.00</v>
          </cell>
        </row>
        <row r="1136">
          <cell r="B1136" t="str">
            <v>0011800980D</v>
          </cell>
          <cell r="C1136" t="str">
            <v>室内电脑板-FR-4136*165</v>
          </cell>
          <cell r="D1136" t="str">
            <v>91C1</v>
          </cell>
          <cell r="E1136" t="str">
            <v>青岛海达源国内A股采购组织</v>
          </cell>
          <cell r="F1136" t="str">
            <v>寄售</v>
          </cell>
          <cell r="G1136" t="str">
            <v>2026-12-31</v>
          </cell>
          <cell r="H1136" t="str">
            <v>15</v>
          </cell>
          <cell r="I1136" t="str">
            <v>65.90</v>
          </cell>
        </row>
        <row r="1137">
          <cell r="B1137" t="str">
            <v>0011801172S</v>
          </cell>
          <cell r="C1137" t="str">
            <v>变频外电脑板-FR-4240*180</v>
          </cell>
          <cell r="D1137" t="str">
            <v>91C1</v>
          </cell>
          <cell r="E1137" t="str">
            <v>青岛海达源国内A股采购组织</v>
          </cell>
          <cell r="F1137" t="str">
            <v>寄售</v>
          </cell>
          <cell r="G1137" t="str">
            <v>2026-12-31</v>
          </cell>
          <cell r="H1137" t="str">
            <v>15</v>
          </cell>
          <cell r="I1137" t="str">
            <v>158.41</v>
          </cell>
        </row>
        <row r="1138">
          <cell r="B1138" t="str">
            <v>0011801516C</v>
          </cell>
          <cell r="C1138" t="str">
            <v>变频外电脑板-FR-4</v>
          </cell>
          <cell r="D1138" t="str">
            <v>91C1</v>
          </cell>
          <cell r="E1138" t="str">
            <v>青岛海达源国内A股采购组织</v>
          </cell>
          <cell r="F1138" t="str">
            <v>寄售</v>
          </cell>
          <cell r="G1138" t="str">
            <v>2026-12-31</v>
          </cell>
          <cell r="H1138" t="str">
            <v>15</v>
          </cell>
          <cell r="I1138" t="str">
            <v>264.74</v>
          </cell>
        </row>
        <row r="1139">
          <cell r="B1139" t="str">
            <v>0011801720B</v>
          </cell>
          <cell r="C1139" t="str">
            <v>一体机电脑板-FR-4</v>
          </cell>
          <cell r="D1139" t="str">
            <v>9163</v>
          </cell>
          <cell r="E1139" t="str">
            <v>大连保税人民币采购组织</v>
          </cell>
          <cell r="F1139" t="str">
            <v>标准</v>
          </cell>
          <cell r="G1139" t="str">
            <v>2026-12-31</v>
          </cell>
          <cell r="H1139" t="str">
            <v>15</v>
          </cell>
          <cell r="I1139" t="str">
            <v>65.65</v>
          </cell>
        </row>
        <row r="1140">
          <cell r="B1140" t="str">
            <v>0011801516D</v>
          </cell>
          <cell r="C1140" t="str">
            <v>变频外电脑板-FR-4</v>
          </cell>
          <cell r="D1140" t="str">
            <v>91C1</v>
          </cell>
          <cell r="E1140" t="str">
            <v>青岛海达源国内A股采购组织</v>
          </cell>
          <cell r="F1140" t="str">
            <v>寄售</v>
          </cell>
          <cell r="G1140" t="str">
            <v>2026-12-31</v>
          </cell>
          <cell r="H1140" t="str">
            <v>15</v>
          </cell>
          <cell r="I1140" t="str">
            <v>206.68</v>
          </cell>
        </row>
        <row r="1141">
          <cell r="B1141" t="str">
            <v>0031800004FH</v>
          </cell>
          <cell r="C1141" t="str">
            <v>DP一体板-通用</v>
          </cell>
          <cell r="D1141" t="str">
            <v>91C1</v>
          </cell>
          <cell r="E1141" t="str">
            <v>青岛海达源国内A股采购组织</v>
          </cell>
          <cell r="F1141" t="str">
            <v>寄售</v>
          </cell>
          <cell r="G1141" t="str">
            <v>2026-12-31</v>
          </cell>
          <cell r="H1141" t="str">
            <v>10</v>
          </cell>
          <cell r="I1141" t="str">
            <v>33.81</v>
          </cell>
        </row>
        <row r="1142">
          <cell r="B1142" t="str">
            <v>0031800386JL</v>
          </cell>
          <cell r="C1142" t="str">
            <v>DP一体板-通用</v>
          </cell>
          <cell r="D1142" t="str">
            <v>91C1</v>
          </cell>
          <cell r="E1142" t="str">
            <v>青岛海达源国内A股采购组织</v>
          </cell>
          <cell r="F1142" t="str">
            <v>寄售</v>
          </cell>
          <cell r="G1142" t="str">
            <v>2026-12-31</v>
          </cell>
          <cell r="H1142" t="str">
            <v>10</v>
          </cell>
          <cell r="I1142" t="str">
            <v>29.80</v>
          </cell>
        </row>
        <row r="1143">
          <cell r="B1143" t="str">
            <v>0021800442GB</v>
          </cell>
          <cell r="C1143" t="str">
            <v>显示板-LED</v>
          </cell>
          <cell r="D1143" t="str">
            <v>91C1</v>
          </cell>
          <cell r="E1143" t="str">
            <v>青岛海达源国内A股采购组织</v>
          </cell>
          <cell r="F1143" t="str">
            <v>寄售</v>
          </cell>
          <cell r="G1143" t="str">
            <v>2026-12-31</v>
          </cell>
          <cell r="H1143" t="str">
            <v>10</v>
          </cell>
          <cell r="I1143" t="str">
            <v>27.72</v>
          </cell>
        </row>
        <row r="1144">
          <cell r="B1144" t="str">
            <v>0041800693S</v>
          </cell>
          <cell r="C1144" t="str">
            <v>AD电源板-CEM-3单功率通用电热</v>
          </cell>
          <cell r="D1144" t="str">
            <v>91C1</v>
          </cell>
          <cell r="E1144" t="str">
            <v>青岛海达源国内A股采购组织</v>
          </cell>
          <cell r="F1144" t="str">
            <v>寄售</v>
          </cell>
          <cell r="G1144" t="str">
            <v>0000-00-00</v>
          </cell>
          <cell r="H1144" t="str">
            <v>14</v>
          </cell>
          <cell r="I1144" t="str">
            <v>0.00</v>
          </cell>
        </row>
        <row r="1145">
          <cell r="B1145" t="str">
            <v>0011801172CR</v>
          </cell>
          <cell r="C1145" t="str">
            <v>变频外电脑板-FR-4240*180</v>
          </cell>
          <cell r="D1145" t="str">
            <v>91C1</v>
          </cell>
          <cell r="E1145" t="str">
            <v>青岛海达源国内A股采购组织</v>
          </cell>
          <cell r="F1145" t="str">
            <v>寄售</v>
          </cell>
          <cell r="G1145" t="str">
            <v>2026-12-31</v>
          </cell>
          <cell r="H1145" t="str">
            <v>15</v>
          </cell>
          <cell r="I1145" t="str">
            <v>197.54</v>
          </cell>
        </row>
        <row r="1146">
          <cell r="B1146" t="str">
            <v>0011801372F</v>
          </cell>
          <cell r="C1146" t="str">
            <v>变频外电脑板-FR-4205mm*157mm</v>
          </cell>
          <cell r="D1146" t="str">
            <v>91C1</v>
          </cell>
          <cell r="E1146" t="str">
            <v>青岛海达源国内A股采购组织</v>
          </cell>
          <cell r="F1146" t="str">
            <v>寄售</v>
          </cell>
          <cell r="G1146" t="str">
            <v>2026-12-31</v>
          </cell>
          <cell r="H1146" t="str">
            <v>3</v>
          </cell>
          <cell r="I1146" t="str">
            <v>90.60</v>
          </cell>
        </row>
        <row r="1147">
          <cell r="B1147" t="str">
            <v>0011800612C</v>
          </cell>
          <cell r="C1147" t="str">
            <v>室内电脑板-CEM-1</v>
          </cell>
          <cell r="D1147" t="str">
            <v>91C1</v>
          </cell>
          <cell r="E1147" t="str">
            <v>青岛海达源国内A股采购组织</v>
          </cell>
          <cell r="F1147" t="str">
            <v>寄售</v>
          </cell>
          <cell r="G1147" t="str">
            <v>2026-12-31</v>
          </cell>
          <cell r="H1147" t="str">
            <v>30</v>
          </cell>
          <cell r="I1147" t="str">
            <v>27.75</v>
          </cell>
        </row>
        <row r="1148">
          <cell r="B1148" t="str">
            <v>0011801425T</v>
          </cell>
          <cell r="C1148" t="str">
            <v>变频外电脑板-FR-4</v>
          </cell>
          <cell r="D1148" t="str">
            <v>91C1</v>
          </cell>
          <cell r="E1148" t="str">
            <v>青岛海达源国内A股采购组织</v>
          </cell>
          <cell r="F1148" t="str">
            <v>寄售</v>
          </cell>
          <cell r="G1148" t="str">
            <v>2026-12-31</v>
          </cell>
          <cell r="H1148" t="str">
            <v>3</v>
          </cell>
          <cell r="I1148" t="str">
            <v>127.30</v>
          </cell>
        </row>
        <row r="1149">
          <cell r="B1149" t="str">
            <v>0041801155</v>
          </cell>
          <cell r="C1149" t="str">
            <v>电脑板控制板-/热泵</v>
          </cell>
          <cell r="D1149" t="str">
            <v>91C1</v>
          </cell>
          <cell r="E1149" t="str">
            <v>青岛海达源国内A股采购组织</v>
          </cell>
          <cell r="F1149" t="str">
            <v>寄售</v>
          </cell>
          <cell r="G1149" t="str">
            <v>2026-12-31</v>
          </cell>
          <cell r="H1149" t="str">
            <v>14</v>
          </cell>
          <cell r="I1149" t="str">
            <v>42.90</v>
          </cell>
        </row>
        <row r="1150">
          <cell r="B1150" t="str">
            <v>0011801327</v>
          </cell>
          <cell r="C1150" t="str">
            <v>变频外电脑板-FR-4</v>
          </cell>
          <cell r="D1150" t="str">
            <v>91C1</v>
          </cell>
          <cell r="E1150" t="str">
            <v>青岛海达源国内A股采购组织</v>
          </cell>
          <cell r="F1150" t="str">
            <v>寄售</v>
          </cell>
          <cell r="G1150" t="str">
            <v>2026-12-31</v>
          </cell>
          <cell r="H1150" t="str">
            <v>3</v>
          </cell>
          <cell r="I1150" t="str">
            <v>54.92</v>
          </cell>
        </row>
        <row r="1151">
          <cell r="B1151" t="str">
            <v>0011801425D</v>
          </cell>
          <cell r="C1151" t="str">
            <v>变频外电脑板-FR-4</v>
          </cell>
          <cell r="D1151" t="str">
            <v>91C1</v>
          </cell>
          <cell r="E1151" t="str">
            <v>青岛海达源国内A股采购组织</v>
          </cell>
          <cell r="F1151" t="str">
            <v>寄售</v>
          </cell>
          <cell r="G1151" t="str">
            <v>2026-12-31</v>
          </cell>
          <cell r="H1151" t="str">
            <v>3</v>
          </cell>
          <cell r="I1151" t="str">
            <v>107.73</v>
          </cell>
        </row>
        <row r="1152">
          <cell r="B1152" t="str">
            <v>0011800612AC</v>
          </cell>
          <cell r="C1152" t="str">
            <v>室内电脑板-CEM-1\</v>
          </cell>
          <cell r="D1152" t="str">
            <v>91C1</v>
          </cell>
          <cell r="E1152" t="str">
            <v>青岛海达源国内A股采购组织</v>
          </cell>
          <cell r="F1152" t="str">
            <v>寄售</v>
          </cell>
          <cell r="G1152" t="str">
            <v>2026-12-31</v>
          </cell>
          <cell r="H1152" t="str">
            <v>30</v>
          </cell>
          <cell r="I1152" t="str">
            <v>30.03</v>
          </cell>
        </row>
        <row r="1153">
          <cell r="B1153" t="str">
            <v>0041800757M</v>
          </cell>
          <cell r="C1153" t="str">
            <v>AD显示板-LCD86*86*20-统帅电辅-通用-热泵</v>
          </cell>
          <cell r="D1153" t="str">
            <v>91C1</v>
          </cell>
          <cell r="E1153" t="str">
            <v>青岛海达源国内A股采购组织</v>
          </cell>
          <cell r="F1153" t="str">
            <v>寄售</v>
          </cell>
          <cell r="G1153" t="str">
            <v>2026-12-31</v>
          </cell>
          <cell r="H1153" t="str">
            <v>14</v>
          </cell>
          <cell r="I1153" t="str">
            <v>68.82</v>
          </cell>
        </row>
        <row r="1154">
          <cell r="B1154" t="str">
            <v>0011801372A</v>
          </cell>
          <cell r="C1154" t="str">
            <v>变频外电脑板-FR-4205mm*157mm</v>
          </cell>
          <cell r="D1154" t="str">
            <v>91C1</v>
          </cell>
          <cell r="E1154" t="str">
            <v>青岛海达源国内A股采购组织</v>
          </cell>
          <cell r="F1154" t="str">
            <v>寄售</v>
          </cell>
          <cell r="G1154" t="str">
            <v>2026-12-31</v>
          </cell>
          <cell r="H1154" t="str">
            <v>3</v>
          </cell>
          <cell r="I1154" t="str">
            <v>91.59</v>
          </cell>
        </row>
        <row r="1155">
          <cell r="B1155" t="str">
            <v>0011801425E</v>
          </cell>
          <cell r="C1155" t="str">
            <v>变频外电脑板-FR-4</v>
          </cell>
          <cell r="D1155" t="str">
            <v>91C1</v>
          </cell>
          <cell r="E1155" t="str">
            <v>青岛海达源国内A股采购组织</v>
          </cell>
          <cell r="F1155" t="str">
            <v>寄售</v>
          </cell>
          <cell r="G1155" t="str">
            <v>2026-12-31</v>
          </cell>
          <cell r="H1155" t="str">
            <v>3</v>
          </cell>
          <cell r="I1155" t="str">
            <v>121.87</v>
          </cell>
        </row>
        <row r="1156">
          <cell r="B1156" t="str">
            <v>0011800612F</v>
          </cell>
          <cell r="C1156" t="str">
            <v>室内电脑板-CEM-1</v>
          </cell>
          <cell r="D1156" t="str">
            <v>91C1</v>
          </cell>
          <cell r="E1156" t="str">
            <v>青岛海达源国内A股采购组织</v>
          </cell>
          <cell r="F1156" t="str">
            <v>寄售</v>
          </cell>
          <cell r="G1156" t="str">
            <v>2026-12-31</v>
          </cell>
          <cell r="H1156" t="str">
            <v>30</v>
          </cell>
          <cell r="I1156" t="str">
            <v>31.73</v>
          </cell>
        </row>
        <row r="1157">
          <cell r="B1157" t="str">
            <v>0190400102B</v>
          </cell>
          <cell r="C1157" t="str">
            <v>主控板-通用CRO1000-C3U1主控板</v>
          </cell>
          <cell r="D1157" t="str">
            <v>91C1</v>
          </cell>
          <cell r="E1157" t="str">
            <v>青岛海达源国内A股采购组织</v>
          </cell>
          <cell r="F1157" t="str">
            <v>寄售</v>
          </cell>
          <cell r="G1157" t="str">
            <v>2026-12-31</v>
          </cell>
          <cell r="H1157" t="str">
            <v>7</v>
          </cell>
          <cell r="I1157" t="str">
            <v>37.07</v>
          </cell>
        </row>
        <row r="1158">
          <cell r="B1158" t="str">
            <v>0011800612D</v>
          </cell>
          <cell r="C1158" t="str">
            <v>室内电脑板-CEM-1</v>
          </cell>
          <cell r="D1158" t="str">
            <v>91C1</v>
          </cell>
          <cell r="E1158" t="str">
            <v>青岛海达源国内A股采购组织</v>
          </cell>
          <cell r="F1158" t="str">
            <v>寄售</v>
          </cell>
          <cell r="G1158" t="str">
            <v>2026-12-31</v>
          </cell>
          <cell r="H1158" t="str">
            <v>30</v>
          </cell>
          <cell r="I1158" t="str">
            <v>31.46</v>
          </cell>
        </row>
        <row r="1159">
          <cell r="B1159" t="str">
            <v>0041800757K</v>
          </cell>
          <cell r="C1159" t="str">
            <v>电脑板显示板-LCD86*86*20-海尔电辅-通用-热泵</v>
          </cell>
          <cell r="D1159" t="str">
            <v>91C1</v>
          </cell>
          <cell r="E1159" t="str">
            <v>青岛海达源国内A股采购组织</v>
          </cell>
          <cell r="F1159" t="str">
            <v>寄售</v>
          </cell>
          <cell r="G1159" t="str">
            <v>2026-12-31</v>
          </cell>
          <cell r="H1159" t="str">
            <v>14</v>
          </cell>
          <cell r="I1159" t="str">
            <v>68.82</v>
          </cell>
        </row>
        <row r="1160">
          <cell r="B1160" t="str">
            <v>0011800630R</v>
          </cell>
          <cell r="C1160" t="str">
            <v>室内电脑板-/</v>
          </cell>
          <cell r="D1160" t="str">
            <v>91C1</v>
          </cell>
          <cell r="E1160" t="str">
            <v>青岛海达源国内A股采购组织</v>
          </cell>
          <cell r="F1160" t="str">
            <v>寄售</v>
          </cell>
          <cell r="G1160" t="str">
            <v>2026-12-31</v>
          </cell>
          <cell r="H1160" t="str">
            <v>30</v>
          </cell>
          <cell r="I1160" t="str">
            <v>39.48</v>
          </cell>
        </row>
        <row r="1161">
          <cell r="B1161" t="str">
            <v>0011800630Z</v>
          </cell>
          <cell r="C1161" t="str">
            <v>室内电脑板-CEM-3室内电脑板马来09/12室内电脑板</v>
          </cell>
          <cell r="D1161" t="str">
            <v>91C1</v>
          </cell>
          <cell r="E1161" t="str">
            <v>青岛海达源国内A股采购组织</v>
          </cell>
          <cell r="F1161" t="str">
            <v>寄售</v>
          </cell>
          <cell r="G1161" t="str">
            <v>2026-12-31</v>
          </cell>
          <cell r="H1161" t="str">
            <v>30</v>
          </cell>
          <cell r="I1161" t="str">
            <v>34.68</v>
          </cell>
        </row>
        <row r="1162">
          <cell r="B1162" t="str">
            <v>0011800612Q</v>
          </cell>
          <cell r="C1162" t="str">
            <v>室内电脑板-CEM-1</v>
          </cell>
          <cell r="D1162" t="str">
            <v>91C1</v>
          </cell>
          <cell r="E1162" t="str">
            <v>青岛海达源国内A股采购组织</v>
          </cell>
          <cell r="F1162" t="str">
            <v>寄售</v>
          </cell>
          <cell r="G1162" t="str">
            <v>2026-12-31</v>
          </cell>
          <cell r="H1162" t="str">
            <v>30</v>
          </cell>
          <cell r="I1162" t="str">
            <v>29.09</v>
          </cell>
        </row>
        <row r="1163">
          <cell r="B1163" t="str">
            <v>0011800612L</v>
          </cell>
          <cell r="C1163" t="str">
            <v>室内电脑板-CEM-1\</v>
          </cell>
          <cell r="D1163" t="str">
            <v>91C1</v>
          </cell>
          <cell r="E1163" t="str">
            <v>青岛海达源国内A股采购组织</v>
          </cell>
          <cell r="F1163" t="str">
            <v>寄售</v>
          </cell>
          <cell r="G1163" t="str">
            <v>2026-12-31</v>
          </cell>
          <cell r="H1163" t="str">
            <v>30</v>
          </cell>
          <cell r="I1163" t="str">
            <v>29.58</v>
          </cell>
        </row>
        <row r="1164">
          <cell r="B1164" t="str">
            <v>0011800612AB</v>
          </cell>
          <cell r="C1164" t="str">
            <v>室内电脑板-CEM-1\\</v>
          </cell>
          <cell r="D1164" t="str">
            <v>91C1</v>
          </cell>
          <cell r="E1164" t="str">
            <v>青岛海达源国内A股采购组织</v>
          </cell>
          <cell r="F1164" t="str">
            <v>寄售</v>
          </cell>
          <cell r="G1164" t="str">
            <v>2026-12-31</v>
          </cell>
          <cell r="H1164" t="str">
            <v>30</v>
          </cell>
          <cell r="I1164" t="str">
            <v>28.63</v>
          </cell>
        </row>
        <row r="1165">
          <cell r="B1165" t="str">
            <v>0011800612H</v>
          </cell>
          <cell r="C1165" t="str">
            <v>室内电脑板-/---</v>
          </cell>
          <cell r="D1165" t="str">
            <v>91C1</v>
          </cell>
          <cell r="E1165" t="str">
            <v>青岛海达源国内A股采购组织</v>
          </cell>
          <cell r="F1165" t="str">
            <v>寄售</v>
          </cell>
          <cell r="G1165" t="str">
            <v>2026-12-31</v>
          </cell>
          <cell r="H1165" t="str">
            <v>30</v>
          </cell>
          <cell r="I1165" t="str">
            <v>23.91</v>
          </cell>
        </row>
        <row r="1166">
          <cell r="B1166" t="str">
            <v>0011800612R</v>
          </cell>
          <cell r="C1166" t="str">
            <v>室内电脑板-/---</v>
          </cell>
          <cell r="D1166" t="str">
            <v>91C1</v>
          </cell>
          <cell r="E1166" t="str">
            <v>青岛海达源国内A股采购组织</v>
          </cell>
          <cell r="F1166" t="str">
            <v>寄售</v>
          </cell>
          <cell r="G1166" t="str">
            <v>2026-12-31</v>
          </cell>
          <cell r="H1166" t="str">
            <v>30</v>
          </cell>
          <cell r="I1166" t="str">
            <v>28.67</v>
          </cell>
        </row>
        <row r="1167">
          <cell r="B1167" t="str">
            <v>0041801057</v>
          </cell>
          <cell r="C1167" t="str">
            <v>主控板-/90*120</v>
          </cell>
          <cell r="D1167" t="str">
            <v>91C1</v>
          </cell>
          <cell r="E1167" t="str">
            <v>青岛海达源国内A股采购组织</v>
          </cell>
          <cell r="F1167" t="str">
            <v>寄售</v>
          </cell>
          <cell r="G1167" t="str">
            <v>2026-12-31</v>
          </cell>
          <cell r="H1167" t="str">
            <v>14</v>
          </cell>
          <cell r="I1167" t="str">
            <v>28.79</v>
          </cell>
        </row>
        <row r="1168">
          <cell r="B1168" t="str">
            <v>0041801039</v>
          </cell>
          <cell r="C1168" t="str">
            <v>电脑板控制板-/热泵</v>
          </cell>
          <cell r="D1168" t="str">
            <v>91C1</v>
          </cell>
          <cell r="E1168" t="str">
            <v>青岛海达源国内A股采购组织</v>
          </cell>
          <cell r="F1168" t="str">
            <v>寄售</v>
          </cell>
          <cell r="G1168" t="str">
            <v>2026-12-31</v>
          </cell>
          <cell r="H1168" t="str">
            <v>14</v>
          </cell>
          <cell r="I1168" t="str">
            <v>77.42</v>
          </cell>
        </row>
        <row r="1169">
          <cell r="B1169" t="str">
            <v>0011800612X</v>
          </cell>
          <cell r="C1169" t="str">
            <v>室内电脑板-CEM-1\\</v>
          </cell>
          <cell r="D1169" t="str">
            <v>91C1</v>
          </cell>
          <cell r="E1169" t="str">
            <v>青岛海达源国内A股采购组织</v>
          </cell>
          <cell r="F1169" t="str">
            <v>寄售</v>
          </cell>
          <cell r="G1169" t="str">
            <v>2026-12-31</v>
          </cell>
          <cell r="H1169" t="str">
            <v>30</v>
          </cell>
          <cell r="I1169" t="str">
            <v>28.57</v>
          </cell>
        </row>
        <row r="1170">
          <cell r="B1170" t="str">
            <v>0011800612E</v>
          </cell>
          <cell r="C1170" t="str">
            <v>室内电脑板-CEM-1</v>
          </cell>
          <cell r="D1170" t="str">
            <v>91C1</v>
          </cell>
          <cell r="E1170" t="str">
            <v>青岛海达源国内A股采购组织</v>
          </cell>
          <cell r="F1170" t="str">
            <v>寄售</v>
          </cell>
          <cell r="G1170" t="str">
            <v>2026-12-31</v>
          </cell>
          <cell r="H1170" t="str">
            <v>30</v>
          </cell>
          <cell r="I1170" t="str">
            <v>33.35</v>
          </cell>
        </row>
        <row r="1171">
          <cell r="B1171" t="str">
            <v>0011800612P</v>
          </cell>
          <cell r="C1171" t="str">
            <v>室内电脑板-CEM-1---</v>
          </cell>
          <cell r="D1171" t="str">
            <v>91C1</v>
          </cell>
          <cell r="E1171" t="str">
            <v>青岛海达源国内A股采购组织</v>
          </cell>
          <cell r="F1171" t="str">
            <v>寄售</v>
          </cell>
          <cell r="G1171" t="str">
            <v>2026-12-31</v>
          </cell>
          <cell r="H1171" t="str">
            <v>30</v>
          </cell>
          <cell r="I1171" t="str">
            <v>30.46</v>
          </cell>
        </row>
        <row r="1172">
          <cell r="B1172" t="str">
            <v>0011800612Y</v>
          </cell>
          <cell r="C1172" t="str">
            <v>室内电脑板-CEM-1\--</v>
          </cell>
          <cell r="D1172" t="str">
            <v>91C1</v>
          </cell>
          <cell r="E1172" t="str">
            <v>青岛海达源国内A股采购组织</v>
          </cell>
          <cell r="F1172" t="str">
            <v>寄售</v>
          </cell>
          <cell r="G1172" t="str">
            <v>2026-12-31</v>
          </cell>
          <cell r="H1172" t="str">
            <v>30</v>
          </cell>
          <cell r="I1172" t="str">
            <v>31.44</v>
          </cell>
        </row>
        <row r="1173">
          <cell r="B1173" t="str">
            <v>0011800630</v>
          </cell>
          <cell r="C1173" t="str">
            <v>室内电脑板-CEM-1</v>
          </cell>
          <cell r="D1173" t="str">
            <v>91C1</v>
          </cell>
          <cell r="E1173" t="str">
            <v>青岛海达源国内A股采购组织</v>
          </cell>
          <cell r="F1173" t="str">
            <v>寄售</v>
          </cell>
          <cell r="G1173" t="str">
            <v>2026-12-31</v>
          </cell>
          <cell r="H1173" t="str">
            <v>30</v>
          </cell>
          <cell r="I1173" t="str">
            <v>31.30</v>
          </cell>
        </row>
        <row r="1174">
          <cell r="B1174" t="str">
            <v>0011800630E</v>
          </cell>
          <cell r="C1174" t="str">
            <v>室内电脑板-CEM-1室内电脑板马来18k室内电脑板-</v>
          </cell>
          <cell r="D1174" t="str">
            <v>91C1</v>
          </cell>
          <cell r="E1174" t="str">
            <v>青岛海达源国内A股采购组织</v>
          </cell>
          <cell r="F1174" t="str">
            <v>寄售</v>
          </cell>
          <cell r="G1174" t="str">
            <v>2026-12-31</v>
          </cell>
          <cell r="H1174" t="str">
            <v>30</v>
          </cell>
          <cell r="I1174" t="str">
            <v>29.61</v>
          </cell>
        </row>
        <row r="1175">
          <cell r="B1175" t="str">
            <v>0011800630K</v>
          </cell>
          <cell r="C1175" t="str">
            <v>室内电脑板-CEM-1室内电脑板</v>
          </cell>
          <cell r="D1175" t="str">
            <v>91C1</v>
          </cell>
          <cell r="E1175" t="str">
            <v>青岛海达源国内A股采购组织</v>
          </cell>
          <cell r="F1175" t="str">
            <v>寄售</v>
          </cell>
          <cell r="G1175" t="str">
            <v>2026-12-31</v>
          </cell>
          <cell r="H1175" t="str">
            <v>30</v>
          </cell>
          <cell r="I1175" t="str">
            <v>25.65</v>
          </cell>
        </row>
        <row r="1176">
          <cell r="B1176" t="str">
            <v>0011800630P</v>
          </cell>
          <cell r="C1176" t="str">
            <v>室内电脑板-CEM-1室内电脑板(压敏、保险和继电器防爆)印尼290项目室内电脑</v>
          </cell>
          <cell r="D1176" t="str">
            <v>91C1</v>
          </cell>
          <cell r="E1176" t="str">
            <v>青岛海达源国内A股采购组织</v>
          </cell>
          <cell r="F1176" t="str">
            <v>寄售</v>
          </cell>
          <cell r="G1176" t="str">
            <v>2026-12-31</v>
          </cell>
          <cell r="H1176" t="str">
            <v>30</v>
          </cell>
          <cell r="I1176" t="str">
            <v>25.90</v>
          </cell>
        </row>
        <row r="1177">
          <cell r="B1177" t="str">
            <v>0011800646</v>
          </cell>
          <cell r="C1177" t="str">
            <v>室内电脑板-FR-4</v>
          </cell>
          <cell r="D1177" t="str">
            <v>91C1</v>
          </cell>
          <cell r="E1177" t="str">
            <v>青岛海达源国内A股采购组织</v>
          </cell>
          <cell r="F1177" t="str">
            <v>寄售</v>
          </cell>
          <cell r="G1177" t="str">
            <v>2026-12-31</v>
          </cell>
          <cell r="H1177" t="str">
            <v>30</v>
          </cell>
          <cell r="I1177" t="str">
            <v>45.63</v>
          </cell>
        </row>
        <row r="1178">
          <cell r="B1178" t="str">
            <v>0011800646A</v>
          </cell>
          <cell r="C1178" t="str">
            <v>室内电脑板-FR-4</v>
          </cell>
          <cell r="D1178" t="str">
            <v>91C1</v>
          </cell>
          <cell r="E1178" t="str">
            <v>青岛海达源国内A股采购组织</v>
          </cell>
          <cell r="F1178" t="str">
            <v>寄售</v>
          </cell>
          <cell r="G1178" t="str">
            <v>2026-12-31</v>
          </cell>
          <cell r="H1178" t="str">
            <v>30</v>
          </cell>
          <cell r="I1178" t="str">
            <v>40.69</v>
          </cell>
        </row>
        <row r="1179">
          <cell r="B1179" t="str">
            <v>0011800646B</v>
          </cell>
          <cell r="C1179" t="str">
            <v>室内电脑板-FR-4</v>
          </cell>
          <cell r="D1179" t="str">
            <v>91C1</v>
          </cell>
          <cell r="E1179" t="str">
            <v>青岛海达源国内A股采购组织</v>
          </cell>
          <cell r="F1179" t="str">
            <v>寄售</v>
          </cell>
          <cell r="G1179" t="str">
            <v>2026-12-31</v>
          </cell>
          <cell r="H1179" t="str">
            <v>30</v>
          </cell>
          <cell r="I1179" t="str">
            <v>48.97</v>
          </cell>
        </row>
        <row r="1180">
          <cell r="B1180" t="str">
            <v>0011800646C</v>
          </cell>
          <cell r="C1180" t="str">
            <v>室内电脑板-FR-4</v>
          </cell>
          <cell r="D1180" t="str">
            <v>91C1</v>
          </cell>
          <cell r="E1180" t="str">
            <v>青岛海达源国内A股采购组织</v>
          </cell>
          <cell r="F1180" t="str">
            <v>寄售</v>
          </cell>
          <cell r="G1180" t="str">
            <v>2026-12-31</v>
          </cell>
          <cell r="H1180" t="str">
            <v>30</v>
          </cell>
          <cell r="I1180" t="str">
            <v>51.32</v>
          </cell>
        </row>
        <row r="1181">
          <cell r="B1181" t="str">
            <v>0011800646D</v>
          </cell>
          <cell r="C1181" t="str">
            <v>室内电脑板-FR-4---</v>
          </cell>
          <cell r="D1181" t="str">
            <v>91C1</v>
          </cell>
          <cell r="E1181" t="str">
            <v>青岛海达源国内A股采购组织</v>
          </cell>
          <cell r="F1181" t="str">
            <v>寄售</v>
          </cell>
          <cell r="G1181" t="str">
            <v>2026-12-31</v>
          </cell>
          <cell r="H1181" t="str">
            <v>30</v>
          </cell>
          <cell r="I1181" t="str">
            <v>40.97</v>
          </cell>
        </row>
        <row r="1182">
          <cell r="B1182" t="str">
            <v>0011800646G</v>
          </cell>
          <cell r="C1182" t="str">
            <v>室内电脑板-FR-4---</v>
          </cell>
          <cell r="D1182" t="str">
            <v>91C1</v>
          </cell>
          <cell r="E1182" t="str">
            <v>青岛海达源国内A股采购组织</v>
          </cell>
          <cell r="F1182" t="str">
            <v>寄售</v>
          </cell>
          <cell r="G1182" t="str">
            <v>2026-12-31</v>
          </cell>
          <cell r="H1182" t="str">
            <v>30</v>
          </cell>
          <cell r="I1182" t="str">
            <v>49.66</v>
          </cell>
        </row>
        <row r="1183">
          <cell r="B1183" t="str">
            <v>0011800646K</v>
          </cell>
          <cell r="C1183" t="str">
            <v>室内电脑板-FR-4208*105</v>
          </cell>
          <cell r="D1183" t="str">
            <v>91C1</v>
          </cell>
          <cell r="E1183" t="str">
            <v>青岛海达源国内A股采购组织</v>
          </cell>
          <cell r="F1183" t="str">
            <v>寄售</v>
          </cell>
          <cell r="G1183" t="str">
            <v>2026-12-31</v>
          </cell>
          <cell r="H1183" t="str">
            <v>30</v>
          </cell>
          <cell r="I1183" t="str">
            <v>49.73</v>
          </cell>
        </row>
        <row r="1184">
          <cell r="B1184" t="str">
            <v>0011801425F</v>
          </cell>
          <cell r="C1184" t="str">
            <v>变频外电脑板-FR-4</v>
          </cell>
          <cell r="D1184" t="str">
            <v>91C1</v>
          </cell>
          <cell r="E1184" t="str">
            <v>青岛海达源国内A股采购组织</v>
          </cell>
          <cell r="F1184" t="str">
            <v>寄售</v>
          </cell>
          <cell r="G1184" t="str">
            <v>2026-12-31</v>
          </cell>
          <cell r="H1184" t="str">
            <v>3</v>
          </cell>
          <cell r="I1184" t="str">
            <v>107.24</v>
          </cell>
        </row>
        <row r="1185">
          <cell r="B1185" t="str">
            <v>0011800646M</v>
          </cell>
          <cell r="C1185" t="str">
            <v>室内电脑板-FR-4/</v>
          </cell>
          <cell r="D1185" t="str">
            <v>91C1</v>
          </cell>
          <cell r="E1185" t="str">
            <v>青岛海达源国内A股采购组织</v>
          </cell>
          <cell r="F1185" t="str">
            <v>寄售</v>
          </cell>
          <cell r="G1185" t="str">
            <v>2026-12-31</v>
          </cell>
          <cell r="H1185" t="str">
            <v>30</v>
          </cell>
          <cell r="I1185" t="str">
            <v>47.28</v>
          </cell>
        </row>
        <row r="1186">
          <cell r="B1186" t="str">
            <v>0011800646L</v>
          </cell>
          <cell r="C1186" t="str">
            <v>室内电脑板-FR-4/</v>
          </cell>
          <cell r="D1186" t="str">
            <v>91C1</v>
          </cell>
          <cell r="E1186" t="str">
            <v>青岛海达源国内A股采购组织</v>
          </cell>
          <cell r="F1186" t="str">
            <v>寄售</v>
          </cell>
          <cell r="G1186" t="str">
            <v>2026-12-31</v>
          </cell>
          <cell r="H1186" t="str">
            <v>30</v>
          </cell>
          <cell r="I1186" t="str">
            <v>40.97</v>
          </cell>
        </row>
        <row r="1187">
          <cell r="B1187" t="str">
            <v>0011801172AV</v>
          </cell>
          <cell r="C1187" t="str">
            <v>变频外电脑板-FR-4240*180</v>
          </cell>
          <cell r="D1187" t="str">
            <v>91C1</v>
          </cell>
          <cell r="E1187" t="str">
            <v>青岛海达源国内A股采购组织</v>
          </cell>
          <cell r="F1187" t="str">
            <v>寄售</v>
          </cell>
          <cell r="G1187" t="str">
            <v>2026-12-31</v>
          </cell>
          <cell r="H1187" t="str">
            <v>30</v>
          </cell>
          <cell r="I1187" t="str">
            <v>168.47</v>
          </cell>
        </row>
        <row r="1188">
          <cell r="B1188" t="str">
            <v>0011801330A</v>
          </cell>
          <cell r="C1188" t="str">
            <v>室内电脑板-CEM-1</v>
          </cell>
          <cell r="D1188" t="str">
            <v>91C1</v>
          </cell>
          <cell r="E1188" t="str">
            <v>青岛海达源国内A股采购组织</v>
          </cell>
          <cell r="F1188" t="str">
            <v>寄售</v>
          </cell>
          <cell r="G1188" t="str">
            <v>2026-12-31</v>
          </cell>
          <cell r="H1188" t="str">
            <v>3</v>
          </cell>
          <cell r="I1188" t="str">
            <v>51.44</v>
          </cell>
        </row>
        <row r="1189">
          <cell r="B1189" t="str">
            <v>0011801372B</v>
          </cell>
          <cell r="C1189" t="str">
            <v>变频外电脑板-FR-4205mm*157mm</v>
          </cell>
          <cell r="D1189" t="str">
            <v>91C1</v>
          </cell>
          <cell r="E1189" t="str">
            <v>青岛海达源国内A股采购组织</v>
          </cell>
          <cell r="F1189" t="str">
            <v>寄售</v>
          </cell>
          <cell r="G1189" t="str">
            <v>2026-12-31</v>
          </cell>
          <cell r="H1189" t="str">
            <v>30</v>
          </cell>
          <cell r="I1189" t="str">
            <v>88.06</v>
          </cell>
        </row>
        <row r="1190">
          <cell r="B1190" t="str">
            <v>0190400359</v>
          </cell>
          <cell r="C1190" t="str">
            <v>主控板-通用电控板尺寸200mm*160mm净水-小商用工程款主控板</v>
          </cell>
          <cell r="D1190" t="str">
            <v>91C1</v>
          </cell>
          <cell r="E1190" t="str">
            <v>青岛海达源国内A股采购组织</v>
          </cell>
          <cell r="F1190" t="str">
            <v>寄售</v>
          </cell>
          <cell r="G1190" t="str">
            <v>2026-12-31</v>
          </cell>
          <cell r="H1190" t="str">
            <v>7</v>
          </cell>
          <cell r="I1190" t="str">
            <v>87.32</v>
          </cell>
        </row>
        <row r="1191">
          <cell r="B1191" t="str">
            <v>0011801172CG</v>
          </cell>
          <cell r="C1191" t="str">
            <v>变频外电脑板-FR-4240*180</v>
          </cell>
          <cell r="D1191" t="str">
            <v>91C1</v>
          </cell>
          <cell r="E1191" t="str">
            <v>青岛海达源国内A股采购组织</v>
          </cell>
          <cell r="F1191" t="str">
            <v>寄售</v>
          </cell>
          <cell r="G1191" t="str">
            <v>2026-12-31</v>
          </cell>
          <cell r="H1191" t="str">
            <v>30</v>
          </cell>
          <cell r="I1191" t="str">
            <v>187.96</v>
          </cell>
        </row>
        <row r="1192">
          <cell r="B1192" t="str">
            <v>0011801424AA</v>
          </cell>
          <cell r="C1192" t="str">
            <v>变频外电脑板-FR-4/</v>
          </cell>
          <cell r="D1192" t="str">
            <v>91C1</v>
          </cell>
          <cell r="E1192" t="str">
            <v>青岛海达源国内A股采购组织</v>
          </cell>
          <cell r="F1192" t="str">
            <v>寄售</v>
          </cell>
          <cell r="G1192" t="str">
            <v>2026-12-31</v>
          </cell>
          <cell r="H1192" t="str">
            <v>30</v>
          </cell>
          <cell r="I1192" t="str">
            <v>133.21</v>
          </cell>
        </row>
        <row r="1193">
          <cell r="B1193" t="str">
            <v>0011801172BT</v>
          </cell>
          <cell r="C1193" t="str">
            <v>变频外电脑板-FR-4</v>
          </cell>
          <cell r="D1193" t="str">
            <v>91C1</v>
          </cell>
          <cell r="E1193" t="str">
            <v>青岛海达源国内A股采购组织</v>
          </cell>
          <cell r="F1193" t="str">
            <v>寄售</v>
          </cell>
          <cell r="G1193" t="str">
            <v>2026-12-31</v>
          </cell>
          <cell r="H1193" t="str">
            <v>30</v>
          </cell>
          <cell r="I1193" t="str">
            <v>183.31</v>
          </cell>
        </row>
        <row r="1194">
          <cell r="B1194" t="str">
            <v>0011800977K</v>
          </cell>
          <cell r="C1194" t="str">
            <v>室内电脑板-CEM-1/</v>
          </cell>
          <cell r="D1194" t="str">
            <v>91C1</v>
          </cell>
          <cell r="E1194" t="str">
            <v>青岛海达源国内A股采购组织</v>
          </cell>
          <cell r="F1194" t="str">
            <v>寄售</v>
          </cell>
          <cell r="G1194" t="str">
            <v>2026-12-31</v>
          </cell>
          <cell r="H1194" t="str">
            <v>3</v>
          </cell>
          <cell r="I1194" t="str">
            <v>28.53</v>
          </cell>
        </row>
        <row r="1195">
          <cell r="B1195" t="str">
            <v>0011801172BD</v>
          </cell>
          <cell r="C1195" t="str">
            <v>变频外电脑板-FR-4240*180</v>
          </cell>
          <cell r="D1195" t="str">
            <v>91C1</v>
          </cell>
          <cell r="E1195" t="str">
            <v>青岛海达源国内A股采购组织</v>
          </cell>
          <cell r="F1195" t="str">
            <v>寄售</v>
          </cell>
          <cell r="G1195" t="str">
            <v>2026-12-31</v>
          </cell>
          <cell r="H1195" t="str">
            <v>30</v>
          </cell>
          <cell r="I1195" t="str">
            <v>152.05</v>
          </cell>
        </row>
        <row r="1196">
          <cell r="B1196" t="str">
            <v>0011801172BK</v>
          </cell>
          <cell r="C1196" t="str">
            <v>变频外电脑板-FR-4</v>
          </cell>
          <cell r="D1196" t="str">
            <v>91C1</v>
          </cell>
          <cell r="E1196" t="str">
            <v>青岛海达源国内A股采购组织</v>
          </cell>
          <cell r="F1196" t="str">
            <v>寄售</v>
          </cell>
          <cell r="G1196" t="str">
            <v>2026-12-31</v>
          </cell>
          <cell r="H1196" t="str">
            <v>30</v>
          </cell>
          <cell r="I1196" t="str">
            <v>161.24</v>
          </cell>
        </row>
        <row r="1197">
          <cell r="B1197" t="str">
            <v>0011800324S</v>
          </cell>
          <cell r="C1197" t="str">
            <v>显示面板-CEM-3</v>
          </cell>
          <cell r="D1197" t="str">
            <v>91C1</v>
          </cell>
          <cell r="E1197" t="str">
            <v>青岛海达源国内A股采购组织</v>
          </cell>
          <cell r="F1197" t="str">
            <v>寄售</v>
          </cell>
          <cell r="G1197" t="str">
            <v>2026-12-31</v>
          </cell>
          <cell r="H1197" t="str">
            <v>30</v>
          </cell>
          <cell r="I1197" t="str">
            <v>5.10</v>
          </cell>
        </row>
        <row r="1198">
          <cell r="B1198" t="str">
            <v>0011801424K</v>
          </cell>
          <cell r="C1198" t="str">
            <v>变频外电脑板-FR-4/</v>
          </cell>
          <cell r="D1198" t="str">
            <v>91C1</v>
          </cell>
          <cell r="E1198" t="str">
            <v>青岛海达源国内A股采购组织</v>
          </cell>
          <cell r="F1198" t="str">
            <v>寄售</v>
          </cell>
          <cell r="G1198" t="str">
            <v>2026-12-31</v>
          </cell>
          <cell r="H1198" t="str">
            <v>3</v>
          </cell>
          <cell r="I1198" t="str">
            <v>114.63</v>
          </cell>
        </row>
        <row r="1199">
          <cell r="B1199" t="str">
            <v>0040400451D</v>
          </cell>
          <cell r="C1199" t="str">
            <v>电脑板电源板</v>
          </cell>
          <cell r="D1199" t="str">
            <v>91C1</v>
          </cell>
          <cell r="E1199" t="str">
            <v>青岛海达源国内A股采购组织</v>
          </cell>
          <cell r="F1199" t="str">
            <v>寄售</v>
          </cell>
          <cell r="G1199" t="str">
            <v>2026-12-31</v>
          </cell>
          <cell r="H1199" t="str">
            <v>14</v>
          </cell>
          <cell r="I1199" t="str">
            <v>10.90</v>
          </cell>
        </row>
        <row r="1200">
          <cell r="B1200" t="str">
            <v>0011801372C</v>
          </cell>
          <cell r="C1200" t="str">
            <v>变频外电脑板-FR-4205mm*157mm</v>
          </cell>
          <cell r="D1200" t="str">
            <v>91C1</v>
          </cell>
          <cell r="E1200" t="str">
            <v>青岛海达源国内A股采购组织</v>
          </cell>
          <cell r="F1200" t="str">
            <v>寄售</v>
          </cell>
          <cell r="G1200" t="str">
            <v>2026-12-31</v>
          </cell>
          <cell r="H1200" t="str">
            <v>30</v>
          </cell>
          <cell r="I1200" t="str">
            <v>91.75</v>
          </cell>
        </row>
        <row r="1201">
          <cell r="B1201" t="str">
            <v>0011801424AF</v>
          </cell>
          <cell r="C1201" t="str">
            <v>变频外电脑板-FR-4/</v>
          </cell>
          <cell r="D1201" t="str">
            <v>91C1</v>
          </cell>
          <cell r="E1201" t="str">
            <v>青岛海达源国内A股采购组织</v>
          </cell>
          <cell r="F1201" t="str">
            <v>寄售</v>
          </cell>
          <cell r="G1201" t="str">
            <v>2026-12-31</v>
          </cell>
          <cell r="H1201" t="str">
            <v>30</v>
          </cell>
          <cell r="I1201" t="str">
            <v>116.13</v>
          </cell>
        </row>
        <row r="1202">
          <cell r="B1202" t="str">
            <v>0011800387H</v>
          </cell>
          <cell r="C1202" t="str">
            <v>显示面板-FR-4</v>
          </cell>
          <cell r="D1202" t="str">
            <v>91C1</v>
          </cell>
          <cell r="E1202" t="str">
            <v>青岛海达源国内A股采购组织</v>
          </cell>
          <cell r="F1202" t="str">
            <v>寄售</v>
          </cell>
          <cell r="G1202" t="str">
            <v>2026-12-31</v>
          </cell>
          <cell r="H1202" t="str">
            <v>30</v>
          </cell>
          <cell r="I1202" t="str">
            <v>10.30</v>
          </cell>
        </row>
        <row r="1203">
          <cell r="B1203" t="str">
            <v>0011800324</v>
          </cell>
          <cell r="C1203" t="str">
            <v>显示面板-CEM-1</v>
          </cell>
          <cell r="D1203" t="str">
            <v>91C1</v>
          </cell>
          <cell r="E1203" t="str">
            <v>青岛海达源国内A股采购组织</v>
          </cell>
          <cell r="F1203" t="str">
            <v>寄售</v>
          </cell>
          <cell r="G1203" t="str">
            <v>2026-12-31</v>
          </cell>
          <cell r="H1203" t="str">
            <v>30</v>
          </cell>
          <cell r="I1203" t="str">
            <v>8.38</v>
          </cell>
        </row>
        <row r="1204">
          <cell r="B1204" t="str">
            <v>0011801256B</v>
          </cell>
          <cell r="C1204" t="str">
            <v>室内电脑板-CEM-1</v>
          </cell>
          <cell r="D1204" t="str">
            <v>91C1</v>
          </cell>
          <cell r="E1204" t="str">
            <v>青岛海达源国内A股采购组织</v>
          </cell>
          <cell r="F1204" t="str">
            <v>寄售</v>
          </cell>
          <cell r="G1204" t="str">
            <v>2026-12-31</v>
          </cell>
          <cell r="H1204" t="str">
            <v>30</v>
          </cell>
          <cell r="I1204" t="str">
            <v>33.01</v>
          </cell>
        </row>
        <row r="1205">
          <cell r="B1205" t="str">
            <v>0011801256L</v>
          </cell>
          <cell r="C1205" t="str">
            <v>室内电脑板-CEM-1</v>
          </cell>
          <cell r="D1205" t="str">
            <v>91C1</v>
          </cell>
          <cell r="E1205" t="str">
            <v>青岛海达源国内A股采购组织</v>
          </cell>
          <cell r="F1205" t="str">
            <v>寄售</v>
          </cell>
          <cell r="G1205" t="str">
            <v>2026-12-31</v>
          </cell>
          <cell r="H1205" t="str">
            <v>3</v>
          </cell>
          <cell r="I1205" t="str">
            <v>32.40</v>
          </cell>
        </row>
        <row r="1206">
          <cell r="B1206" t="str">
            <v>0011801424Z</v>
          </cell>
          <cell r="C1206" t="str">
            <v>变频外电脑板-FR-4/</v>
          </cell>
          <cell r="D1206" t="str">
            <v>91C1</v>
          </cell>
          <cell r="E1206" t="str">
            <v>青岛海达源国内A股采购组织</v>
          </cell>
          <cell r="F1206" t="str">
            <v>寄售</v>
          </cell>
          <cell r="G1206" t="str">
            <v>2026-12-31</v>
          </cell>
          <cell r="H1206" t="str">
            <v>30</v>
          </cell>
          <cell r="I1206" t="str">
            <v>137.83</v>
          </cell>
        </row>
        <row r="1207">
          <cell r="B1207" t="str">
            <v>0011801424G</v>
          </cell>
          <cell r="C1207" t="str">
            <v>变频外电脑板-FR-4/</v>
          </cell>
          <cell r="D1207" t="str">
            <v>91C1</v>
          </cell>
          <cell r="E1207" t="str">
            <v>青岛海达源国内A股采购组织</v>
          </cell>
          <cell r="F1207" t="str">
            <v>寄售</v>
          </cell>
          <cell r="G1207" t="str">
            <v>2026-12-31</v>
          </cell>
          <cell r="H1207" t="str">
            <v>3</v>
          </cell>
          <cell r="I1207" t="str">
            <v>108.33</v>
          </cell>
        </row>
        <row r="1208">
          <cell r="B1208" t="str">
            <v>0011800387D</v>
          </cell>
          <cell r="C1208" t="str">
            <v>显示面板-FR-4</v>
          </cell>
          <cell r="D1208" t="str">
            <v>91C1</v>
          </cell>
          <cell r="E1208" t="str">
            <v>青岛海达源国内A股采购组织</v>
          </cell>
          <cell r="F1208" t="str">
            <v>标准</v>
          </cell>
          <cell r="G1208" t="str">
            <v>2026-12-31</v>
          </cell>
          <cell r="H1208" t="str">
            <v>30</v>
          </cell>
          <cell r="I1208" t="str">
            <v>4.50</v>
          </cell>
        </row>
        <row r="1209">
          <cell r="B1209" t="str">
            <v>0011800980J</v>
          </cell>
          <cell r="C1209" t="str">
            <v>室内电脑板-FR-4P平台内机板</v>
          </cell>
          <cell r="D1209" t="str">
            <v>91C1</v>
          </cell>
          <cell r="E1209" t="str">
            <v>青岛海达源国内A股采购组织</v>
          </cell>
          <cell r="F1209" t="str">
            <v>寄售</v>
          </cell>
          <cell r="G1209" t="str">
            <v>2026-12-31</v>
          </cell>
          <cell r="H1209" t="str">
            <v>3</v>
          </cell>
          <cell r="I1209" t="str">
            <v>63.54</v>
          </cell>
        </row>
        <row r="1210">
          <cell r="B1210" t="str">
            <v>0011801424AE</v>
          </cell>
          <cell r="C1210" t="str">
            <v>变频外电脑板-FR-4/</v>
          </cell>
          <cell r="D1210" t="str">
            <v>91C1</v>
          </cell>
          <cell r="E1210" t="str">
            <v>青岛海达源国内A股采购组织</v>
          </cell>
          <cell r="F1210" t="str">
            <v>寄售</v>
          </cell>
          <cell r="G1210" t="str">
            <v>2026-12-31</v>
          </cell>
          <cell r="H1210" t="str">
            <v>30</v>
          </cell>
          <cell r="I1210" t="str">
            <v>116.13</v>
          </cell>
        </row>
        <row r="1211">
          <cell r="B1211" t="str">
            <v>0011800387A</v>
          </cell>
          <cell r="C1211" t="str">
            <v>显示面板-FR-4</v>
          </cell>
          <cell r="D1211" t="str">
            <v>91C1</v>
          </cell>
          <cell r="E1211" t="str">
            <v>青岛海达源国内A股采购组织</v>
          </cell>
          <cell r="F1211" t="str">
            <v>寄售</v>
          </cell>
          <cell r="G1211" t="str">
            <v>2026-12-31</v>
          </cell>
          <cell r="H1211" t="str">
            <v>30</v>
          </cell>
          <cell r="I1211" t="str">
            <v>11.70</v>
          </cell>
        </row>
        <row r="1212">
          <cell r="B1212" t="str">
            <v>0011800387J</v>
          </cell>
          <cell r="C1212" t="str">
            <v>显示面板-/</v>
          </cell>
          <cell r="D1212" t="str">
            <v>91C1</v>
          </cell>
          <cell r="E1212" t="str">
            <v>青岛海达源国内A股采购组织</v>
          </cell>
          <cell r="F1212" t="str">
            <v>寄售</v>
          </cell>
          <cell r="G1212" t="str">
            <v>2026-12-31</v>
          </cell>
          <cell r="H1212" t="str">
            <v>30</v>
          </cell>
          <cell r="I1212" t="str">
            <v>6.22</v>
          </cell>
        </row>
        <row r="1213">
          <cell r="B1213" t="str">
            <v>0041800569B</v>
          </cell>
          <cell r="C1213" t="str">
            <v>AD电源板-通用AD电源板-AD电源板</v>
          </cell>
          <cell r="D1213" t="str">
            <v>91C1</v>
          </cell>
          <cell r="E1213" t="str">
            <v>青岛海达源国内A股采购组织</v>
          </cell>
          <cell r="F1213" t="str">
            <v>寄售</v>
          </cell>
          <cell r="G1213" t="str">
            <v>2026-12-31</v>
          </cell>
          <cell r="H1213" t="str">
            <v>14</v>
          </cell>
          <cell r="I1213" t="str">
            <v>20.43</v>
          </cell>
        </row>
        <row r="1214">
          <cell r="B1214" t="str">
            <v>0011800977S</v>
          </cell>
          <cell r="C1214" t="str">
            <v>室内电脑板-CEM-1/</v>
          </cell>
          <cell r="D1214" t="str">
            <v>91C1</v>
          </cell>
          <cell r="E1214" t="str">
            <v>青岛海达源国内A股采购组织</v>
          </cell>
          <cell r="F1214" t="str">
            <v>寄售</v>
          </cell>
          <cell r="G1214" t="str">
            <v>2026-12-31</v>
          </cell>
          <cell r="H1214" t="str">
            <v>3</v>
          </cell>
          <cell r="I1214" t="str">
            <v>27.80</v>
          </cell>
        </row>
        <row r="1215">
          <cell r="B1215" t="str">
            <v>0011801424AB</v>
          </cell>
          <cell r="C1215" t="str">
            <v>变频外电脑板-FR-4/</v>
          </cell>
          <cell r="D1215" t="str">
            <v>91C1</v>
          </cell>
          <cell r="E1215" t="str">
            <v>青岛海达源国内A股采购组织</v>
          </cell>
          <cell r="F1215" t="str">
            <v>寄售</v>
          </cell>
          <cell r="G1215" t="str">
            <v>2026-12-31</v>
          </cell>
          <cell r="H1215" t="str">
            <v>30</v>
          </cell>
          <cell r="I1215" t="str">
            <v>109.23</v>
          </cell>
        </row>
        <row r="1216">
          <cell r="B1216" t="str">
            <v>0011800387D</v>
          </cell>
          <cell r="C1216" t="str">
            <v>显示面板-FR-4</v>
          </cell>
          <cell r="D1216" t="str">
            <v>91C1</v>
          </cell>
          <cell r="E1216" t="str">
            <v>青岛海达源国内A股采购组织</v>
          </cell>
          <cell r="F1216" t="str">
            <v>寄售</v>
          </cell>
          <cell r="G1216" t="str">
            <v>2026-12-31</v>
          </cell>
          <cell r="H1216" t="str">
            <v>30</v>
          </cell>
          <cell r="I1216" t="str">
            <v>4.50</v>
          </cell>
        </row>
        <row r="1217">
          <cell r="B1217" t="str">
            <v>0190400113L</v>
          </cell>
          <cell r="C1217" t="str">
            <v>主控板-通用云鳟迭代系列产品Q5-600G通用主控板长176.6mm宽63.8m</v>
          </cell>
          <cell r="D1217" t="str">
            <v>91C1</v>
          </cell>
          <cell r="E1217" t="str">
            <v>青岛海达源国内A股采购组织</v>
          </cell>
          <cell r="F1217" t="str">
            <v>寄售</v>
          </cell>
          <cell r="G1217" t="str">
            <v>2026-12-31</v>
          </cell>
          <cell r="H1217" t="str">
            <v>7</v>
          </cell>
          <cell r="I1217" t="str">
            <v>26.97</v>
          </cell>
        </row>
        <row r="1218">
          <cell r="B1218" t="str">
            <v>0011801372D</v>
          </cell>
          <cell r="C1218" t="str">
            <v>变频外电脑板-FR-4205mm*157mm</v>
          </cell>
          <cell r="D1218" t="str">
            <v>91C1</v>
          </cell>
          <cell r="E1218" t="str">
            <v>青岛海达源国内A股采购组织</v>
          </cell>
          <cell r="F1218" t="str">
            <v>寄售</v>
          </cell>
          <cell r="G1218" t="str">
            <v>2026-12-31</v>
          </cell>
          <cell r="H1218" t="str">
            <v>30</v>
          </cell>
          <cell r="I1218" t="str">
            <v>96.53</v>
          </cell>
        </row>
        <row r="1219">
          <cell r="B1219" t="str">
            <v>0190400113M</v>
          </cell>
          <cell r="C1219" t="str">
            <v>主控板-通用云鳟迭代系列产品Q5--800G用主控板长176.6mm宽63.8m</v>
          </cell>
          <cell r="D1219" t="str">
            <v>91C1</v>
          </cell>
          <cell r="E1219" t="str">
            <v>青岛海达源国内A股采购组织</v>
          </cell>
          <cell r="F1219" t="str">
            <v>寄售</v>
          </cell>
          <cell r="G1219" t="str">
            <v>2026-12-31</v>
          </cell>
          <cell r="H1219" t="str">
            <v>7</v>
          </cell>
          <cell r="I1219" t="str">
            <v>26.97</v>
          </cell>
        </row>
        <row r="1220">
          <cell r="B1220" t="str">
            <v>0011801118AH</v>
          </cell>
          <cell r="C1220" t="str">
            <v>变频外电脑板-FR-4240*180</v>
          </cell>
          <cell r="D1220" t="str">
            <v>91C1</v>
          </cell>
          <cell r="E1220" t="str">
            <v>青岛海达源国内A股采购组织</v>
          </cell>
          <cell r="F1220" t="str">
            <v>寄售</v>
          </cell>
          <cell r="G1220" t="str">
            <v>2026-12-31</v>
          </cell>
          <cell r="H1220" t="str">
            <v>30</v>
          </cell>
          <cell r="I1220" t="str">
            <v>157.28</v>
          </cell>
        </row>
        <row r="1221">
          <cell r="B1221" t="str">
            <v>0011801118BYD</v>
          </cell>
          <cell r="C1221" t="str">
            <v>变频外电脑板-FR-4240*180</v>
          </cell>
          <cell r="D1221" t="str">
            <v>91C1</v>
          </cell>
          <cell r="E1221" t="str">
            <v>青岛海达源国内A股采购组织</v>
          </cell>
          <cell r="F1221" t="str">
            <v>寄售</v>
          </cell>
          <cell r="G1221" t="str">
            <v>2026-12-31</v>
          </cell>
          <cell r="H1221" t="str">
            <v>30</v>
          </cell>
          <cell r="I1221" t="str">
            <v>160.99</v>
          </cell>
        </row>
        <row r="1222">
          <cell r="B1222" t="str">
            <v>0011801372G</v>
          </cell>
          <cell r="C1222" t="str">
            <v>变频外电脑板-FR-4205mm*157mm</v>
          </cell>
          <cell r="D1222" t="str">
            <v>91C1</v>
          </cell>
          <cell r="E1222" t="str">
            <v>青岛海达源国内A股采购组织</v>
          </cell>
          <cell r="F1222" t="str">
            <v>寄售</v>
          </cell>
          <cell r="G1222" t="str">
            <v>2026-12-31</v>
          </cell>
          <cell r="H1222" t="str">
            <v>30</v>
          </cell>
          <cell r="I1222" t="str">
            <v>93.51</v>
          </cell>
        </row>
        <row r="1223">
          <cell r="B1223" t="str">
            <v>0011801583A</v>
          </cell>
          <cell r="C1223" t="str">
            <v>室内电脑板-/162mm*130mm</v>
          </cell>
          <cell r="D1223" t="str">
            <v>91C1</v>
          </cell>
          <cell r="E1223" t="str">
            <v>青岛海达源国内A股采购组织</v>
          </cell>
          <cell r="F1223" t="str">
            <v>寄售</v>
          </cell>
          <cell r="G1223" t="str">
            <v>2026-12-31</v>
          </cell>
          <cell r="H1223" t="str">
            <v>30</v>
          </cell>
          <cell r="I1223" t="str">
            <v>29.83</v>
          </cell>
        </row>
        <row r="1224">
          <cell r="B1224" t="str">
            <v>0011801497</v>
          </cell>
          <cell r="C1224" t="str">
            <v>变频外电脑板-FR-4/</v>
          </cell>
          <cell r="D1224" t="str">
            <v>91C1</v>
          </cell>
          <cell r="E1224" t="str">
            <v>青岛海达源国内A股采购组织</v>
          </cell>
          <cell r="F1224" t="str">
            <v>寄售</v>
          </cell>
          <cell r="G1224" t="str">
            <v>2026-12-31</v>
          </cell>
          <cell r="H1224" t="str">
            <v>3</v>
          </cell>
          <cell r="I1224" t="str">
            <v>125.32</v>
          </cell>
        </row>
        <row r="1225">
          <cell r="B1225" t="str">
            <v>0011800324N</v>
          </cell>
          <cell r="C1225" t="str">
            <v>显示面板-CEM-1</v>
          </cell>
          <cell r="D1225" t="str">
            <v>91C1</v>
          </cell>
          <cell r="E1225" t="str">
            <v>青岛海达源国内A股采购组织</v>
          </cell>
          <cell r="F1225" t="str">
            <v>寄售</v>
          </cell>
          <cell r="G1225" t="str">
            <v>2026-12-31</v>
          </cell>
          <cell r="H1225" t="str">
            <v>30</v>
          </cell>
          <cell r="I1225" t="str">
            <v>8.59</v>
          </cell>
        </row>
        <row r="1226">
          <cell r="B1226" t="str">
            <v>0011800324H</v>
          </cell>
          <cell r="C1226" t="str">
            <v>显示面板-CEM-1</v>
          </cell>
          <cell r="D1226" t="str">
            <v>91C1</v>
          </cell>
          <cell r="E1226" t="str">
            <v>青岛海达源国内A股采购组织</v>
          </cell>
          <cell r="F1226" t="str">
            <v>寄售</v>
          </cell>
          <cell r="G1226" t="str">
            <v>2026-12-31</v>
          </cell>
          <cell r="H1226" t="str">
            <v>30</v>
          </cell>
          <cell r="I1226" t="str">
            <v>7.37</v>
          </cell>
        </row>
        <row r="1227">
          <cell r="B1227" t="str">
            <v>0190400207</v>
          </cell>
          <cell r="C1227" t="str">
            <v>显示板-通用农村大通量100G、400G、600G通用显示板农村大通量通用显示板</v>
          </cell>
          <cell r="D1227" t="str">
            <v>91C1</v>
          </cell>
          <cell r="E1227" t="str">
            <v>青岛海达源国内A股采购组织</v>
          </cell>
          <cell r="F1227" t="str">
            <v>寄售</v>
          </cell>
          <cell r="G1227" t="str">
            <v>2026-12-31</v>
          </cell>
          <cell r="H1227" t="str">
            <v>7</v>
          </cell>
          <cell r="I1227" t="str">
            <v>4.30</v>
          </cell>
        </row>
        <row r="1228">
          <cell r="B1228" t="str">
            <v>0011801256R</v>
          </cell>
          <cell r="C1228" t="str">
            <v>室内电脑板-CEM-1</v>
          </cell>
          <cell r="D1228" t="str">
            <v>91C1</v>
          </cell>
          <cell r="E1228" t="str">
            <v>青岛海达源国内A股采购组织</v>
          </cell>
          <cell r="F1228" t="str">
            <v>寄售</v>
          </cell>
          <cell r="G1228" t="str">
            <v>2026-12-31</v>
          </cell>
          <cell r="H1228" t="str">
            <v>30</v>
          </cell>
          <cell r="I1228" t="str">
            <v>32.93</v>
          </cell>
        </row>
        <row r="1229">
          <cell r="B1229" t="str">
            <v>0011801330</v>
          </cell>
          <cell r="C1229" t="str">
            <v>室内电脑板-CEM-1</v>
          </cell>
          <cell r="D1229" t="str">
            <v>91C1</v>
          </cell>
          <cell r="E1229" t="str">
            <v>青岛海达源国内A股采购组织</v>
          </cell>
          <cell r="F1229" t="str">
            <v>标准</v>
          </cell>
          <cell r="G1229" t="str">
            <v>2026-12-31</v>
          </cell>
          <cell r="H1229" t="str">
            <v>3</v>
          </cell>
          <cell r="I1229" t="str">
            <v>51.27</v>
          </cell>
        </row>
        <row r="1230">
          <cell r="B1230" t="str">
            <v>0011800387</v>
          </cell>
          <cell r="C1230" t="str">
            <v>显示面板-FR-4</v>
          </cell>
          <cell r="D1230" t="str">
            <v>91C1</v>
          </cell>
          <cell r="E1230" t="str">
            <v>青岛海达源国内A股采购组织</v>
          </cell>
          <cell r="F1230" t="str">
            <v>寄售</v>
          </cell>
          <cell r="G1230" t="str">
            <v>2026-12-31</v>
          </cell>
          <cell r="H1230" t="str">
            <v>30</v>
          </cell>
          <cell r="I1230" t="str">
            <v>6.66</v>
          </cell>
        </row>
        <row r="1231">
          <cell r="B1231" t="str">
            <v>0011801424N</v>
          </cell>
          <cell r="C1231" t="str">
            <v>变频外电脑板-FR-4/</v>
          </cell>
          <cell r="D1231" t="str">
            <v>91C1</v>
          </cell>
          <cell r="E1231" t="str">
            <v>青岛海达源国内A股采购组织</v>
          </cell>
          <cell r="F1231" t="str">
            <v>寄售</v>
          </cell>
          <cell r="G1231" t="str">
            <v>2026-12-31</v>
          </cell>
          <cell r="H1231" t="str">
            <v>3</v>
          </cell>
          <cell r="I1231" t="str">
            <v>120.03</v>
          </cell>
        </row>
        <row r="1232">
          <cell r="B1232" t="str">
            <v>0011801172CH</v>
          </cell>
          <cell r="C1232" t="str">
            <v>变频外电脑板-FR-4240*180</v>
          </cell>
          <cell r="D1232" t="str">
            <v>91C1</v>
          </cell>
          <cell r="E1232" t="str">
            <v>青岛海达源国内A股采购组织</v>
          </cell>
          <cell r="F1232" t="str">
            <v>寄售</v>
          </cell>
          <cell r="G1232" t="str">
            <v>2026-12-31</v>
          </cell>
          <cell r="H1232" t="str">
            <v>30</v>
          </cell>
          <cell r="I1232" t="str">
            <v>172.04</v>
          </cell>
        </row>
        <row r="1233">
          <cell r="B1233" t="str">
            <v>0011801172BC</v>
          </cell>
          <cell r="C1233" t="str">
            <v>变频外电脑板-FR-4240*180</v>
          </cell>
          <cell r="D1233" t="str">
            <v>91C1</v>
          </cell>
          <cell r="E1233" t="str">
            <v>青岛海达源国内A股采购组织</v>
          </cell>
          <cell r="F1233" t="str">
            <v>寄售</v>
          </cell>
          <cell r="G1233" t="str">
            <v>2026-12-31</v>
          </cell>
          <cell r="H1233" t="str">
            <v>30</v>
          </cell>
          <cell r="I1233" t="str">
            <v>166.08</v>
          </cell>
        </row>
        <row r="1234">
          <cell r="B1234" t="str">
            <v>0011801424L</v>
          </cell>
          <cell r="C1234" t="str">
            <v>变频外电脑板-FR-4/</v>
          </cell>
          <cell r="D1234" t="str">
            <v>91C1</v>
          </cell>
          <cell r="E1234" t="str">
            <v>青岛海达源国内A股采购组织</v>
          </cell>
          <cell r="F1234" t="str">
            <v>寄售</v>
          </cell>
          <cell r="G1234" t="str">
            <v>2026-12-31</v>
          </cell>
          <cell r="H1234" t="str">
            <v>3</v>
          </cell>
          <cell r="I1234" t="str">
            <v>130.83</v>
          </cell>
        </row>
        <row r="1235">
          <cell r="B1235" t="str">
            <v>0011800387</v>
          </cell>
          <cell r="C1235" t="str">
            <v>显示面板-FR-4</v>
          </cell>
          <cell r="D1235" t="str">
            <v>91C1</v>
          </cell>
          <cell r="E1235" t="str">
            <v>青岛海达源国内A股采购组织</v>
          </cell>
          <cell r="F1235" t="str">
            <v>标准</v>
          </cell>
          <cell r="G1235" t="str">
            <v>2026-12-31</v>
          </cell>
          <cell r="H1235" t="str">
            <v>30</v>
          </cell>
          <cell r="I1235" t="str">
            <v>6.66</v>
          </cell>
        </row>
        <row r="1236">
          <cell r="B1236" t="str">
            <v>0011801118AE</v>
          </cell>
          <cell r="C1236" t="str">
            <v>变频外电脑板-FR-4240*180</v>
          </cell>
          <cell r="D1236" t="str">
            <v>91C1</v>
          </cell>
          <cell r="E1236" t="str">
            <v>青岛海达源国内A股采购组织</v>
          </cell>
          <cell r="F1236" t="str">
            <v>寄售</v>
          </cell>
          <cell r="G1236" t="str">
            <v>2026-12-31</v>
          </cell>
          <cell r="H1236" t="str">
            <v>30</v>
          </cell>
          <cell r="I1236" t="str">
            <v>172.64</v>
          </cell>
        </row>
        <row r="1237">
          <cell r="B1237" t="str">
            <v>0011800387B</v>
          </cell>
          <cell r="C1237" t="str">
            <v>显示面板-FR-4</v>
          </cell>
          <cell r="D1237" t="str">
            <v>91C1</v>
          </cell>
          <cell r="E1237" t="str">
            <v>青岛海达源国内A股采购组织</v>
          </cell>
          <cell r="F1237" t="str">
            <v>寄售</v>
          </cell>
          <cell r="G1237" t="str">
            <v>2026-12-31</v>
          </cell>
          <cell r="H1237" t="str">
            <v>30</v>
          </cell>
          <cell r="I1237" t="str">
            <v>16.79</v>
          </cell>
        </row>
        <row r="1238">
          <cell r="B1238" t="str">
            <v>0190400112F</v>
          </cell>
          <cell r="C1238" t="str">
            <v>主控板-通用105mm*58mm'净水</v>
          </cell>
          <cell r="D1238" t="str">
            <v>91C1</v>
          </cell>
          <cell r="E1238" t="str">
            <v>青岛海达源国内A股采购组织</v>
          </cell>
          <cell r="F1238" t="str">
            <v>寄售</v>
          </cell>
          <cell r="G1238" t="str">
            <v>2026-12-31</v>
          </cell>
          <cell r="H1238" t="str">
            <v>7</v>
          </cell>
          <cell r="I1238" t="str">
            <v>19.36</v>
          </cell>
        </row>
        <row r="1239">
          <cell r="B1239" t="str">
            <v>0041800751YS</v>
          </cell>
          <cell r="C1239" t="str">
            <v>AD显示板-LED海尔双功率平台-电热</v>
          </cell>
          <cell r="D1239" t="str">
            <v>91C1</v>
          </cell>
          <cell r="E1239" t="str">
            <v>青岛海达源国内A股采购组织</v>
          </cell>
          <cell r="F1239" t="str">
            <v>寄售</v>
          </cell>
          <cell r="G1239" t="str">
            <v>2026-12-31</v>
          </cell>
          <cell r="H1239" t="str">
            <v>14</v>
          </cell>
          <cell r="I1239" t="str">
            <v>18.02</v>
          </cell>
        </row>
        <row r="1240">
          <cell r="B1240" t="str">
            <v>0041800751AYS</v>
          </cell>
          <cell r="C1240" t="str">
            <v>AD显示板-LED一级能效PD3/GD3-电热</v>
          </cell>
          <cell r="D1240" t="str">
            <v>91C1</v>
          </cell>
          <cell r="E1240" t="str">
            <v>青岛海达源国内A股采购组织</v>
          </cell>
          <cell r="F1240" t="str">
            <v>寄售</v>
          </cell>
          <cell r="G1240" t="str">
            <v>2026-12-31</v>
          </cell>
          <cell r="H1240" t="str">
            <v>14</v>
          </cell>
          <cell r="I1240" t="str">
            <v>15.62</v>
          </cell>
        </row>
        <row r="1241">
          <cell r="B1241" t="str">
            <v>0041800773ACYS</v>
          </cell>
          <cell r="C1241" t="str">
            <v>AD显示板-LED-EC6002/8002-KM3U1-电热</v>
          </cell>
          <cell r="D1241" t="str">
            <v>91C1</v>
          </cell>
          <cell r="E1241" t="str">
            <v>青岛海达源国内A股采购组织</v>
          </cell>
          <cell r="F1241" t="str">
            <v>寄售</v>
          </cell>
          <cell r="G1241" t="str">
            <v>2026-12-31</v>
          </cell>
          <cell r="H1241" t="str">
            <v>14</v>
          </cell>
          <cell r="I1241" t="str">
            <v>12.74</v>
          </cell>
        </row>
        <row r="1242">
          <cell r="B1242" t="str">
            <v>0011801424X</v>
          </cell>
          <cell r="C1242" t="str">
            <v>变频外电脑板-FR-4/</v>
          </cell>
          <cell r="D1242" t="str">
            <v>91C1</v>
          </cell>
          <cell r="E1242" t="str">
            <v>青岛海达源国内A股采购组织</v>
          </cell>
          <cell r="F1242" t="str">
            <v>寄售</v>
          </cell>
          <cell r="G1242" t="str">
            <v>2026-12-31</v>
          </cell>
          <cell r="H1242" t="str">
            <v>3</v>
          </cell>
          <cell r="I1242" t="str">
            <v>130.21</v>
          </cell>
        </row>
        <row r="1243">
          <cell r="B1243" t="str">
            <v>0011801172BA</v>
          </cell>
          <cell r="C1243" t="str">
            <v>变频外电脑板-FR-4240*180</v>
          </cell>
          <cell r="D1243" t="str">
            <v>91C1</v>
          </cell>
          <cell r="E1243" t="str">
            <v>青岛海达源国内A股采购组织</v>
          </cell>
          <cell r="F1243" t="str">
            <v>寄售</v>
          </cell>
          <cell r="G1243" t="str">
            <v>2026-12-31</v>
          </cell>
          <cell r="H1243" t="str">
            <v>30</v>
          </cell>
          <cell r="I1243" t="str">
            <v>151.95</v>
          </cell>
        </row>
        <row r="1244">
          <cell r="B1244" t="str">
            <v>0011800324T</v>
          </cell>
          <cell r="C1244" t="str">
            <v>显示面板-CEM-1/--</v>
          </cell>
          <cell r="D1244" t="str">
            <v>91C1</v>
          </cell>
          <cell r="E1244" t="str">
            <v>青岛海达源国内A股采购组织</v>
          </cell>
          <cell r="F1244" t="str">
            <v>寄售</v>
          </cell>
          <cell r="G1244" t="str">
            <v>2026-12-31</v>
          </cell>
          <cell r="H1244" t="str">
            <v>30</v>
          </cell>
          <cell r="I1244" t="str">
            <v>6.34</v>
          </cell>
        </row>
        <row r="1245">
          <cell r="B1245" t="str">
            <v>0011801256M</v>
          </cell>
          <cell r="C1245" t="str">
            <v>室内电脑板-CEM-1</v>
          </cell>
          <cell r="D1245" t="str">
            <v>91C1</v>
          </cell>
          <cell r="E1245" t="str">
            <v>青岛海达源国内A股采购组织</v>
          </cell>
          <cell r="F1245" t="str">
            <v>寄售</v>
          </cell>
          <cell r="G1245" t="str">
            <v>2026-12-31</v>
          </cell>
          <cell r="H1245" t="str">
            <v>3</v>
          </cell>
          <cell r="I1245" t="str">
            <v>33.30</v>
          </cell>
        </row>
        <row r="1246">
          <cell r="B1246" t="str">
            <v>0011801172BG</v>
          </cell>
          <cell r="C1246" t="str">
            <v>变频外电脑板-FR-4240*180</v>
          </cell>
          <cell r="D1246" t="str">
            <v>91C1</v>
          </cell>
          <cell r="E1246" t="str">
            <v>青岛海达源国内A股采购组织</v>
          </cell>
          <cell r="F1246" t="str">
            <v>寄售</v>
          </cell>
          <cell r="G1246" t="str">
            <v>2026-12-31</v>
          </cell>
          <cell r="H1246" t="str">
            <v>3</v>
          </cell>
          <cell r="I1246" t="str">
            <v>182.27</v>
          </cell>
        </row>
        <row r="1247">
          <cell r="B1247" t="str">
            <v>0190400359A</v>
          </cell>
          <cell r="C1247" t="str">
            <v>主控板-通用净水-小商用零售款主控板</v>
          </cell>
          <cell r="D1247" t="str">
            <v>91C1</v>
          </cell>
          <cell r="E1247" t="str">
            <v>青岛海达源国内A股采购组织</v>
          </cell>
          <cell r="F1247" t="str">
            <v>寄售</v>
          </cell>
          <cell r="G1247" t="str">
            <v>2026-12-31</v>
          </cell>
          <cell r="H1247" t="str">
            <v>7</v>
          </cell>
          <cell r="I1247" t="str">
            <v>87.32</v>
          </cell>
        </row>
        <row r="1248">
          <cell r="B1248" t="str">
            <v>0021800442G</v>
          </cell>
          <cell r="C1248" t="str">
            <v>显示板-LED12VDC12VDC</v>
          </cell>
          <cell r="D1248" t="str">
            <v>91C1</v>
          </cell>
          <cell r="E1248" t="str">
            <v>青岛海达源国内A股采购组织</v>
          </cell>
          <cell r="F1248" t="str">
            <v>寄售</v>
          </cell>
          <cell r="G1248" t="str">
            <v>2026-12-31</v>
          </cell>
          <cell r="H1248" t="str">
            <v>10</v>
          </cell>
          <cell r="I1248" t="str">
            <v>27.72</v>
          </cell>
        </row>
        <row r="1249">
          <cell r="B1249" t="str">
            <v>0011801172BR</v>
          </cell>
          <cell r="C1249" t="str">
            <v>变频外电脑板-FR-4240*180</v>
          </cell>
          <cell r="D1249" t="str">
            <v>91C1</v>
          </cell>
          <cell r="E1249" t="str">
            <v>青岛海达源国内A股采购组织</v>
          </cell>
          <cell r="F1249" t="str">
            <v>寄售</v>
          </cell>
          <cell r="G1249" t="str">
            <v>2026-12-31</v>
          </cell>
          <cell r="H1249" t="str">
            <v>30</v>
          </cell>
          <cell r="I1249" t="str">
            <v>188.50</v>
          </cell>
        </row>
        <row r="1250">
          <cell r="B1250" t="str">
            <v>0011801953</v>
          </cell>
          <cell r="C1250" t="str">
            <v>一体机电脑板</v>
          </cell>
          <cell r="D1250" t="str">
            <v>9163</v>
          </cell>
          <cell r="E1250" t="str">
            <v>大连保税人民币采购组织</v>
          </cell>
          <cell r="F1250" t="str">
            <v>标准</v>
          </cell>
          <cell r="G1250" t="str">
            <v>2026-12-31</v>
          </cell>
          <cell r="H1250" t="str">
            <v>15</v>
          </cell>
          <cell r="I1250" t="str">
            <v>32.91</v>
          </cell>
        </row>
        <row r="1251">
          <cell r="B1251" t="str">
            <v>0011801583A</v>
          </cell>
          <cell r="C1251" t="str">
            <v>室内电脑板-/162mm*130mm</v>
          </cell>
          <cell r="D1251" t="str">
            <v>9122</v>
          </cell>
          <cell r="E1251" t="str">
            <v>WGG大连一般贸易采购组织</v>
          </cell>
          <cell r="F1251" t="str">
            <v>标准</v>
          </cell>
          <cell r="G1251" t="str">
            <v>2026-12-31</v>
          </cell>
          <cell r="H1251" t="str">
            <v>15</v>
          </cell>
          <cell r="I1251" t="str">
            <v>29.83</v>
          </cell>
        </row>
        <row r="1252">
          <cell r="B1252" t="str">
            <v>0011801583R</v>
          </cell>
          <cell r="C1252" t="str">
            <v>室内电脑板-162mm*130mm</v>
          </cell>
          <cell r="D1252" t="str">
            <v>9122</v>
          </cell>
          <cell r="E1252" t="str">
            <v>WGG大连一般贸易采购组织</v>
          </cell>
          <cell r="F1252" t="str">
            <v>标准</v>
          </cell>
          <cell r="G1252" t="str">
            <v>2026-12-31</v>
          </cell>
          <cell r="H1252" t="str">
            <v>15</v>
          </cell>
          <cell r="I1252" t="str">
            <v>29.83</v>
          </cell>
        </row>
        <row r="1253">
          <cell r="B1253" t="str">
            <v>0011801920</v>
          </cell>
          <cell r="C1253" t="str">
            <v>显示板-FR-4</v>
          </cell>
          <cell r="D1253" t="str">
            <v>9163</v>
          </cell>
          <cell r="E1253" t="str">
            <v>大连保税人民币采购组织</v>
          </cell>
          <cell r="F1253" t="str">
            <v>标准</v>
          </cell>
          <cell r="G1253" t="str">
            <v>2026-12-31</v>
          </cell>
          <cell r="H1253" t="str">
            <v>15</v>
          </cell>
          <cell r="I1253" t="str">
            <v>7.64</v>
          </cell>
        </row>
        <row r="1254">
          <cell r="B1254" t="str">
            <v>0011801851</v>
          </cell>
          <cell r="C1254" t="str">
            <v>变频外电脑板-115V/60Hz</v>
          </cell>
          <cell r="D1254" t="str">
            <v>9163</v>
          </cell>
          <cell r="E1254" t="str">
            <v>大连保税人民币采购组织</v>
          </cell>
          <cell r="F1254" t="str">
            <v>标准</v>
          </cell>
          <cell r="G1254" t="str">
            <v>2026-12-31</v>
          </cell>
          <cell r="H1254" t="str">
            <v>15</v>
          </cell>
          <cell r="I1254" t="str">
            <v>166.12</v>
          </cell>
        </row>
        <row r="1255">
          <cell r="B1255" t="str">
            <v>0011801910</v>
          </cell>
          <cell r="C1255" t="str">
            <v>显示板-LED</v>
          </cell>
          <cell r="D1255" t="str">
            <v>9163</v>
          </cell>
          <cell r="E1255" t="str">
            <v>大连保税人民币采购组织</v>
          </cell>
          <cell r="F1255" t="str">
            <v>标准</v>
          </cell>
          <cell r="G1255" t="str">
            <v>2026-12-31</v>
          </cell>
          <cell r="H1255" t="str">
            <v>15</v>
          </cell>
          <cell r="I1255" t="str">
            <v>17.23</v>
          </cell>
        </row>
        <row r="1256">
          <cell r="B1256" t="str">
            <v>0190400359AB</v>
          </cell>
          <cell r="C1256" t="str">
            <v>主控板-通用净水-商用主控板</v>
          </cell>
          <cell r="D1256" t="str">
            <v>91C1</v>
          </cell>
          <cell r="E1256" t="str">
            <v>青岛海达源国内A股采购组织</v>
          </cell>
          <cell r="F1256" t="str">
            <v>寄售</v>
          </cell>
          <cell r="G1256" t="str">
            <v>2026-12-31</v>
          </cell>
          <cell r="H1256" t="str">
            <v>7</v>
          </cell>
          <cell r="I1256" t="str">
            <v>87.32</v>
          </cell>
        </row>
        <row r="1257">
          <cell r="B1257" t="str">
            <v>0011801891</v>
          </cell>
          <cell r="C1257" t="str">
            <v>一体机电脑板-CEM-1</v>
          </cell>
          <cell r="D1257" t="str">
            <v>9163</v>
          </cell>
          <cell r="E1257" t="str">
            <v>大连保税人民币采购组织</v>
          </cell>
          <cell r="F1257" t="str">
            <v>标准</v>
          </cell>
          <cell r="G1257" t="str">
            <v>2026-12-31</v>
          </cell>
          <cell r="H1257" t="str">
            <v>15</v>
          </cell>
          <cell r="I1257" t="str">
            <v>27.73</v>
          </cell>
        </row>
        <row r="1258">
          <cell r="B1258" t="str">
            <v>0190400359AC</v>
          </cell>
          <cell r="C1258" t="str">
            <v>主控板</v>
          </cell>
          <cell r="D1258" t="str">
            <v>91C1</v>
          </cell>
          <cell r="E1258" t="str">
            <v>青岛海达源国内A股采购组织</v>
          </cell>
          <cell r="F1258" t="str">
            <v>寄售</v>
          </cell>
          <cell r="G1258" t="str">
            <v>2026-12-31</v>
          </cell>
          <cell r="H1258" t="str">
            <v>7</v>
          </cell>
          <cell r="I1258" t="str">
            <v>87.32</v>
          </cell>
        </row>
        <row r="1259">
          <cell r="B1259" t="str">
            <v>0011801516</v>
          </cell>
          <cell r="C1259" t="str">
            <v>变频外电脑板-FR-4300mm*180mm</v>
          </cell>
          <cell r="D1259" t="str">
            <v>91C1</v>
          </cell>
          <cell r="E1259" t="str">
            <v>青岛海达源国内A股采购组织</v>
          </cell>
          <cell r="F1259" t="str">
            <v>寄售</v>
          </cell>
          <cell r="G1259" t="str">
            <v>2026-12-31</v>
          </cell>
          <cell r="H1259" t="str">
            <v>15</v>
          </cell>
          <cell r="I1259" t="str">
            <v>236.16</v>
          </cell>
        </row>
        <row r="1260">
          <cell r="B1260" t="str">
            <v>0011800607S</v>
          </cell>
          <cell r="C1260" t="str">
            <v>显示板-LED</v>
          </cell>
          <cell r="D1260" t="str">
            <v>9163</v>
          </cell>
          <cell r="E1260" t="str">
            <v>大连保税人民币采购组织</v>
          </cell>
          <cell r="F1260" t="str">
            <v>标准</v>
          </cell>
          <cell r="G1260" t="str">
            <v>2026-12-31</v>
          </cell>
          <cell r="H1260" t="str">
            <v>15</v>
          </cell>
          <cell r="I1260" t="str">
            <v>23.05</v>
          </cell>
        </row>
        <row r="1261">
          <cell r="B1261" t="str">
            <v>0041801039C</v>
          </cell>
          <cell r="C1261" t="str">
            <v>电脑板控制板-通用热泵</v>
          </cell>
          <cell r="D1261" t="str">
            <v>91C1</v>
          </cell>
          <cell r="E1261" t="str">
            <v>青岛海达源国内A股采购组织</v>
          </cell>
          <cell r="F1261" t="str">
            <v>寄售</v>
          </cell>
          <cell r="G1261" t="str">
            <v>0000-00-00</v>
          </cell>
          <cell r="H1261" t="str">
            <v>14</v>
          </cell>
          <cell r="I1261" t="str">
            <v>0.00</v>
          </cell>
        </row>
        <row r="1262">
          <cell r="B1262" t="str">
            <v>0011801593C</v>
          </cell>
          <cell r="C1262" t="str">
            <v>室内电脑板-FR-4</v>
          </cell>
          <cell r="D1262" t="str">
            <v>91C1</v>
          </cell>
          <cell r="E1262" t="str">
            <v>青岛海达源国内A股采购组织</v>
          </cell>
          <cell r="F1262" t="str">
            <v>寄售</v>
          </cell>
          <cell r="G1262" t="str">
            <v>2026-12-31</v>
          </cell>
          <cell r="H1262" t="str">
            <v>15</v>
          </cell>
          <cell r="I1262" t="str">
            <v>74.75</v>
          </cell>
        </row>
        <row r="1263">
          <cell r="B1263" t="str">
            <v>0011801720A</v>
          </cell>
          <cell r="C1263" t="str">
            <v>一体机电脑板-FR-4</v>
          </cell>
          <cell r="D1263" t="str">
            <v>9163</v>
          </cell>
          <cell r="E1263" t="str">
            <v>大连保税人民币采购组织</v>
          </cell>
          <cell r="F1263" t="str">
            <v>标准</v>
          </cell>
          <cell r="G1263" t="str">
            <v>2026-12-31</v>
          </cell>
          <cell r="H1263" t="str">
            <v>15</v>
          </cell>
          <cell r="I1263" t="str">
            <v>58.37</v>
          </cell>
        </row>
        <row r="1264">
          <cell r="B1264" t="str">
            <v>0011801720</v>
          </cell>
          <cell r="C1264" t="str">
            <v>一体机电脑板-FR-4</v>
          </cell>
          <cell r="D1264" t="str">
            <v>9163</v>
          </cell>
          <cell r="E1264" t="str">
            <v>大连保税人民币采购组织</v>
          </cell>
          <cell r="F1264" t="str">
            <v>标准</v>
          </cell>
          <cell r="G1264" t="str">
            <v>2026-12-31</v>
          </cell>
          <cell r="H1264" t="str">
            <v>15</v>
          </cell>
          <cell r="I1264" t="str">
            <v>50.85</v>
          </cell>
        </row>
        <row r="1265">
          <cell r="B1265" t="str">
            <v>0041800751AD</v>
          </cell>
          <cell r="C1265" t="str">
            <v>AD显示板-LED350*45电热电控</v>
          </cell>
          <cell r="D1265" t="str">
            <v>91C1</v>
          </cell>
          <cell r="E1265" t="str">
            <v>青岛海达源国内A股采购组织</v>
          </cell>
          <cell r="F1265" t="str">
            <v>寄售</v>
          </cell>
          <cell r="G1265" t="str">
            <v>2026-12-31</v>
          </cell>
          <cell r="H1265" t="str">
            <v>14</v>
          </cell>
          <cell r="I1265" t="str">
            <v>15.62</v>
          </cell>
        </row>
        <row r="1266">
          <cell r="B1266" t="str">
            <v>0041801155D</v>
          </cell>
          <cell r="C1266" t="str">
            <v>电脑板控制板-FR-4-热泵</v>
          </cell>
          <cell r="D1266" t="str">
            <v>91C1</v>
          </cell>
          <cell r="E1266" t="str">
            <v>青岛海达源国内A股采购组织</v>
          </cell>
          <cell r="F1266" t="str">
            <v>寄售</v>
          </cell>
          <cell r="G1266" t="str">
            <v>2026-12-31</v>
          </cell>
          <cell r="H1266" t="str">
            <v>14</v>
          </cell>
          <cell r="I1266" t="str">
            <v>42.90</v>
          </cell>
        </row>
        <row r="1267">
          <cell r="B1267" t="str">
            <v>0190400359AA</v>
          </cell>
          <cell r="C1267" t="str">
            <v>主控板-通用净水-商用零售款同名切换项目主控板</v>
          </cell>
          <cell r="D1267" t="str">
            <v>91C1</v>
          </cell>
          <cell r="E1267" t="str">
            <v>青岛海达源国内A股采购组织</v>
          </cell>
          <cell r="F1267" t="str">
            <v>寄售</v>
          </cell>
          <cell r="G1267" t="str">
            <v>2026-12-31</v>
          </cell>
          <cell r="H1267" t="str">
            <v>7</v>
          </cell>
          <cell r="I1267" t="str">
            <v>87.32</v>
          </cell>
        </row>
        <row r="1268">
          <cell r="B1268" t="str">
            <v>0041800757KA</v>
          </cell>
          <cell r="C1268" t="str">
            <v>电脑板显示板-86*86*20-海尔电辅-通用-热泵</v>
          </cell>
          <cell r="D1268" t="str">
            <v>91C1</v>
          </cell>
          <cell r="E1268" t="str">
            <v>青岛海达源国内A股采购组织</v>
          </cell>
          <cell r="F1268" t="str">
            <v>寄售</v>
          </cell>
          <cell r="G1268" t="str">
            <v>2026-12-31</v>
          </cell>
          <cell r="H1268" t="str">
            <v>14</v>
          </cell>
          <cell r="I1268" t="str">
            <v>68.82</v>
          </cell>
        </row>
        <row r="1269">
          <cell r="B1269" t="str">
            <v>0041801155BA</v>
          </cell>
          <cell r="C1269" t="str">
            <v>电脑板显示板-通用热泵</v>
          </cell>
          <cell r="D1269" t="str">
            <v>91C1</v>
          </cell>
          <cell r="E1269" t="str">
            <v>青岛海达源国内A股采购组织</v>
          </cell>
          <cell r="F1269" t="str">
            <v>寄售</v>
          </cell>
          <cell r="G1269" t="str">
            <v>2026-12-31</v>
          </cell>
          <cell r="H1269" t="str">
            <v>14</v>
          </cell>
          <cell r="I1269" t="str">
            <v>42.90</v>
          </cell>
        </row>
        <row r="1270">
          <cell r="B1270" t="str">
            <v>0041801155DB</v>
          </cell>
          <cell r="C1270" t="str">
            <v>电脑板显示板-FR-4</v>
          </cell>
          <cell r="D1270" t="str">
            <v>91C1</v>
          </cell>
          <cell r="E1270" t="str">
            <v>青岛海达源国内A股采购组织</v>
          </cell>
          <cell r="F1270" t="str">
            <v>寄售</v>
          </cell>
          <cell r="G1270" t="str">
            <v>2026-12-31</v>
          </cell>
          <cell r="H1270" t="str">
            <v>14</v>
          </cell>
          <cell r="I1270" t="str">
            <v>42.90</v>
          </cell>
        </row>
        <row r="1271">
          <cell r="B1271" t="str">
            <v>0190400359AD</v>
          </cell>
          <cell r="C1271" t="str">
            <v>主控板-其他\通用净水商用100A主控板</v>
          </cell>
          <cell r="D1271" t="str">
            <v>91C1</v>
          </cell>
          <cell r="E1271" t="str">
            <v>青岛海达源国内A股采购组织</v>
          </cell>
          <cell r="F1271" t="str">
            <v>寄售</v>
          </cell>
          <cell r="G1271" t="str">
            <v>2026-12-31</v>
          </cell>
          <cell r="H1271" t="str">
            <v>7</v>
          </cell>
          <cell r="I1271" t="str">
            <v>87.35</v>
          </cell>
        </row>
        <row r="1272">
          <cell r="B1272" t="str">
            <v>0190400359AF</v>
          </cell>
          <cell r="C1272" t="str">
            <v>主控板-其他\通用净水商用200AUL主控板</v>
          </cell>
          <cell r="D1272" t="str">
            <v>91C1</v>
          </cell>
          <cell r="E1272" t="str">
            <v>青岛海达源国内A股采购组织</v>
          </cell>
          <cell r="F1272" t="str">
            <v>寄售</v>
          </cell>
          <cell r="G1272" t="str">
            <v>2026-12-31</v>
          </cell>
          <cell r="H1272" t="str">
            <v>7</v>
          </cell>
          <cell r="I1272" t="str">
            <v>87.35</v>
          </cell>
        </row>
        <row r="1273">
          <cell r="B1273" t="str">
            <v>0190400359AE</v>
          </cell>
          <cell r="C1273" t="str">
            <v>主控板-其他\通用净水商用200A主控板</v>
          </cell>
          <cell r="D1273" t="str">
            <v>91C1</v>
          </cell>
          <cell r="E1273" t="str">
            <v>青岛海达源国内A股采购组织</v>
          </cell>
          <cell r="F1273" t="str">
            <v>寄售</v>
          </cell>
          <cell r="G1273" t="str">
            <v>2026-12-31</v>
          </cell>
          <cell r="H1273" t="str">
            <v>7</v>
          </cell>
          <cell r="I1273" t="str">
            <v>87.35</v>
          </cell>
        </row>
        <row r="1274">
          <cell r="B1274" t="str">
            <v>0011801516J</v>
          </cell>
          <cell r="C1274" t="str">
            <v>变频外电脑板-FR-4</v>
          </cell>
          <cell r="D1274" t="str">
            <v>91C1</v>
          </cell>
          <cell r="E1274" t="str">
            <v>青岛海达源国内A股采购组织</v>
          </cell>
          <cell r="F1274" t="str">
            <v>寄售</v>
          </cell>
          <cell r="G1274" t="str">
            <v>2026-12-31</v>
          </cell>
          <cell r="H1274" t="str">
            <v>15</v>
          </cell>
          <cell r="I1274" t="str">
            <v>220.95</v>
          </cell>
        </row>
        <row r="1275">
          <cell r="B1275" t="str">
            <v>0011801516G</v>
          </cell>
          <cell r="C1275" t="str">
            <v>变频外电脑板-FR-4</v>
          </cell>
          <cell r="D1275" t="str">
            <v>91C1</v>
          </cell>
          <cell r="E1275" t="str">
            <v>青岛海达源国内A股采购组织</v>
          </cell>
          <cell r="F1275" t="str">
            <v>寄售</v>
          </cell>
          <cell r="G1275" t="str">
            <v>2026-12-31</v>
          </cell>
          <cell r="H1275" t="str">
            <v>15</v>
          </cell>
          <cell r="I1275" t="str">
            <v>172.68</v>
          </cell>
        </row>
        <row r="1276">
          <cell r="B1276" t="str">
            <v>0011801891</v>
          </cell>
          <cell r="C1276" t="str">
            <v>一体机电脑板-CEM-1</v>
          </cell>
          <cell r="D1276" t="str">
            <v>91C1</v>
          </cell>
          <cell r="E1276" t="str">
            <v>青岛海达源国内A股采购组织</v>
          </cell>
          <cell r="F1276" t="str">
            <v>寄售</v>
          </cell>
          <cell r="G1276" t="str">
            <v>2026-12-31</v>
          </cell>
          <cell r="H1276" t="str">
            <v>15</v>
          </cell>
          <cell r="I1276" t="str">
            <v>27.73</v>
          </cell>
        </row>
        <row r="1277">
          <cell r="B1277" t="str">
            <v>0011800607R</v>
          </cell>
          <cell r="C1277" t="str">
            <v>显示板-LED/</v>
          </cell>
          <cell r="D1277" t="str">
            <v>91C1</v>
          </cell>
          <cell r="E1277" t="str">
            <v>青岛海达源国内A股采购组织</v>
          </cell>
          <cell r="F1277" t="str">
            <v>寄售</v>
          </cell>
          <cell r="G1277" t="str">
            <v>2026-12-31</v>
          </cell>
          <cell r="H1277" t="str">
            <v>15</v>
          </cell>
          <cell r="I1277" t="str">
            <v>22.46</v>
          </cell>
        </row>
        <row r="1278">
          <cell r="B1278" t="str">
            <v>0041801155DA</v>
          </cell>
          <cell r="C1278" t="str">
            <v>电脑板控制板-FR-4</v>
          </cell>
          <cell r="D1278" t="str">
            <v>91C1</v>
          </cell>
          <cell r="E1278" t="str">
            <v>青岛海达源国内A股采购组织</v>
          </cell>
          <cell r="F1278" t="str">
            <v>寄售</v>
          </cell>
          <cell r="G1278" t="str">
            <v>2026-12-31</v>
          </cell>
          <cell r="H1278" t="str">
            <v>14</v>
          </cell>
          <cell r="I1278" t="str">
            <v>42.90</v>
          </cell>
        </row>
        <row r="1279">
          <cell r="B1279" t="str">
            <v>0011801910</v>
          </cell>
          <cell r="C1279" t="str">
            <v>显示板-LED</v>
          </cell>
          <cell r="D1279" t="str">
            <v>91C1</v>
          </cell>
          <cell r="E1279" t="str">
            <v>青岛海达源国内A股采购组织</v>
          </cell>
          <cell r="F1279" t="str">
            <v>寄售</v>
          </cell>
          <cell r="G1279" t="str">
            <v>2026-12-31</v>
          </cell>
          <cell r="H1279" t="str">
            <v>15</v>
          </cell>
          <cell r="I1279" t="str">
            <v>17.23</v>
          </cell>
        </row>
        <row r="1280">
          <cell r="B1280" t="str">
            <v>0011800324</v>
          </cell>
          <cell r="C1280" t="str">
            <v>显示面板-CEM-1</v>
          </cell>
          <cell r="D1280" t="str">
            <v>91M1</v>
          </cell>
          <cell r="E1280" t="str">
            <v>直供国内A股采购组织</v>
          </cell>
          <cell r="F1280" t="str">
            <v>寄售</v>
          </cell>
          <cell r="G1280" t="str">
            <v>2026-12-31</v>
          </cell>
          <cell r="H1280" t="str">
            <v>30</v>
          </cell>
          <cell r="I1280" t="str">
            <v>8.38</v>
          </cell>
        </row>
        <row r="1281">
          <cell r="B1281" t="str">
            <v>0011800387D</v>
          </cell>
          <cell r="C1281" t="str">
            <v>显示面板-FR-4</v>
          </cell>
          <cell r="D1281" t="str">
            <v>91M1</v>
          </cell>
          <cell r="E1281" t="str">
            <v>直供国内A股采购组织</v>
          </cell>
          <cell r="F1281" t="str">
            <v>标准</v>
          </cell>
          <cell r="G1281" t="str">
            <v>2026-12-31</v>
          </cell>
          <cell r="H1281" t="str">
            <v>30</v>
          </cell>
          <cell r="I1281" t="str">
            <v>4.50</v>
          </cell>
        </row>
        <row r="1282">
          <cell r="B1282" t="str">
            <v>0011800630L</v>
          </cell>
          <cell r="C1282" t="str">
            <v>室内电脑板-CEM-1室内电脑板泰国09/12P系列定频室内电脑板</v>
          </cell>
          <cell r="D1282" t="str">
            <v>91M1</v>
          </cell>
          <cell r="E1282" t="str">
            <v>直供国内A股采购组织</v>
          </cell>
          <cell r="F1282" t="str">
            <v>寄售</v>
          </cell>
          <cell r="G1282" t="str">
            <v>2026-12-31</v>
          </cell>
          <cell r="H1282" t="str">
            <v>30</v>
          </cell>
          <cell r="I1282" t="str">
            <v>23.85</v>
          </cell>
        </row>
        <row r="1283">
          <cell r="B1283" t="str">
            <v>0011800646J</v>
          </cell>
          <cell r="C1283" t="str">
            <v>室内电脑板-FR-4</v>
          </cell>
          <cell r="D1283" t="str">
            <v>91M1</v>
          </cell>
          <cell r="E1283" t="str">
            <v>直供国内A股采购组织</v>
          </cell>
          <cell r="F1283" t="str">
            <v>寄售</v>
          </cell>
          <cell r="G1283" t="str">
            <v>2026-12-31</v>
          </cell>
          <cell r="H1283" t="str">
            <v>30</v>
          </cell>
          <cell r="I1283" t="str">
            <v>49.01</v>
          </cell>
        </row>
        <row r="1284">
          <cell r="B1284" t="str">
            <v>0011801256L</v>
          </cell>
          <cell r="C1284" t="str">
            <v>室内电脑板-CEM-1</v>
          </cell>
          <cell r="D1284" t="str">
            <v>91M1</v>
          </cell>
          <cell r="E1284" t="str">
            <v>直供国内A股采购组织</v>
          </cell>
          <cell r="F1284" t="str">
            <v>寄售</v>
          </cell>
          <cell r="G1284" t="str">
            <v>2026-12-31</v>
          </cell>
          <cell r="H1284" t="str">
            <v>3</v>
          </cell>
          <cell r="I1284" t="str">
            <v>32.40</v>
          </cell>
        </row>
        <row r="1285">
          <cell r="B1285" t="str">
            <v>0011801424AA</v>
          </cell>
          <cell r="C1285" t="str">
            <v>变频外电脑板-FR-4/</v>
          </cell>
          <cell r="D1285" t="str">
            <v>91M1</v>
          </cell>
          <cell r="E1285" t="str">
            <v>直供国内A股采购组织</v>
          </cell>
          <cell r="F1285" t="str">
            <v>寄售</v>
          </cell>
          <cell r="G1285" t="str">
            <v>2026-12-31</v>
          </cell>
          <cell r="H1285" t="str">
            <v>30</v>
          </cell>
          <cell r="I1285" t="str">
            <v>133.21</v>
          </cell>
        </row>
        <row r="1286">
          <cell r="B1286" t="str">
            <v>0190400002D</v>
          </cell>
          <cell r="C1286" t="str">
            <v>主控板-//</v>
          </cell>
          <cell r="D1286" t="str">
            <v>91M1</v>
          </cell>
          <cell r="E1286" t="str">
            <v>直供国内A股采购组织</v>
          </cell>
          <cell r="F1286" t="str">
            <v>寄售</v>
          </cell>
          <cell r="G1286" t="str">
            <v>2026-12-31</v>
          </cell>
          <cell r="H1286" t="str">
            <v>7</v>
          </cell>
          <cell r="I1286" t="str">
            <v>37.33</v>
          </cell>
        </row>
        <row r="1287">
          <cell r="B1287" t="str">
            <v>0190400112B</v>
          </cell>
          <cell r="C1287" t="str">
            <v>显示板-/</v>
          </cell>
          <cell r="D1287" t="str">
            <v>91M1</v>
          </cell>
          <cell r="E1287" t="str">
            <v>直供国内A股采购组织</v>
          </cell>
          <cell r="F1287" t="str">
            <v>寄售</v>
          </cell>
          <cell r="G1287" t="str">
            <v>2026-12-31</v>
          </cell>
          <cell r="H1287" t="str">
            <v>7</v>
          </cell>
          <cell r="I1287" t="str">
            <v>19.39</v>
          </cell>
        </row>
        <row r="1288">
          <cell r="B1288" t="str">
            <v>0011801424M</v>
          </cell>
          <cell r="C1288" t="str">
            <v>变频外电脑板-FR-4/</v>
          </cell>
          <cell r="D1288" t="str">
            <v>91M1</v>
          </cell>
          <cell r="E1288" t="str">
            <v>直供国内A股采购组织</v>
          </cell>
          <cell r="F1288" t="str">
            <v>寄售</v>
          </cell>
          <cell r="G1288" t="str">
            <v>2026-12-31</v>
          </cell>
          <cell r="H1288" t="str">
            <v>3</v>
          </cell>
          <cell r="I1288" t="str">
            <v>139.19</v>
          </cell>
        </row>
        <row r="1289">
          <cell r="B1289" t="str">
            <v>0011801516</v>
          </cell>
          <cell r="C1289" t="str">
            <v>变频外电脑板-FR-4300mm*180mm</v>
          </cell>
          <cell r="D1289" t="str">
            <v>91M1</v>
          </cell>
          <cell r="E1289" t="str">
            <v>直供国内A股采购组织</v>
          </cell>
          <cell r="F1289" t="str">
            <v>寄售</v>
          </cell>
          <cell r="G1289" t="str">
            <v>2026-12-31</v>
          </cell>
          <cell r="H1289" t="str">
            <v>15</v>
          </cell>
          <cell r="I1289" t="str">
            <v>236.16</v>
          </cell>
        </row>
        <row r="1290">
          <cell r="B1290" t="str">
            <v>0011801910</v>
          </cell>
          <cell r="C1290" t="str">
            <v>显示板-LED</v>
          </cell>
          <cell r="D1290" t="str">
            <v>91M1</v>
          </cell>
          <cell r="E1290" t="str">
            <v>直供国内A股采购组织</v>
          </cell>
          <cell r="F1290" t="str">
            <v>寄售</v>
          </cell>
          <cell r="G1290" t="str">
            <v>2026-12-31</v>
          </cell>
          <cell r="H1290" t="str">
            <v>15</v>
          </cell>
          <cell r="I1290" t="str">
            <v>17.23</v>
          </cell>
        </row>
        <row r="1291">
          <cell r="B1291" t="str">
            <v>0041801155DA</v>
          </cell>
          <cell r="C1291" t="str">
            <v>电脑板控制板-FR-4</v>
          </cell>
          <cell r="D1291" t="str">
            <v>91M1</v>
          </cell>
          <cell r="E1291" t="str">
            <v>直供国内A股采购组织</v>
          </cell>
          <cell r="F1291" t="str">
            <v>寄售</v>
          </cell>
          <cell r="G1291" t="str">
            <v>2026-12-31</v>
          </cell>
          <cell r="H1291" t="str">
            <v>14</v>
          </cell>
          <cell r="I1291" t="str">
            <v>42.90</v>
          </cell>
        </row>
        <row r="1292">
          <cell r="B1292" t="str">
            <v>0190400174A</v>
          </cell>
          <cell r="C1292" t="str">
            <v>显示板-通用</v>
          </cell>
          <cell r="D1292" t="str">
            <v>91M1</v>
          </cell>
          <cell r="E1292" t="str">
            <v>直供国内A股采购组织</v>
          </cell>
          <cell r="F1292" t="str">
            <v>寄售</v>
          </cell>
          <cell r="G1292" t="str">
            <v>2026-12-31</v>
          </cell>
          <cell r="H1292" t="str">
            <v>7</v>
          </cell>
          <cell r="I1292" t="str">
            <v>9.96</v>
          </cell>
        </row>
        <row r="1293">
          <cell r="B1293" t="str">
            <v>0190400359A</v>
          </cell>
          <cell r="C1293" t="str">
            <v>主控板-通用净水-小商用零售款主控板</v>
          </cell>
          <cell r="D1293" t="str">
            <v>91M1</v>
          </cell>
          <cell r="E1293" t="str">
            <v>直供国内A股采购组织</v>
          </cell>
          <cell r="F1293" t="str">
            <v>寄售</v>
          </cell>
          <cell r="G1293" t="str">
            <v>2026-12-31</v>
          </cell>
          <cell r="H1293" t="str">
            <v>7</v>
          </cell>
          <cell r="I1293" t="str">
            <v>87.32</v>
          </cell>
        </row>
        <row r="1294">
          <cell r="B1294" t="str">
            <v>0011801256B</v>
          </cell>
          <cell r="C1294" t="str">
            <v>室内电脑板-CEM-1</v>
          </cell>
          <cell r="D1294" t="str">
            <v>91M1</v>
          </cell>
          <cell r="E1294" t="str">
            <v>直供国内A股采购组织</v>
          </cell>
          <cell r="F1294" t="str">
            <v>寄售</v>
          </cell>
          <cell r="G1294" t="str">
            <v>2026-12-31</v>
          </cell>
          <cell r="H1294" t="str">
            <v>30</v>
          </cell>
          <cell r="I1294" t="str">
            <v>33.01</v>
          </cell>
        </row>
        <row r="1295">
          <cell r="B1295" t="str">
            <v>0011801256R</v>
          </cell>
          <cell r="C1295" t="str">
            <v>室内电脑板-CEM-1</v>
          </cell>
          <cell r="D1295" t="str">
            <v>91M1</v>
          </cell>
          <cell r="E1295" t="str">
            <v>直供国内A股采购组织</v>
          </cell>
          <cell r="F1295" t="str">
            <v>寄售</v>
          </cell>
          <cell r="G1295" t="str">
            <v>2026-12-31</v>
          </cell>
          <cell r="H1295" t="str">
            <v>30</v>
          </cell>
          <cell r="I1295" t="str">
            <v>32.93</v>
          </cell>
        </row>
        <row r="1296">
          <cell r="B1296" t="str">
            <v>0011801424A</v>
          </cell>
          <cell r="C1296" t="str">
            <v>变频外电脑板-FR-4/</v>
          </cell>
          <cell r="D1296" t="str">
            <v>91M1</v>
          </cell>
          <cell r="E1296" t="str">
            <v>直供国内A股采购组织</v>
          </cell>
          <cell r="F1296" t="str">
            <v>寄售</v>
          </cell>
          <cell r="G1296" t="str">
            <v>2026-12-31</v>
          </cell>
          <cell r="H1296" t="str">
            <v>3</v>
          </cell>
          <cell r="I1296" t="str">
            <v>116.55</v>
          </cell>
        </row>
        <row r="1297">
          <cell r="B1297" t="str">
            <v>0011801424AE</v>
          </cell>
          <cell r="C1297" t="str">
            <v>变频外电脑板-FR-4/</v>
          </cell>
          <cell r="D1297" t="str">
            <v>91M1</v>
          </cell>
          <cell r="E1297" t="str">
            <v>直供国内A股采购组织</v>
          </cell>
          <cell r="F1297" t="str">
            <v>寄售</v>
          </cell>
          <cell r="G1297" t="str">
            <v>2026-12-31</v>
          </cell>
          <cell r="H1297" t="str">
            <v>30</v>
          </cell>
          <cell r="I1297" t="str">
            <v>116.13</v>
          </cell>
        </row>
        <row r="1298">
          <cell r="B1298" t="str">
            <v>0011801424L</v>
          </cell>
          <cell r="C1298" t="str">
            <v>变频外电脑板-FR-4/</v>
          </cell>
          <cell r="D1298" t="str">
            <v>91M1</v>
          </cell>
          <cell r="E1298" t="str">
            <v>直供国内A股采购组织</v>
          </cell>
          <cell r="F1298" t="str">
            <v>寄售</v>
          </cell>
          <cell r="G1298" t="str">
            <v>2026-12-31</v>
          </cell>
          <cell r="H1298" t="str">
            <v>3</v>
          </cell>
          <cell r="I1298" t="str">
            <v>130.83</v>
          </cell>
        </row>
        <row r="1299">
          <cell r="B1299" t="str">
            <v>0011801424V</v>
          </cell>
          <cell r="C1299" t="str">
            <v>变频外电脑板-FR-4/</v>
          </cell>
          <cell r="D1299" t="str">
            <v>91M1</v>
          </cell>
          <cell r="E1299" t="str">
            <v>直供国内A股采购组织</v>
          </cell>
          <cell r="F1299" t="str">
            <v>寄售</v>
          </cell>
          <cell r="G1299" t="str">
            <v>2026-12-31</v>
          </cell>
          <cell r="H1299" t="str">
            <v>3</v>
          </cell>
          <cell r="I1299" t="str">
            <v>139.77</v>
          </cell>
        </row>
        <row r="1300">
          <cell r="B1300" t="str">
            <v>0011801497</v>
          </cell>
          <cell r="C1300" t="str">
            <v>变频外电脑板-FR-4/</v>
          </cell>
          <cell r="D1300" t="str">
            <v>91M1</v>
          </cell>
          <cell r="E1300" t="str">
            <v>直供国内A股采购组织</v>
          </cell>
          <cell r="F1300" t="str">
            <v>寄售</v>
          </cell>
          <cell r="G1300" t="str">
            <v>2026-12-31</v>
          </cell>
          <cell r="H1300" t="str">
            <v>3</v>
          </cell>
          <cell r="I1300" t="str">
            <v>125.32</v>
          </cell>
        </row>
        <row r="1301">
          <cell r="B1301" t="str">
            <v>0011801516D</v>
          </cell>
          <cell r="C1301" t="str">
            <v>变频外电脑板-FR-4</v>
          </cell>
          <cell r="D1301" t="str">
            <v>91M1</v>
          </cell>
          <cell r="E1301" t="str">
            <v>直供国内A股采购组织</v>
          </cell>
          <cell r="F1301" t="str">
            <v>寄售</v>
          </cell>
          <cell r="G1301" t="str">
            <v>2026-12-31</v>
          </cell>
          <cell r="H1301" t="str">
            <v>15</v>
          </cell>
          <cell r="I1301" t="str">
            <v>206.68</v>
          </cell>
        </row>
        <row r="1302">
          <cell r="B1302" t="str">
            <v>0011801891</v>
          </cell>
          <cell r="C1302" t="str">
            <v>一体机电脑板-CEM-1</v>
          </cell>
          <cell r="D1302" t="str">
            <v>91M1</v>
          </cell>
          <cell r="E1302" t="str">
            <v>直供国内A股采购组织</v>
          </cell>
          <cell r="F1302" t="str">
            <v>寄售</v>
          </cell>
          <cell r="G1302" t="str">
            <v>2026-12-31</v>
          </cell>
          <cell r="H1302" t="str">
            <v>15</v>
          </cell>
          <cell r="I1302" t="str">
            <v>27.73</v>
          </cell>
        </row>
        <row r="1303">
          <cell r="B1303" t="str">
            <v>0011800324N</v>
          </cell>
          <cell r="C1303" t="str">
            <v>显示面板-CEM-1</v>
          </cell>
          <cell r="D1303" t="str">
            <v>91M1</v>
          </cell>
          <cell r="E1303" t="str">
            <v>直供国内A股采购组织</v>
          </cell>
          <cell r="F1303" t="str">
            <v>寄售</v>
          </cell>
          <cell r="G1303" t="str">
            <v>2026-12-31</v>
          </cell>
          <cell r="H1303" t="str">
            <v>30</v>
          </cell>
          <cell r="I1303" t="str">
            <v>8.59</v>
          </cell>
        </row>
        <row r="1304">
          <cell r="B1304" t="str">
            <v>0011800376AG</v>
          </cell>
          <cell r="C1304" t="str">
            <v>室内电脑板-CEM-1</v>
          </cell>
          <cell r="D1304" t="str">
            <v>91M1</v>
          </cell>
          <cell r="E1304" t="str">
            <v>直供国内A股采购组织</v>
          </cell>
          <cell r="F1304" t="str">
            <v>寄售</v>
          </cell>
          <cell r="G1304" t="str">
            <v>2026-12-31</v>
          </cell>
          <cell r="H1304" t="str">
            <v>10</v>
          </cell>
          <cell r="I1304" t="str">
            <v>41.11</v>
          </cell>
        </row>
        <row r="1305">
          <cell r="B1305" t="str">
            <v>0011800377X</v>
          </cell>
          <cell r="C1305" t="str">
            <v>功率驱动板-FR-4SNB130FYQMC压缩机30ARX62T模块驱动板30A</v>
          </cell>
          <cell r="D1305" t="str">
            <v>91M1</v>
          </cell>
          <cell r="E1305" t="str">
            <v>直供国内A股采购组织</v>
          </cell>
          <cell r="F1305" t="str">
            <v>寄售</v>
          </cell>
          <cell r="G1305" t="str">
            <v>2026-12-31</v>
          </cell>
          <cell r="H1305" t="str">
            <v>3</v>
          </cell>
          <cell r="I1305" t="str">
            <v>107.38</v>
          </cell>
        </row>
        <row r="1306">
          <cell r="B1306" t="str">
            <v>0011800387D</v>
          </cell>
          <cell r="C1306" t="str">
            <v>显示面板-FR-4</v>
          </cell>
          <cell r="D1306" t="str">
            <v>91M1</v>
          </cell>
          <cell r="E1306" t="str">
            <v>直供国内A股采购组织</v>
          </cell>
          <cell r="F1306" t="str">
            <v>寄售</v>
          </cell>
          <cell r="G1306" t="str">
            <v>2026-12-31</v>
          </cell>
          <cell r="H1306" t="str">
            <v>30</v>
          </cell>
          <cell r="I1306" t="str">
            <v>4.50</v>
          </cell>
        </row>
        <row r="1307">
          <cell r="B1307" t="str">
            <v>0011800612Q</v>
          </cell>
          <cell r="C1307" t="str">
            <v>室内电脑板-CEM-1</v>
          </cell>
          <cell r="D1307" t="str">
            <v>91M1</v>
          </cell>
          <cell r="E1307" t="str">
            <v>直供国内A股采购组织</v>
          </cell>
          <cell r="F1307" t="str">
            <v>寄售</v>
          </cell>
          <cell r="G1307" t="str">
            <v>2026-12-31</v>
          </cell>
          <cell r="H1307" t="str">
            <v>30</v>
          </cell>
          <cell r="I1307" t="str">
            <v>29.09</v>
          </cell>
        </row>
        <row r="1308">
          <cell r="B1308" t="str">
            <v>0011800612W</v>
          </cell>
          <cell r="C1308" t="str">
            <v>室内电脑板-CEM-1\</v>
          </cell>
          <cell r="D1308" t="str">
            <v>91M1</v>
          </cell>
          <cell r="E1308" t="str">
            <v>直供国内A股采购组织</v>
          </cell>
          <cell r="F1308" t="str">
            <v>寄售</v>
          </cell>
          <cell r="G1308" t="str">
            <v>2026-12-31</v>
          </cell>
          <cell r="H1308" t="str">
            <v>30</v>
          </cell>
          <cell r="I1308" t="str">
            <v>26.66</v>
          </cell>
        </row>
        <row r="1309">
          <cell r="B1309" t="str">
            <v>0011800612X</v>
          </cell>
          <cell r="C1309" t="str">
            <v>室内电脑板-CEM-1\\</v>
          </cell>
          <cell r="D1309" t="str">
            <v>91M1</v>
          </cell>
          <cell r="E1309" t="str">
            <v>直供国内A股采购组织</v>
          </cell>
          <cell r="F1309" t="str">
            <v>寄售</v>
          </cell>
          <cell r="G1309" t="str">
            <v>2026-12-31</v>
          </cell>
          <cell r="H1309" t="str">
            <v>30</v>
          </cell>
          <cell r="I1309" t="str">
            <v>28.57</v>
          </cell>
        </row>
        <row r="1310">
          <cell r="B1310" t="str">
            <v>0011800630K</v>
          </cell>
          <cell r="C1310" t="str">
            <v>室内电脑板-CEM-1室内电脑板</v>
          </cell>
          <cell r="D1310" t="str">
            <v>91M1</v>
          </cell>
          <cell r="E1310" t="str">
            <v>直供国内A股采购组织</v>
          </cell>
          <cell r="F1310" t="str">
            <v>寄售</v>
          </cell>
          <cell r="G1310" t="str">
            <v>2026-12-31</v>
          </cell>
          <cell r="H1310" t="str">
            <v>30</v>
          </cell>
          <cell r="I1310" t="str">
            <v>25.65</v>
          </cell>
        </row>
        <row r="1311">
          <cell r="B1311" t="str">
            <v>0011800630P</v>
          </cell>
          <cell r="C1311" t="str">
            <v>室内电脑板-CEM-1室内电脑板(压敏、保险和继电器防爆)印尼290项目室内电脑</v>
          </cell>
          <cell r="D1311" t="str">
            <v>91M1</v>
          </cell>
          <cell r="E1311" t="str">
            <v>直供国内A股采购组织</v>
          </cell>
          <cell r="F1311" t="str">
            <v>寄售</v>
          </cell>
          <cell r="G1311" t="str">
            <v>2026-12-31</v>
          </cell>
          <cell r="H1311" t="str">
            <v>30</v>
          </cell>
          <cell r="I1311" t="str">
            <v>25.90</v>
          </cell>
        </row>
        <row r="1312">
          <cell r="B1312" t="str">
            <v>0011800630Z</v>
          </cell>
          <cell r="C1312" t="str">
            <v>室内电脑板-CEM-3室内电脑板马来09/12室内电脑板</v>
          </cell>
          <cell r="D1312" t="str">
            <v>91M1</v>
          </cell>
          <cell r="E1312" t="str">
            <v>直供国内A股采购组织</v>
          </cell>
          <cell r="F1312" t="str">
            <v>寄售</v>
          </cell>
          <cell r="G1312" t="str">
            <v>2026-12-31</v>
          </cell>
          <cell r="H1312" t="str">
            <v>30</v>
          </cell>
          <cell r="I1312" t="str">
            <v>34.68</v>
          </cell>
        </row>
        <row r="1313">
          <cell r="B1313" t="str">
            <v>0011800646</v>
          </cell>
          <cell r="C1313" t="str">
            <v>室内电脑板-FR-4</v>
          </cell>
          <cell r="D1313" t="str">
            <v>91M1</v>
          </cell>
          <cell r="E1313" t="str">
            <v>直供国内A股采购组织</v>
          </cell>
          <cell r="F1313" t="str">
            <v>寄售</v>
          </cell>
          <cell r="G1313" t="str">
            <v>2026-12-31</v>
          </cell>
          <cell r="H1313" t="str">
            <v>30</v>
          </cell>
          <cell r="I1313" t="str">
            <v>45.63</v>
          </cell>
        </row>
        <row r="1314">
          <cell r="B1314" t="str">
            <v>0011800646G</v>
          </cell>
          <cell r="C1314" t="str">
            <v>室内电脑板-FR-4---</v>
          </cell>
          <cell r="D1314" t="str">
            <v>91M1</v>
          </cell>
          <cell r="E1314" t="str">
            <v>直供国内A股采购组织</v>
          </cell>
          <cell r="F1314" t="str">
            <v>寄售</v>
          </cell>
          <cell r="G1314" t="str">
            <v>2026-12-31</v>
          </cell>
          <cell r="H1314" t="str">
            <v>30</v>
          </cell>
          <cell r="I1314" t="str">
            <v>49.66</v>
          </cell>
        </row>
        <row r="1315">
          <cell r="B1315" t="str">
            <v>0011800646L</v>
          </cell>
          <cell r="C1315" t="str">
            <v>室内电脑板-FR-4/</v>
          </cell>
          <cell r="D1315" t="str">
            <v>91M1</v>
          </cell>
          <cell r="E1315" t="str">
            <v>直供国内A股采购组织</v>
          </cell>
          <cell r="F1315" t="str">
            <v>寄售</v>
          </cell>
          <cell r="G1315" t="str">
            <v>2026-12-31</v>
          </cell>
          <cell r="H1315" t="str">
            <v>30</v>
          </cell>
          <cell r="I1315" t="str">
            <v>40.97</v>
          </cell>
        </row>
        <row r="1316">
          <cell r="B1316" t="str">
            <v>0011800827Y</v>
          </cell>
          <cell r="C1316" t="str">
            <v>变频外电脑板-FR-4</v>
          </cell>
          <cell r="D1316" t="str">
            <v>91M1</v>
          </cell>
          <cell r="E1316" t="str">
            <v>直供国内A股采购组织</v>
          </cell>
          <cell r="F1316" t="str">
            <v>寄售</v>
          </cell>
          <cell r="G1316" t="str">
            <v>2026-12-31</v>
          </cell>
          <cell r="H1316" t="str">
            <v>10</v>
          </cell>
          <cell r="I1316" t="str">
            <v>152.45</v>
          </cell>
        </row>
        <row r="1317">
          <cell r="B1317" t="str">
            <v>0011800977B</v>
          </cell>
          <cell r="C1317" t="str">
            <v>室内电脑板-CEM-1/</v>
          </cell>
          <cell r="D1317" t="str">
            <v>91M1</v>
          </cell>
          <cell r="E1317" t="str">
            <v>直供国内A股采购组织</v>
          </cell>
          <cell r="F1317" t="str">
            <v>寄售</v>
          </cell>
          <cell r="G1317" t="str">
            <v>2026-12-31</v>
          </cell>
          <cell r="H1317" t="str">
            <v>10</v>
          </cell>
          <cell r="I1317" t="str">
            <v>28.99</v>
          </cell>
        </row>
        <row r="1318">
          <cell r="B1318" t="str">
            <v>0011800977C</v>
          </cell>
          <cell r="C1318" t="str">
            <v>室内电脑板-CEM-1/</v>
          </cell>
          <cell r="D1318" t="str">
            <v>91M1</v>
          </cell>
          <cell r="E1318" t="str">
            <v>直供国内A股采购组织</v>
          </cell>
          <cell r="F1318" t="str">
            <v>寄售</v>
          </cell>
          <cell r="G1318" t="str">
            <v>2026-12-31</v>
          </cell>
          <cell r="H1318" t="str">
            <v>10</v>
          </cell>
          <cell r="I1318" t="str">
            <v>28.59</v>
          </cell>
        </row>
        <row r="1319">
          <cell r="B1319" t="str">
            <v>0011800977K</v>
          </cell>
          <cell r="C1319" t="str">
            <v>室内电脑板-CEM-1/</v>
          </cell>
          <cell r="D1319" t="str">
            <v>91M1</v>
          </cell>
          <cell r="E1319" t="str">
            <v>直供国内A股采购组织</v>
          </cell>
          <cell r="F1319" t="str">
            <v>寄售</v>
          </cell>
          <cell r="G1319" t="str">
            <v>2026-12-31</v>
          </cell>
          <cell r="H1319" t="str">
            <v>3</v>
          </cell>
          <cell r="I1319" t="str">
            <v>28.53</v>
          </cell>
        </row>
        <row r="1320">
          <cell r="B1320" t="str">
            <v>0011800981H</v>
          </cell>
          <cell r="C1320" t="str">
            <v>变频外电脑板-FR-4230*196</v>
          </cell>
          <cell r="D1320" t="str">
            <v>91M1</v>
          </cell>
          <cell r="E1320" t="str">
            <v>直供国内A股采购组织</v>
          </cell>
          <cell r="F1320" t="str">
            <v>寄售</v>
          </cell>
          <cell r="G1320" t="str">
            <v>2026-12-31</v>
          </cell>
          <cell r="H1320" t="str">
            <v>3</v>
          </cell>
          <cell r="I1320" t="str">
            <v>126.30</v>
          </cell>
        </row>
        <row r="1321">
          <cell r="B1321" t="str">
            <v>0011801036</v>
          </cell>
          <cell r="C1321" t="str">
            <v>一体机电脑板-FR-4强电板</v>
          </cell>
          <cell r="D1321" t="str">
            <v>91M1</v>
          </cell>
          <cell r="E1321" t="str">
            <v>直供国内A股采购组织</v>
          </cell>
          <cell r="F1321" t="str">
            <v>寄售</v>
          </cell>
          <cell r="G1321" t="str">
            <v>2026-12-31</v>
          </cell>
          <cell r="H1321" t="str">
            <v>30</v>
          </cell>
          <cell r="I1321" t="str">
            <v>142.05</v>
          </cell>
        </row>
        <row r="1322">
          <cell r="B1322" t="str">
            <v>0011801172BD</v>
          </cell>
          <cell r="C1322" t="str">
            <v>变频外电脑板-FR-4240*180</v>
          </cell>
          <cell r="D1322" t="str">
            <v>91M1</v>
          </cell>
          <cell r="E1322" t="str">
            <v>直供国内A股采购组织</v>
          </cell>
          <cell r="F1322" t="str">
            <v>寄售</v>
          </cell>
          <cell r="G1322" t="str">
            <v>2026-12-31</v>
          </cell>
          <cell r="H1322" t="str">
            <v>30</v>
          </cell>
          <cell r="I1322" t="str">
            <v>152.05</v>
          </cell>
        </row>
        <row r="1323">
          <cell r="B1323" t="str">
            <v>0011801172BT</v>
          </cell>
          <cell r="C1323" t="str">
            <v>变频外电脑板-FR-4</v>
          </cell>
          <cell r="D1323" t="str">
            <v>91M1</v>
          </cell>
          <cell r="E1323" t="str">
            <v>直供国内A股采购组织</v>
          </cell>
          <cell r="F1323" t="str">
            <v>寄售</v>
          </cell>
          <cell r="G1323" t="str">
            <v>2026-12-31</v>
          </cell>
          <cell r="H1323" t="str">
            <v>30</v>
          </cell>
          <cell r="I1323" t="str">
            <v>183.31</v>
          </cell>
        </row>
        <row r="1324">
          <cell r="B1324" t="str">
            <v>0011801172CG</v>
          </cell>
          <cell r="C1324" t="str">
            <v>变频外电脑板-FR-4240*180</v>
          </cell>
          <cell r="D1324" t="str">
            <v>91M1</v>
          </cell>
          <cell r="E1324" t="str">
            <v>直供国内A股采购组织</v>
          </cell>
          <cell r="F1324" t="str">
            <v>寄售</v>
          </cell>
          <cell r="G1324" t="str">
            <v>2026-12-31</v>
          </cell>
          <cell r="H1324" t="str">
            <v>30</v>
          </cell>
          <cell r="I1324" t="str">
            <v>187.96</v>
          </cell>
        </row>
        <row r="1325">
          <cell r="B1325" t="str">
            <v>0011801172CH</v>
          </cell>
          <cell r="C1325" t="str">
            <v>变频外电脑板-FR-4240*180</v>
          </cell>
          <cell r="D1325" t="str">
            <v>91M1</v>
          </cell>
          <cell r="E1325" t="str">
            <v>直供国内A股采购组织</v>
          </cell>
          <cell r="F1325" t="str">
            <v>寄售</v>
          </cell>
          <cell r="G1325" t="str">
            <v>2026-12-31</v>
          </cell>
          <cell r="H1325" t="str">
            <v>30</v>
          </cell>
          <cell r="I1325" t="str">
            <v>172.04</v>
          </cell>
        </row>
        <row r="1326">
          <cell r="B1326" t="str">
            <v>0031800374</v>
          </cell>
          <cell r="C1326" t="str">
            <v>显示板-通用/</v>
          </cell>
          <cell r="D1326" t="str">
            <v>91M1</v>
          </cell>
          <cell r="E1326" t="str">
            <v>直供国内A股采购组织</v>
          </cell>
          <cell r="F1326" t="str">
            <v>寄售</v>
          </cell>
          <cell r="G1326" t="str">
            <v>2026-12-31</v>
          </cell>
          <cell r="H1326" t="str">
            <v>10</v>
          </cell>
          <cell r="I1326" t="str">
            <v>56.78</v>
          </cell>
        </row>
        <row r="1327">
          <cell r="B1327" t="str">
            <v>0190400112F</v>
          </cell>
          <cell r="C1327" t="str">
            <v>主控板-通用105mm*58mm'净水</v>
          </cell>
          <cell r="D1327" t="str">
            <v>91M1</v>
          </cell>
          <cell r="E1327" t="str">
            <v>直供国内A股采购组织</v>
          </cell>
          <cell r="F1327" t="str">
            <v>寄售</v>
          </cell>
          <cell r="G1327" t="str">
            <v>2026-12-31</v>
          </cell>
          <cell r="H1327" t="str">
            <v>7</v>
          </cell>
          <cell r="I1327" t="str">
            <v>19.36</v>
          </cell>
        </row>
        <row r="1328">
          <cell r="B1328" t="str">
            <v>0190400359AC</v>
          </cell>
          <cell r="C1328" t="str">
            <v>主控板</v>
          </cell>
          <cell r="D1328" t="str">
            <v>91M1</v>
          </cell>
          <cell r="E1328" t="str">
            <v>直供国内A股采购组织</v>
          </cell>
          <cell r="F1328" t="str">
            <v>寄售</v>
          </cell>
          <cell r="G1328" t="str">
            <v>2026-12-31</v>
          </cell>
          <cell r="H1328" t="str">
            <v>7</v>
          </cell>
          <cell r="I1328" t="str">
            <v>87.32</v>
          </cell>
        </row>
        <row r="1329">
          <cell r="B1329" t="str">
            <v>0190400359AF</v>
          </cell>
          <cell r="C1329" t="str">
            <v>主控板-其他\通用净水商用200AUL主控板</v>
          </cell>
          <cell r="D1329" t="str">
            <v>91M1</v>
          </cell>
          <cell r="E1329" t="str">
            <v>直供国内A股采购组织</v>
          </cell>
          <cell r="F1329" t="str">
            <v>寄售</v>
          </cell>
          <cell r="G1329" t="str">
            <v>2026-12-31</v>
          </cell>
          <cell r="H1329" t="str">
            <v>7</v>
          </cell>
          <cell r="I1329" t="str">
            <v>87.35</v>
          </cell>
        </row>
        <row r="1330">
          <cell r="B1330" t="str">
            <v>0031800386JL</v>
          </cell>
          <cell r="C1330" t="str">
            <v>DP一体板-通用</v>
          </cell>
          <cell r="D1330" t="str">
            <v>91M1</v>
          </cell>
          <cell r="E1330" t="str">
            <v>直供国内A股采购组织</v>
          </cell>
          <cell r="F1330" t="str">
            <v>寄售</v>
          </cell>
          <cell r="G1330" t="str">
            <v>2026-12-31</v>
          </cell>
          <cell r="H1330" t="str">
            <v>10</v>
          </cell>
          <cell r="I1330" t="str">
            <v>29.80</v>
          </cell>
        </row>
        <row r="1331">
          <cell r="B1331" t="str">
            <v>0041800773ACYS</v>
          </cell>
          <cell r="C1331" t="str">
            <v>AD显示板-LED-EC6002/8002-KM3U1-电热</v>
          </cell>
          <cell r="D1331" t="str">
            <v>91M1</v>
          </cell>
          <cell r="E1331" t="str">
            <v>直供国内A股采购组织</v>
          </cell>
          <cell r="F1331" t="str">
            <v>寄售</v>
          </cell>
          <cell r="G1331" t="str">
            <v>2026-12-31</v>
          </cell>
          <cell r="H1331" t="str">
            <v>14</v>
          </cell>
          <cell r="I1331" t="str">
            <v>12.74</v>
          </cell>
        </row>
        <row r="1332">
          <cell r="B1332" t="str">
            <v>0041800898A</v>
          </cell>
          <cell r="C1332" t="str">
            <v>电源板-CEM-1继电器16A,开关电源方案</v>
          </cell>
          <cell r="D1332" t="str">
            <v>91M1</v>
          </cell>
          <cell r="E1332" t="str">
            <v>直供国内A股采购组织</v>
          </cell>
          <cell r="F1332" t="str">
            <v>寄售</v>
          </cell>
          <cell r="G1332" t="str">
            <v>2026-12-31</v>
          </cell>
          <cell r="H1332" t="str">
            <v>14</v>
          </cell>
          <cell r="I1332" t="str">
            <v>25.37</v>
          </cell>
        </row>
        <row r="1333">
          <cell r="B1333" t="str">
            <v>0041801039</v>
          </cell>
          <cell r="C1333" t="str">
            <v>电脑板控制板-/热泵</v>
          </cell>
          <cell r="D1333" t="str">
            <v>91M1</v>
          </cell>
          <cell r="E1333" t="str">
            <v>直供国内A股采购组织</v>
          </cell>
          <cell r="F1333" t="str">
            <v>寄售</v>
          </cell>
          <cell r="G1333" t="str">
            <v>2026-12-31</v>
          </cell>
          <cell r="H1333" t="str">
            <v>14</v>
          </cell>
          <cell r="I1333" t="str">
            <v>77.42</v>
          </cell>
        </row>
        <row r="1334">
          <cell r="B1334" t="str">
            <v>0041801155D</v>
          </cell>
          <cell r="C1334" t="str">
            <v>电脑板控制板-FR-4-热泵</v>
          </cell>
          <cell r="D1334" t="str">
            <v>91M1</v>
          </cell>
          <cell r="E1334" t="str">
            <v>直供国内A股采购组织</v>
          </cell>
          <cell r="F1334" t="str">
            <v>寄售</v>
          </cell>
          <cell r="G1334" t="str">
            <v>2026-12-31</v>
          </cell>
          <cell r="H1334" t="str">
            <v>14</v>
          </cell>
          <cell r="I1334" t="str">
            <v>42.90</v>
          </cell>
        </row>
        <row r="1335">
          <cell r="B1335" t="str">
            <v>0011801372A</v>
          </cell>
          <cell r="C1335" t="str">
            <v>变频外电脑板-FR-4205mm*157mm</v>
          </cell>
          <cell r="D1335" t="str">
            <v>91M1</v>
          </cell>
          <cell r="E1335" t="str">
            <v>直供国内A股采购组织</v>
          </cell>
          <cell r="F1335" t="str">
            <v>寄售</v>
          </cell>
          <cell r="G1335" t="str">
            <v>2026-12-31</v>
          </cell>
          <cell r="H1335" t="str">
            <v>3</v>
          </cell>
          <cell r="I1335" t="str">
            <v>91.59</v>
          </cell>
        </row>
        <row r="1336">
          <cell r="B1336" t="str">
            <v>0011801372B</v>
          </cell>
          <cell r="C1336" t="str">
            <v>变频外电脑板-FR-4205mm*157mm</v>
          </cell>
          <cell r="D1336" t="str">
            <v>91M1</v>
          </cell>
          <cell r="E1336" t="str">
            <v>直供国内A股采购组织</v>
          </cell>
          <cell r="F1336" t="str">
            <v>寄售</v>
          </cell>
          <cell r="G1336" t="str">
            <v>2026-12-31</v>
          </cell>
          <cell r="H1336" t="str">
            <v>30</v>
          </cell>
          <cell r="I1336" t="str">
            <v>88.06</v>
          </cell>
        </row>
        <row r="1337">
          <cell r="B1337" t="str">
            <v>0011801424E</v>
          </cell>
          <cell r="C1337" t="str">
            <v>变频外电脑板-FR-4/</v>
          </cell>
          <cell r="D1337" t="str">
            <v>91M1</v>
          </cell>
          <cell r="E1337" t="str">
            <v>直供国内A股采购组织</v>
          </cell>
          <cell r="F1337" t="str">
            <v>寄售</v>
          </cell>
          <cell r="G1337" t="str">
            <v>2026-12-31</v>
          </cell>
          <cell r="H1337" t="str">
            <v>3</v>
          </cell>
          <cell r="I1337" t="str">
            <v>144.39</v>
          </cell>
        </row>
        <row r="1338">
          <cell r="B1338" t="str">
            <v>0011801424F</v>
          </cell>
          <cell r="C1338" t="str">
            <v>变频外电脑板-FR-4/</v>
          </cell>
          <cell r="D1338" t="str">
            <v>91M1</v>
          </cell>
          <cell r="E1338" t="str">
            <v>直供国内A股采购组织</v>
          </cell>
          <cell r="F1338" t="str">
            <v>寄售</v>
          </cell>
          <cell r="G1338" t="str">
            <v>2026-12-31</v>
          </cell>
          <cell r="H1338" t="str">
            <v>3</v>
          </cell>
          <cell r="I1338" t="str">
            <v>145.49</v>
          </cell>
        </row>
        <row r="1339">
          <cell r="B1339" t="str">
            <v>0011801425D</v>
          </cell>
          <cell r="C1339" t="str">
            <v>变频外电脑板-FR-4</v>
          </cell>
          <cell r="D1339" t="str">
            <v>91M1</v>
          </cell>
          <cell r="E1339" t="str">
            <v>直供国内A股采购组织</v>
          </cell>
          <cell r="F1339" t="str">
            <v>寄售</v>
          </cell>
          <cell r="G1339" t="str">
            <v>2026-12-31</v>
          </cell>
          <cell r="H1339" t="str">
            <v>3</v>
          </cell>
          <cell r="I1339" t="str">
            <v>107.73</v>
          </cell>
        </row>
        <row r="1340">
          <cell r="B1340" t="str">
            <v>0011801425E</v>
          </cell>
          <cell r="C1340" t="str">
            <v>变频外电脑板-FR-4</v>
          </cell>
          <cell r="D1340" t="str">
            <v>91M1</v>
          </cell>
          <cell r="E1340" t="str">
            <v>直供国内A股采购组织</v>
          </cell>
          <cell r="F1340" t="str">
            <v>寄售</v>
          </cell>
          <cell r="G1340" t="str">
            <v>2026-12-31</v>
          </cell>
          <cell r="H1340" t="str">
            <v>3</v>
          </cell>
          <cell r="I1340" t="str">
            <v>121.87</v>
          </cell>
        </row>
        <row r="1341">
          <cell r="B1341" t="str">
            <v>0011801516K</v>
          </cell>
          <cell r="C1341" t="str">
            <v>变频外电脑板-其他\FR-4-</v>
          </cell>
          <cell r="D1341" t="str">
            <v>91M1</v>
          </cell>
          <cell r="E1341" t="str">
            <v>直供国内A股采购组织</v>
          </cell>
          <cell r="F1341" t="str">
            <v>寄售</v>
          </cell>
          <cell r="G1341" t="str">
            <v>2026-12-31</v>
          </cell>
          <cell r="H1341" t="str">
            <v>15</v>
          </cell>
          <cell r="I1341" t="str">
            <v>249.96</v>
          </cell>
        </row>
        <row r="1342">
          <cell r="B1342" t="str">
            <v>0011801583A</v>
          </cell>
          <cell r="C1342" t="str">
            <v>室内电脑板-/162mm*130mm</v>
          </cell>
          <cell r="D1342" t="str">
            <v>91M1</v>
          </cell>
          <cell r="E1342" t="str">
            <v>直供国内A股采购组织</v>
          </cell>
          <cell r="F1342" t="str">
            <v>寄售</v>
          </cell>
          <cell r="G1342" t="str">
            <v>2026-12-31</v>
          </cell>
          <cell r="H1342" t="str">
            <v>30</v>
          </cell>
          <cell r="I1342" t="str">
            <v>29.83</v>
          </cell>
        </row>
        <row r="1343">
          <cell r="B1343" t="str">
            <v>0011801330A</v>
          </cell>
          <cell r="C1343" t="str">
            <v>室内电脑板-CEM-1</v>
          </cell>
          <cell r="D1343" t="str">
            <v>91M1</v>
          </cell>
          <cell r="E1343" t="str">
            <v>直供国内A股采购组织</v>
          </cell>
          <cell r="F1343" t="str">
            <v>寄售</v>
          </cell>
          <cell r="G1343" t="str">
            <v>2026-12-31</v>
          </cell>
          <cell r="H1343" t="str">
            <v>3</v>
          </cell>
          <cell r="I1343" t="str">
            <v>51.44</v>
          </cell>
        </row>
        <row r="1344">
          <cell r="B1344" t="str">
            <v>0011801424D</v>
          </cell>
          <cell r="C1344" t="str">
            <v>变频外电脑板-FR-4/</v>
          </cell>
          <cell r="D1344" t="str">
            <v>91M1</v>
          </cell>
          <cell r="E1344" t="str">
            <v>直供国内A股采购组织</v>
          </cell>
          <cell r="F1344" t="str">
            <v>寄售</v>
          </cell>
          <cell r="G1344" t="str">
            <v>2026-12-31</v>
          </cell>
          <cell r="H1344" t="str">
            <v>3</v>
          </cell>
          <cell r="I1344" t="str">
            <v>136.88</v>
          </cell>
        </row>
        <row r="1345">
          <cell r="B1345" t="str">
            <v>0011801424Z</v>
          </cell>
          <cell r="C1345" t="str">
            <v>变频外电脑板-FR-4/</v>
          </cell>
          <cell r="D1345" t="str">
            <v>91M1</v>
          </cell>
          <cell r="E1345" t="str">
            <v>直供国内A股采购组织</v>
          </cell>
          <cell r="F1345" t="str">
            <v>寄售</v>
          </cell>
          <cell r="G1345" t="str">
            <v>2026-12-31</v>
          </cell>
          <cell r="H1345" t="str">
            <v>30</v>
          </cell>
          <cell r="I1345" t="str">
            <v>137.83</v>
          </cell>
        </row>
        <row r="1346">
          <cell r="B1346" t="str">
            <v>0011801516J</v>
          </cell>
          <cell r="C1346" t="str">
            <v>变频外电脑板-FR-4</v>
          </cell>
          <cell r="D1346" t="str">
            <v>91M1</v>
          </cell>
          <cell r="E1346" t="str">
            <v>直供国内A股采购组织</v>
          </cell>
          <cell r="F1346" t="str">
            <v>寄售</v>
          </cell>
          <cell r="G1346" t="str">
            <v>2026-12-31</v>
          </cell>
          <cell r="H1346" t="str">
            <v>15</v>
          </cell>
          <cell r="I1346" t="str">
            <v>220.95</v>
          </cell>
        </row>
        <row r="1347">
          <cell r="B1347" t="str">
            <v>0021800442GA</v>
          </cell>
          <cell r="C1347" t="str">
            <v>显示板-LED12VDC12VDC</v>
          </cell>
          <cell r="D1347" t="str">
            <v>91M1</v>
          </cell>
          <cell r="E1347" t="str">
            <v>直供国内A股采购组织</v>
          </cell>
          <cell r="F1347" t="str">
            <v>寄售</v>
          </cell>
          <cell r="G1347" t="str">
            <v>2026-12-31</v>
          </cell>
          <cell r="H1347" t="str">
            <v>10</v>
          </cell>
          <cell r="I1347" t="str">
            <v>27.72</v>
          </cell>
        </row>
        <row r="1348">
          <cell r="B1348" t="str">
            <v>0021800442GB</v>
          </cell>
          <cell r="C1348" t="str">
            <v>显示板-LED</v>
          </cell>
          <cell r="D1348" t="str">
            <v>91M1</v>
          </cell>
          <cell r="E1348" t="str">
            <v>直供国内A股采购组织</v>
          </cell>
          <cell r="F1348" t="str">
            <v>寄售</v>
          </cell>
          <cell r="G1348" t="str">
            <v>2026-12-31</v>
          </cell>
          <cell r="H1348" t="str">
            <v>10</v>
          </cell>
          <cell r="I1348" t="str">
            <v>27.72</v>
          </cell>
        </row>
        <row r="1349">
          <cell r="B1349" t="str">
            <v>0041800569B</v>
          </cell>
          <cell r="C1349" t="str">
            <v>AD电源板-通用AD电源板-AD电源板</v>
          </cell>
          <cell r="D1349" t="str">
            <v>91M1</v>
          </cell>
          <cell r="E1349" t="str">
            <v>直供国内A股采购组织</v>
          </cell>
          <cell r="F1349" t="str">
            <v>寄售</v>
          </cell>
          <cell r="G1349" t="str">
            <v>2026-12-31</v>
          </cell>
          <cell r="H1349" t="str">
            <v>14</v>
          </cell>
          <cell r="I1349" t="str">
            <v>20.43</v>
          </cell>
        </row>
        <row r="1350">
          <cell r="B1350" t="str">
            <v>0041800751MYS</v>
          </cell>
          <cell r="C1350" t="str">
            <v>AD显示板-LED-电热</v>
          </cell>
          <cell r="D1350" t="str">
            <v>91M1</v>
          </cell>
          <cell r="E1350" t="str">
            <v>直供国内A股采购组织</v>
          </cell>
          <cell r="F1350" t="str">
            <v>寄售</v>
          </cell>
          <cell r="G1350" t="str">
            <v>2026-12-31</v>
          </cell>
          <cell r="H1350" t="str">
            <v>14</v>
          </cell>
          <cell r="I1350" t="str">
            <v>17.57</v>
          </cell>
        </row>
        <row r="1351">
          <cell r="B1351" t="str">
            <v>0041800757BA</v>
          </cell>
          <cell r="C1351" t="str">
            <v>电脑板显示板-FR-486盒显示板热泵</v>
          </cell>
          <cell r="D1351" t="str">
            <v>91M1</v>
          </cell>
          <cell r="E1351" t="str">
            <v>直供国内A股采购组织</v>
          </cell>
          <cell r="F1351" t="str">
            <v>寄售</v>
          </cell>
          <cell r="G1351" t="str">
            <v>2026-12-31</v>
          </cell>
          <cell r="H1351" t="str">
            <v>14</v>
          </cell>
          <cell r="I1351" t="str">
            <v>67.66</v>
          </cell>
        </row>
        <row r="1352">
          <cell r="B1352" t="str">
            <v>0041800757J</v>
          </cell>
          <cell r="C1352" t="str">
            <v>AD显示板-LCD86*86*20-海尔电辅-通用-热泵</v>
          </cell>
          <cell r="D1352" t="str">
            <v>91M1</v>
          </cell>
          <cell r="E1352" t="str">
            <v>直供国内A股采购组织</v>
          </cell>
          <cell r="F1352" t="str">
            <v>寄售</v>
          </cell>
          <cell r="G1352" t="str">
            <v>2026-12-31</v>
          </cell>
          <cell r="H1352" t="str">
            <v>14</v>
          </cell>
          <cell r="I1352" t="str">
            <v>69.12</v>
          </cell>
        </row>
        <row r="1353">
          <cell r="B1353" t="str">
            <v>0041800773ABYS</v>
          </cell>
          <cell r="C1353" t="str">
            <v>AD显示板-LEDEC5001/6001-MC3(U1)-电热</v>
          </cell>
          <cell r="D1353" t="str">
            <v>91M1</v>
          </cell>
          <cell r="E1353" t="str">
            <v>直供国内A股采购组织</v>
          </cell>
          <cell r="F1353" t="str">
            <v>寄售</v>
          </cell>
          <cell r="G1353" t="str">
            <v>2026-12-31</v>
          </cell>
          <cell r="H1353" t="str">
            <v>14</v>
          </cell>
          <cell r="I1353" t="str">
            <v>12.49</v>
          </cell>
        </row>
        <row r="1354">
          <cell r="B1354" t="str">
            <v>0041801155DB</v>
          </cell>
          <cell r="C1354" t="str">
            <v>电脑板显示板-FR-4</v>
          </cell>
          <cell r="D1354" t="str">
            <v>91M1</v>
          </cell>
          <cell r="E1354" t="str">
            <v>直供国内A股采购组织</v>
          </cell>
          <cell r="F1354" t="str">
            <v>寄售</v>
          </cell>
          <cell r="G1354" t="str">
            <v>2026-12-31</v>
          </cell>
          <cell r="H1354" t="str">
            <v>14</v>
          </cell>
          <cell r="I1354" t="str">
            <v>42.90</v>
          </cell>
        </row>
        <row r="1355">
          <cell r="B1355" t="str">
            <v>0041800751AD</v>
          </cell>
          <cell r="C1355" t="str">
            <v>AD显示板-LED350*45电热电控</v>
          </cell>
          <cell r="D1355" t="str">
            <v>91M1</v>
          </cell>
          <cell r="E1355" t="str">
            <v>直供国内A股采购组织</v>
          </cell>
          <cell r="F1355" t="str">
            <v>寄售</v>
          </cell>
          <cell r="G1355" t="str">
            <v>2026-12-31</v>
          </cell>
          <cell r="H1355" t="str">
            <v>14</v>
          </cell>
          <cell r="I1355" t="str">
            <v>15.62</v>
          </cell>
        </row>
        <row r="1356">
          <cell r="B1356" t="str">
            <v>0041800751YSA</v>
          </cell>
          <cell r="C1356" t="str">
            <v>AD显示板-LED348*45*8mm电热</v>
          </cell>
          <cell r="D1356" t="str">
            <v>91M1</v>
          </cell>
          <cell r="E1356" t="str">
            <v>直供国内A股采购组织</v>
          </cell>
          <cell r="F1356" t="str">
            <v>寄售</v>
          </cell>
          <cell r="G1356" t="str">
            <v>2026-12-31</v>
          </cell>
          <cell r="H1356" t="str">
            <v>14</v>
          </cell>
          <cell r="I1356" t="str">
            <v>18.02</v>
          </cell>
        </row>
        <row r="1357">
          <cell r="B1357" t="str">
            <v>0011800324S</v>
          </cell>
          <cell r="C1357" t="str">
            <v>显示面板-CEM-3</v>
          </cell>
          <cell r="D1357" t="str">
            <v>91M1</v>
          </cell>
          <cell r="E1357" t="str">
            <v>直供国内A股采购组织</v>
          </cell>
          <cell r="F1357" t="str">
            <v>寄售</v>
          </cell>
          <cell r="G1357" t="str">
            <v>2026-12-31</v>
          </cell>
          <cell r="H1357" t="str">
            <v>30</v>
          </cell>
          <cell r="I1357" t="str">
            <v>5.10</v>
          </cell>
        </row>
        <row r="1358">
          <cell r="B1358" t="str">
            <v>0011800612R</v>
          </cell>
          <cell r="C1358" t="str">
            <v>室内电脑板-/---</v>
          </cell>
          <cell r="D1358" t="str">
            <v>91M1</v>
          </cell>
          <cell r="E1358" t="str">
            <v>直供国内A股采购组织</v>
          </cell>
          <cell r="F1358" t="str">
            <v>寄售</v>
          </cell>
          <cell r="G1358" t="str">
            <v>2026-12-31</v>
          </cell>
          <cell r="H1358" t="str">
            <v>30</v>
          </cell>
          <cell r="I1358" t="str">
            <v>28.67</v>
          </cell>
        </row>
        <row r="1359">
          <cell r="B1359" t="str">
            <v>0011800630R</v>
          </cell>
          <cell r="C1359" t="str">
            <v>室内电脑板-/</v>
          </cell>
          <cell r="D1359" t="str">
            <v>91M1</v>
          </cell>
          <cell r="E1359" t="str">
            <v>直供国内A股采购组织</v>
          </cell>
          <cell r="F1359" t="str">
            <v>寄售</v>
          </cell>
          <cell r="G1359" t="str">
            <v>2026-12-31</v>
          </cell>
          <cell r="H1359" t="str">
            <v>30</v>
          </cell>
          <cell r="I1359" t="str">
            <v>39.48</v>
          </cell>
        </row>
        <row r="1360">
          <cell r="B1360" t="str">
            <v>0011800646M</v>
          </cell>
          <cell r="C1360" t="str">
            <v>室内电脑板-FR-4/</v>
          </cell>
          <cell r="D1360" t="str">
            <v>91M1</v>
          </cell>
          <cell r="E1360" t="str">
            <v>直供国内A股采购组织</v>
          </cell>
          <cell r="F1360" t="str">
            <v>寄售</v>
          </cell>
          <cell r="G1360" t="str">
            <v>2026-12-31</v>
          </cell>
          <cell r="H1360" t="str">
            <v>30</v>
          </cell>
          <cell r="I1360" t="str">
            <v>47.28</v>
          </cell>
        </row>
        <row r="1361">
          <cell r="B1361" t="str">
            <v>0011800970M</v>
          </cell>
          <cell r="C1361" t="str">
            <v>变频外电脑板-通用23T直流变频</v>
          </cell>
          <cell r="D1361" t="str">
            <v>91M1</v>
          </cell>
          <cell r="E1361" t="str">
            <v>直供国内A股采购组织</v>
          </cell>
          <cell r="F1361" t="str">
            <v>寄售</v>
          </cell>
          <cell r="G1361" t="str">
            <v>2026-12-31</v>
          </cell>
          <cell r="H1361" t="str">
            <v>15</v>
          </cell>
          <cell r="I1361" t="str">
            <v>109.66</v>
          </cell>
        </row>
        <row r="1362">
          <cell r="B1362" t="str">
            <v>0011801172BG</v>
          </cell>
          <cell r="C1362" t="str">
            <v>变频外电脑板-FR-4240*180</v>
          </cell>
          <cell r="D1362" t="str">
            <v>91M1</v>
          </cell>
          <cell r="E1362" t="str">
            <v>直供国内A股采购组织</v>
          </cell>
          <cell r="F1362" t="str">
            <v>寄售</v>
          </cell>
          <cell r="G1362" t="str">
            <v>2026-12-31</v>
          </cell>
          <cell r="H1362" t="str">
            <v>3</v>
          </cell>
          <cell r="I1362" t="str">
            <v>182.27</v>
          </cell>
        </row>
        <row r="1363">
          <cell r="B1363" t="str">
            <v>0011801270A</v>
          </cell>
          <cell r="C1363" t="str">
            <v>变频外电脑板-/</v>
          </cell>
          <cell r="D1363" t="str">
            <v>91M1</v>
          </cell>
          <cell r="E1363" t="str">
            <v>直供国内A股采购组织</v>
          </cell>
          <cell r="F1363" t="str">
            <v>寄售</v>
          </cell>
          <cell r="G1363" t="str">
            <v>2026-12-31</v>
          </cell>
          <cell r="H1363" t="str">
            <v>3</v>
          </cell>
          <cell r="I1363" t="str">
            <v>181.40</v>
          </cell>
        </row>
        <row r="1364">
          <cell r="B1364" t="str">
            <v>0011801424AF</v>
          </cell>
          <cell r="C1364" t="str">
            <v>变频外电脑板-FR-4/</v>
          </cell>
          <cell r="D1364" t="str">
            <v>91M1</v>
          </cell>
          <cell r="E1364" t="str">
            <v>直供国内A股采购组织</v>
          </cell>
          <cell r="F1364" t="str">
            <v>寄售</v>
          </cell>
          <cell r="G1364" t="str">
            <v>2026-12-31</v>
          </cell>
          <cell r="H1364" t="str">
            <v>30</v>
          </cell>
          <cell r="I1364" t="str">
            <v>116.13</v>
          </cell>
        </row>
        <row r="1365">
          <cell r="B1365" t="str">
            <v>0190400001</v>
          </cell>
          <cell r="C1365" t="str">
            <v>显示板-//</v>
          </cell>
          <cell r="D1365" t="str">
            <v>91M1</v>
          </cell>
          <cell r="E1365" t="str">
            <v>直供国内A股采购组织</v>
          </cell>
          <cell r="F1365" t="str">
            <v>寄售</v>
          </cell>
          <cell r="G1365" t="str">
            <v>2026-12-31</v>
          </cell>
          <cell r="H1365" t="str">
            <v>7</v>
          </cell>
          <cell r="I1365" t="str">
            <v>52.97</v>
          </cell>
        </row>
        <row r="1366">
          <cell r="B1366" t="str">
            <v>0190400103</v>
          </cell>
          <cell r="C1366" t="str">
            <v>显示板-通用CRO800-C3U1显示板三根芯鲜活系列CRO800-C3U1显示</v>
          </cell>
          <cell r="D1366" t="str">
            <v>91M1</v>
          </cell>
          <cell r="E1366" t="str">
            <v>直供国内A股采购组织</v>
          </cell>
          <cell r="F1366" t="str">
            <v>寄售</v>
          </cell>
          <cell r="G1366" t="str">
            <v>2026-12-31</v>
          </cell>
          <cell r="H1366" t="str">
            <v>7</v>
          </cell>
          <cell r="I1366" t="str">
            <v>18.68</v>
          </cell>
        </row>
        <row r="1367">
          <cell r="B1367" t="str">
            <v>0190400359AD</v>
          </cell>
          <cell r="C1367" t="str">
            <v>主控板-其他\通用净水商用100A主控板</v>
          </cell>
          <cell r="D1367" t="str">
            <v>91M1</v>
          </cell>
          <cell r="E1367" t="str">
            <v>直供国内A股采购组织</v>
          </cell>
          <cell r="F1367" t="str">
            <v>寄售</v>
          </cell>
          <cell r="G1367" t="str">
            <v>2026-12-31</v>
          </cell>
          <cell r="H1367" t="str">
            <v>7</v>
          </cell>
          <cell r="I1367" t="str">
            <v>87.35</v>
          </cell>
        </row>
        <row r="1368">
          <cell r="B1368" t="str">
            <v>0011801118AE</v>
          </cell>
          <cell r="C1368" t="str">
            <v>变频外电脑板-FR-4240*180</v>
          </cell>
          <cell r="D1368" t="str">
            <v>91M1</v>
          </cell>
          <cell r="E1368" t="str">
            <v>直供国内A股采购组织</v>
          </cell>
          <cell r="F1368" t="str">
            <v>寄售</v>
          </cell>
          <cell r="G1368" t="str">
            <v>2026-12-31</v>
          </cell>
          <cell r="H1368" t="str">
            <v>30</v>
          </cell>
          <cell r="I1368" t="str">
            <v>172.64</v>
          </cell>
        </row>
        <row r="1369">
          <cell r="B1369" t="str">
            <v>0011801172BR</v>
          </cell>
          <cell r="C1369" t="str">
            <v>变频外电脑板-FR-4240*180</v>
          </cell>
          <cell r="D1369" t="str">
            <v>91M1</v>
          </cell>
          <cell r="E1369" t="str">
            <v>直供国内A股采购组织</v>
          </cell>
          <cell r="F1369" t="str">
            <v>寄售</v>
          </cell>
          <cell r="G1369" t="str">
            <v>2026-12-31</v>
          </cell>
          <cell r="H1369" t="str">
            <v>30</v>
          </cell>
          <cell r="I1369" t="str">
            <v>188.50</v>
          </cell>
        </row>
        <row r="1370">
          <cell r="B1370" t="str">
            <v>0011801330</v>
          </cell>
          <cell r="C1370" t="str">
            <v>室内电脑板-CEM-1</v>
          </cell>
          <cell r="D1370" t="str">
            <v>91M1</v>
          </cell>
          <cell r="E1370" t="str">
            <v>直供国内A股采购组织</v>
          </cell>
          <cell r="F1370" t="str">
            <v>标准</v>
          </cell>
          <cell r="G1370" t="str">
            <v>2026-12-31</v>
          </cell>
          <cell r="H1370" t="str">
            <v>3</v>
          </cell>
          <cell r="I1370" t="str">
            <v>51.27</v>
          </cell>
        </row>
        <row r="1371">
          <cell r="B1371" t="str">
            <v>0011801424C</v>
          </cell>
          <cell r="C1371" t="str">
            <v>变频外电脑板-FR-4/</v>
          </cell>
          <cell r="D1371" t="str">
            <v>91M1</v>
          </cell>
          <cell r="E1371" t="str">
            <v>直供国内A股采购组织</v>
          </cell>
          <cell r="F1371" t="str">
            <v>寄售</v>
          </cell>
          <cell r="G1371" t="str">
            <v>2026-12-31</v>
          </cell>
          <cell r="H1371" t="str">
            <v>3</v>
          </cell>
          <cell r="I1371" t="str">
            <v>118.50</v>
          </cell>
        </row>
        <row r="1372">
          <cell r="B1372" t="str">
            <v>0011801424Y</v>
          </cell>
          <cell r="C1372" t="str">
            <v>变频外电脑板-FR-4/</v>
          </cell>
          <cell r="D1372" t="str">
            <v>91M1</v>
          </cell>
          <cell r="E1372" t="str">
            <v>直供国内A股采购组织</v>
          </cell>
          <cell r="F1372" t="str">
            <v>寄售</v>
          </cell>
          <cell r="G1372" t="str">
            <v>2026-12-31</v>
          </cell>
          <cell r="H1372" t="str">
            <v>3</v>
          </cell>
          <cell r="I1372" t="str">
            <v>144.35</v>
          </cell>
        </row>
        <row r="1373">
          <cell r="B1373" t="str">
            <v>0011801516H</v>
          </cell>
          <cell r="C1373" t="str">
            <v>变频外电脑板-FR-4</v>
          </cell>
          <cell r="D1373" t="str">
            <v>91M1</v>
          </cell>
          <cell r="E1373" t="str">
            <v>直供国内A股采购组织</v>
          </cell>
          <cell r="F1373" t="str">
            <v>寄售</v>
          </cell>
          <cell r="G1373" t="str">
            <v>2026-12-31</v>
          </cell>
          <cell r="H1373" t="str">
            <v>15</v>
          </cell>
          <cell r="I1373" t="str">
            <v>189.77</v>
          </cell>
        </row>
        <row r="1374">
          <cell r="B1374" t="str">
            <v>0021800442G</v>
          </cell>
          <cell r="C1374" t="str">
            <v>显示板-LED12VDC12VDC</v>
          </cell>
          <cell r="D1374" t="str">
            <v>91M1</v>
          </cell>
          <cell r="E1374" t="str">
            <v>直供国内A股采购组织</v>
          </cell>
          <cell r="F1374" t="str">
            <v>寄售</v>
          </cell>
          <cell r="G1374" t="str">
            <v>2026-12-31</v>
          </cell>
          <cell r="H1374" t="str">
            <v>10</v>
          </cell>
          <cell r="I1374" t="str">
            <v>27.72</v>
          </cell>
        </row>
        <row r="1375">
          <cell r="B1375" t="str">
            <v>0190400002H</v>
          </cell>
          <cell r="C1375" t="str">
            <v>主控板-//CRO500-S3PAU1</v>
          </cell>
          <cell r="D1375" t="str">
            <v>91M1</v>
          </cell>
          <cell r="E1375" t="str">
            <v>直供国内A股采购组织</v>
          </cell>
          <cell r="F1375" t="str">
            <v>寄售</v>
          </cell>
          <cell r="G1375" t="str">
            <v>2026-12-31</v>
          </cell>
          <cell r="H1375" t="str">
            <v>7</v>
          </cell>
          <cell r="I1375" t="str">
            <v>37.30</v>
          </cell>
        </row>
        <row r="1376">
          <cell r="B1376" t="str">
            <v>0190400102C</v>
          </cell>
          <cell r="C1376" t="str">
            <v>主控板-/FR-4净水主控板</v>
          </cell>
          <cell r="D1376" t="str">
            <v>91M1</v>
          </cell>
          <cell r="E1376" t="str">
            <v>直供国内A股采购组织</v>
          </cell>
          <cell r="F1376" t="str">
            <v>寄售</v>
          </cell>
          <cell r="G1376" t="str">
            <v>2026-12-31</v>
          </cell>
          <cell r="H1376" t="str">
            <v>7</v>
          </cell>
          <cell r="I1376" t="str">
            <v>37.07</v>
          </cell>
        </row>
        <row r="1377">
          <cell r="B1377" t="str">
            <v>0190400113G</v>
          </cell>
          <cell r="C1377" t="str">
            <v>主控板-通用云鳟系列产品CRO800-Q3PBU1用主控板长176.6mm宽63</v>
          </cell>
          <cell r="D1377" t="str">
            <v>91M1</v>
          </cell>
          <cell r="E1377" t="str">
            <v>直供国内A股采购组织</v>
          </cell>
          <cell r="F1377" t="str">
            <v>寄售</v>
          </cell>
          <cell r="G1377" t="str">
            <v>2026-12-31</v>
          </cell>
          <cell r="H1377" t="str">
            <v>7</v>
          </cell>
          <cell r="I1377" t="str">
            <v>27.00</v>
          </cell>
        </row>
        <row r="1378">
          <cell r="B1378" t="str">
            <v>0021800442</v>
          </cell>
          <cell r="C1378" t="str">
            <v>显示板-LED12VDC12VDC</v>
          </cell>
          <cell r="D1378" t="str">
            <v>91M1</v>
          </cell>
          <cell r="E1378" t="str">
            <v>直供国内A股采购组织</v>
          </cell>
          <cell r="F1378" t="str">
            <v>寄售</v>
          </cell>
          <cell r="G1378" t="str">
            <v>2026-12-31</v>
          </cell>
          <cell r="H1378" t="str">
            <v>10</v>
          </cell>
          <cell r="I1378" t="str">
            <v>27.00</v>
          </cell>
        </row>
        <row r="1379">
          <cell r="B1379" t="str">
            <v>0190400001H</v>
          </cell>
          <cell r="C1379" t="str">
            <v>显示板-//CRO500-S3PAU1</v>
          </cell>
          <cell r="D1379" t="str">
            <v>91M1</v>
          </cell>
          <cell r="E1379" t="str">
            <v>直供国内A股采购组织</v>
          </cell>
          <cell r="F1379" t="str">
            <v>寄售</v>
          </cell>
          <cell r="G1379" t="str">
            <v>2026-12-31</v>
          </cell>
          <cell r="H1379" t="str">
            <v>7</v>
          </cell>
          <cell r="I1379" t="str">
            <v>52.97</v>
          </cell>
        </row>
        <row r="1380">
          <cell r="B1380" t="str">
            <v>0011800980D</v>
          </cell>
          <cell r="C1380" t="str">
            <v>室内电脑板-FR-4136*165</v>
          </cell>
          <cell r="D1380" t="str">
            <v>91M1</v>
          </cell>
          <cell r="E1380" t="str">
            <v>直供国内A股采购组织</v>
          </cell>
          <cell r="F1380" t="str">
            <v>寄售</v>
          </cell>
          <cell r="G1380" t="str">
            <v>2026-12-31</v>
          </cell>
          <cell r="H1380" t="str">
            <v>15</v>
          </cell>
          <cell r="I1380" t="str">
            <v>65.90</v>
          </cell>
        </row>
        <row r="1381">
          <cell r="B1381" t="str">
            <v>0011801150J</v>
          </cell>
          <cell r="C1381" t="str">
            <v>变频外电脑板-FR-4230mm*157mm</v>
          </cell>
          <cell r="D1381" t="str">
            <v>91M1</v>
          </cell>
          <cell r="E1381" t="str">
            <v>直供国内A股采购组织</v>
          </cell>
          <cell r="F1381" t="str">
            <v>寄售</v>
          </cell>
          <cell r="G1381" t="str">
            <v>2026-12-31</v>
          </cell>
          <cell r="H1381" t="str">
            <v>10</v>
          </cell>
          <cell r="I1381" t="str">
            <v>135.85</v>
          </cell>
        </row>
        <row r="1382">
          <cell r="B1382" t="str">
            <v>0011801172BC</v>
          </cell>
          <cell r="C1382" t="str">
            <v>变频外电脑板-FR-4240*180</v>
          </cell>
          <cell r="D1382" t="str">
            <v>91M1</v>
          </cell>
          <cell r="E1382" t="str">
            <v>直供国内A股采购组织</v>
          </cell>
          <cell r="F1382" t="str">
            <v>寄售</v>
          </cell>
          <cell r="G1382" t="str">
            <v>2026-12-31</v>
          </cell>
          <cell r="H1382" t="str">
            <v>30</v>
          </cell>
          <cell r="I1382" t="str">
            <v>166.08</v>
          </cell>
        </row>
        <row r="1383">
          <cell r="B1383" t="str">
            <v>0011801256M</v>
          </cell>
          <cell r="C1383" t="str">
            <v>室内电脑板-CEM-1</v>
          </cell>
          <cell r="D1383" t="str">
            <v>91M1</v>
          </cell>
          <cell r="E1383" t="str">
            <v>直供国内A股采购组织</v>
          </cell>
          <cell r="F1383" t="str">
            <v>寄售</v>
          </cell>
          <cell r="G1383" t="str">
            <v>2026-12-31</v>
          </cell>
          <cell r="H1383" t="str">
            <v>3</v>
          </cell>
          <cell r="I1383" t="str">
            <v>33.30</v>
          </cell>
        </row>
        <row r="1384">
          <cell r="B1384" t="str">
            <v>0011801424AB</v>
          </cell>
          <cell r="C1384" t="str">
            <v>变频外电脑板-FR-4/</v>
          </cell>
          <cell r="D1384" t="str">
            <v>91M1</v>
          </cell>
          <cell r="E1384" t="str">
            <v>直供国内A股采购组织</v>
          </cell>
          <cell r="F1384" t="str">
            <v>寄售</v>
          </cell>
          <cell r="G1384" t="str">
            <v>2026-12-31</v>
          </cell>
          <cell r="H1384" t="str">
            <v>30</v>
          </cell>
          <cell r="I1384" t="str">
            <v>109.23</v>
          </cell>
        </row>
        <row r="1385">
          <cell r="B1385" t="str">
            <v>0011801424N</v>
          </cell>
          <cell r="C1385" t="str">
            <v>变频外电脑板-FR-4/</v>
          </cell>
          <cell r="D1385" t="str">
            <v>91M1</v>
          </cell>
          <cell r="E1385" t="str">
            <v>直供国内A股采购组织</v>
          </cell>
          <cell r="F1385" t="str">
            <v>寄售</v>
          </cell>
          <cell r="G1385" t="str">
            <v>2026-12-31</v>
          </cell>
          <cell r="H1385" t="str">
            <v>3</v>
          </cell>
          <cell r="I1385" t="str">
            <v>120.03</v>
          </cell>
        </row>
        <row r="1386">
          <cell r="B1386" t="str">
            <v>0011801516C</v>
          </cell>
          <cell r="C1386" t="str">
            <v>变频外电脑板-FR-4</v>
          </cell>
          <cell r="D1386" t="str">
            <v>91M1</v>
          </cell>
          <cell r="E1386" t="str">
            <v>直供国内A股采购组织</v>
          </cell>
          <cell r="F1386" t="str">
            <v>寄售</v>
          </cell>
          <cell r="G1386" t="str">
            <v>2026-12-31</v>
          </cell>
          <cell r="H1386" t="str">
            <v>15</v>
          </cell>
          <cell r="I1386" t="str">
            <v>264.74</v>
          </cell>
        </row>
        <row r="1387">
          <cell r="B1387" t="str">
            <v>0011801424W</v>
          </cell>
          <cell r="C1387" t="str">
            <v>变频外电脑板-FR-4/</v>
          </cell>
          <cell r="D1387" t="str">
            <v>91M1</v>
          </cell>
          <cell r="E1387" t="str">
            <v>直供国内A股采购组织</v>
          </cell>
          <cell r="F1387" t="str">
            <v>寄售</v>
          </cell>
          <cell r="G1387" t="str">
            <v>2026-12-31</v>
          </cell>
          <cell r="H1387" t="str">
            <v>3</v>
          </cell>
          <cell r="I1387" t="str">
            <v>133.88</v>
          </cell>
        </row>
        <row r="1388">
          <cell r="B1388" t="str">
            <v>0011801516E</v>
          </cell>
          <cell r="C1388" t="str">
            <v>变频外电脑板-FR-4</v>
          </cell>
          <cell r="D1388" t="str">
            <v>91M1</v>
          </cell>
          <cell r="E1388" t="str">
            <v>直供国内A股采购组织</v>
          </cell>
          <cell r="F1388" t="str">
            <v>寄售</v>
          </cell>
          <cell r="G1388" t="str">
            <v>2026-12-31</v>
          </cell>
          <cell r="H1388" t="str">
            <v>15</v>
          </cell>
          <cell r="I1388" t="str">
            <v>191.93</v>
          </cell>
        </row>
        <row r="1389">
          <cell r="B1389" t="str">
            <v>0190400172</v>
          </cell>
          <cell r="C1389" t="str">
            <v>主控板-//</v>
          </cell>
          <cell r="D1389" t="str">
            <v>91M1</v>
          </cell>
          <cell r="E1389" t="str">
            <v>直供国内A股采购组织</v>
          </cell>
          <cell r="F1389" t="str">
            <v>寄售</v>
          </cell>
          <cell r="G1389" t="str">
            <v>2026-12-31</v>
          </cell>
          <cell r="H1389" t="str">
            <v>7</v>
          </cell>
          <cell r="I1389" t="str">
            <v>16.20</v>
          </cell>
        </row>
        <row r="1390">
          <cell r="B1390" t="str">
            <v>0190400207</v>
          </cell>
          <cell r="C1390" t="str">
            <v>显示板-通用农村大通量100G、400G、600G通用显示板农村大通量通用显示板</v>
          </cell>
          <cell r="D1390" t="str">
            <v>91M1</v>
          </cell>
          <cell r="E1390" t="str">
            <v>直供国内A股采购组织</v>
          </cell>
          <cell r="F1390" t="str">
            <v>寄售</v>
          </cell>
          <cell r="G1390" t="str">
            <v>2026-12-31</v>
          </cell>
          <cell r="H1390" t="str">
            <v>7</v>
          </cell>
          <cell r="I1390" t="str">
            <v>4.30</v>
          </cell>
        </row>
        <row r="1391">
          <cell r="B1391" t="str">
            <v>0190400359AE</v>
          </cell>
          <cell r="C1391" t="str">
            <v>主控板-其他\通用净水商用200A主控板</v>
          </cell>
          <cell r="D1391" t="str">
            <v>91M1</v>
          </cell>
          <cell r="E1391" t="str">
            <v>直供国内A股采购组织</v>
          </cell>
          <cell r="F1391" t="str">
            <v>寄售</v>
          </cell>
          <cell r="G1391" t="str">
            <v>2026-12-31</v>
          </cell>
          <cell r="H1391" t="str">
            <v>7</v>
          </cell>
          <cell r="I1391" t="str">
            <v>87.35</v>
          </cell>
        </row>
        <row r="1392">
          <cell r="B1392" t="str">
            <v>0190400359B</v>
          </cell>
          <cell r="C1392" t="str">
            <v>主控板-通用净水-小商用工程款主控板</v>
          </cell>
          <cell r="D1392" t="str">
            <v>91M1</v>
          </cell>
          <cell r="E1392" t="str">
            <v>直供国内A股采购组织</v>
          </cell>
          <cell r="F1392" t="str">
            <v>寄售</v>
          </cell>
          <cell r="G1392" t="str">
            <v>2026-12-31</v>
          </cell>
          <cell r="H1392" t="str">
            <v>7</v>
          </cell>
          <cell r="I1392" t="str">
            <v>87.32</v>
          </cell>
        </row>
        <row r="1393">
          <cell r="B1393" t="str">
            <v>0041800773AYS</v>
          </cell>
          <cell r="C1393" t="str">
            <v>AD显示板-LEDLES60/80H-TH5A(2U1)/</v>
          </cell>
          <cell r="D1393" t="str">
            <v>91M1</v>
          </cell>
          <cell r="E1393" t="str">
            <v>直供国内A股采购组织</v>
          </cell>
          <cell r="F1393" t="str">
            <v>寄售</v>
          </cell>
          <cell r="G1393" t="str">
            <v>2026-12-31</v>
          </cell>
          <cell r="H1393" t="str">
            <v>14</v>
          </cell>
          <cell r="I1393" t="str">
            <v>12.49</v>
          </cell>
        </row>
        <row r="1394">
          <cell r="B1394" t="str">
            <v>0190400002B</v>
          </cell>
          <cell r="C1394" t="str">
            <v>主控板-//</v>
          </cell>
          <cell r="D1394" t="str">
            <v>91M1</v>
          </cell>
          <cell r="E1394" t="str">
            <v>直供国内A股采购组织</v>
          </cell>
          <cell r="F1394" t="str">
            <v>寄售</v>
          </cell>
          <cell r="G1394" t="str">
            <v>2026-12-31</v>
          </cell>
          <cell r="H1394" t="str">
            <v>7</v>
          </cell>
          <cell r="I1394" t="str">
            <v>37.30</v>
          </cell>
        </row>
        <row r="1395">
          <cell r="B1395" t="str">
            <v>0190400112A</v>
          </cell>
          <cell r="C1395" t="str">
            <v>显示板-//</v>
          </cell>
          <cell r="D1395" t="str">
            <v>91M1</v>
          </cell>
          <cell r="E1395" t="str">
            <v>直供国内A股采购组织</v>
          </cell>
          <cell r="F1395" t="str">
            <v>寄售</v>
          </cell>
          <cell r="G1395" t="str">
            <v>2026-12-31</v>
          </cell>
          <cell r="H1395" t="str">
            <v>7</v>
          </cell>
          <cell r="I1395" t="str">
            <v>19.36</v>
          </cell>
        </row>
        <row r="1396">
          <cell r="B1396" t="str">
            <v>0011800324H</v>
          </cell>
          <cell r="C1396" t="str">
            <v>显示面板-CEM-1</v>
          </cell>
          <cell r="D1396" t="str">
            <v>91M1</v>
          </cell>
          <cell r="E1396" t="str">
            <v>直供国内A股采购组织</v>
          </cell>
          <cell r="F1396" t="str">
            <v>寄售</v>
          </cell>
          <cell r="G1396" t="str">
            <v>2026-12-31</v>
          </cell>
          <cell r="H1396" t="str">
            <v>30</v>
          </cell>
          <cell r="I1396" t="str">
            <v>7.37</v>
          </cell>
        </row>
        <row r="1397">
          <cell r="B1397" t="str">
            <v>0011800387H</v>
          </cell>
          <cell r="C1397" t="str">
            <v>显示面板-FR-4</v>
          </cell>
          <cell r="D1397" t="str">
            <v>91M1</v>
          </cell>
          <cell r="E1397" t="str">
            <v>直供国内A股采购组织</v>
          </cell>
          <cell r="F1397" t="str">
            <v>寄售</v>
          </cell>
          <cell r="G1397" t="str">
            <v>2026-12-31</v>
          </cell>
          <cell r="H1397" t="str">
            <v>30</v>
          </cell>
          <cell r="I1397" t="str">
            <v>10.30</v>
          </cell>
        </row>
        <row r="1398">
          <cell r="B1398" t="str">
            <v>0011800537B</v>
          </cell>
          <cell r="C1398" t="str">
            <v>室内电脑板-CEM-1</v>
          </cell>
          <cell r="D1398" t="str">
            <v>91M1</v>
          </cell>
          <cell r="E1398" t="str">
            <v>直供国内A股采购组织</v>
          </cell>
          <cell r="F1398" t="str">
            <v>寄售</v>
          </cell>
          <cell r="G1398" t="str">
            <v>2026-12-31</v>
          </cell>
          <cell r="H1398" t="str">
            <v>30</v>
          </cell>
          <cell r="I1398" t="str">
            <v>23.62</v>
          </cell>
        </row>
        <row r="1399">
          <cell r="B1399" t="str">
            <v>0011800612AC</v>
          </cell>
          <cell r="C1399" t="str">
            <v>室内电脑板-CEM-1\</v>
          </cell>
          <cell r="D1399" t="str">
            <v>91M1</v>
          </cell>
          <cell r="E1399" t="str">
            <v>直供国内A股采购组织</v>
          </cell>
          <cell r="F1399" t="str">
            <v>寄售</v>
          </cell>
          <cell r="G1399" t="str">
            <v>2026-12-31</v>
          </cell>
          <cell r="H1399" t="str">
            <v>30</v>
          </cell>
          <cell r="I1399" t="str">
            <v>30.03</v>
          </cell>
        </row>
        <row r="1400">
          <cell r="B1400" t="str">
            <v>0011800612F</v>
          </cell>
          <cell r="C1400" t="str">
            <v>室内电脑板-CEM-1</v>
          </cell>
          <cell r="D1400" t="str">
            <v>91M1</v>
          </cell>
          <cell r="E1400" t="str">
            <v>直供国内A股采购组织</v>
          </cell>
          <cell r="F1400" t="str">
            <v>寄售</v>
          </cell>
          <cell r="G1400" t="str">
            <v>2026-12-31</v>
          </cell>
          <cell r="H1400" t="str">
            <v>30</v>
          </cell>
          <cell r="I1400" t="str">
            <v>31.73</v>
          </cell>
        </row>
        <row r="1401">
          <cell r="B1401" t="str">
            <v>0011800612P</v>
          </cell>
          <cell r="C1401" t="str">
            <v>室内电脑板-CEM-1---</v>
          </cell>
          <cell r="D1401" t="str">
            <v>91M1</v>
          </cell>
          <cell r="E1401" t="str">
            <v>直供国内A股采购组织</v>
          </cell>
          <cell r="F1401" t="str">
            <v>寄售</v>
          </cell>
          <cell r="G1401" t="str">
            <v>2026-12-31</v>
          </cell>
          <cell r="H1401" t="str">
            <v>30</v>
          </cell>
          <cell r="I1401" t="str">
            <v>30.46</v>
          </cell>
        </row>
        <row r="1402">
          <cell r="B1402" t="str">
            <v>0011800630M</v>
          </cell>
          <cell r="C1402" t="str">
            <v>室内电脑板-CEM-1室内电脑板俄罗斯07/09/12P系列室内电脑板</v>
          </cell>
          <cell r="D1402" t="str">
            <v>91M1</v>
          </cell>
          <cell r="E1402" t="str">
            <v>直供国内A股采购组织</v>
          </cell>
          <cell r="F1402" t="str">
            <v>寄售</v>
          </cell>
          <cell r="G1402" t="str">
            <v>2026-12-31</v>
          </cell>
          <cell r="H1402" t="str">
            <v>7</v>
          </cell>
          <cell r="I1402" t="str">
            <v>27.69</v>
          </cell>
        </row>
        <row r="1403">
          <cell r="B1403" t="str">
            <v>0011800646K</v>
          </cell>
          <cell r="C1403" t="str">
            <v>室内电脑板-FR-4208*105</v>
          </cell>
          <cell r="D1403" t="str">
            <v>91M1</v>
          </cell>
          <cell r="E1403" t="str">
            <v>直供国内A股采购组织</v>
          </cell>
          <cell r="F1403" t="str">
            <v>寄售</v>
          </cell>
          <cell r="G1403" t="str">
            <v>2026-12-31</v>
          </cell>
          <cell r="H1403" t="str">
            <v>30</v>
          </cell>
          <cell r="I1403" t="str">
            <v>49.73</v>
          </cell>
        </row>
        <row r="1404">
          <cell r="B1404" t="str">
            <v>0011801372G</v>
          </cell>
          <cell r="C1404" t="str">
            <v>变频外电脑板-FR-4205mm*157mm</v>
          </cell>
          <cell r="D1404" t="str">
            <v>91M1</v>
          </cell>
          <cell r="E1404" t="str">
            <v>直供国内A股采购组织</v>
          </cell>
          <cell r="F1404" t="str">
            <v>寄售</v>
          </cell>
          <cell r="G1404" t="str">
            <v>2026-12-31</v>
          </cell>
          <cell r="H1404" t="str">
            <v>30</v>
          </cell>
          <cell r="I1404" t="str">
            <v>93.51</v>
          </cell>
        </row>
        <row r="1405">
          <cell r="B1405" t="str">
            <v>0011801424K</v>
          </cell>
          <cell r="C1405" t="str">
            <v>变频外电脑板-FR-4/</v>
          </cell>
          <cell r="D1405" t="str">
            <v>91M1</v>
          </cell>
          <cell r="E1405" t="str">
            <v>直供国内A股采购组织</v>
          </cell>
          <cell r="F1405" t="str">
            <v>寄售</v>
          </cell>
          <cell r="G1405" t="str">
            <v>2026-12-31</v>
          </cell>
          <cell r="H1405" t="str">
            <v>3</v>
          </cell>
          <cell r="I1405" t="str">
            <v>114.63</v>
          </cell>
        </row>
        <row r="1406">
          <cell r="B1406" t="str">
            <v>0190400102D</v>
          </cell>
          <cell r="C1406" t="str">
            <v>主控板-/净水</v>
          </cell>
          <cell r="D1406" t="str">
            <v>91M1</v>
          </cell>
          <cell r="E1406" t="str">
            <v>直供国内A股采购组织</v>
          </cell>
          <cell r="F1406" t="str">
            <v>寄售</v>
          </cell>
          <cell r="G1406" t="str">
            <v>2026-12-31</v>
          </cell>
          <cell r="H1406" t="str">
            <v>7</v>
          </cell>
          <cell r="I1406" t="str">
            <v>37.07</v>
          </cell>
        </row>
        <row r="1407">
          <cell r="B1407" t="str">
            <v>0190400169A</v>
          </cell>
          <cell r="C1407" t="str">
            <v>显示板-通用</v>
          </cell>
          <cell r="D1407" t="str">
            <v>91M1</v>
          </cell>
          <cell r="E1407" t="str">
            <v>直供国内A股采购组织</v>
          </cell>
          <cell r="F1407" t="str">
            <v>寄售</v>
          </cell>
          <cell r="G1407" t="str">
            <v>2026-12-31</v>
          </cell>
          <cell r="H1407" t="str">
            <v>7</v>
          </cell>
          <cell r="I1407" t="str">
            <v>28.67</v>
          </cell>
        </row>
        <row r="1408">
          <cell r="B1408" t="str">
            <v>0190400359AA</v>
          </cell>
          <cell r="C1408" t="str">
            <v>主控板-通用净水-商用零售款同名切换项目主控板</v>
          </cell>
          <cell r="D1408" t="str">
            <v>91M1</v>
          </cell>
          <cell r="E1408" t="str">
            <v>直供国内A股采购组织</v>
          </cell>
          <cell r="F1408" t="str">
            <v>寄售</v>
          </cell>
          <cell r="G1408" t="str">
            <v>2026-12-31</v>
          </cell>
          <cell r="H1408" t="str">
            <v>7</v>
          </cell>
          <cell r="I1408" t="str">
            <v>87.32</v>
          </cell>
        </row>
        <row r="1409">
          <cell r="B1409" t="str">
            <v>0190400001B</v>
          </cell>
          <cell r="C1409" t="str">
            <v>显示板-//</v>
          </cell>
          <cell r="D1409" t="str">
            <v>91M1</v>
          </cell>
          <cell r="E1409" t="str">
            <v>直供国内A股采购组织</v>
          </cell>
          <cell r="F1409" t="str">
            <v>寄售</v>
          </cell>
          <cell r="G1409" t="str">
            <v>2026-12-31</v>
          </cell>
          <cell r="H1409" t="str">
            <v>7</v>
          </cell>
          <cell r="I1409" t="str">
            <v>52.45</v>
          </cell>
        </row>
        <row r="1410">
          <cell r="B1410" t="str">
            <v>0011800537A</v>
          </cell>
          <cell r="C1410" t="str">
            <v>室内电脑板-CEM-1</v>
          </cell>
          <cell r="D1410" t="str">
            <v>91M1</v>
          </cell>
          <cell r="E1410" t="str">
            <v>直供国内A股采购组织</v>
          </cell>
          <cell r="F1410" t="str">
            <v>寄售</v>
          </cell>
          <cell r="G1410" t="str">
            <v>2026-12-31</v>
          </cell>
          <cell r="H1410" t="str">
            <v>30</v>
          </cell>
          <cell r="I1410" t="str">
            <v>19.89</v>
          </cell>
        </row>
        <row r="1411">
          <cell r="B1411" t="str">
            <v>0011800612AB</v>
          </cell>
          <cell r="C1411" t="str">
            <v>室内电脑板-CEM-1\\</v>
          </cell>
          <cell r="D1411" t="str">
            <v>91M1</v>
          </cell>
          <cell r="E1411" t="str">
            <v>直供国内A股采购组织</v>
          </cell>
          <cell r="F1411" t="str">
            <v>寄售</v>
          </cell>
          <cell r="G1411" t="str">
            <v>2026-12-31</v>
          </cell>
          <cell r="H1411" t="str">
            <v>30</v>
          </cell>
          <cell r="I1411" t="str">
            <v>28.63</v>
          </cell>
        </row>
        <row r="1412">
          <cell r="B1412" t="str">
            <v>0011800324T</v>
          </cell>
          <cell r="C1412" t="str">
            <v>显示面板-CEM-1/--</v>
          </cell>
          <cell r="D1412" t="str">
            <v>91M1</v>
          </cell>
          <cell r="E1412" t="str">
            <v>直供国内A股采购组织</v>
          </cell>
          <cell r="F1412" t="str">
            <v>寄售</v>
          </cell>
          <cell r="G1412" t="str">
            <v>2026-12-31</v>
          </cell>
          <cell r="H1412" t="str">
            <v>30</v>
          </cell>
          <cell r="I1412" t="str">
            <v>6.34</v>
          </cell>
        </row>
        <row r="1413">
          <cell r="B1413" t="str">
            <v>0011800612T</v>
          </cell>
          <cell r="C1413" t="str">
            <v>室内电脑板-CEM-1</v>
          </cell>
          <cell r="D1413" t="str">
            <v>91M1</v>
          </cell>
          <cell r="E1413" t="str">
            <v>直供国内A股采购组织</v>
          </cell>
          <cell r="F1413" t="str">
            <v>寄售</v>
          </cell>
          <cell r="G1413" t="str">
            <v>2026-12-31</v>
          </cell>
          <cell r="H1413" t="str">
            <v>30</v>
          </cell>
          <cell r="I1413" t="str">
            <v>32.87</v>
          </cell>
        </row>
        <row r="1414">
          <cell r="B1414" t="str">
            <v>0011800630S</v>
          </cell>
          <cell r="C1414" t="str">
            <v>室内电脑板-/</v>
          </cell>
          <cell r="D1414" t="str">
            <v>91M1</v>
          </cell>
          <cell r="E1414" t="str">
            <v>直供国内A股采购组织</v>
          </cell>
          <cell r="F1414" t="str">
            <v>寄售</v>
          </cell>
          <cell r="G1414" t="str">
            <v>2026-12-31</v>
          </cell>
          <cell r="H1414" t="str">
            <v>30</v>
          </cell>
          <cell r="I1414" t="str">
            <v>29.25</v>
          </cell>
        </row>
        <row r="1415">
          <cell r="B1415" t="str">
            <v>0011800691AF</v>
          </cell>
          <cell r="C1415" t="str">
            <v>室内电脑板-/162mm*130mm</v>
          </cell>
          <cell r="D1415" t="str">
            <v>91M1</v>
          </cell>
          <cell r="E1415" t="str">
            <v>直供国内A股采购组织</v>
          </cell>
          <cell r="F1415" t="str">
            <v>寄售</v>
          </cell>
          <cell r="G1415" t="str">
            <v>2026-12-31</v>
          </cell>
          <cell r="H1415" t="str">
            <v>10</v>
          </cell>
          <cell r="I1415" t="str">
            <v>40.64</v>
          </cell>
        </row>
        <row r="1416">
          <cell r="B1416" t="str">
            <v>0041800773YS</v>
          </cell>
          <cell r="C1416" t="str">
            <v>AD显示板-LEDEC5001/6001-PM1-电热</v>
          </cell>
          <cell r="D1416" t="str">
            <v>91M1</v>
          </cell>
          <cell r="E1416" t="str">
            <v>直供国内A股采购组织</v>
          </cell>
          <cell r="F1416" t="str">
            <v>寄售</v>
          </cell>
          <cell r="G1416" t="str">
            <v>2026-12-31</v>
          </cell>
          <cell r="H1416" t="str">
            <v>14</v>
          </cell>
          <cell r="I1416" t="str">
            <v>12.49</v>
          </cell>
        </row>
        <row r="1417">
          <cell r="B1417" t="str">
            <v>0190400002</v>
          </cell>
          <cell r="C1417" t="str">
            <v>主控板-//</v>
          </cell>
          <cell r="D1417" t="str">
            <v>91M1</v>
          </cell>
          <cell r="E1417" t="str">
            <v>直供国内A股采购组织</v>
          </cell>
          <cell r="F1417" t="str">
            <v>寄售</v>
          </cell>
          <cell r="G1417" t="str">
            <v>2026-12-31</v>
          </cell>
          <cell r="H1417" t="str">
            <v>7</v>
          </cell>
          <cell r="I1417" t="str">
            <v>37.30</v>
          </cell>
        </row>
        <row r="1418">
          <cell r="B1418" t="str">
            <v>0190400113M</v>
          </cell>
          <cell r="C1418" t="str">
            <v>主控板-通用云鳟迭代系列产品Q5--800G用主控板长176.6mm宽63.8m</v>
          </cell>
          <cell r="D1418" t="str">
            <v>91M1</v>
          </cell>
          <cell r="E1418" t="str">
            <v>直供国内A股采购组织</v>
          </cell>
          <cell r="F1418" t="str">
            <v>寄售</v>
          </cell>
          <cell r="G1418" t="str">
            <v>2026-12-31</v>
          </cell>
          <cell r="H1418" t="str">
            <v>7</v>
          </cell>
          <cell r="I1418" t="str">
            <v>26.97</v>
          </cell>
        </row>
        <row r="1419">
          <cell r="B1419" t="str">
            <v>0190400174</v>
          </cell>
          <cell r="C1419" t="str">
            <v>显示板-//</v>
          </cell>
          <cell r="D1419" t="str">
            <v>91M1</v>
          </cell>
          <cell r="E1419" t="str">
            <v>直供国内A股采购组织</v>
          </cell>
          <cell r="F1419" t="str">
            <v>寄售</v>
          </cell>
          <cell r="G1419" t="str">
            <v>2026-12-31</v>
          </cell>
          <cell r="H1419" t="str">
            <v>7</v>
          </cell>
          <cell r="I1419" t="str">
            <v>9.96</v>
          </cell>
        </row>
        <row r="1420">
          <cell r="B1420" t="str">
            <v>0190400348</v>
          </cell>
          <cell r="C1420" t="str">
            <v>主控板-通用电控板尺寸:86mm*31mm净水</v>
          </cell>
          <cell r="D1420" t="str">
            <v>91M1</v>
          </cell>
          <cell r="E1420" t="str">
            <v>直供国内A股采购组织</v>
          </cell>
          <cell r="F1420" t="str">
            <v>寄售</v>
          </cell>
          <cell r="G1420" t="str">
            <v>2026-12-31</v>
          </cell>
          <cell r="H1420" t="str">
            <v>7</v>
          </cell>
          <cell r="I1420" t="str">
            <v>11.93</v>
          </cell>
        </row>
        <row r="1421">
          <cell r="B1421" t="str">
            <v>0041801039B</v>
          </cell>
          <cell r="C1421" t="str">
            <v>电脑板控制板-通用热泵</v>
          </cell>
          <cell r="D1421" t="str">
            <v>91M1</v>
          </cell>
          <cell r="E1421" t="str">
            <v>直供国内A股采购组织</v>
          </cell>
          <cell r="F1421" t="str">
            <v>寄售</v>
          </cell>
          <cell r="G1421" t="str">
            <v>2026-12-31</v>
          </cell>
          <cell r="H1421" t="str">
            <v>14</v>
          </cell>
          <cell r="I1421" t="str">
            <v>77.42</v>
          </cell>
        </row>
        <row r="1422">
          <cell r="B1422" t="str">
            <v>0041800693</v>
          </cell>
          <cell r="C1422" t="str">
            <v>AD电源板-CEM-3单功率通用-单继电器-</v>
          </cell>
          <cell r="D1422" t="str">
            <v>91M1</v>
          </cell>
          <cell r="E1422" t="str">
            <v>直供国内A股采购组织</v>
          </cell>
          <cell r="F1422" t="str">
            <v>寄售</v>
          </cell>
          <cell r="G1422" t="str">
            <v>2026-12-31</v>
          </cell>
          <cell r="H1422" t="str">
            <v>14</v>
          </cell>
          <cell r="I1422" t="str">
            <v>12.52</v>
          </cell>
        </row>
        <row r="1423">
          <cell r="B1423" t="str">
            <v>0041800751YS</v>
          </cell>
          <cell r="C1423" t="str">
            <v>AD显示板-LED海尔双功率平台-电热</v>
          </cell>
          <cell r="D1423" t="str">
            <v>91M1</v>
          </cell>
          <cell r="E1423" t="str">
            <v>直供国内A股采购组织</v>
          </cell>
          <cell r="F1423" t="str">
            <v>寄售</v>
          </cell>
          <cell r="G1423" t="str">
            <v>2026-12-31</v>
          </cell>
          <cell r="H1423" t="str">
            <v>14</v>
          </cell>
          <cell r="I1423" t="str">
            <v>18.02</v>
          </cell>
        </row>
        <row r="1424">
          <cell r="B1424" t="str">
            <v>0041800757E</v>
          </cell>
          <cell r="C1424" t="str">
            <v>电脑板显示板-FR-486*86*20卡萨帝-wifi-55℃-通用热泵</v>
          </cell>
          <cell r="D1424" t="str">
            <v>91M1</v>
          </cell>
          <cell r="E1424" t="str">
            <v>直供国内A股采购组织</v>
          </cell>
          <cell r="F1424" t="str">
            <v>寄售</v>
          </cell>
          <cell r="G1424" t="str">
            <v>2026-12-31</v>
          </cell>
          <cell r="H1424" t="str">
            <v>14</v>
          </cell>
          <cell r="I1424" t="str">
            <v>69.12</v>
          </cell>
        </row>
        <row r="1425">
          <cell r="B1425" t="str">
            <v>0041800757K</v>
          </cell>
          <cell r="C1425" t="str">
            <v>电脑板显示板-LCD86*86*20-海尔电辅-通用-热泵</v>
          </cell>
          <cell r="D1425" t="str">
            <v>91M1</v>
          </cell>
          <cell r="E1425" t="str">
            <v>直供国内A股采购组织</v>
          </cell>
          <cell r="F1425" t="str">
            <v>寄售</v>
          </cell>
          <cell r="G1425" t="str">
            <v>2026-12-31</v>
          </cell>
          <cell r="H1425" t="str">
            <v>14</v>
          </cell>
          <cell r="I1425" t="str">
            <v>68.82</v>
          </cell>
        </row>
        <row r="1426">
          <cell r="B1426" t="str">
            <v>0041800811K</v>
          </cell>
          <cell r="C1426" t="str">
            <v>电脑板控制板-FR-4120*100*35-热泵</v>
          </cell>
          <cell r="D1426" t="str">
            <v>91M1</v>
          </cell>
          <cell r="E1426" t="str">
            <v>直供国内A股采购组织</v>
          </cell>
          <cell r="F1426" t="str">
            <v>寄售</v>
          </cell>
          <cell r="G1426" t="str">
            <v>2026-12-31</v>
          </cell>
          <cell r="H1426" t="str">
            <v>14</v>
          </cell>
          <cell r="I1426" t="str">
            <v>40.72</v>
          </cell>
        </row>
        <row r="1427">
          <cell r="B1427" t="str">
            <v>0041801057</v>
          </cell>
          <cell r="C1427" t="str">
            <v>主控板-/90*120</v>
          </cell>
          <cell r="D1427" t="str">
            <v>91M1</v>
          </cell>
          <cell r="E1427" t="str">
            <v>直供国内A股采购组织</v>
          </cell>
          <cell r="F1427" t="str">
            <v>寄售</v>
          </cell>
          <cell r="G1427" t="str">
            <v>2026-12-31</v>
          </cell>
          <cell r="H1427" t="str">
            <v>14</v>
          </cell>
          <cell r="I1427" t="str">
            <v>28.79</v>
          </cell>
        </row>
        <row r="1428">
          <cell r="B1428" t="str">
            <v>0011801425T</v>
          </cell>
          <cell r="C1428" t="str">
            <v>变频外电脑板-FR-4</v>
          </cell>
          <cell r="D1428" t="str">
            <v>91M1</v>
          </cell>
          <cell r="E1428" t="str">
            <v>直供国内A股采购组织</v>
          </cell>
          <cell r="F1428" t="str">
            <v>寄售</v>
          </cell>
          <cell r="G1428" t="str">
            <v>2026-12-31</v>
          </cell>
          <cell r="H1428" t="str">
            <v>3</v>
          </cell>
          <cell r="I1428" t="str">
            <v>127.30</v>
          </cell>
        </row>
        <row r="1429">
          <cell r="B1429" t="str">
            <v>0011801593D</v>
          </cell>
          <cell r="C1429" t="str">
            <v>室内电脑板-FR-4</v>
          </cell>
          <cell r="D1429" t="str">
            <v>91M1</v>
          </cell>
          <cell r="E1429" t="str">
            <v>直供国内A股采购组织</v>
          </cell>
          <cell r="F1429" t="str">
            <v>寄售</v>
          </cell>
          <cell r="G1429" t="str">
            <v>2026-12-31</v>
          </cell>
          <cell r="H1429" t="str">
            <v>15</v>
          </cell>
          <cell r="I1429" t="str">
            <v>72.95</v>
          </cell>
        </row>
        <row r="1430">
          <cell r="B1430" t="str">
            <v>0031800004FH</v>
          </cell>
          <cell r="C1430" t="str">
            <v>DP一体板-通用</v>
          </cell>
          <cell r="D1430" t="str">
            <v>91M1</v>
          </cell>
          <cell r="E1430" t="str">
            <v>直供国内A股采购组织</v>
          </cell>
          <cell r="F1430" t="str">
            <v>寄售</v>
          </cell>
          <cell r="G1430" t="str">
            <v>2026-12-31</v>
          </cell>
          <cell r="H1430" t="str">
            <v>10</v>
          </cell>
          <cell r="I1430" t="str">
            <v>33.81</v>
          </cell>
        </row>
        <row r="1431">
          <cell r="B1431" t="str">
            <v>0041800751AYS</v>
          </cell>
          <cell r="C1431" t="str">
            <v>AD显示板-LED一级能效PD3/GD3-电热</v>
          </cell>
          <cell r="D1431" t="str">
            <v>91M1</v>
          </cell>
          <cell r="E1431" t="str">
            <v>直供国内A股采购组织</v>
          </cell>
          <cell r="F1431" t="str">
            <v>寄售</v>
          </cell>
          <cell r="G1431" t="str">
            <v>2026-12-31</v>
          </cell>
          <cell r="H1431" t="str">
            <v>14</v>
          </cell>
          <cell r="I1431" t="str">
            <v>15.62</v>
          </cell>
        </row>
        <row r="1432">
          <cell r="B1432" t="str">
            <v>0041800757B</v>
          </cell>
          <cell r="C1432" t="str">
            <v>电脑板显示板-通用86*86*20-海尔电辅-WIFI-通用热泵</v>
          </cell>
          <cell r="D1432" t="str">
            <v>91M1</v>
          </cell>
          <cell r="E1432" t="str">
            <v>直供国内A股采购组织</v>
          </cell>
          <cell r="F1432" t="str">
            <v>寄售</v>
          </cell>
          <cell r="G1432" t="str">
            <v>2026-12-31</v>
          </cell>
          <cell r="H1432" t="str">
            <v>14</v>
          </cell>
          <cell r="I1432" t="str">
            <v>67.66</v>
          </cell>
        </row>
        <row r="1433">
          <cell r="B1433" t="str">
            <v>0041800757H</v>
          </cell>
          <cell r="C1433" t="str">
            <v>AD显示板-LCD86*86*20-海尔电辅-通用-热泵</v>
          </cell>
          <cell r="D1433" t="str">
            <v>91M1</v>
          </cell>
          <cell r="E1433" t="str">
            <v>直供国内A股采购组织</v>
          </cell>
          <cell r="F1433" t="str">
            <v>寄售</v>
          </cell>
          <cell r="G1433" t="str">
            <v>2026-12-31</v>
          </cell>
          <cell r="H1433" t="str">
            <v>14</v>
          </cell>
          <cell r="I1433" t="str">
            <v>48.38</v>
          </cell>
        </row>
        <row r="1434">
          <cell r="B1434" t="str">
            <v>0041800757M</v>
          </cell>
          <cell r="C1434" t="str">
            <v>AD显示板-LCD86*86*20-统帅电辅-通用-热泵</v>
          </cell>
          <cell r="D1434" t="str">
            <v>91M1</v>
          </cell>
          <cell r="E1434" t="str">
            <v>直供国内A股采购组织</v>
          </cell>
          <cell r="F1434" t="str">
            <v>寄售</v>
          </cell>
          <cell r="G1434" t="str">
            <v>2026-12-31</v>
          </cell>
          <cell r="H1434" t="str">
            <v>14</v>
          </cell>
          <cell r="I1434" t="str">
            <v>68.82</v>
          </cell>
        </row>
        <row r="1435">
          <cell r="B1435" t="str">
            <v>0041801155B</v>
          </cell>
          <cell r="C1435" t="str">
            <v>电脑板显示板-通用热泵</v>
          </cell>
          <cell r="D1435" t="str">
            <v>91M1</v>
          </cell>
          <cell r="E1435" t="str">
            <v>直供国内A股采购组织</v>
          </cell>
          <cell r="F1435" t="str">
            <v>寄售</v>
          </cell>
          <cell r="G1435" t="str">
            <v>2026-12-31</v>
          </cell>
          <cell r="H1435" t="str">
            <v>14</v>
          </cell>
          <cell r="I1435" t="str">
            <v>42.90</v>
          </cell>
        </row>
        <row r="1436">
          <cell r="B1436" t="str">
            <v>0190400113F</v>
          </cell>
          <cell r="C1436" t="str">
            <v>主控板-通用云鳟系列产品CRO600-Q3PBU1用主控板长176.6mm宽63</v>
          </cell>
          <cell r="D1436" t="str">
            <v>91M1</v>
          </cell>
          <cell r="E1436" t="str">
            <v>直供国内A股采购组织</v>
          </cell>
          <cell r="F1436" t="str">
            <v>寄售</v>
          </cell>
          <cell r="G1436" t="str">
            <v>2026-12-31</v>
          </cell>
          <cell r="H1436" t="str">
            <v>7</v>
          </cell>
          <cell r="I1436" t="str">
            <v>26.97</v>
          </cell>
        </row>
        <row r="1437">
          <cell r="B1437" t="str">
            <v>0190400127</v>
          </cell>
          <cell r="C1437" t="str">
            <v>信号转接板-通用信号转接板主控板端FR-4,板尺寸43*25</v>
          </cell>
          <cell r="D1437" t="str">
            <v>91M1</v>
          </cell>
          <cell r="E1437" t="str">
            <v>直供国内A股采购组织</v>
          </cell>
          <cell r="F1437" t="str">
            <v>寄售</v>
          </cell>
          <cell r="G1437" t="str">
            <v>2026-12-31</v>
          </cell>
          <cell r="H1437" t="str">
            <v>7</v>
          </cell>
          <cell r="I1437" t="str">
            <v>11.18</v>
          </cell>
        </row>
        <row r="1438">
          <cell r="B1438" t="str">
            <v>0190400223</v>
          </cell>
          <cell r="C1438" t="str">
            <v>主控板-通用mini系列电源转接mini系列电源转接</v>
          </cell>
          <cell r="D1438" t="str">
            <v>91M1</v>
          </cell>
          <cell r="E1438" t="str">
            <v>直供国内A股采购组织</v>
          </cell>
          <cell r="F1438" t="str">
            <v>寄售</v>
          </cell>
          <cell r="G1438" t="str">
            <v>2026-12-31</v>
          </cell>
          <cell r="H1438" t="str">
            <v>7</v>
          </cell>
          <cell r="I1438" t="str">
            <v>1.90</v>
          </cell>
        </row>
        <row r="1439">
          <cell r="B1439" t="str">
            <v>0011800387A</v>
          </cell>
          <cell r="C1439" t="str">
            <v>显示面板-FR-4</v>
          </cell>
          <cell r="D1439" t="str">
            <v>91M1</v>
          </cell>
          <cell r="E1439" t="str">
            <v>直供国内A股采购组织</v>
          </cell>
          <cell r="F1439" t="str">
            <v>寄售</v>
          </cell>
          <cell r="G1439" t="str">
            <v>2026-12-31</v>
          </cell>
          <cell r="H1439" t="str">
            <v>30</v>
          </cell>
          <cell r="I1439" t="str">
            <v>11.70</v>
          </cell>
        </row>
        <row r="1440">
          <cell r="B1440" t="str">
            <v>0011800612E</v>
          </cell>
          <cell r="C1440" t="str">
            <v>室内电脑板-CEM-1</v>
          </cell>
          <cell r="D1440" t="str">
            <v>91M1</v>
          </cell>
          <cell r="E1440" t="str">
            <v>直供国内A股采购组织</v>
          </cell>
          <cell r="F1440" t="str">
            <v>寄售</v>
          </cell>
          <cell r="G1440" t="str">
            <v>2026-12-31</v>
          </cell>
          <cell r="H1440" t="str">
            <v>30</v>
          </cell>
          <cell r="I1440" t="str">
            <v>33.35</v>
          </cell>
        </row>
        <row r="1441">
          <cell r="B1441" t="str">
            <v>0011800612M</v>
          </cell>
          <cell r="C1441" t="str">
            <v>室内电脑板-CEM-1</v>
          </cell>
          <cell r="D1441" t="str">
            <v>91M1</v>
          </cell>
          <cell r="E1441" t="str">
            <v>直供国内A股采购组织</v>
          </cell>
          <cell r="F1441" t="str">
            <v>寄售</v>
          </cell>
          <cell r="G1441" t="str">
            <v>2026-12-31</v>
          </cell>
          <cell r="H1441" t="str">
            <v>30</v>
          </cell>
          <cell r="I1441" t="str">
            <v>27.02</v>
          </cell>
        </row>
        <row r="1442">
          <cell r="B1442" t="str">
            <v>0011800630E</v>
          </cell>
          <cell r="C1442" t="str">
            <v>室内电脑板-CEM-1室内电脑板马来18k室内电脑板-</v>
          </cell>
          <cell r="D1442" t="str">
            <v>91M1</v>
          </cell>
          <cell r="E1442" t="str">
            <v>直供国内A股采购组织</v>
          </cell>
          <cell r="F1442" t="str">
            <v>寄售</v>
          </cell>
          <cell r="G1442" t="str">
            <v>2026-12-31</v>
          </cell>
          <cell r="H1442" t="str">
            <v>30</v>
          </cell>
          <cell r="I1442" t="str">
            <v>29.61</v>
          </cell>
        </row>
        <row r="1443">
          <cell r="B1443" t="str">
            <v>0011800646D</v>
          </cell>
          <cell r="C1443" t="str">
            <v>室内电脑板-FR-4---</v>
          </cell>
          <cell r="D1443" t="str">
            <v>91M1</v>
          </cell>
          <cell r="E1443" t="str">
            <v>直供国内A股采购组织</v>
          </cell>
          <cell r="F1443" t="str">
            <v>寄售</v>
          </cell>
          <cell r="G1443" t="str">
            <v>2026-12-31</v>
          </cell>
          <cell r="H1443" t="str">
            <v>30</v>
          </cell>
          <cell r="I1443" t="str">
            <v>40.97</v>
          </cell>
        </row>
        <row r="1444">
          <cell r="B1444" t="str">
            <v>0011800970AA</v>
          </cell>
          <cell r="C1444" t="str">
            <v>变频外电脑板-通用23T直流变频</v>
          </cell>
          <cell r="D1444" t="str">
            <v>91M1</v>
          </cell>
          <cell r="E1444" t="str">
            <v>直供国内A股采购组织</v>
          </cell>
          <cell r="F1444" t="str">
            <v>寄售</v>
          </cell>
          <cell r="G1444" t="str">
            <v>2026-12-31</v>
          </cell>
          <cell r="H1444" t="str">
            <v>30</v>
          </cell>
          <cell r="I1444" t="str">
            <v>106.76</v>
          </cell>
        </row>
        <row r="1445">
          <cell r="B1445" t="str">
            <v>0011800970N</v>
          </cell>
          <cell r="C1445" t="str">
            <v>变频外电脑板-通用23T直流变频</v>
          </cell>
          <cell r="D1445" t="str">
            <v>91M1</v>
          </cell>
          <cell r="E1445" t="str">
            <v>直供国内A股采购组织</v>
          </cell>
          <cell r="F1445" t="str">
            <v>寄售</v>
          </cell>
          <cell r="G1445" t="str">
            <v>2026-12-31</v>
          </cell>
          <cell r="H1445" t="str">
            <v>15</v>
          </cell>
          <cell r="I1445" t="str">
            <v>110.16</v>
          </cell>
        </row>
        <row r="1446">
          <cell r="B1446" t="str">
            <v>0011800980J</v>
          </cell>
          <cell r="C1446" t="str">
            <v>室内电脑板-FR-4P平台内机板</v>
          </cell>
          <cell r="D1446" t="str">
            <v>91M1</v>
          </cell>
          <cell r="E1446" t="str">
            <v>直供国内A股采购组织</v>
          </cell>
          <cell r="F1446" t="str">
            <v>寄售</v>
          </cell>
          <cell r="G1446" t="str">
            <v>2026-12-31</v>
          </cell>
          <cell r="H1446" t="str">
            <v>3</v>
          </cell>
          <cell r="I1446" t="str">
            <v>63.54</v>
          </cell>
        </row>
        <row r="1447">
          <cell r="B1447" t="str">
            <v>0011801150G</v>
          </cell>
          <cell r="C1447" t="str">
            <v>变频外电脑板-FR-4230mm*157mm</v>
          </cell>
          <cell r="D1447" t="str">
            <v>91M1</v>
          </cell>
          <cell r="E1447" t="str">
            <v>直供国内A股采购组织</v>
          </cell>
          <cell r="F1447" t="str">
            <v>寄售</v>
          </cell>
          <cell r="G1447" t="str">
            <v>2026-12-31</v>
          </cell>
          <cell r="H1447" t="str">
            <v>10</v>
          </cell>
          <cell r="I1447" t="str">
            <v>134.12</v>
          </cell>
        </row>
        <row r="1448">
          <cell r="B1448" t="str">
            <v>0011801172BA</v>
          </cell>
          <cell r="C1448" t="str">
            <v>变频外电脑板-FR-4240*180</v>
          </cell>
          <cell r="D1448" t="str">
            <v>91M1</v>
          </cell>
          <cell r="E1448" t="str">
            <v>直供国内A股采购组织</v>
          </cell>
          <cell r="F1448" t="str">
            <v>寄售</v>
          </cell>
          <cell r="G1448" t="str">
            <v>2026-12-31</v>
          </cell>
          <cell r="H1448" t="str">
            <v>30</v>
          </cell>
          <cell r="I1448" t="str">
            <v>151.95</v>
          </cell>
        </row>
        <row r="1449">
          <cell r="B1449" t="str">
            <v>0011801172S</v>
          </cell>
          <cell r="C1449" t="str">
            <v>变频外电脑板-FR-4240*180</v>
          </cell>
          <cell r="D1449" t="str">
            <v>91M1</v>
          </cell>
          <cell r="E1449" t="str">
            <v>直供国内A股采购组织</v>
          </cell>
          <cell r="F1449" t="str">
            <v>寄售</v>
          </cell>
          <cell r="G1449" t="str">
            <v>2026-12-31</v>
          </cell>
          <cell r="H1449" t="str">
            <v>15</v>
          </cell>
          <cell r="I1449" t="str">
            <v>158.41</v>
          </cell>
        </row>
        <row r="1450">
          <cell r="B1450" t="str">
            <v>0011801372F</v>
          </cell>
          <cell r="C1450" t="str">
            <v>变频外电脑板-FR-4205mm*157mm</v>
          </cell>
          <cell r="D1450" t="str">
            <v>91M1</v>
          </cell>
          <cell r="E1450" t="str">
            <v>直供国内A股采购组织</v>
          </cell>
          <cell r="F1450" t="str">
            <v>寄售</v>
          </cell>
          <cell r="G1450" t="str">
            <v>2026-12-31</v>
          </cell>
          <cell r="H1450" t="str">
            <v>3</v>
          </cell>
          <cell r="I1450" t="str">
            <v>90.60</v>
          </cell>
        </row>
        <row r="1451">
          <cell r="B1451" t="str">
            <v>0011801424H</v>
          </cell>
          <cell r="C1451" t="str">
            <v>变频外电脑板-FR-4/</v>
          </cell>
          <cell r="D1451" t="str">
            <v>91M1</v>
          </cell>
          <cell r="E1451" t="str">
            <v>直供国内A股采购组织</v>
          </cell>
          <cell r="F1451" t="str">
            <v>寄售</v>
          </cell>
          <cell r="G1451" t="str">
            <v>2026-12-31</v>
          </cell>
          <cell r="H1451" t="str">
            <v>30</v>
          </cell>
          <cell r="I1451" t="str">
            <v>115.49</v>
          </cell>
        </row>
        <row r="1452">
          <cell r="B1452" t="str">
            <v>0011801424J</v>
          </cell>
          <cell r="C1452" t="str">
            <v>变频外电脑板-FR-4/</v>
          </cell>
          <cell r="D1452" t="str">
            <v>91M1</v>
          </cell>
          <cell r="E1452" t="str">
            <v>直供国内A股采购组织</v>
          </cell>
          <cell r="F1452" t="str">
            <v>寄售</v>
          </cell>
          <cell r="G1452" t="str">
            <v>2026-12-31</v>
          </cell>
          <cell r="H1452" t="str">
            <v>3</v>
          </cell>
          <cell r="I1452" t="str">
            <v>128.87</v>
          </cell>
        </row>
        <row r="1453">
          <cell r="B1453" t="str">
            <v>0011801425N</v>
          </cell>
          <cell r="C1453" t="str">
            <v>变频外电脑板-FR-4</v>
          </cell>
          <cell r="D1453" t="str">
            <v>91M1</v>
          </cell>
          <cell r="E1453" t="str">
            <v>直供国内A股采购组织</v>
          </cell>
          <cell r="F1453" t="str">
            <v>寄售</v>
          </cell>
          <cell r="G1453" t="str">
            <v>2026-12-31</v>
          </cell>
          <cell r="H1453" t="str">
            <v>3</v>
          </cell>
          <cell r="I1453" t="str">
            <v>107.24</v>
          </cell>
        </row>
        <row r="1454">
          <cell r="B1454" t="str">
            <v>0011801425P</v>
          </cell>
          <cell r="C1454" t="str">
            <v>变频外电脑板-FR-4</v>
          </cell>
          <cell r="D1454" t="str">
            <v>91M1</v>
          </cell>
          <cell r="E1454" t="str">
            <v>直供国内A股采购组织</v>
          </cell>
          <cell r="F1454" t="str">
            <v>寄售</v>
          </cell>
          <cell r="G1454" t="str">
            <v>2026-12-31</v>
          </cell>
          <cell r="H1454" t="str">
            <v>3</v>
          </cell>
          <cell r="I1454" t="str">
            <v>109.09</v>
          </cell>
        </row>
        <row r="1455">
          <cell r="B1455" t="str">
            <v>0011801593A</v>
          </cell>
          <cell r="C1455" t="str">
            <v>室内电脑板-FR-4</v>
          </cell>
          <cell r="D1455" t="str">
            <v>91M1</v>
          </cell>
          <cell r="E1455" t="str">
            <v>直供国内A股采购组织</v>
          </cell>
          <cell r="F1455" t="str">
            <v>寄售</v>
          </cell>
          <cell r="G1455" t="str">
            <v>2026-12-31</v>
          </cell>
          <cell r="H1455" t="str">
            <v>15</v>
          </cell>
          <cell r="I1455" t="str">
            <v>72.95</v>
          </cell>
        </row>
        <row r="1456">
          <cell r="B1456" t="str">
            <v>0011801593C</v>
          </cell>
          <cell r="C1456" t="str">
            <v>室内电脑板-FR-4</v>
          </cell>
          <cell r="D1456" t="str">
            <v>91M1</v>
          </cell>
          <cell r="E1456" t="str">
            <v>直供国内A股采购组织</v>
          </cell>
          <cell r="F1456" t="str">
            <v>寄售</v>
          </cell>
          <cell r="G1456" t="str">
            <v>2026-12-31</v>
          </cell>
          <cell r="H1456" t="str">
            <v>15</v>
          </cell>
          <cell r="I1456" t="str">
            <v>74.75</v>
          </cell>
        </row>
        <row r="1457">
          <cell r="B1457" t="str">
            <v>0011800376AD</v>
          </cell>
          <cell r="C1457" t="str">
            <v>室内电脑板-CEM-3208mm*105mm</v>
          </cell>
          <cell r="D1457" t="str">
            <v>91M1</v>
          </cell>
          <cell r="E1457" t="str">
            <v>直供国内A股采购组织</v>
          </cell>
          <cell r="F1457" t="str">
            <v>寄售</v>
          </cell>
          <cell r="G1457" t="str">
            <v>2026-12-31</v>
          </cell>
          <cell r="H1457" t="str">
            <v>10</v>
          </cell>
          <cell r="I1457" t="str">
            <v>42.39</v>
          </cell>
        </row>
        <row r="1458">
          <cell r="B1458" t="str">
            <v>0011800387</v>
          </cell>
          <cell r="C1458" t="str">
            <v>显示面板-FR-4</v>
          </cell>
          <cell r="D1458" t="str">
            <v>91M1</v>
          </cell>
          <cell r="E1458" t="str">
            <v>直供国内A股采购组织</v>
          </cell>
          <cell r="F1458" t="str">
            <v>标准</v>
          </cell>
          <cell r="G1458" t="str">
            <v>2026-12-31</v>
          </cell>
          <cell r="H1458" t="str">
            <v>30</v>
          </cell>
          <cell r="I1458" t="str">
            <v>6.66</v>
          </cell>
        </row>
        <row r="1459">
          <cell r="B1459" t="str">
            <v>0011800387J</v>
          </cell>
          <cell r="C1459" t="str">
            <v>显示面板-/</v>
          </cell>
          <cell r="D1459" t="str">
            <v>91M1</v>
          </cell>
          <cell r="E1459" t="str">
            <v>直供国内A股采购组织</v>
          </cell>
          <cell r="F1459" t="str">
            <v>寄售</v>
          </cell>
          <cell r="G1459" t="str">
            <v>2026-12-31</v>
          </cell>
          <cell r="H1459" t="str">
            <v>30</v>
          </cell>
          <cell r="I1459" t="str">
            <v>6.22</v>
          </cell>
        </row>
        <row r="1460">
          <cell r="B1460" t="str">
            <v>0011800537C</v>
          </cell>
          <cell r="C1460" t="str">
            <v>室内电脑板-CEM-1</v>
          </cell>
          <cell r="D1460" t="str">
            <v>91M1</v>
          </cell>
          <cell r="E1460" t="str">
            <v>直供国内A股采购组织</v>
          </cell>
          <cell r="F1460" t="str">
            <v>寄售</v>
          </cell>
          <cell r="G1460" t="str">
            <v>2026-12-31</v>
          </cell>
          <cell r="H1460" t="str">
            <v>7</v>
          </cell>
          <cell r="I1460" t="str">
            <v>19.28</v>
          </cell>
        </row>
        <row r="1461">
          <cell r="B1461" t="str">
            <v>0011800612C</v>
          </cell>
          <cell r="C1461" t="str">
            <v>室内电脑板-CEM-1</v>
          </cell>
          <cell r="D1461" t="str">
            <v>91M1</v>
          </cell>
          <cell r="E1461" t="str">
            <v>直供国内A股采购组织</v>
          </cell>
          <cell r="F1461" t="str">
            <v>寄售</v>
          </cell>
          <cell r="G1461" t="str">
            <v>2026-12-31</v>
          </cell>
          <cell r="H1461" t="str">
            <v>30</v>
          </cell>
          <cell r="I1461" t="str">
            <v>27.75</v>
          </cell>
        </row>
        <row r="1462">
          <cell r="B1462" t="str">
            <v>0011800612H</v>
          </cell>
          <cell r="C1462" t="str">
            <v>室内电脑板-/---</v>
          </cell>
          <cell r="D1462" t="str">
            <v>91M1</v>
          </cell>
          <cell r="E1462" t="str">
            <v>直供国内A股采购组织</v>
          </cell>
          <cell r="F1462" t="str">
            <v>寄售</v>
          </cell>
          <cell r="G1462" t="str">
            <v>2026-12-31</v>
          </cell>
          <cell r="H1462" t="str">
            <v>30</v>
          </cell>
          <cell r="I1462" t="str">
            <v>23.91</v>
          </cell>
        </row>
        <row r="1463">
          <cell r="B1463" t="str">
            <v>0011800612V</v>
          </cell>
          <cell r="C1463" t="str">
            <v>室内电脑板-/</v>
          </cell>
          <cell r="D1463" t="str">
            <v>91M1</v>
          </cell>
          <cell r="E1463" t="str">
            <v>直供国内A股采购组织</v>
          </cell>
          <cell r="F1463" t="str">
            <v>寄售</v>
          </cell>
          <cell r="G1463" t="str">
            <v>2026-12-31</v>
          </cell>
          <cell r="H1463" t="str">
            <v>30</v>
          </cell>
          <cell r="I1463" t="str">
            <v>24.63</v>
          </cell>
        </row>
        <row r="1464">
          <cell r="B1464" t="str">
            <v>0011800612Z</v>
          </cell>
          <cell r="C1464" t="str">
            <v>室内电脑板-CEM-1\--</v>
          </cell>
          <cell r="D1464" t="str">
            <v>91M1</v>
          </cell>
          <cell r="E1464" t="str">
            <v>直供国内A股采购组织</v>
          </cell>
          <cell r="F1464" t="str">
            <v>寄售</v>
          </cell>
          <cell r="G1464" t="str">
            <v>2026-12-31</v>
          </cell>
          <cell r="H1464" t="str">
            <v>30</v>
          </cell>
          <cell r="I1464" t="str">
            <v>25.75</v>
          </cell>
        </row>
        <row r="1465">
          <cell r="B1465" t="str">
            <v>0011800630Y</v>
          </cell>
          <cell r="C1465" t="str">
            <v>室内电脑板-CEM-3室内电脑板巴基斯坦09/12室内电脑板</v>
          </cell>
          <cell r="D1465" t="str">
            <v>91M1</v>
          </cell>
          <cell r="E1465" t="str">
            <v>直供国内A股采购组织</v>
          </cell>
          <cell r="F1465" t="str">
            <v>寄售</v>
          </cell>
          <cell r="G1465" t="str">
            <v>2026-12-31</v>
          </cell>
          <cell r="H1465" t="str">
            <v>30</v>
          </cell>
          <cell r="I1465" t="str">
            <v>33.86</v>
          </cell>
        </row>
        <row r="1466">
          <cell r="B1466" t="str">
            <v>0011800646B</v>
          </cell>
          <cell r="C1466" t="str">
            <v>室内电脑板-FR-4</v>
          </cell>
          <cell r="D1466" t="str">
            <v>91M1</v>
          </cell>
          <cell r="E1466" t="str">
            <v>直供国内A股采购组织</v>
          </cell>
          <cell r="F1466" t="str">
            <v>寄售</v>
          </cell>
          <cell r="G1466" t="str">
            <v>2026-12-31</v>
          </cell>
          <cell r="H1466" t="str">
            <v>30</v>
          </cell>
          <cell r="I1466" t="str">
            <v>48.97</v>
          </cell>
        </row>
        <row r="1467">
          <cell r="B1467" t="str">
            <v>0011800807</v>
          </cell>
          <cell r="C1467" t="str">
            <v>室内电脑板-FR-4</v>
          </cell>
          <cell r="D1467" t="str">
            <v>91M1</v>
          </cell>
          <cell r="E1467" t="str">
            <v>直供国内A股采购组织</v>
          </cell>
          <cell r="F1467" t="str">
            <v>寄售</v>
          </cell>
          <cell r="G1467" t="str">
            <v>2026-12-31</v>
          </cell>
          <cell r="H1467" t="str">
            <v>7</v>
          </cell>
          <cell r="I1467" t="str">
            <v>41.75</v>
          </cell>
        </row>
        <row r="1468">
          <cell r="B1468" t="str">
            <v>0011800933S</v>
          </cell>
          <cell r="C1468" t="str">
            <v>变频外电脑板-FR-4215mm*157mm</v>
          </cell>
          <cell r="D1468" t="str">
            <v>91M1</v>
          </cell>
          <cell r="E1468" t="str">
            <v>直供国内A股采购组织</v>
          </cell>
          <cell r="F1468" t="str">
            <v>寄售</v>
          </cell>
          <cell r="G1468" t="str">
            <v>2026-12-31</v>
          </cell>
          <cell r="H1468" t="str">
            <v>10</v>
          </cell>
          <cell r="I1468" t="str">
            <v>133.00</v>
          </cell>
        </row>
        <row r="1469">
          <cell r="B1469" t="str">
            <v>0011800970F</v>
          </cell>
          <cell r="C1469" t="str">
            <v>变频外电脑板-通用23T直流变频</v>
          </cell>
          <cell r="D1469" t="str">
            <v>91M1</v>
          </cell>
          <cell r="E1469" t="str">
            <v>直供国内A股采购组织</v>
          </cell>
          <cell r="F1469" t="str">
            <v>寄售</v>
          </cell>
          <cell r="G1469" t="str">
            <v>2026-12-31</v>
          </cell>
          <cell r="H1469" t="str">
            <v>15</v>
          </cell>
          <cell r="I1469" t="str">
            <v>109.67</v>
          </cell>
        </row>
        <row r="1470">
          <cell r="B1470" t="str">
            <v>0011800970G</v>
          </cell>
          <cell r="C1470" t="str">
            <v>变频外电脑板-通用23T直流变频</v>
          </cell>
          <cell r="D1470" t="str">
            <v>91M1</v>
          </cell>
          <cell r="E1470" t="str">
            <v>直供国内A股采购组织</v>
          </cell>
          <cell r="F1470" t="str">
            <v>寄售</v>
          </cell>
          <cell r="G1470" t="str">
            <v>2026-12-31</v>
          </cell>
          <cell r="H1470" t="str">
            <v>15</v>
          </cell>
          <cell r="I1470" t="str">
            <v>117.76</v>
          </cell>
        </row>
        <row r="1471">
          <cell r="B1471" t="str">
            <v>0011800970L</v>
          </cell>
          <cell r="C1471" t="str">
            <v>变频外电脑板-通用23T直流变频</v>
          </cell>
          <cell r="D1471" t="str">
            <v>91M1</v>
          </cell>
          <cell r="E1471" t="str">
            <v>直供国内A股采购组织</v>
          </cell>
          <cell r="F1471" t="str">
            <v>寄售</v>
          </cell>
          <cell r="G1471" t="str">
            <v>2026-12-31</v>
          </cell>
          <cell r="H1471" t="str">
            <v>15</v>
          </cell>
          <cell r="I1471" t="str">
            <v>106.67</v>
          </cell>
        </row>
        <row r="1472">
          <cell r="B1472" t="str">
            <v>0011801425F</v>
          </cell>
          <cell r="C1472" t="str">
            <v>变频外电脑板-FR-4</v>
          </cell>
          <cell r="D1472" t="str">
            <v>91M1</v>
          </cell>
          <cell r="E1472" t="str">
            <v>直供国内A股采购组织</v>
          </cell>
          <cell r="F1472" t="str">
            <v>寄售</v>
          </cell>
          <cell r="G1472" t="str">
            <v>2026-12-31</v>
          </cell>
          <cell r="H1472" t="str">
            <v>3</v>
          </cell>
          <cell r="I1472" t="str">
            <v>107.24</v>
          </cell>
        </row>
        <row r="1473">
          <cell r="B1473" t="str">
            <v>0011801593</v>
          </cell>
          <cell r="C1473" t="str">
            <v>室内电脑板-FR-4136*165</v>
          </cell>
          <cell r="D1473" t="str">
            <v>91M1</v>
          </cell>
          <cell r="E1473" t="str">
            <v>直供国内A股采购组织</v>
          </cell>
          <cell r="F1473" t="str">
            <v>寄售</v>
          </cell>
          <cell r="G1473" t="str">
            <v>2026-12-31</v>
          </cell>
          <cell r="H1473" t="str">
            <v>15</v>
          </cell>
          <cell r="I1473" t="str">
            <v>76.20</v>
          </cell>
        </row>
        <row r="1474">
          <cell r="B1474" t="str">
            <v>0011800387B</v>
          </cell>
          <cell r="C1474" t="str">
            <v>显示面板-FR-4</v>
          </cell>
          <cell r="D1474" t="str">
            <v>91M1</v>
          </cell>
          <cell r="E1474" t="str">
            <v>直供国内A股采购组织</v>
          </cell>
          <cell r="F1474" t="str">
            <v>寄售</v>
          </cell>
          <cell r="G1474" t="str">
            <v>2026-12-31</v>
          </cell>
          <cell r="H1474" t="str">
            <v>30</v>
          </cell>
          <cell r="I1474" t="str">
            <v>16.79</v>
          </cell>
        </row>
        <row r="1475">
          <cell r="B1475" t="str">
            <v>0011800630J</v>
          </cell>
          <cell r="C1475" t="str">
            <v>室内电脑板-CEM-1室内电脑板俄罗斯07/09/12P系列室内电脑板</v>
          </cell>
          <cell r="D1475" t="str">
            <v>91M1</v>
          </cell>
          <cell r="E1475" t="str">
            <v>直供国内A股采购组织</v>
          </cell>
          <cell r="F1475" t="str">
            <v>寄售</v>
          </cell>
          <cell r="G1475" t="str">
            <v>2026-12-31</v>
          </cell>
          <cell r="H1475" t="str">
            <v>30</v>
          </cell>
          <cell r="I1475" t="str">
            <v>27.66</v>
          </cell>
        </row>
        <row r="1476">
          <cell r="B1476" t="str">
            <v>0011800646F</v>
          </cell>
          <cell r="C1476" t="str">
            <v>室内电脑板-FR-4</v>
          </cell>
          <cell r="D1476" t="str">
            <v>91M1</v>
          </cell>
          <cell r="E1476" t="str">
            <v>直供国内A股采购组织</v>
          </cell>
          <cell r="F1476" t="str">
            <v>寄售</v>
          </cell>
          <cell r="G1476" t="str">
            <v>2026-12-31</v>
          </cell>
          <cell r="H1476" t="str">
            <v>30</v>
          </cell>
          <cell r="I1476" t="str">
            <v>40.38</v>
          </cell>
        </row>
        <row r="1477">
          <cell r="B1477" t="str">
            <v>0011800970AB</v>
          </cell>
          <cell r="C1477" t="str">
            <v>变频外电脑板-通用23T直流变频</v>
          </cell>
          <cell r="D1477" t="str">
            <v>91M1</v>
          </cell>
          <cell r="E1477" t="str">
            <v>直供国内A股采购组织</v>
          </cell>
          <cell r="F1477" t="str">
            <v>寄售</v>
          </cell>
          <cell r="G1477" t="str">
            <v>2026-12-31</v>
          </cell>
          <cell r="H1477" t="str">
            <v>30</v>
          </cell>
          <cell r="I1477" t="str">
            <v>114.94</v>
          </cell>
        </row>
        <row r="1478">
          <cell r="B1478" t="str">
            <v>0011800980C</v>
          </cell>
          <cell r="C1478" t="str">
            <v>室内电脑板-FR-4F平台内机板</v>
          </cell>
          <cell r="D1478" t="str">
            <v>91M1</v>
          </cell>
          <cell r="E1478" t="str">
            <v>直供国内A股采购组织</v>
          </cell>
          <cell r="F1478" t="str">
            <v>寄售</v>
          </cell>
          <cell r="G1478" t="str">
            <v>2026-12-31</v>
          </cell>
          <cell r="H1478" t="str">
            <v>3</v>
          </cell>
          <cell r="I1478" t="str">
            <v>62.60</v>
          </cell>
        </row>
        <row r="1479">
          <cell r="B1479" t="str">
            <v>0011801118AH</v>
          </cell>
          <cell r="C1479" t="str">
            <v>变频外电脑板-FR-4240*180</v>
          </cell>
          <cell r="D1479" t="str">
            <v>91M1</v>
          </cell>
          <cell r="E1479" t="str">
            <v>直供国内A股采购组织</v>
          </cell>
          <cell r="F1479" t="str">
            <v>寄售</v>
          </cell>
          <cell r="G1479" t="str">
            <v>2026-12-31</v>
          </cell>
          <cell r="H1479" t="str">
            <v>30</v>
          </cell>
          <cell r="I1479" t="str">
            <v>157.28</v>
          </cell>
        </row>
        <row r="1480">
          <cell r="B1480" t="str">
            <v>0011801172Y</v>
          </cell>
          <cell r="C1480" t="str">
            <v>变频外电脑板-FR-4240*180</v>
          </cell>
          <cell r="D1480" t="str">
            <v>91M1</v>
          </cell>
          <cell r="E1480" t="str">
            <v>直供国内A股采购组织</v>
          </cell>
          <cell r="F1480" t="str">
            <v>寄售</v>
          </cell>
          <cell r="G1480" t="str">
            <v>2026-12-31</v>
          </cell>
          <cell r="H1480" t="str">
            <v>15</v>
          </cell>
          <cell r="I1480" t="str">
            <v>165.70</v>
          </cell>
        </row>
        <row r="1481">
          <cell r="B1481" t="str">
            <v>0031800004FP</v>
          </cell>
          <cell r="C1481" t="str">
            <v>DP一体板-通用</v>
          </cell>
          <cell r="D1481" t="str">
            <v>91M1</v>
          </cell>
          <cell r="E1481" t="str">
            <v>直供国内A股采购组织</v>
          </cell>
          <cell r="F1481" t="str">
            <v>寄售</v>
          </cell>
          <cell r="G1481" t="str">
            <v>2026-12-31</v>
          </cell>
          <cell r="H1481" t="str">
            <v>10</v>
          </cell>
          <cell r="I1481" t="str">
            <v>33.81</v>
          </cell>
        </row>
        <row r="1482">
          <cell r="B1482" t="str">
            <v>0041801155BA</v>
          </cell>
          <cell r="C1482" t="str">
            <v>电脑板显示板-通用热泵</v>
          </cell>
          <cell r="D1482" t="str">
            <v>91M1</v>
          </cell>
          <cell r="E1482" t="str">
            <v>直供国内A股采购组织</v>
          </cell>
          <cell r="F1482" t="str">
            <v>寄售</v>
          </cell>
          <cell r="G1482" t="str">
            <v>2026-12-31</v>
          </cell>
          <cell r="H1482" t="str">
            <v>14</v>
          </cell>
          <cell r="I1482" t="str">
            <v>42.90</v>
          </cell>
        </row>
        <row r="1483">
          <cell r="B1483" t="str">
            <v>0011800977S</v>
          </cell>
          <cell r="C1483" t="str">
            <v>室内电脑板-CEM-1/</v>
          </cell>
          <cell r="D1483" t="str">
            <v>91M1</v>
          </cell>
          <cell r="E1483" t="str">
            <v>直供国内A股采购组织</v>
          </cell>
          <cell r="F1483" t="str">
            <v>寄售</v>
          </cell>
          <cell r="G1483" t="str">
            <v>2026-12-31</v>
          </cell>
          <cell r="H1483" t="str">
            <v>3</v>
          </cell>
          <cell r="I1483" t="str">
            <v>27.80</v>
          </cell>
        </row>
        <row r="1484">
          <cell r="B1484" t="str">
            <v>0011801172AG</v>
          </cell>
          <cell r="C1484" t="str">
            <v>变频外电脑板-FR-4240*180</v>
          </cell>
          <cell r="D1484" t="str">
            <v>91M1</v>
          </cell>
          <cell r="E1484" t="str">
            <v>直供国内A股采购组织</v>
          </cell>
          <cell r="F1484" t="str">
            <v>寄售</v>
          </cell>
          <cell r="G1484" t="str">
            <v>2026-12-31</v>
          </cell>
          <cell r="H1484" t="str">
            <v>15</v>
          </cell>
          <cell r="I1484" t="str">
            <v>158.41</v>
          </cell>
        </row>
        <row r="1485">
          <cell r="B1485" t="str">
            <v>0011801172CR</v>
          </cell>
          <cell r="C1485" t="str">
            <v>变频外电脑板-FR-4240*180</v>
          </cell>
          <cell r="D1485" t="str">
            <v>91M1</v>
          </cell>
          <cell r="E1485" t="str">
            <v>直供国内A股采购组织</v>
          </cell>
          <cell r="F1485" t="str">
            <v>寄售</v>
          </cell>
          <cell r="G1485" t="str">
            <v>2026-12-31</v>
          </cell>
          <cell r="H1485" t="str">
            <v>15</v>
          </cell>
          <cell r="I1485" t="str">
            <v>197.54</v>
          </cell>
        </row>
        <row r="1486">
          <cell r="B1486" t="str">
            <v>0011801372C</v>
          </cell>
          <cell r="C1486" t="str">
            <v>变频外电脑板-FR-4205mm*157mm</v>
          </cell>
          <cell r="D1486" t="str">
            <v>91M1</v>
          </cell>
          <cell r="E1486" t="str">
            <v>直供国内A股采购组织</v>
          </cell>
          <cell r="F1486" t="str">
            <v>寄售</v>
          </cell>
          <cell r="G1486" t="str">
            <v>2026-12-31</v>
          </cell>
          <cell r="H1486" t="str">
            <v>30</v>
          </cell>
          <cell r="I1486" t="str">
            <v>91.75</v>
          </cell>
        </row>
        <row r="1487">
          <cell r="B1487" t="str">
            <v>0011801424G</v>
          </cell>
          <cell r="C1487" t="str">
            <v>变频外电脑板-FR-4/</v>
          </cell>
          <cell r="D1487" t="str">
            <v>91M1</v>
          </cell>
          <cell r="E1487" t="str">
            <v>直供国内A股采购组织</v>
          </cell>
          <cell r="F1487" t="str">
            <v>寄售</v>
          </cell>
          <cell r="G1487" t="str">
            <v>2026-12-31</v>
          </cell>
          <cell r="H1487" t="str">
            <v>3</v>
          </cell>
          <cell r="I1487" t="str">
            <v>108.33</v>
          </cell>
        </row>
        <row r="1488">
          <cell r="B1488" t="str">
            <v>0040400451D</v>
          </cell>
          <cell r="C1488" t="str">
            <v>电脑板电源板</v>
          </cell>
          <cell r="D1488" t="str">
            <v>91M1</v>
          </cell>
          <cell r="E1488" t="str">
            <v>直供国内A股采购组织</v>
          </cell>
          <cell r="F1488" t="str">
            <v>寄售</v>
          </cell>
          <cell r="G1488" t="str">
            <v>2026-12-31</v>
          </cell>
          <cell r="H1488" t="str">
            <v>14</v>
          </cell>
          <cell r="I1488" t="str">
            <v>10.90</v>
          </cell>
        </row>
        <row r="1489">
          <cell r="B1489" t="str">
            <v>0011800377Y</v>
          </cell>
          <cell r="C1489" t="str">
            <v>功率驱动板-FR-4SNB130FYQMC压缩机30ARX62T模块驱动板30A</v>
          </cell>
          <cell r="D1489" t="str">
            <v>91M1</v>
          </cell>
          <cell r="E1489" t="str">
            <v>直供国内A股采购组织</v>
          </cell>
          <cell r="F1489" t="str">
            <v>寄售</v>
          </cell>
          <cell r="G1489" t="str">
            <v>2026-12-31</v>
          </cell>
          <cell r="H1489" t="str">
            <v>3</v>
          </cell>
          <cell r="I1489" t="str">
            <v>109.88</v>
          </cell>
        </row>
        <row r="1490">
          <cell r="B1490" t="str">
            <v>0011800612Y</v>
          </cell>
          <cell r="C1490" t="str">
            <v>室内电脑板-CEM-1\--</v>
          </cell>
          <cell r="D1490" t="str">
            <v>91M1</v>
          </cell>
          <cell r="E1490" t="str">
            <v>直供国内A股采购组织</v>
          </cell>
          <cell r="F1490" t="str">
            <v>寄售</v>
          </cell>
          <cell r="G1490" t="str">
            <v>2026-12-31</v>
          </cell>
          <cell r="H1490" t="str">
            <v>30</v>
          </cell>
          <cell r="I1490" t="str">
            <v>31.44</v>
          </cell>
        </row>
        <row r="1491">
          <cell r="B1491" t="str">
            <v>0011800646A</v>
          </cell>
          <cell r="C1491" t="str">
            <v>室内电脑板-FR-4</v>
          </cell>
          <cell r="D1491" t="str">
            <v>91M1</v>
          </cell>
          <cell r="E1491" t="str">
            <v>直供国内A股采购组织</v>
          </cell>
          <cell r="F1491" t="str">
            <v>寄售</v>
          </cell>
          <cell r="G1491" t="str">
            <v>2026-12-31</v>
          </cell>
          <cell r="H1491" t="str">
            <v>30</v>
          </cell>
          <cell r="I1491" t="str">
            <v>40.69</v>
          </cell>
        </row>
        <row r="1492">
          <cell r="B1492" t="str">
            <v>0011800932E</v>
          </cell>
          <cell r="C1492" t="str">
            <v>变频外电脑板-FR-4270*180</v>
          </cell>
          <cell r="D1492" t="str">
            <v>91M1</v>
          </cell>
          <cell r="E1492" t="str">
            <v>直供国内A股采购组织</v>
          </cell>
          <cell r="F1492" t="str">
            <v>寄售</v>
          </cell>
          <cell r="G1492" t="str">
            <v>2026-12-31</v>
          </cell>
          <cell r="H1492" t="str">
            <v>10</v>
          </cell>
          <cell r="I1492" t="str">
            <v>202.48</v>
          </cell>
        </row>
        <row r="1493">
          <cell r="B1493" t="str">
            <v>0021800151C</v>
          </cell>
          <cell r="C1493" t="str">
            <v>电源板-通用东南亚专用</v>
          </cell>
          <cell r="D1493" t="str">
            <v>91M1</v>
          </cell>
          <cell r="E1493" t="str">
            <v>直供国内A股采购组织</v>
          </cell>
          <cell r="F1493" t="str">
            <v>寄售</v>
          </cell>
          <cell r="G1493" t="str">
            <v>2026-12-31</v>
          </cell>
          <cell r="H1493" t="str">
            <v>10</v>
          </cell>
          <cell r="I1493" t="str">
            <v>25.45</v>
          </cell>
        </row>
        <row r="1494">
          <cell r="B1494" t="str">
            <v>0190400001D</v>
          </cell>
          <cell r="C1494" t="str">
            <v>显示板-//</v>
          </cell>
          <cell r="D1494" t="str">
            <v>91M1</v>
          </cell>
          <cell r="E1494" t="str">
            <v>直供国内A股采购组织</v>
          </cell>
          <cell r="F1494" t="str">
            <v>寄售</v>
          </cell>
          <cell r="G1494" t="str">
            <v>2026-12-31</v>
          </cell>
          <cell r="H1494" t="str">
            <v>7</v>
          </cell>
          <cell r="I1494" t="str">
            <v>54.71</v>
          </cell>
        </row>
        <row r="1495">
          <cell r="B1495" t="str">
            <v>0190400105</v>
          </cell>
          <cell r="C1495" t="str">
            <v>信号转接板-通用三根芯鲜活系列CRO800-C3U1信号转接板FR-4,尺寸43</v>
          </cell>
          <cell r="D1495" t="str">
            <v>91M1</v>
          </cell>
          <cell r="E1495" t="str">
            <v>直供国内A股采购组织</v>
          </cell>
          <cell r="F1495" t="str">
            <v>寄售</v>
          </cell>
          <cell r="G1495" t="str">
            <v>2026-12-31</v>
          </cell>
          <cell r="H1495" t="str">
            <v>7</v>
          </cell>
          <cell r="I1495" t="str">
            <v>7.32</v>
          </cell>
        </row>
        <row r="1496">
          <cell r="B1496" t="str">
            <v>0190400113L</v>
          </cell>
          <cell r="C1496" t="str">
            <v>主控板-通用云鳟迭代系列产品Q5-600G通用主控板长176.6mm宽63.8m</v>
          </cell>
          <cell r="D1496" t="str">
            <v>91M1</v>
          </cell>
          <cell r="E1496" t="str">
            <v>直供国内A股采购组织</v>
          </cell>
          <cell r="F1496" t="str">
            <v>寄售</v>
          </cell>
          <cell r="G1496" t="str">
            <v>2026-12-31</v>
          </cell>
          <cell r="H1496" t="str">
            <v>7</v>
          </cell>
          <cell r="I1496" t="str">
            <v>26.97</v>
          </cell>
        </row>
        <row r="1497">
          <cell r="B1497" t="str">
            <v>0190400164</v>
          </cell>
          <cell r="C1497" t="str">
            <v>主控板-通用电解模块驱动板倒极及恒流2A功能</v>
          </cell>
          <cell r="D1497" t="str">
            <v>91M1</v>
          </cell>
          <cell r="E1497" t="str">
            <v>直供国内A股采购组织</v>
          </cell>
          <cell r="F1497" t="str">
            <v>寄售</v>
          </cell>
          <cell r="G1497" t="str">
            <v>2026-12-31</v>
          </cell>
          <cell r="H1497" t="str">
            <v>7</v>
          </cell>
          <cell r="I1497" t="str">
            <v>20.58</v>
          </cell>
        </row>
        <row r="1498">
          <cell r="B1498" t="str">
            <v>0190400359</v>
          </cell>
          <cell r="C1498" t="str">
            <v>主控板-通用电控板尺寸200mm*160mm净水-小商用工程款主控板</v>
          </cell>
          <cell r="D1498" t="str">
            <v>91M1</v>
          </cell>
          <cell r="E1498" t="str">
            <v>直供国内A股采购组织</v>
          </cell>
          <cell r="F1498" t="str">
            <v>寄售</v>
          </cell>
          <cell r="G1498" t="str">
            <v>2026-12-31</v>
          </cell>
          <cell r="H1498" t="str">
            <v>7</v>
          </cell>
          <cell r="I1498" t="str">
            <v>87.32</v>
          </cell>
        </row>
        <row r="1499">
          <cell r="B1499" t="str">
            <v>0011801516H</v>
          </cell>
          <cell r="C1499" t="str">
            <v>变频外电脑板-FR-4</v>
          </cell>
          <cell r="D1499" t="str">
            <v>91C1</v>
          </cell>
          <cell r="E1499" t="str">
            <v>青岛海达源国内A股采购组织</v>
          </cell>
          <cell r="F1499" t="str">
            <v>寄售</v>
          </cell>
          <cell r="G1499" t="str">
            <v>2026-12-31</v>
          </cell>
          <cell r="H1499" t="str">
            <v>15</v>
          </cell>
          <cell r="I1499" t="str">
            <v>189.77</v>
          </cell>
        </row>
        <row r="1500">
          <cell r="B1500" t="str">
            <v>0011801516K</v>
          </cell>
          <cell r="C1500" t="str">
            <v>变频外电脑板-其他\FR-4-</v>
          </cell>
          <cell r="D1500" t="str">
            <v>91C1</v>
          </cell>
          <cell r="E1500" t="str">
            <v>青岛海达源国内A股采购组织</v>
          </cell>
          <cell r="F1500" t="str">
            <v>寄售</v>
          </cell>
          <cell r="G1500" t="str">
            <v>2026-12-31</v>
          </cell>
          <cell r="H1500" t="str">
            <v>15</v>
          </cell>
          <cell r="I1500" t="str">
            <v>249.96</v>
          </cell>
        </row>
        <row r="1501">
          <cell r="B1501" t="str">
            <v>0190400001C</v>
          </cell>
          <cell r="C1501" t="str">
            <v>显示板-//</v>
          </cell>
          <cell r="D1501" t="str">
            <v>91M1</v>
          </cell>
          <cell r="E1501" t="str">
            <v>直供国内A股采购组织</v>
          </cell>
          <cell r="F1501" t="str">
            <v>寄售</v>
          </cell>
          <cell r="G1501" t="str">
            <v>2026-12-31</v>
          </cell>
          <cell r="H1501" t="str">
            <v>7</v>
          </cell>
          <cell r="I1501" t="str">
            <v>52.97</v>
          </cell>
        </row>
        <row r="1502">
          <cell r="B1502" t="str">
            <v>0190400102</v>
          </cell>
          <cell r="C1502" t="str">
            <v>主控板-通用CRO800-C3U1主控板三根芯鲜活系列CRO800-C3U1主控</v>
          </cell>
          <cell r="D1502" t="str">
            <v>91M1</v>
          </cell>
          <cell r="E1502" t="str">
            <v>直供国内A股采购组织</v>
          </cell>
          <cell r="F1502" t="str">
            <v>寄售</v>
          </cell>
          <cell r="G1502" t="str">
            <v>2026-12-31</v>
          </cell>
          <cell r="H1502" t="str">
            <v>7</v>
          </cell>
          <cell r="I1502" t="str">
            <v>37.07</v>
          </cell>
        </row>
        <row r="1503">
          <cell r="B1503" t="str">
            <v>0190400359AB</v>
          </cell>
          <cell r="C1503" t="str">
            <v>主控板-通用净水-商用主控板</v>
          </cell>
          <cell r="D1503" t="str">
            <v>91M1</v>
          </cell>
          <cell r="E1503" t="str">
            <v>直供国内A股采购组织</v>
          </cell>
          <cell r="F1503" t="str">
            <v>寄售</v>
          </cell>
          <cell r="G1503" t="str">
            <v>2026-12-31</v>
          </cell>
          <cell r="H1503" t="str">
            <v>7</v>
          </cell>
          <cell r="I1503" t="str">
            <v>87.32</v>
          </cell>
        </row>
        <row r="1504">
          <cell r="B1504" t="str">
            <v>0011800387</v>
          </cell>
          <cell r="C1504" t="str">
            <v>显示面板-FR-4</v>
          </cell>
          <cell r="D1504" t="str">
            <v>91M1</v>
          </cell>
          <cell r="E1504" t="str">
            <v>直供国内A股采购组织</v>
          </cell>
          <cell r="F1504" t="str">
            <v>寄售</v>
          </cell>
          <cell r="G1504" t="str">
            <v>2026-12-31</v>
          </cell>
          <cell r="H1504" t="str">
            <v>30</v>
          </cell>
          <cell r="I1504" t="str">
            <v>6.66</v>
          </cell>
        </row>
        <row r="1505">
          <cell r="B1505" t="str">
            <v>0011800537</v>
          </cell>
          <cell r="C1505" t="str">
            <v>室内电脑板-CEM-1</v>
          </cell>
          <cell r="D1505" t="str">
            <v>91M1</v>
          </cell>
          <cell r="E1505" t="str">
            <v>直供国内A股采购组织</v>
          </cell>
          <cell r="F1505" t="str">
            <v>寄售</v>
          </cell>
          <cell r="G1505" t="str">
            <v>2026-12-31</v>
          </cell>
          <cell r="H1505" t="str">
            <v>30</v>
          </cell>
          <cell r="I1505" t="str">
            <v>20.70</v>
          </cell>
        </row>
        <row r="1506">
          <cell r="B1506" t="str">
            <v>0011800607R</v>
          </cell>
          <cell r="C1506" t="str">
            <v>显示板-LED/</v>
          </cell>
          <cell r="D1506" t="str">
            <v>91M1</v>
          </cell>
          <cell r="E1506" t="str">
            <v>直供国内A股采购组织</v>
          </cell>
          <cell r="F1506" t="str">
            <v>寄售</v>
          </cell>
          <cell r="G1506" t="str">
            <v>2026-12-31</v>
          </cell>
          <cell r="H1506" t="str">
            <v>15</v>
          </cell>
          <cell r="I1506" t="str">
            <v>22.46</v>
          </cell>
        </row>
        <row r="1507">
          <cell r="B1507" t="str">
            <v>0011800612D</v>
          </cell>
          <cell r="C1507" t="str">
            <v>室内电脑板-CEM-1</v>
          </cell>
          <cell r="D1507" t="str">
            <v>91M1</v>
          </cell>
          <cell r="E1507" t="str">
            <v>直供国内A股采购组织</v>
          </cell>
          <cell r="F1507" t="str">
            <v>寄售</v>
          </cell>
          <cell r="G1507" t="str">
            <v>2026-12-31</v>
          </cell>
          <cell r="H1507" t="str">
            <v>30</v>
          </cell>
          <cell r="I1507" t="str">
            <v>31.46</v>
          </cell>
        </row>
        <row r="1508">
          <cell r="B1508" t="str">
            <v>0011800612L</v>
          </cell>
          <cell r="C1508" t="str">
            <v>室内电脑板-CEM-1\</v>
          </cell>
          <cell r="D1508" t="str">
            <v>91M1</v>
          </cell>
          <cell r="E1508" t="str">
            <v>直供国内A股采购组织</v>
          </cell>
          <cell r="F1508" t="str">
            <v>寄售</v>
          </cell>
          <cell r="G1508" t="str">
            <v>2026-12-31</v>
          </cell>
          <cell r="H1508" t="str">
            <v>30</v>
          </cell>
          <cell r="I1508" t="str">
            <v>29.58</v>
          </cell>
        </row>
        <row r="1509">
          <cell r="B1509" t="str">
            <v>0011800630</v>
          </cell>
          <cell r="C1509" t="str">
            <v>室内电脑板-CEM-1</v>
          </cell>
          <cell r="D1509" t="str">
            <v>91M1</v>
          </cell>
          <cell r="E1509" t="str">
            <v>直供国内A股采购组织</v>
          </cell>
          <cell r="F1509" t="str">
            <v>寄售</v>
          </cell>
          <cell r="G1509" t="str">
            <v>2026-12-31</v>
          </cell>
          <cell r="H1509" t="str">
            <v>30</v>
          </cell>
          <cell r="I1509" t="str">
            <v>31.30</v>
          </cell>
        </row>
        <row r="1510">
          <cell r="B1510" t="str">
            <v>0011800646C</v>
          </cell>
          <cell r="C1510" t="str">
            <v>室内电脑板-FR-4</v>
          </cell>
          <cell r="D1510" t="str">
            <v>91M1</v>
          </cell>
          <cell r="E1510" t="str">
            <v>直供国内A股采购组织</v>
          </cell>
          <cell r="F1510" t="str">
            <v>寄售</v>
          </cell>
          <cell r="G1510" t="str">
            <v>2026-12-31</v>
          </cell>
          <cell r="H1510" t="str">
            <v>30</v>
          </cell>
          <cell r="I1510" t="str">
            <v>51.32</v>
          </cell>
        </row>
        <row r="1511">
          <cell r="B1511" t="str">
            <v>0011800933Y</v>
          </cell>
          <cell r="C1511" t="str">
            <v>变频外电脑板-FR-4215mm*157mm</v>
          </cell>
          <cell r="D1511" t="str">
            <v>91M1</v>
          </cell>
          <cell r="E1511" t="str">
            <v>直供国内A股采购组织</v>
          </cell>
          <cell r="F1511" t="str">
            <v>寄售</v>
          </cell>
          <cell r="G1511" t="str">
            <v>2026-12-31</v>
          </cell>
          <cell r="H1511" t="str">
            <v>10</v>
          </cell>
          <cell r="I1511" t="str">
            <v>127.89</v>
          </cell>
        </row>
        <row r="1512">
          <cell r="B1512" t="str">
            <v>0011801118BYD</v>
          </cell>
          <cell r="C1512" t="str">
            <v>变频外电脑板-FR-4240*180</v>
          </cell>
          <cell r="D1512" t="str">
            <v>91M1</v>
          </cell>
          <cell r="E1512" t="str">
            <v>直供国内A股采购组织</v>
          </cell>
          <cell r="F1512" t="str">
            <v>寄售</v>
          </cell>
          <cell r="G1512" t="str">
            <v>2026-12-31</v>
          </cell>
          <cell r="H1512" t="str">
            <v>30</v>
          </cell>
          <cell r="I1512" t="str">
            <v>160.99</v>
          </cell>
        </row>
        <row r="1513">
          <cell r="B1513" t="str">
            <v>0011801172AV</v>
          </cell>
          <cell r="C1513" t="str">
            <v>变频外电脑板-FR-4240*180</v>
          </cell>
          <cell r="D1513" t="str">
            <v>91M1</v>
          </cell>
          <cell r="E1513" t="str">
            <v>直供国内A股采购组织</v>
          </cell>
          <cell r="F1513" t="str">
            <v>寄售</v>
          </cell>
          <cell r="G1513" t="str">
            <v>2026-12-31</v>
          </cell>
          <cell r="H1513" t="str">
            <v>30</v>
          </cell>
          <cell r="I1513" t="str">
            <v>168.47</v>
          </cell>
        </row>
        <row r="1514">
          <cell r="B1514" t="str">
            <v>0011801172G</v>
          </cell>
          <cell r="C1514" t="str">
            <v>变频外电脑板-FR-4</v>
          </cell>
          <cell r="D1514" t="str">
            <v>91M1</v>
          </cell>
          <cell r="E1514" t="str">
            <v>直供国内A股采购组织</v>
          </cell>
          <cell r="F1514" t="str">
            <v>寄售</v>
          </cell>
          <cell r="G1514" t="str">
            <v>2026-12-31</v>
          </cell>
          <cell r="H1514" t="str">
            <v>15</v>
          </cell>
          <cell r="I1514" t="str">
            <v>168.41</v>
          </cell>
        </row>
        <row r="1515">
          <cell r="B1515" t="str">
            <v>0011801372D</v>
          </cell>
          <cell r="C1515" t="str">
            <v>变频外电脑板-FR-4205mm*157mm</v>
          </cell>
          <cell r="D1515" t="str">
            <v>91M1</v>
          </cell>
          <cell r="E1515" t="str">
            <v>直供国内A股采购组织</v>
          </cell>
          <cell r="F1515" t="str">
            <v>寄售</v>
          </cell>
          <cell r="G1515" t="str">
            <v>2026-12-31</v>
          </cell>
          <cell r="H1515" t="str">
            <v>30</v>
          </cell>
          <cell r="I1515" t="str">
            <v>96.53</v>
          </cell>
        </row>
        <row r="1516">
          <cell r="B1516" t="str">
            <v>0041800757F</v>
          </cell>
          <cell r="C1516" t="str">
            <v>电脑板显示板-FR-486*86*20卡萨帝-wifi-55℃-通用热泵</v>
          </cell>
          <cell r="D1516" t="str">
            <v>91M1</v>
          </cell>
          <cell r="E1516" t="str">
            <v>直供国内A股采购组织</v>
          </cell>
          <cell r="F1516" t="str">
            <v>寄售</v>
          </cell>
          <cell r="G1516" t="str">
            <v>2026-12-31</v>
          </cell>
          <cell r="H1516" t="str">
            <v>14</v>
          </cell>
          <cell r="I1516" t="str">
            <v>69.12</v>
          </cell>
        </row>
        <row r="1517">
          <cell r="B1517" t="str">
            <v>0041800757KA</v>
          </cell>
          <cell r="C1517" t="str">
            <v>电脑板显示板-86*86*20-海尔电辅-通用-热泵</v>
          </cell>
          <cell r="D1517" t="str">
            <v>91M1</v>
          </cell>
          <cell r="E1517" t="str">
            <v>直供国内A股采购组织</v>
          </cell>
          <cell r="F1517" t="str">
            <v>寄售</v>
          </cell>
          <cell r="G1517" t="str">
            <v>2026-12-31</v>
          </cell>
          <cell r="H1517" t="str">
            <v>14</v>
          </cell>
          <cell r="I1517" t="str">
            <v>68.82</v>
          </cell>
        </row>
        <row r="1518">
          <cell r="B1518" t="str">
            <v>0041801155</v>
          </cell>
          <cell r="C1518" t="str">
            <v>电脑板控制板-/热泵</v>
          </cell>
          <cell r="D1518" t="str">
            <v>91M1</v>
          </cell>
          <cell r="E1518" t="str">
            <v>直供国内A股采购组织</v>
          </cell>
          <cell r="F1518" t="str">
            <v>寄售</v>
          </cell>
          <cell r="G1518" t="str">
            <v>2026-12-31</v>
          </cell>
          <cell r="H1518" t="str">
            <v>14</v>
          </cell>
          <cell r="I1518" t="str">
            <v>42.90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"/>
  <sheetViews>
    <sheetView tabSelected="1" zoomScale="85" zoomScaleNormal="85" workbookViewId="0">
      <pane ySplit="2" topLeftCell="A3" activePane="bottomLeft" state="frozen"/>
      <selection pane="bottomLeft" activeCell="O5" sqref="O5"/>
    </sheetView>
  </sheetViews>
  <sheetFormatPr defaultColWidth="15.5" defaultRowHeight="14" x14ac:dyDescent="0.3"/>
  <cols>
    <col min="1" max="1" width="4.08203125" customWidth="1"/>
    <col min="2" max="2" width="16.25" customWidth="1"/>
    <col min="3" max="3" width="12.75" customWidth="1"/>
    <col min="4" max="4" width="5.08203125" customWidth="1"/>
    <col min="5" max="6" width="15.5" hidden="1" customWidth="1"/>
    <col min="7" max="7" width="5.08203125" customWidth="1"/>
    <col min="8" max="10" width="5.4140625" customWidth="1"/>
    <col min="11" max="11" width="6.6640625" customWidth="1"/>
    <col min="12" max="12" width="21.33203125" customWidth="1"/>
    <col min="13" max="13" width="7.4140625" customWidth="1"/>
    <col min="14" max="14" width="6.9140625" customWidth="1"/>
    <col min="15" max="15" width="7.4140625" customWidth="1"/>
    <col min="16" max="27" width="8.83203125" customWidth="1"/>
    <col min="28" max="28" width="10.1640625" customWidth="1"/>
  </cols>
  <sheetData>
    <row r="1" spans="1:28" ht="20" x14ac:dyDescent="0.4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 spans="1:28" s="3" customFormat="1" ht="28" customHeight="1" x14ac:dyDescent="0.3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1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9</v>
      </c>
      <c r="P2" s="5" t="s">
        <v>14</v>
      </c>
      <c r="Q2" s="5" t="s">
        <v>15</v>
      </c>
      <c r="R2" s="5" t="s">
        <v>16</v>
      </c>
      <c r="S2" s="5" t="s">
        <v>17</v>
      </c>
      <c r="T2" s="5" t="s">
        <v>18</v>
      </c>
      <c r="U2" s="5" t="s">
        <v>19</v>
      </c>
      <c r="V2" s="5" t="s">
        <v>20</v>
      </c>
      <c r="W2" s="5" t="s">
        <v>21</v>
      </c>
      <c r="X2" s="5" t="s">
        <v>22</v>
      </c>
      <c r="Y2" s="5" t="s">
        <v>23</v>
      </c>
      <c r="Z2" s="5" t="s">
        <v>24</v>
      </c>
      <c r="AA2" s="5" t="s">
        <v>25</v>
      </c>
      <c r="AB2" s="4" t="s">
        <v>26</v>
      </c>
    </row>
    <row r="3" spans="1:28" ht="28" x14ac:dyDescent="0.3">
      <c r="A3" s="1" t="s">
        <v>27</v>
      </c>
      <c r="B3" s="1" t="s">
        <v>28</v>
      </c>
      <c r="C3" s="1">
        <v>10880029033</v>
      </c>
      <c r="D3" s="1">
        <v>30</v>
      </c>
      <c r="E3" s="1"/>
      <c r="F3" s="1"/>
      <c r="G3" s="1">
        <f>VLOOKUP(C3,[1]Data!$A:$K,11,FALSE)</f>
        <v>106</v>
      </c>
      <c r="H3" s="1">
        <f>VLOOKUP(C3,'[1]Data (2)'!$A:$K,11,FALSE)</f>
        <v>6354</v>
      </c>
      <c r="I3" s="1">
        <f>VLOOKUP(B3,'[2]2月份'!$A:$F,6,FALSE)</f>
        <v>1590</v>
      </c>
      <c r="J3" s="1">
        <f>I3+H3</f>
        <v>7944</v>
      </c>
      <c r="K3" s="1">
        <f>VLOOKUP(C3,[3]保留到5!$A:$B,2,FALSE)</f>
        <v>22162</v>
      </c>
      <c r="L3" s="6" t="s">
        <v>29</v>
      </c>
      <c r="M3" s="1">
        <f>K3+J3-N3</f>
        <v>-68239</v>
      </c>
      <c r="N3" s="1">
        <f>SUM(P3:AA3)</f>
        <v>98345</v>
      </c>
      <c r="O3" s="1">
        <f t="shared" ref="O3:O11" si="0">SUM(P3:AB3)</f>
        <v>125321</v>
      </c>
      <c r="P3" s="7">
        <v>6166</v>
      </c>
      <c r="Q3" s="7">
        <v>5125</v>
      </c>
      <c r="R3" s="7">
        <v>10846</v>
      </c>
      <c r="S3" s="7">
        <v>14433</v>
      </c>
      <c r="T3" s="7">
        <v>6387</v>
      </c>
      <c r="U3" s="7">
        <v>18389</v>
      </c>
      <c r="V3" s="7">
        <v>11708</v>
      </c>
      <c r="W3" s="7">
        <v>3468</v>
      </c>
      <c r="X3" s="7">
        <v>5115</v>
      </c>
      <c r="Y3" s="7">
        <v>4883</v>
      </c>
      <c r="Z3" s="7">
        <v>11335</v>
      </c>
      <c r="AA3" s="7">
        <v>490</v>
      </c>
      <c r="AB3" s="1">
        <v>26976</v>
      </c>
    </row>
    <row r="4" spans="1:28" ht="28" x14ac:dyDescent="0.3">
      <c r="A4" s="1" t="s">
        <v>27</v>
      </c>
      <c r="B4" s="1" t="s">
        <v>30</v>
      </c>
      <c r="C4" s="1">
        <f>VLOOKUP(B4,'[4]项目编码  '!$B$1:$C$65536,2,FALSE)</f>
        <v>10880017949</v>
      </c>
      <c r="D4" s="1" t="str">
        <f>VLOOKUP(B4,[5]sheet!$C$1:$H$65536,6,FALSE)</f>
        <v>70</v>
      </c>
      <c r="E4" s="1" t="str">
        <f>VLOOKUP(B:B,[6]配额0227!$A:$B,2,0)</f>
        <v>室内电脑板-CEM-1</v>
      </c>
      <c r="F4" s="1" t="str">
        <f>VLOOKUP(B:B,'[7]厂家配额 (新)'!$A$1:$C$65536,3,0)</f>
        <v>和而泰/领智//</v>
      </c>
      <c r="G4" s="1">
        <f>VLOOKUP(C4,[1]Data!$A:$K,11,FALSE)</f>
        <v>6</v>
      </c>
      <c r="H4" s="1"/>
      <c r="I4" s="1">
        <f>VLOOKUP(B4,'[2]2月份'!$A:$F,6,FALSE)</f>
        <v>1409</v>
      </c>
      <c r="J4" s="1">
        <f t="shared" ref="J4:J11" si="1">I4+H4</f>
        <v>1409</v>
      </c>
      <c r="K4" s="1">
        <f>VLOOKUP(C4,[3]保留到5!$A:$B,2,FALSE)</f>
        <v>9011</v>
      </c>
      <c r="L4" s="6" t="s">
        <v>31</v>
      </c>
      <c r="M4" s="1">
        <f t="shared" ref="M4:M11" si="2">K4+J4-N4</f>
        <v>-3891</v>
      </c>
      <c r="N4" s="1">
        <f t="shared" ref="N4:N11" si="3">SUM(P4:AA4)</f>
        <v>14311</v>
      </c>
      <c r="O4" s="1">
        <f t="shared" si="0"/>
        <v>32658</v>
      </c>
      <c r="P4" s="7">
        <v>2402</v>
      </c>
      <c r="Q4" s="7">
        <v>2254</v>
      </c>
      <c r="R4" s="7">
        <v>1130</v>
      </c>
      <c r="S4" s="7">
        <v>0</v>
      </c>
      <c r="T4" s="7">
        <v>3634</v>
      </c>
      <c r="U4" s="7">
        <v>942</v>
      </c>
      <c r="V4" s="7">
        <v>699</v>
      </c>
      <c r="W4" s="7">
        <v>371</v>
      </c>
      <c r="X4" s="7">
        <v>1600</v>
      </c>
      <c r="Y4" s="7">
        <v>0</v>
      </c>
      <c r="Z4" s="7">
        <v>1279</v>
      </c>
      <c r="AA4" s="7">
        <v>0</v>
      </c>
      <c r="AB4" s="1">
        <v>18347</v>
      </c>
    </row>
    <row r="5" spans="1:28" ht="21" customHeight="1" x14ac:dyDescent="0.3">
      <c r="A5" s="1" t="s">
        <v>27</v>
      </c>
      <c r="B5" s="1" t="s">
        <v>32</v>
      </c>
      <c r="C5" s="1">
        <f>VLOOKUP(B5,'[4]项目编码  '!$B$1:$C$65536,2,FALSE)</f>
        <v>10880017527</v>
      </c>
      <c r="D5" s="1" t="str">
        <f>VLOOKUP(B5,[5]sheet!$C$1:$H$65536,6,FALSE)</f>
        <v>70</v>
      </c>
      <c r="E5" s="1" t="str">
        <f>VLOOKUP(B:B,[6]配额0227!$A:$B,2,0)</f>
        <v>室内电脑板-CEM-1室内电脑板俄罗斯07/09/12P系列室内电脑板</v>
      </c>
      <c r="F5" s="1" t="str">
        <f>VLOOKUP(B:B,'[7]厂家配额 (新)'!$A$1:$C$65536,3,0)</f>
        <v>和而泰/领智//</v>
      </c>
      <c r="G5" s="1">
        <f>VLOOKUP(C5,[1]Data!$A:$K,11,FALSE)</f>
        <v>1</v>
      </c>
      <c r="H5" s="1"/>
      <c r="I5" s="1">
        <f>VLOOKUP(B5,'[2]2月份'!$A:$F,6,FALSE)</f>
        <v>898</v>
      </c>
      <c r="J5" s="1">
        <f t="shared" si="1"/>
        <v>898</v>
      </c>
      <c r="K5" s="1">
        <f>VLOOKUP(C5,[3]保留到5!$A:$B,2,FALSE)</f>
        <v>3200</v>
      </c>
      <c r="L5" s="1"/>
      <c r="M5" s="1">
        <f t="shared" si="2"/>
        <v>3289</v>
      </c>
      <c r="N5" s="1">
        <f t="shared" si="3"/>
        <v>809</v>
      </c>
      <c r="O5" s="1">
        <f t="shared" si="0"/>
        <v>5855</v>
      </c>
      <c r="P5" s="8">
        <v>0</v>
      </c>
      <c r="Q5" s="8">
        <v>230</v>
      </c>
      <c r="R5" s="8">
        <v>579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1">
        <v>5046</v>
      </c>
    </row>
    <row r="6" spans="1:28" ht="18" customHeight="1" x14ac:dyDescent="0.3">
      <c r="A6" s="1" t="s">
        <v>27</v>
      </c>
      <c r="B6" s="1" t="s">
        <v>33</v>
      </c>
      <c r="C6" s="1">
        <f>VLOOKUP(B6,'[4]项目编码  '!$B$1:$C$65536,2,FALSE)</f>
        <v>10880017516</v>
      </c>
      <c r="D6" s="1" t="str">
        <f>VLOOKUP(B6,[5]sheet!$C$1:$H$65536,6,FALSE)</f>
        <v>70</v>
      </c>
      <c r="E6" s="1" t="str">
        <f>VLOOKUP(B:B,[6]配额0227!$A:$B,2,0)</f>
        <v>室内电脑板-CEM-1室内电脑板</v>
      </c>
      <c r="F6" s="1" t="str">
        <f>VLOOKUP(B:B,'[7]厂家配额 (新)'!$A$1:$C$65536,3,0)</f>
        <v>和而泰/领智//</v>
      </c>
      <c r="G6" s="1">
        <f>VLOOKUP(C6,[1]Data!$A:$K,11,FALSE)</f>
        <v>315</v>
      </c>
      <c r="H6" s="1">
        <f>VLOOKUP(C6,'[1]Data (2)'!$A:$K,11,FALSE)</f>
        <v>4</v>
      </c>
      <c r="I6" s="1">
        <f>VLOOKUP(B6,'[2]2月份'!$A:$F,6,FALSE)</f>
        <v>1264</v>
      </c>
      <c r="J6" s="1">
        <f t="shared" si="1"/>
        <v>1268</v>
      </c>
      <c r="K6" s="1">
        <f>VLOOKUP(C6,[3]保留到5!$A:$B,2,FALSE)</f>
        <v>1000</v>
      </c>
      <c r="L6" s="1"/>
      <c r="M6" s="1">
        <f t="shared" si="2"/>
        <v>1028</v>
      </c>
      <c r="N6" s="1">
        <f t="shared" si="3"/>
        <v>1240</v>
      </c>
      <c r="O6" s="1">
        <f t="shared" si="0"/>
        <v>1990</v>
      </c>
      <c r="P6" s="8">
        <v>0</v>
      </c>
      <c r="Q6" s="8">
        <v>660</v>
      </c>
      <c r="R6" s="8">
        <v>0</v>
      </c>
      <c r="S6" s="8">
        <v>0</v>
      </c>
      <c r="T6" s="8">
        <v>0</v>
      </c>
      <c r="U6" s="8">
        <v>0</v>
      </c>
      <c r="V6" s="8">
        <v>580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1">
        <v>750</v>
      </c>
    </row>
    <row r="7" spans="1:28" ht="18" customHeight="1" x14ac:dyDescent="0.3">
      <c r="A7" s="1" t="s">
        <v>27</v>
      </c>
      <c r="B7" s="1" t="s">
        <v>34</v>
      </c>
      <c r="C7" s="1">
        <f>VLOOKUP(B7,'[4]项目编码  '!$B$1:$C$65536,2,FALSE)</f>
        <v>10880017525</v>
      </c>
      <c r="D7" s="1" t="str">
        <f>VLOOKUP(B7,[5]sheet!$C$1:$H$65536,6,FALSE)</f>
        <v>70</v>
      </c>
      <c r="E7" s="1" t="str">
        <f>VLOOKUP(B:B,[6]配额0227!$A:$B,2,0)</f>
        <v>室内电脑板-CEM-1室内电脑板泰国09/12P系列定频室内电脑板</v>
      </c>
      <c r="F7" s="1" t="str">
        <f>VLOOKUP(B:B,'[7]厂家配额 (新)'!$A$1:$C$65536,3,0)</f>
        <v>和而泰/领智//</v>
      </c>
      <c r="G7" s="1"/>
      <c r="H7" s="1"/>
      <c r="I7" s="1">
        <f>VLOOKUP(B7,'[2]2月份'!$A:$F,6,FALSE)</f>
        <v>893</v>
      </c>
      <c r="J7" s="1">
        <f t="shared" si="1"/>
        <v>893</v>
      </c>
      <c r="K7" s="1">
        <f>VLOOKUP(C7,[3]保留到5!$A:$B,2,FALSE)</f>
        <v>1000</v>
      </c>
      <c r="L7" s="1" t="s">
        <v>35</v>
      </c>
      <c r="M7" s="1">
        <f t="shared" si="2"/>
        <v>-198</v>
      </c>
      <c r="N7" s="1">
        <f t="shared" si="3"/>
        <v>2091</v>
      </c>
      <c r="O7" s="1">
        <f t="shared" si="0"/>
        <v>4945</v>
      </c>
      <c r="P7" s="8">
        <v>0</v>
      </c>
      <c r="Q7" s="8">
        <v>0</v>
      </c>
      <c r="R7" s="8">
        <v>0</v>
      </c>
      <c r="S7" s="8">
        <v>1821</v>
      </c>
      <c r="T7" s="8">
        <v>0</v>
      </c>
      <c r="U7" s="8">
        <v>0</v>
      </c>
      <c r="V7" s="8">
        <v>0</v>
      </c>
      <c r="W7" s="8">
        <v>270</v>
      </c>
      <c r="X7" s="8">
        <v>0</v>
      </c>
      <c r="Y7" s="8">
        <v>0</v>
      </c>
      <c r="Z7" s="8">
        <v>0</v>
      </c>
      <c r="AA7" s="8">
        <v>0</v>
      </c>
      <c r="AB7" s="1">
        <v>2854</v>
      </c>
    </row>
    <row r="8" spans="1:28" ht="18" customHeight="1" x14ac:dyDescent="0.3">
      <c r="A8" s="1" t="s">
        <v>27</v>
      </c>
      <c r="B8" s="1" t="s">
        <v>36</v>
      </c>
      <c r="C8" s="1">
        <f>VLOOKUP(B8,'[4]项目编码  '!$B$1:$C$65536,2,FALSE)</f>
        <v>10880017524</v>
      </c>
      <c r="D8" s="1" t="str">
        <f>VLOOKUP(B8,[5]sheet!$C$1:$H$65536,6,FALSE)</f>
        <v>70</v>
      </c>
      <c r="E8" s="1" t="str">
        <f>VLOOKUP(B:B,[6]配额0227!$A:$B,2,0)</f>
        <v>室内电脑板-CEM-1室内电脑板俄罗斯07/09/12P系列室内电脑板</v>
      </c>
      <c r="F8" s="1" t="str">
        <f>VLOOKUP(B:B,'[7]厂家配额 (新)'!$A$1:$C$65536,3,0)</f>
        <v>和而泰/领智//</v>
      </c>
      <c r="G8" s="1"/>
      <c r="H8" s="1"/>
      <c r="I8" s="1">
        <f>VLOOKUP(B8,'[2]2月份'!$A:$F,6,FALSE)</f>
        <v>885</v>
      </c>
      <c r="J8" s="1">
        <f t="shared" si="1"/>
        <v>885</v>
      </c>
      <c r="K8" s="1">
        <f>VLOOKUP(C8,[3]保留到5!$A:$B,2,FALSE)</f>
        <v>900</v>
      </c>
      <c r="L8" s="1" t="s">
        <v>37</v>
      </c>
      <c r="M8" s="1">
        <f t="shared" si="2"/>
        <v>340</v>
      </c>
      <c r="N8" s="1">
        <f t="shared" si="3"/>
        <v>1445</v>
      </c>
      <c r="O8" s="1">
        <f t="shared" si="0"/>
        <v>6470</v>
      </c>
      <c r="P8" s="8">
        <v>100</v>
      </c>
      <c r="Q8" s="8">
        <v>382</v>
      </c>
      <c r="R8" s="8">
        <v>0</v>
      </c>
      <c r="S8" s="8">
        <v>0</v>
      </c>
      <c r="T8" s="8">
        <v>115</v>
      </c>
      <c r="U8" s="8">
        <v>0</v>
      </c>
      <c r="V8" s="8">
        <v>0</v>
      </c>
      <c r="W8" s="8">
        <v>848</v>
      </c>
      <c r="X8" s="8">
        <v>0</v>
      </c>
      <c r="Y8" s="8">
        <v>0</v>
      </c>
      <c r="Z8" s="8">
        <v>0</v>
      </c>
      <c r="AA8" s="8">
        <v>0</v>
      </c>
      <c r="AB8" s="1">
        <v>5025</v>
      </c>
    </row>
    <row r="9" spans="1:28" ht="18" customHeight="1" x14ac:dyDescent="0.3">
      <c r="A9" s="1" t="s">
        <v>38</v>
      </c>
      <c r="B9" s="1" t="s">
        <v>39</v>
      </c>
      <c r="C9" s="1">
        <f>VLOOKUP(B9,'[4]项目编码  '!$B$1:$C$65536,2,FALSE)</f>
        <v>10880017526</v>
      </c>
      <c r="D9" s="1" t="str">
        <f>VLOOKUP(B9,[5]sheet!$C$1:$H$65536,6,FALSE)</f>
        <v>70</v>
      </c>
      <c r="E9" s="1" t="str">
        <f>VLOOKUP(B:B,[6]配额0227!$A:$B,2,0)</f>
        <v>室内电脑板-CEM-1室内电脑板(压敏、保险和继电器防爆)印尼290项目室内电脑</v>
      </c>
      <c r="F9" s="1" t="str">
        <f>VLOOKUP(B:B,'[7]厂家配额 (新)'!$A$1:$C$65536,3,0)</f>
        <v>和而泰/领智//</v>
      </c>
      <c r="G9" s="1"/>
      <c r="H9" s="1"/>
      <c r="I9" s="1">
        <f>VLOOKUP(B9,'[2]2月份'!$A:$F,6,FALSE)</f>
        <v>1008</v>
      </c>
      <c r="J9" s="1">
        <f t="shared" si="1"/>
        <v>1008</v>
      </c>
      <c r="K9" s="1"/>
      <c r="L9" s="1"/>
      <c r="M9" s="1">
        <f t="shared" si="2"/>
        <v>838</v>
      </c>
      <c r="N9" s="1">
        <f t="shared" si="3"/>
        <v>170</v>
      </c>
      <c r="O9" s="1">
        <f t="shared" si="0"/>
        <v>170</v>
      </c>
      <c r="P9" s="8">
        <v>0</v>
      </c>
      <c r="Q9" s="8">
        <v>0</v>
      </c>
      <c r="R9" s="8">
        <v>0</v>
      </c>
      <c r="S9" s="8">
        <v>0</v>
      </c>
      <c r="T9" s="8">
        <v>170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1">
        <v>0</v>
      </c>
    </row>
    <row r="10" spans="1:28" ht="18" customHeight="1" x14ac:dyDescent="0.3">
      <c r="A10" s="1" t="s">
        <v>38</v>
      </c>
      <c r="B10" s="1" t="s">
        <v>40</v>
      </c>
      <c r="C10" s="1">
        <f>VLOOKUP(B10,'[4]项目编码  '!$B$1:$C$65536,2,FALSE)</f>
        <v>10880020222</v>
      </c>
      <c r="D10" s="1" t="str">
        <f>VLOOKUP(B10,[5]sheet!$C$1:$H$65536,6,FALSE)</f>
        <v>30</v>
      </c>
      <c r="E10" s="1" t="str">
        <f>VLOOKUP(B:B,[6]配额0227!$A:$B,2,0)</f>
        <v>室内电脑板-/</v>
      </c>
      <c r="F10" s="1" t="str">
        <f>VLOOKUP(B:B,'[7]厂家配额 (新)'!$A$1:$C$65536,3,0)</f>
        <v>航嘉/和而泰//</v>
      </c>
      <c r="G10" s="1">
        <f>VLOOKUP(C10,[1]Data!$A:$K,11,FALSE)</f>
        <v>1</v>
      </c>
      <c r="H10" s="1"/>
      <c r="I10" s="1">
        <f>VLOOKUP(B10,'[2]2月份'!$A:$F,6,FALSE)</f>
        <v>1117</v>
      </c>
      <c r="J10" s="1">
        <f t="shared" si="1"/>
        <v>1117</v>
      </c>
      <c r="K10" s="1"/>
      <c r="L10" s="1"/>
      <c r="M10" s="1">
        <f t="shared" si="2"/>
        <v>891</v>
      </c>
      <c r="N10" s="1">
        <f t="shared" si="3"/>
        <v>226</v>
      </c>
      <c r="O10" s="1">
        <f t="shared" si="0"/>
        <v>226</v>
      </c>
      <c r="P10" s="8">
        <v>0</v>
      </c>
      <c r="Q10" s="8">
        <v>0</v>
      </c>
      <c r="R10" s="8">
        <v>0</v>
      </c>
      <c r="S10" s="8">
        <v>0</v>
      </c>
      <c r="T10" s="8">
        <v>226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1">
        <v>0</v>
      </c>
    </row>
    <row r="11" spans="1:28" ht="18" customHeight="1" x14ac:dyDescent="0.3">
      <c r="A11" s="1" t="s">
        <v>27</v>
      </c>
      <c r="B11" s="1" t="s">
        <v>41</v>
      </c>
      <c r="C11" s="1">
        <f>VLOOKUP(B11,'[4]项目编码  '!$B$1:$C$65536,2,FALSE)</f>
        <v>10880017530</v>
      </c>
      <c r="D11" s="1" t="str">
        <f>VLOOKUP(B11,[5]sheet!$C$1:$H$65536,6,FALSE)</f>
        <v>70</v>
      </c>
      <c r="E11" s="1" t="str">
        <f>VLOOKUP(B:B,[6]配额0227!$A:$B,2,0)</f>
        <v>室内电脑板-FR-4</v>
      </c>
      <c r="F11" s="1" t="str">
        <f>VLOOKUP(B:B,'[7]厂家配额 (新)'!$A$1:$C$65536,3,0)</f>
        <v>和而泰/领智//</v>
      </c>
      <c r="G11" s="1"/>
      <c r="H11" s="1">
        <f>VLOOKUP(C11,'[1]Data (2)'!$A:$K,11,FALSE)</f>
        <v>23</v>
      </c>
      <c r="I11" s="1">
        <f>VLOOKUP(B11,'[2]2月份'!$A:$F,6,FALSE)</f>
        <v>16</v>
      </c>
      <c r="J11" s="1">
        <f t="shared" si="1"/>
        <v>39</v>
      </c>
      <c r="K11" s="1"/>
      <c r="L11" s="1"/>
      <c r="M11" s="1">
        <f t="shared" si="2"/>
        <v>9</v>
      </c>
      <c r="N11" s="1">
        <f t="shared" si="3"/>
        <v>30</v>
      </c>
      <c r="O11" s="1">
        <f t="shared" si="0"/>
        <v>30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30</v>
      </c>
      <c r="X11" s="8">
        <v>0</v>
      </c>
      <c r="Y11" s="8">
        <v>0</v>
      </c>
      <c r="Z11" s="8">
        <v>0</v>
      </c>
      <c r="AA11" s="8">
        <v>0</v>
      </c>
      <c r="AB11" s="1">
        <v>0</v>
      </c>
    </row>
  </sheetData>
  <autoFilter ref="A2:AB11" xr:uid="{00000000-0009-0000-0000-000000000000}"/>
  <mergeCells count="1">
    <mergeCell ref="A1:AB1"/>
  </mergeCells>
  <phoneticPr fontId="3" type="noConversion"/>
  <conditionalFormatting sqref="M3:M11">
    <cfRule type="cellIs" dxfId="3" priority="1" operator="lessThan">
      <formula>0</formula>
    </cfRule>
  </conditionalFormatting>
  <conditionalFormatting sqref="B1:C1048576">
    <cfRule type="duplicateValues" dxfId="2" priority="2"/>
  </conditionalFormatting>
  <pageMargins left="0.7" right="0.7" top="0.75" bottom="0.75" header="0.3" footer="0.3"/>
  <ignoredErrors>
    <ignoredError sqref="N3:N11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13"/>
  <sheetViews>
    <sheetView zoomScale="85" zoomScaleNormal="85" workbookViewId="0">
      <pane ySplit="2" topLeftCell="A74" activePane="bottomLeft" state="frozen"/>
      <selection pane="bottomLeft" activeCell="H83" sqref="H83"/>
    </sheetView>
  </sheetViews>
  <sheetFormatPr defaultColWidth="15.5" defaultRowHeight="14" x14ac:dyDescent="0.3"/>
  <cols>
    <col min="1" max="1" width="4.08203125" customWidth="1"/>
    <col min="2" max="2" width="16.25" customWidth="1"/>
    <col min="3" max="3" width="12.75" customWidth="1"/>
    <col min="4" max="4" width="5.08203125" customWidth="1"/>
    <col min="5" max="6" width="15.5" hidden="1" customWidth="1"/>
    <col min="7" max="9" width="15.5" customWidth="1"/>
    <col min="10" max="10" width="5.08203125" customWidth="1"/>
    <col min="11" max="13" width="5.4140625" customWidth="1"/>
    <col min="14" max="14" width="6.6640625" customWidth="1"/>
    <col min="15" max="15" width="21.33203125" customWidth="1"/>
    <col min="16" max="16" width="7.4140625" customWidth="1"/>
    <col min="17" max="17" width="6.9140625" customWidth="1"/>
    <col min="18" max="18" width="7.4140625" customWidth="1"/>
    <col min="19" max="30" width="8.83203125" customWidth="1"/>
    <col min="31" max="31" width="10.1640625" customWidth="1"/>
  </cols>
  <sheetData>
    <row r="1" spans="1:31" ht="20" x14ac:dyDescent="0.4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</row>
    <row r="2" spans="1:31" s="3" customFormat="1" ht="28" customHeight="1" x14ac:dyDescent="0.3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/>
      <c r="H2" s="4"/>
      <c r="I2" s="4"/>
      <c r="J2" s="4" t="s">
        <v>7</v>
      </c>
      <c r="K2" s="4" t="s">
        <v>1</v>
      </c>
      <c r="L2" s="4" t="s">
        <v>8</v>
      </c>
      <c r="M2" s="4" t="s">
        <v>9</v>
      </c>
      <c r="N2" s="4" t="s">
        <v>10</v>
      </c>
      <c r="O2" s="4" t="s">
        <v>11</v>
      </c>
      <c r="P2" s="4" t="s">
        <v>12</v>
      </c>
      <c r="Q2" s="4" t="s">
        <v>13</v>
      </c>
      <c r="R2" s="4" t="s">
        <v>9</v>
      </c>
      <c r="S2" s="5" t="s">
        <v>14</v>
      </c>
      <c r="T2" s="5" t="s">
        <v>15</v>
      </c>
      <c r="U2" s="5" t="s">
        <v>16</v>
      </c>
      <c r="V2" s="5" t="s">
        <v>17</v>
      </c>
      <c r="W2" s="5" t="s">
        <v>18</v>
      </c>
      <c r="X2" s="5" t="s">
        <v>19</v>
      </c>
      <c r="Y2" s="5" t="s">
        <v>20</v>
      </c>
      <c r="Z2" s="5" t="s">
        <v>21</v>
      </c>
      <c r="AA2" s="5" t="s">
        <v>22</v>
      </c>
      <c r="AB2" s="5" t="s">
        <v>23</v>
      </c>
      <c r="AC2" s="5" t="s">
        <v>24</v>
      </c>
      <c r="AD2" s="5" t="s">
        <v>25</v>
      </c>
      <c r="AE2" s="4" t="s">
        <v>26</v>
      </c>
    </row>
    <row r="3" spans="1:31" ht="28" x14ac:dyDescent="0.3">
      <c r="A3" s="1" t="s">
        <v>27</v>
      </c>
      <c r="B3" s="1" t="s">
        <v>28</v>
      </c>
      <c r="C3" s="1">
        <v>10880029033</v>
      </c>
      <c r="D3" s="1">
        <v>30</v>
      </c>
      <c r="E3" s="1"/>
      <c r="F3" s="1"/>
      <c r="G3" s="1" t="str">
        <f>VLOOKUP(B3,[8]物料价格查询导出!$B:$I,8,FALSE)</f>
        <v>4.50</v>
      </c>
      <c r="H3" s="1">
        <f>I3*G3</f>
        <v>6918.75</v>
      </c>
      <c r="I3" s="1">
        <f>Q3*D3/100</f>
        <v>1537.5</v>
      </c>
      <c r="J3" s="1">
        <f>VLOOKUP(C3,[1]Data!$A:$K,11,FALSE)</f>
        <v>106</v>
      </c>
      <c r="K3" s="1">
        <f>VLOOKUP(C3,'[1]Data (2)'!$A:$K,11,FALSE)</f>
        <v>6354</v>
      </c>
      <c r="L3" s="1">
        <f>VLOOKUP(B3,'[2]2月份'!$A:$F,6,FALSE)</f>
        <v>1590</v>
      </c>
      <c r="M3" s="1">
        <f t="shared" ref="M3:M66" si="0">L3+K3</f>
        <v>7944</v>
      </c>
      <c r="N3" s="1">
        <f>VLOOKUP(C3,[3]保留到5!$A:$B,2,FALSE)</f>
        <v>22162</v>
      </c>
      <c r="O3" s="6" t="s">
        <v>29</v>
      </c>
      <c r="P3" s="1">
        <f t="shared" ref="P3:P66" si="1">N3+M3-Q3</f>
        <v>24981</v>
      </c>
      <c r="Q3" s="1">
        <f>SUM(T3)</f>
        <v>5125</v>
      </c>
      <c r="R3" s="1">
        <f t="shared" ref="R3:R66" si="2">SUM(S3:AE3)</f>
        <v>125321</v>
      </c>
      <c r="S3" s="7">
        <v>6166</v>
      </c>
      <c r="T3" s="7">
        <v>5125</v>
      </c>
      <c r="U3" s="7">
        <v>10846</v>
      </c>
      <c r="V3" s="7">
        <v>14433</v>
      </c>
      <c r="W3" s="7">
        <v>6387</v>
      </c>
      <c r="X3" s="7">
        <v>18389</v>
      </c>
      <c r="Y3" s="7">
        <v>11708</v>
      </c>
      <c r="Z3" s="7">
        <v>3468</v>
      </c>
      <c r="AA3" s="7">
        <v>5115</v>
      </c>
      <c r="AB3" s="7">
        <v>4883</v>
      </c>
      <c r="AC3" s="7">
        <v>11335</v>
      </c>
      <c r="AD3" s="7">
        <v>490</v>
      </c>
      <c r="AE3" s="1">
        <v>26976</v>
      </c>
    </row>
    <row r="4" spans="1:31" ht="28" x14ac:dyDescent="0.3">
      <c r="A4" s="1" t="s">
        <v>27</v>
      </c>
      <c r="B4" s="1" t="s">
        <v>30</v>
      </c>
      <c r="C4" s="1">
        <f>VLOOKUP(B4,'[4]项目编码  '!$B$1:$C$65536,2,FALSE)</f>
        <v>10880017949</v>
      </c>
      <c r="D4" s="1" t="str">
        <f>VLOOKUP(B4,[5]sheet!$C$1:$H$65536,6,FALSE)</f>
        <v>70</v>
      </c>
      <c r="E4" s="1" t="str">
        <f>VLOOKUP(B:B,[6]配额0227!$A:$B,2,0)</f>
        <v>室内电脑板-CEM-1</v>
      </c>
      <c r="F4" s="1" t="str">
        <f>VLOOKUP(B:B,'[7]厂家配额 (新)'!$A$1:$C$65536,3,0)</f>
        <v>和而泰/领智//</v>
      </c>
      <c r="G4" s="1" t="str">
        <f>VLOOKUP(B4,[8]物料价格查询导出!$B:$I,8,FALSE)</f>
        <v>19.28</v>
      </c>
      <c r="H4" s="1">
        <f t="shared" ref="H4:H35" si="3">I4*G4</f>
        <v>30419.984</v>
      </c>
      <c r="I4" s="1">
        <f t="shared" ref="I4:I35" si="4">Q4*D4/100</f>
        <v>1577.8</v>
      </c>
      <c r="J4" s="1">
        <f>VLOOKUP(C4,[1]Data!$A:$K,11,FALSE)</f>
        <v>6</v>
      </c>
      <c r="K4" s="1"/>
      <c r="L4" s="1">
        <f>VLOOKUP(B4,'[2]2月份'!$A:$F,6,FALSE)</f>
        <v>1409</v>
      </c>
      <c r="M4" s="1">
        <f t="shared" si="0"/>
        <v>1409</v>
      </c>
      <c r="N4" s="1">
        <f>VLOOKUP(C4,[3]保留到5!$A:$B,2,FALSE)</f>
        <v>9011</v>
      </c>
      <c r="O4" s="6" t="s">
        <v>31</v>
      </c>
      <c r="P4" s="1">
        <f t="shared" si="1"/>
        <v>8166</v>
      </c>
      <c r="Q4" s="1">
        <f t="shared" ref="Q4:Q35" si="5">SUM(T4)</f>
        <v>2254</v>
      </c>
      <c r="R4" s="1">
        <f t="shared" si="2"/>
        <v>32658</v>
      </c>
      <c r="S4" s="7">
        <v>2402</v>
      </c>
      <c r="T4" s="7">
        <v>2254</v>
      </c>
      <c r="U4" s="7">
        <v>1130</v>
      </c>
      <c r="V4" s="7">
        <v>0</v>
      </c>
      <c r="W4" s="7">
        <v>3634</v>
      </c>
      <c r="X4" s="7">
        <v>942</v>
      </c>
      <c r="Y4" s="7">
        <v>699</v>
      </c>
      <c r="Z4" s="7">
        <v>371</v>
      </c>
      <c r="AA4" s="7">
        <v>1600</v>
      </c>
      <c r="AB4" s="7">
        <v>0</v>
      </c>
      <c r="AC4" s="7">
        <v>1279</v>
      </c>
      <c r="AD4" s="7">
        <v>0</v>
      </c>
      <c r="AE4" s="1">
        <v>18347</v>
      </c>
    </row>
    <row r="5" spans="1:31" ht="21" customHeight="1" x14ac:dyDescent="0.3">
      <c r="A5" s="1" t="s">
        <v>27</v>
      </c>
      <c r="B5" s="1" t="s">
        <v>32</v>
      </c>
      <c r="C5" s="1">
        <f>VLOOKUP(B5,'[4]项目编码  '!$B$1:$C$65536,2,FALSE)</f>
        <v>10880017527</v>
      </c>
      <c r="D5" s="1" t="str">
        <f>VLOOKUP(B5,[5]sheet!$C$1:$H$65536,6,FALSE)</f>
        <v>70</v>
      </c>
      <c r="E5" s="1" t="str">
        <f>VLOOKUP(B:B,[6]配额0227!$A:$B,2,0)</f>
        <v>室内电脑板-CEM-1室内电脑板俄罗斯07/09/12P系列室内电脑板</v>
      </c>
      <c r="F5" s="1" t="str">
        <f>VLOOKUP(B:B,'[7]厂家配额 (新)'!$A$1:$C$65536,3,0)</f>
        <v>和而泰/领智//</v>
      </c>
      <c r="G5" s="1" t="str">
        <f>VLOOKUP(B5,[8]物料价格查询导出!$B:$I,8,FALSE)</f>
        <v>27.66</v>
      </c>
      <c r="H5" s="1">
        <f t="shared" si="3"/>
        <v>4453.26</v>
      </c>
      <c r="I5" s="1">
        <f t="shared" si="4"/>
        <v>161</v>
      </c>
      <c r="J5" s="1">
        <f>VLOOKUP(C5,[1]Data!$A:$K,11,FALSE)</f>
        <v>1</v>
      </c>
      <c r="K5" s="1"/>
      <c r="L5" s="1">
        <f>VLOOKUP(B5,'[2]2月份'!$A:$F,6,FALSE)</f>
        <v>898</v>
      </c>
      <c r="M5" s="1">
        <f t="shared" si="0"/>
        <v>898</v>
      </c>
      <c r="N5" s="1">
        <f>VLOOKUP(C5,[3]保留到5!$A:$B,2,FALSE)</f>
        <v>3200</v>
      </c>
      <c r="O5" s="1"/>
      <c r="P5" s="1">
        <f t="shared" si="1"/>
        <v>3868</v>
      </c>
      <c r="Q5" s="1">
        <f t="shared" si="5"/>
        <v>230</v>
      </c>
      <c r="R5" s="1">
        <f t="shared" si="2"/>
        <v>5855</v>
      </c>
      <c r="S5" s="8">
        <v>0</v>
      </c>
      <c r="T5" s="8">
        <v>230</v>
      </c>
      <c r="U5" s="8">
        <v>579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1">
        <v>5046</v>
      </c>
    </row>
    <row r="6" spans="1:31" ht="18" customHeight="1" x14ac:dyDescent="0.3">
      <c r="A6" s="1" t="s">
        <v>27</v>
      </c>
      <c r="B6" s="1" t="s">
        <v>33</v>
      </c>
      <c r="C6" s="1">
        <f>VLOOKUP(B6,'[4]项目编码  '!$B$1:$C$65536,2,FALSE)</f>
        <v>10880017516</v>
      </c>
      <c r="D6" s="1" t="str">
        <f>VLOOKUP(B6,[5]sheet!$C$1:$H$65536,6,FALSE)</f>
        <v>70</v>
      </c>
      <c r="E6" s="1" t="str">
        <f>VLOOKUP(B:B,[6]配额0227!$A:$B,2,0)</f>
        <v>室内电脑板-CEM-1室内电脑板</v>
      </c>
      <c r="F6" s="1" t="str">
        <f>VLOOKUP(B:B,'[7]厂家配额 (新)'!$A$1:$C$65536,3,0)</f>
        <v>和而泰/领智//</v>
      </c>
      <c r="G6" s="1" t="str">
        <f>VLOOKUP(B6,[8]物料价格查询导出!$B:$I,8,FALSE)</f>
        <v>25.65</v>
      </c>
      <c r="H6" s="1">
        <f t="shared" si="3"/>
        <v>11850.3</v>
      </c>
      <c r="I6" s="1">
        <f t="shared" si="4"/>
        <v>462</v>
      </c>
      <c r="J6" s="1">
        <f>VLOOKUP(C6,[1]Data!$A:$K,11,FALSE)</f>
        <v>315</v>
      </c>
      <c r="K6" s="1">
        <f>VLOOKUP(C6,'[1]Data (2)'!$A:$K,11,FALSE)</f>
        <v>4</v>
      </c>
      <c r="L6" s="1">
        <f>VLOOKUP(B6,'[2]2月份'!$A:$F,6,FALSE)</f>
        <v>1264</v>
      </c>
      <c r="M6" s="1">
        <f t="shared" si="0"/>
        <v>1268</v>
      </c>
      <c r="N6" s="1">
        <f>VLOOKUP(C6,[3]保留到5!$A:$B,2,FALSE)</f>
        <v>1000</v>
      </c>
      <c r="O6" s="1"/>
      <c r="P6" s="1">
        <f t="shared" si="1"/>
        <v>1608</v>
      </c>
      <c r="Q6" s="1">
        <f t="shared" si="5"/>
        <v>660</v>
      </c>
      <c r="R6" s="1">
        <f t="shared" si="2"/>
        <v>1990</v>
      </c>
      <c r="S6" s="8">
        <v>0</v>
      </c>
      <c r="T6" s="8">
        <v>660</v>
      </c>
      <c r="U6" s="8">
        <v>0</v>
      </c>
      <c r="V6" s="8">
        <v>0</v>
      </c>
      <c r="W6" s="8">
        <v>0</v>
      </c>
      <c r="X6" s="8">
        <v>0</v>
      </c>
      <c r="Y6" s="8">
        <v>580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1">
        <v>750</v>
      </c>
    </row>
    <row r="7" spans="1:31" ht="18" customHeight="1" x14ac:dyDescent="0.3">
      <c r="A7" s="1" t="s">
        <v>27</v>
      </c>
      <c r="B7" s="1" t="s">
        <v>34</v>
      </c>
      <c r="C7" s="1">
        <f>VLOOKUP(B7,'[4]项目编码  '!$B$1:$C$65536,2,FALSE)</f>
        <v>10880017525</v>
      </c>
      <c r="D7" s="1" t="str">
        <f>VLOOKUP(B7,[5]sheet!$C$1:$H$65536,6,FALSE)</f>
        <v>70</v>
      </c>
      <c r="E7" s="1" t="str">
        <f>VLOOKUP(B:B,[6]配额0227!$A:$B,2,0)</f>
        <v>室内电脑板-CEM-1室内电脑板泰国09/12P系列定频室内电脑板</v>
      </c>
      <c r="F7" s="1" t="str">
        <f>VLOOKUP(B:B,'[7]厂家配额 (新)'!$A$1:$C$65536,3,0)</f>
        <v>和而泰/领智//</v>
      </c>
      <c r="G7" s="1" t="str">
        <f>VLOOKUP(B7,[8]物料价格查询导出!$B:$I,8,FALSE)</f>
        <v>23.85</v>
      </c>
      <c r="H7" s="1">
        <f t="shared" si="3"/>
        <v>0</v>
      </c>
      <c r="I7" s="1">
        <f t="shared" si="4"/>
        <v>0</v>
      </c>
      <c r="J7" s="1"/>
      <c r="K7" s="1"/>
      <c r="L7" s="1">
        <f>VLOOKUP(B7,'[2]2月份'!$A:$F,6,FALSE)</f>
        <v>893</v>
      </c>
      <c r="M7" s="1">
        <f t="shared" si="0"/>
        <v>893</v>
      </c>
      <c r="N7" s="1">
        <f>VLOOKUP(C7,[3]保留到5!$A:$B,2,FALSE)</f>
        <v>1000</v>
      </c>
      <c r="O7" s="1" t="s">
        <v>35</v>
      </c>
      <c r="P7" s="1">
        <f t="shared" si="1"/>
        <v>1893</v>
      </c>
      <c r="Q7" s="1">
        <f t="shared" si="5"/>
        <v>0</v>
      </c>
      <c r="R7" s="1">
        <f t="shared" si="2"/>
        <v>4945</v>
      </c>
      <c r="S7" s="8">
        <v>0</v>
      </c>
      <c r="T7" s="8">
        <v>0</v>
      </c>
      <c r="U7" s="8">
        <v>0</v>
      </c>
      <c r="V7" s="8">
        <v>1821</v>
      </c>
      <c r="W7" s="8">
        <v>0</v>
      </c>
      <c r="X7" s="8">
        <v>0</v>
      </c>
      <c r="Y7" s="8">
        <v>0</v>
      </c>
      <c r="Z7" s="8">
        <v>270</v>
      </c>
      <c r="AA7" s="8">
        <v>0</v>
      </c>
      <c r="AB7" s="8">
        <v>0</v>
      </c>
      <c r="AC7" s="8">
        <v>0</v>
      </c>
      <c r="AD7" s="8">
        <v>0</v>
      </c>
      <c r="AE7" s="1">
        <v>2854</v>
      </c>
    </row>
    <row r="8" spans="1:31" ht="18" customHeight="1" x14ac:dyDescent="0.3">
      <c r="A8" s="1" t="s">
        <v>27</v>
      </c>
      <c r="B8" s="1" t="s">
        <v>36</v>
      </c>
      <c r="C8" s="1">
        <f>VLOOKUP(B8,'[4]项目编码  '!$B$1:$C$65536,2,FALSE)</f>
        <v>10880017524</v>
      </c>
      <c r="D8" s="1" t="str">
        <f>VLOOKUP(B8,[5]sheet!$C$1:$H$65536,6,FALSE)</f>
        <v>70</v>
      </c>
      <c r="E8" s="1" t="str">
        <f>VLOOKUP(B:B,[6]配额0227!$A:$B,2,0)</f>
        <v>室内电脑板-CEM-1室内电脑板俄罗斯07/09/12P系列室内电脑板</v>
      </c>
      <c r="F8" s="1" t="str">
        <f>VLOOKUP(B:B,'[7]厂家配额 (新)'!$A$1:$C$65536,3,0)</f>
        <v>和而泰/领智//</v>
      </c>
      <c r="G8" s="1" t="str">
        <f>VLOOKUP(B8,[8]物料价格查询导出!$B:$I,8,FALSE)</f>
        <v>27.69</v>
      </c>
      <c r="H8" s="1">
        <f t="shared" si="3"/>
        <v>7404.3059999999996</v>
      </c>
      <c r="I8" s="1">
        <f t="shared" si="4"/>
        <v>267.39999999999998</v>
      </c>
      <c r="J8" s="1"/>
      <c r="K8" s="1"/>
      <c r="L8" s="1">
        <f>VLOOKUP(B8,'[2]2月份'!$A:$F,6,FALSE)</f>
        <v>885</v>
      </c>
      <c r="M8" s="1">
        <f t="shared" si="0"/>
        <v>885</v>
      </c>
      <c r="N8" s="1">
        <f>VLOOKUP(C8,[3]保留到5!$A:$B,2,FALSE)</f>
        <v>900</v>
      </c>
      <c r="O8" s="1" t="s">
        <v>37</v>
      </c>
      <c r="P8" s="1">
        <f t="shared" si="1"/>
        <v>1403</v>
      </c>
      <c r="Q8" s="1">
        <f t="shared" si="5"/>
        <v>382</v>
      </c>
      <c r="R8" s="1">
        <f t="shared" si="2"/>
        <v>6470</v>
      </c>
      <c r="S8" s="8">
        <v>100</v>
      </c>
      <c r="T8" s="8">
        <v>382</v>
      </c>
      <c r="U8" s="8">
        <v>0</v>
      </c>
      <c r="V8" s="8">
        <v>0</v>
      </c>
      <c r="W8" s="8">
        <v>115</v>
      </c>
      <c r="X8" s="8">
        <v>0</v>
      </c>
      <c r="Y8" s="8">
        <v>0</v>
      </c>
      <c r="Z8" s="8">
        <v>848</v>
      </c>
      <c r="AA8" s="8">
        <v>0</v>
      </c>
      <c r="AB8" s="8">
        <v>0</v>
      </c>
      <c r="AC8" s="8">
        <v>0</v>
      </c>
      <c r="AD8" s="8">
        <v>0</v>
      </c>
      <c r="AE8" s="1">
        <v>5025</v>
      </c>
    </row>
    <row r="9" spans="1:31" ht="18" customHeight="1" x14ac:dyDescent="0.3">
      <c r="A9" s="1" t="s">
        <v>38</v>
      </c>
      <c r="B9" s="1" t="s">
        <v>39</v>
      </c>
      <c r="C9" s="1">
        <f>VLOOKUP(B9,'[4]项目编码  '!$B$1:$C$65536,2,FALSE)</f>
        <v>10880017526</v>
      </c>
      <c r="D9" s="1" t="str">
        <f>VLOOKUP(B9,[5]sheet!$C$1:$H$65536,6,FALSE)</f>
        <v>70</v>
      </c>
      <c r="E9" s="1" t="str">
        <f>VLOOKUP(B:B,[6]配额0227!$A:$B,2,0)</f>
        <v>室内电脑板-CEM-1室内电脑板(压敏、保险和继电器防爆)印尼290项目室内电脑</v>
      </c>
      <c r="F9" s="1" t="str">
        <f>VLOOKUP(B:B,'[7]厂家配额 (新)'!$A$1:$C$65536,3,0)</f>
        <v>和而泰/领智//</v>
      </c>
      <c r="G9" s="1" t="str">
        <f>VLOOKUP(B9,[8]物料价格查询导出!$B:$I,8,FALSE)</f>
        <v>25.90</v>
      </c>
      <c r="H9" s="1">
        <f t="shared" si="3"/>
        <v>0</v>
      </c>
      <c r="I9" s="1">
        <f t="shared" si="4"/>
        <v>0</v>
      </c>
      <c r="J9" s="1"/>
      <c r="K9" s="1"/>
      <c r="L9" s="1">
        <f>VLOOKUP(B9,'[2]2月份'!$A:$F,6,FALSE)</f>
        <v>1008</v>
      </c>
      <c r="M9" s="1">
        <f t="shared" si="0"/>
        <v>1008</v>
      </c>
      <c r="N9" s="1"/>
      <c r="O9" s="1"/>
      <c r="P9" s="1">
        <f t="shared" si="1"/>
        <v>1008</v>
      </c>
      <c r="Q9" s="1">
        <f t="shared" si="5"/>
        <v>0</v>
      </c>
      <c r="R9" s="1">
        <f t="shared" si="2"/>
        <v>170</v>
      </c>
      <c r="S9" s="8">
        <v>0</v>
      </c>
      <c r="T9" s="8">
        <v>0</v>
      </c>
      <c r="U9" s="8">
        <v>0</v>
      </c>
      <c r="V9" s="8">
        <v>0</v>
      </c>
      <c r="W9" s="8">
        <v>170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1">
        <v>0</v>
      </c>
    </row>
    <row r="10" spans="1:31" ht="18" customHeight="1" x14ac:dyDescent="0.3">
      <c r="A10" s="1" t="s">
        <v>38</v>
      </c>
      <c r="B10" s="1" t="s">
        <v>40</v>
      </c>
      <c r="C10" s="1">
        <f>VLOOKUP(B10,'[4]项目编码  '!$B$1:$C$65536,2,FALSE)</f>
        <v>10880020222</v>
      </c>
      <c r="D10" s="1" t="str">
        <f>VLOOKUP(B10,[5]sheet!$C$1:$H$65536,6,FALSE)</f>
        <v>30</v>
      </c>
      <c r="E10" s="1" t="str">
        <f>VLOOKUP(B:B,[6]配额0227!$A:$B,2,0)</f>
        <v>室内电脑板-/</v>
      </c>
      <c r="F10" s="1" t="str">
        <f>VLOOKUP(B:B,'[7]厂家配额 (新)'!$A$1:$C$65536,3,0)</f>
        <v>航嘉/和而泰//</v>
      </c>
      <c r="G10" s="1" t="str">
        <f>VLOOKUP(B10,[8]物料价格查询导出!$B:$I,8,FALSE)</f>
        <v>29.25</v>
      </c>
      <c r="H10" s="1">
        <f t="shared" si="3"/>
        <v>0</v>
      </c>
      <c r="I10" s="1">
        <f t="shared" si="4"/>
        <v>0</v>
      </c>
      <c r="J10" s="1">
        <f>VLOOKUP(C10,[1]Data!$A:$K,11,FALSE)</f>
        <v>1</v>
      </c>
      <c r="K10" s="1"/>
      <c r="L10" s="1">
        <f>VLOOKUP(B10,'[2]2月份'!$A:$F,6,FALSE)</f>
        <v>1117</v>
      </c>
      <c r="M10" s="1">
        <f t="shared" si="0"/>
        <v>1117</v>
      </c>
      <c r="N10" s="1"/>
      <c r="O10" s="1"/>
      <c r="P10" s="1">
        <f t="shared" si="1"/>
        <v>1117</v>
      </c>
      <c r="Q10" s="1">
        <f t="shared" si="5"/>
        <v>0</v>
      </c>
      <c r="R10" s="1">
        <f t="shared" si="2"/>
        <v>226</v>
      </c>
      <c r="S10" s="8">
        <v>0</v>
      </c>
      <c r="T10" s="8">
        <v>0</v>
      </c>
      <c r="U10" s="8">
        <v>0</v>
      </c>
      <c r="V10" s="8">
        <v>0</v>
      </c>
      <c r="W10" s="8">
        <v>226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1">
        <v>0</v>
      </c>
    </row>
    <row r="11" spans="1:31" ht="18" customHeight="1" x14ac:dyDescent="0.3">
      <c r="A11" s="1" t="s">
        <v>27</v>
      </c>
      <c r="B11" s="1" t="s">
        <v>41</v>
      </c>
      <c r="C11" s="1">
        <f>VLOOKUP(B11,'[4]项目编码  '!$B$1:$C$65536,2,FALSE)</f>
        <v>10880017530</v>
      </c>
      <c r="D11" s="1" t="str">
        <f>VLOOKUP(B11,[5]sheet!$C$1:$H$65536,6,FALSE)</f>
        <v>70</v>
      </c>
      <c r="E11" s="1" t="str">
        <f>VLOOKUP(B:B,[6]配额0227!$A:$B,2,0)</f>
        <v>室内电脑板-FR-4</v>
      </c>
      <c r="F11" s="1" t="str">
        <f>VLOOKUP(B:B,'[7]厂家配额 (新)'!$A$1:$C$65536,3,0)</f>
        <v>和而泰/领智//</v>
      </c>
      <c r="G11" s="1" t="str">
        <f>VLOOKUP(B11,[8]物料价格查询导出!$B:$I,8,FALSE)</f>
        <v>40.69</v>
      </c>
      <c r="H11" s="1">
        <f t="shared" si="3"/>
        <v>0</v>
      </c>
      <c r="I11" s="1">
        <f t="shared" si="4"/>
        <v>0</v>
      </c>
      <c r="J11" s="1"/>
      <c r="K11" s="1">
        <f>VLOOKUP(C11,'[1]Data (2)'!$A:$K,11,FALSE)</f>
        <v>23</v>
      </c>
      <c r="L11" s="1">
        <f>VLOOKUP(B11,'[2]2月份'!$A:$F,6,FALSE)</f>
        <v>16</v>
      </c>
      <c r="M11" s="1">
        <f t="shared" si="0"/>
        <v>39</v>
      </c>
      <c r="N11" s="1"/>
      <c r="O11" s="1"/>
      <c r="P11" s="1">
        <f t="shared" si="1"/>
        <v>39</v>
      </c>
      <c r="Q11" s="1">
        <f t="shared" si="5"/>
        <v>0</v>
      </c>
      <c r="R11" s="1">
        <f t="shared" si="2"/>
        <v>30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30</v>
      </c>
      <c r="AA11" s="8">
        <v>0</v>
      </c>
      <c r="AB11" s="8">
        <v>0</v>
      </c>
      <c r="AC11" s="8">
        <v>0</v>
      </c>
      <c r="AD11" s="8">
        <v>0</v>
      </c>
      <c r="AE11" s="1">
        <v>0</v>
      </c>
    </row>
    <row r="12" spans="1:31" ht="18" customHeight="1" x14ac:dyDescent="0.3">
      <c r="A12" s="1" t="s">
        <v>27</v>
      </c>
      <c r="B12" s="1" t="s">
        <v>42</v>
      </c>
      <c r="C12" s="1">
        <f>VLOOKUP(B12,'[4]项目编码  '!$B$1:$C$65536,2,FALSE)</f>
        <v>10880017531</v>
      </c>
      <c r="D12" s="1" t="str">
        <f>VLOOKUP(B12,[5]sheet!$C$1:$H$65536,6,FALSE)</f>
        <v>70</v>
      </c>
      <c r="E12" s="1" t="str">
        <f>VLOOKUP(B:B,[6]配额0227!$A:$B,2,0)</f>
        <v>室内电脑板-FR-4---</v>
      </c>
      <c r="F12" s="1" t="str">
        <f>VLOOKUP(B:B,'[7]厂家配额 (新)'!$A$1:$C$65536,3,0)</f>
        <v>和而泰/领智//</v>
      </c>
      <c r="G12" s="1" t="str">
        <f>VLOOKUP(B12,[8]物料价格查询导出!$B:$I,8,FALSE)</f>
        <v>40.97</v>
      </c>
      <c r="H12" s="1">
        <f t="shared" si="3"/>
        <v>0</v>
      </c>
      <c r="I12" s="1">
        <f t="shared" si="4"/>
        <v>0</v>
      </c>
      <c r="J12" s="1">
        <f>VLOOKUP(C12,[1]Data!$A:$K,11,FALSE)</f>
        <v>1</v>
      </c>
      <c r="K12" s="1"/>
      <c r="L12" s="1">
        <f>VLOOKUP(B12,'[2]2月份'!$A:$F,6,FALSE)</f>
        <v>9</v>
      </c>
      <c r="M12" s="1">
        <f t="shared" si="0"/>
        <v>9</v>
      </c>
      <c r="N12" s="1"/>
      <c r="O12" s="1" t="s">
        <v>43</v>
      </c>
      <c r="P12" s="1">
        <f t="shared" si="1"/>
        <v>9</v>
      </c>
      <c r="Q12" s="1">
        <f t="shared" si="5"/>
        <v>0</v>
      </c>
      <c r="R12" s="1">
        <f t="shared" si="2"/>
        <v>10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10</v>
      </c>
      <c r="AD12" s="8">
        <v>0</v>
      </c>
      <c r="AE12" s="1">
        <v>0</v>
      </c>
    </row>
    <row r="13" spans="1:31" ht="18" customHeight="1" x14ac:dyDescent="0.3">
      <c r="A13" s="1" t="s">
        <v>27</v>
      </c>
      <c r="B13" s="1" t="s">
        <v>44</v>
      </c>
      <c r="C13" s="1">
        <f>VLOOKUP(B13,'[4]项目编码  '!$B$1:$C$65536,2,FALSE)</f>
        <v>10880017536</v>
      </c>
      <c r="D13" s="1" t="str">
        <f>VLOOKUP(B13,[5]sheet!$C$1:$H$65536,6,FALSE)</f>
        <v>70</v>
      </c>
      <c r="E13" s="1" t="str">
        <f>VLOOKUP(B:B,[6]配额0227!$A:$B,2,0)</f>
        <v>室内电脑板-FR-4/</v>
      </c>
      <c r="F13" s="1" t="str">
        <f>VLOOKUP(B:B,'[7]厂家配额 (新)'!$A$1:$C$65536,3,0)</f>
        <v>和而泰/领智//</v>
      </c>
      <c r="G13" s="1" t="str">
        <f>VLOOKUP(B13,[8]物料价格查询导出!$B:$I,8,FALSE)</f>
        <v>40.97</v>
      </c>
      <c r="H13" s="1">
        <f t="shared" si="3"/>
        <v>0</v>
      </c>
      <c r="I13" s="1">
        <f t="shared" si="4"/>
        <v>0</v>
      </c>
      <c r="J13" s="1">
        <f>VLOOKUP(C13,[1]Data!$A:$K,11,FALSE)</f>
        <v>70</v>
      </c>
      <c r="K13" s="1">
        <f>VLOOKUP(C13,'[1]Data (2)'!$A:$K,11,FALSE)</f>
        <v>202</v>
      </c>
      <c r="L13" s="1">
        <f>VLOOKUP(B13,'[2]2月份'!$A:$F,6,FALSE)</f>
        <v>16</v>
      </c>
      <c r="M13" s="1">
        <f t="shared" si="0"/>
        <v>218</v>
      </c>
      <c r="N13" s="1">
        <f>VLOOKUP(C13,[3]保留到5!$A:$B,2,FALSE)</f>
        <v>1800</v>
      </c>
      <c r="O13" s="1" t="s">
        <v>45</v>
      </c>
      <c r="P13" s="1">
        <f t="shared" si="1"/>
        <v>2018</v>
      </c>
      <c r="Q13" s="1">
        <f t="shared" si="5"/>
        <v>0</v>
      </c>
      <c r="R13" s="1">
        <f t="shared" si="2"/>
        <v>3405</v>
      </c>
      <c r="S13" s="8">
        <v>0</v>
      </c>
      <c r="T13" s="8">
        <v>0</v>
      </c>
      <c r="U13" s="8">
        <v>0</v>
      </c>
      <c r="V13" s="8">
        <v>1650</v>
      </c>
      <c r="W13" s="8">
        <v>0</v>
      </c>
      <c r="X13" s="8">
        <v>1650</v>
      </c>
      <c r="Y13" s="8">
        <v>0</v>
      </c>
      <c r="Z13" s="8">
        <v>0</v>
      </c>
      <c r="AA13" s="8">
        <v>5</v>
      </c>
      <c r="AB13" s="8">
        <v>0</v>
      </c>
      <c r="AC13" s="8">
        <v>0</v>
      </c>
      <c r="AD13" s="8">
        <v>0</v>
      </c>
      <c r="AE13" s="1">
        <v>100</v>
      </c>
    </row>
    <row r="14" spans="1:31" ht="18" customHeight="1" x14ac:dyDescent="0.3">
      <c r="A14" s="1" t="s">
        <v>27</v>
      </c>
      <c r="B14" s="1" t="s">
        <v>46</v>
      </c>
      <c r="C14" s="1">
        <f>VLOOKUP(B14,'[4]项目编码  '!$B$1:$C$65536,2,FALSE)</f>
        <v>10880034629</v>
      </c>
      <c r="D14" s="1" t="str">
        <f>VLOOKUP(B14,[5]sheet!$C$1:$H$65536,6,FALSE)</f>
        <v>30</v>
      </c>
      <c r="E14" s="1" t="str">
        <f>VLOOKUP(B:B,[6]配额0227!$A:$B,2,0)</f>
        <v>室内电脑板-CEM-1</v>
      </c>
      <c r="F14" s="1" t="str">
        <f>VLOOKUP(B:B,'[7]厂家配额 (新)'!$A$1:$C$65536,3,0)</f>
        <v>领智/和而泰//</v>
      </c>
      <c r="G14" s="1" t="str">
        <f>VLOOKUP(B14,[8]物料价格查询导出!$B:$I,8,FALSE)</f>
        <v>36.99</v>
      </c>
      <c r="H14" s="1">
        <f t="shared" si="3"/>
        <v>0</v>
      </c>
      <c r="I14" s="1">
        <f t="shared" si="4"/>
        <v>0</v>
      </c>
      <c r="J14" s="1"/>
      <c r="K14" s="1"/>
      <c r="L14" s="1">
        <f>VLOOKUP(B14,'[2]2月份'!$A:$F,6,FALSE)</f>
        <v>48</v>
      </c>
      <c r="M14" s="1">
        <f t="shared" si="0"/>
        <v>48</v>
      </c>
      <c r="N14" s="1"/>
      <c r="O14" s="1"/>
      <c r="P14" s="1">
        <f t="shared" si="1"/>
        <v>48</v>
      </c>
      <c r="Q14" s="1">
        <f t="shared" si="5"/>
        <v>0</v>
      </c>
      <c r="R14" s="1">
        <f t="shared" si="2"/>
        <v>3</v>
      </c>
      <c r="S14" s="8">
        <v>0</v>
      </c>
      <c r="T14" s="8">
        <v>0</v>
      </c>
      <c r="U14" s="8">
        <v>3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1">
        <v>0</v>
      </c>
    </row>
    <row r="15" spans="1:31" x14ac:dyDescent="0.3">
      <c r="A15" s="1" t="s">
        <v>27</v>
      </c>
      <c r="B15" s="1" t="s">
        <v>47</v>
      </c>
      <c r="C15" s="1">
        <f>VLOOKUP(B15,'[4]项目编码  '!$B$1:$C$65536,2,FALSE)</f>
        <v>10880036513</v>
      </c>
      <c r="D15" s="1" t="str">
        <f>VLOOKUP(B15,[5]sheet!$C$1:$H$65536,6,FALSE)</f>
        <v>70</v>
      </c>
      <c r="E15" s="1" t="str">
        <f>VLOOKUP(B:B,[6]配额0227!$A:$B,2,0)</f>
        <v>室内电脑板-CEM-1</v>
      </c>
      <c r="F15" s="1" t="str">
        <f>VLOOKUP(B:B,'[7]厂家配额 (新)'!$A$1:$C$65536,3,0)</f>
        <v>和而泰/康美特//</v>
      </c>
      <c r="G15" s="1" t="str">
        <f>VLOOKUP(B15,[8]物料价格查询导出!$B:$I,8,FALSE)</f>
        <v>21.47</v>
      </c>
      <c r="H15" s="1">
        <f t="shared" si="3"/>
        <v>0</v>
      </c>
      <c r="I15" s="1">
        <f t="shared" si="4"/>
        <v>0</v>
      </c>
      <c r="J15" s="1"/>
      <c r="K15" s="1"/>
      <c r="L15" s="1"/>
      <c r="M15" s="1">
        <f t="shared" si="0"/>
        <v>0</v>
      </c>
      <c r="N15" s="1"/>
      <c r="O15" s="1" t="s">
        <v>48</v>
      </c>
      <c r="P15" s="1">
        <f t="shared" si="1"/>
        <v>0</v>
      </c>
      <c r="Q15" s="1">
        <f t="shared" si="5"/>
        <v>0</v>
      </c>
      <c r="R15" s="1">
        <f t="shared" si="2"/>
        <v>1319</v>
      </c>
      <c r="S15" s="8">
        <v>1319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1">
        <v>0</v>
      </c>
    </row>
    <row r="16" spans="1:31" x14ac:dyDescent="0.3">
      <c r="A16" s="1" t="s">
        <v>27</v>
      </c>
      <c r="B16" s="1" t="s">
        <v>49</v>
      </c>
      <c r="C16" s="1">
        <f>VLOOKUP(B16,'[4]项目编码  '!$B$1:$C$65536,2,FALSE)</f>
        <v>10880036514</v>
      </c>
      <c r="D16" s="1" t="str">
        <f>VLOOKUP(B16,[5]sheet!$C$1:$H$65536,6,FALSE)</f>
        <v>70</v>
      </c>
      <c r="E16" s="1" t="str">
        <f>VLOOKUP(B:B,[6]配额0227!$A:$B,2,0)</f>
        <v>室内电脑板-CEM-1</v>
      </c>
      <c r="F16" s="1" t="str">
        <f>VLOOKUP(B:B,'[7]厂家配额 (新)'!$A$1:$C$65536,3,0)</f>
        <v>和而泰/康美特//</v>
      </c>
      <c r="G16" s="1" t="str">
        <f>VLOOKUP(B16,[8]物料价格查询导出!$B:$I,8,FALSE)</f>
        <v>21.95</v>
      </c>
      <c r="H16" s="1">
        <f t="shared" si="3"/>
        <v>0</v>
      </c>
      <c r="I16" s="1">
        <f t="shared" si="4"/>
        <v>0</v>
      </c>
      <c r="J16" s="1"/>
      <c r="K16" s="1"/>
      <c r="L16" s="1">
        <f>VLOOKUP(B16,'[2]2月份'!$A:$F,6,FALSE)</f>
        <v>149</v>
      </c>
      <c r="M16" s="1">
        <f t="shared" si="0"/>
        <v>149</v>
      </c>
      <c r="N16" s="1"/>
      <c r="O16" s="1" t="s">
        <v>48</v>
      </c>
      <c r="P16" s="1">
        <f t="shared" si="1"/>
        <v>149</v>
      </c>
      <c r="Q16" s="1">
        <f t="shared" si="5"/>
        <v>0</v>
      </c>
      <c r="R16" s="1">
        <f t="shared" si="2"/>
        <v>1979</v>
      </c>
      <c r="S16" s="8">
        <v>1979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1">
        <v>0</v>
      </c>
    </row>
    <row r="17" spans="1:31" x14ac:dyDescent="0.3">
      <c r="A17" s="1" t="s">
        <v>27</v>
      </c>
      <c r="B17" s="1" t="s">
        <v>50</v>
      </c>
      <c r="C17" s="1">
        <f>VLOOKUP(B17,'[4]项目编码  '!$B$1:$C$65536,2,FALSE)</f>
        <v>10880018093</v>
      </c>
      <c r="D17" s="1" t="str">
        <f>VLOOKUP(B17,[5]sheet!$C$1:$H$65536,6,FALSE)</f>
        <v>70</v>
      </c>
      <c r="E17" s="1" t="str">
        <f>VLOOKUP(B:B,[6]配额0227!$A:$B,2,0)</f>
        <v>室内电脑板-FR-4</v>
      </c>
      <c r="F17" s="1" t="str">
        <f>VLOOKUP(B:B,'[7]厂家配额 (新)'!$A$1:$C$65536,3,0)</f>
        <v>和而泰/领智//</v>
      </c>
      <c r="G17" s="1" t="str">
        <f>VLOOKUP(B17,[8]物料价格查询导出!$B:$I,8,FALSE)</f>
        <v>41.75</v>
      </c>
      <c r="H17" s="1">
        <f t="shared" si="3"/>
        <v>0</v>
      </c>
      <c r="I17" s="1">
        <f t="shared" si="4"/>
        <v>0</v>
      </c>
      <c r="J17" s="1">
        <f>VLOOKUP(C17,[1]Data!$A:$K,11,FALSE)</f>
        <v>6</v>
      </c>
      <c r="K17" s="1"/>
      <c r="L17" s="1">
        <f>VLOOKUP(B17,'[2]2月份'!$A:$F,6,FALSE)</f>
        <v>2398</v>
      </c>
      <c r="M17" s="1">
        <f t="shared" si="0"/>
        <v>2398</v>
      </c>
      <c r="N17" s="1"/>
      <c r="O17" s="1"/>
      <c r="P17" s="1">
        <f t="shared" si="1"/>
        <v>2398</v>
      </c>
      <c r="Q17" s="1">
        <f t="shared" si="5"/>
        <v>0</v>
      </c>
      <c r="R17" s="1">
        <f t="shared" si="2"/>
        <v>180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30</v>
      </c>
      <c r="AA17" s="8">
        <v>0</v>
      </c>
      <c r="AB17" s="8">
        <v>0</v>
      </c>
      <c r="AC17" s="8">
        <v>0</v>
      </c>
      <c r="AD17" s="8">
        <v>0</v>
      </c>
      <c r="AE17" s="1">
        <v>150</v>
      </c>
    </row>
    <row r="18" spans="1:31" x14ac:dyDescent="0.3">
      <c r="A18" s="1" t="s">
        <v>38</v>
      </c>
      <c r="B18" s="1" t="s">
        <v>51</v>
      </c>
      <c r="C18" s="1">
        <f>VLOOKUP(B18,'[4]项目编码  '!$B$1:$C$65536,2,FALSE)</f>
        <v>10880034093</v>
      </c>
      <c r="D18" s="1" t="str">
        <f>VLOOKUP(B18,[5]sheet!$C$1:$H$65536,6,FALSE)</f>
        <v>30</v>
      </c>
      <c r="E18" s="1" t="str">
        <f>VLOOKUP(B:B,[6]配额0227!$A:$B,2,0)</f>
        <v>室内电脑板-FR-4</v>
      </c>
      <c r="F18" s="1" t="str">
        <f>VLOOKUP(B:B,'[7]厂家配额 (新)'!$A$1:$C$65536,3,0)</f>
        <v>领智/和而泰//</v>
      </c>
      <c r="G18" s="1" t="str">
        <f>VLOOKUP(B18,[8]物料价格查询导出!$B:$I,8,FALSE)</f>
        <v>29.30</v>
      </c>
      <c r="H18" s="1">
        <f t="shared" si="3"/>
        <v>15470.4</v>
      </c>
      <c r="I18" s="1">
        <f t="shared" si="4"/>
        <v>528</v>
      </c>
      <c r="J18" s="1"/>
      <c r="K18" s="1"/>
      <c r="L18" s="1">
        <f>VLOOKUP(B18,'[2]2月份'!$A:$F,6,FALSE)</f>
        <v>27</v>
      </c>
      <c r="M18" s="1">
        <f t="shared" si="0"/>
        <v>27</v>
      </c>
      <c r="N18" s="1"/>
      <c r="O18" s="1" t="s">
        <v>52</v>
      </c>
      <c r="P18" s="1">
        <f t="shared" si="1"/>
        <v>-1733</v>
      </c>
      <c r="Q18" s="1">
        <f t="shared" si="5"/>
        <v>1760</v>
      </c>
      <c r="R18" s="1">
        <f t="shared" si="2"/>
        <v>1760</v>
      </c>
      <c r="S18" s="8">
        <v>0</v>
      </c>
      <c r="T18" s="8">
        <v>1760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1">
        <v>0</v>
      </c>
    </row>
    <row r="19" spans="1:31" x14ac:dyDescent="0.3">
      <c r="A19" s="1" t="s">
        <v>27</v>
      </c>
      <c r="B19" s="1" t="s">
        <v>53</v>
      </c>
      <c r="C19" s="1">
        <f>VLOOKUP(B19,'[4]项目编码  '!$B$1:$C$65536,2,FALSE)</f>
        <v>10880020031</v>
      </c>
      <c r="D19" s="1" t="str">
        <f>VLOOKUP(B19,[5]sheet!$C$1:$H$65536,6,FALSE)</f>
        <v>100</v>
      </c>
      <c r="E19" s="1" t="str">
        <f>VLOOKUP(B:B,[6]配额0227!$A:$B,2,0)</f>
        <v>室内电脑板-CEM-1/</v>
      </c>
      <c r="F19" s="1" t="str">
        <f>VLOOKUP(B:B,'[7]厂家配额 (新)'!$A$1:$C$65536,3,0)</f>
        <v>和而泰</v>
      </c>
      <c r="G19" s="1" t="str">
        <f>VLOOKUP(B19,[8]物料价格查询导出!$B:$I,8,FALSE)</f>
        <v>28.53</v>
      </c>
      <c r="H19" s="1">
        <f t="shared" si="3"/>
        <v>855.9</v>
      </c>
      <c r="I19" s="1">
        <f t="shared" si="4"/>
        <v>30</v>
      </c>
      <c r="J19" s="1"/>
      <c r="K19" s="1"/>
      <c r="L19" s="1">
        <f>VLOOKUP(B19,'[2]2月份'!$A:$F,6,FALSE)</f>
        <v>687</v>
      </c>
      <c r="M19" s="1">
        <f t="shared" si="0"/>
        <v>687</v>
      </c>
      <c r="N19" s="1"/>
      <c r="O19" s="1"/>
      <c r="P19" s="1">
        <f t="shared" si="1"/>
        <v>657</v>
      </c>
      <c r="Q19" s="1">
        <f t="shared" si="5"/>
        <v>30</v>
      </c>
      <c r="R19" s="1">
        <f t="shared" si="2"/>
        <v>603</v>
      </c>
      <c r="S19" s="8">
        <v>0</v>
      </c>
      <c r="T19" s="8">
        <v>30</v>
      </c>
      <c r="U19" s="8">
        <v>36</v>
      </c>
      <c r="V19" s="8">
        <v>0</v>
      </c>
      <c r="W19" s="8">
        <v>0</v>
      </c>
      <c r="X19" s="8">
        <v>2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1">
        <v>535</v>
      </c>
    </row>
    <row r="20" spans="1:31" x14ac:dyDescent="0.3">
      <c r="A20" s="1" t="s">
        <v>27</v>
      </c>
      <c r="B20" s="1" t="s">
        <v>54</v>
      </c>
      <c r="C20" s="1">
        <f>VLOOKUP(B20,'[4]项目编码  '!$B$1:$C$65536,2,FALSE)</f>
        <v>10880027924</v>
      </c>
      <c r="D20" s="1" t="str">
        <f>VLOOKUP(B20,[5]sheet!$C$1:$H$65536,6,FALSE)</f>
        <v>100</v>
      </c>
      <c r="E20" s="1" t="str">
        <f>VLOOKUP(B:B,[6]配额0227!$A:$B,2,0)</f>
        <v>室内电脑板-CEM-1/</v>
      </c>
      <c r="F20" s="1" t="str">
        <f>VLOOKUP(B:B,'[7]厂家配额 (新)'!$A$1:$C$65536,3,0)</f>
        <v>和而泰</v>
      </c>
      <c r="G20" s="1" t="str">
        <f>VLOOKUP(B20,[8]物料价格查询导出!$B:$I,8,FALSE)</f>
        <v>27.96</v>
      </c>
      <c r="H20" s="1">
        <f t="shared" si="3"/>
        <v>27680.400000000001</v>
      </c>
      <c r="I20" s="1">
        <f t="shared" si="4"/>
        <v>990</v>
      </c>
      <c r="J20" s="1">
        <f>VLOOKUP(C20,[1]Data!$A:$K,11,FALSE)</f>
        <v>1</v>
      </c>
      <c r="K20" s="1"/>
      <c r="L20" s="1">
        <v>2029</v>
      </c>
      <c r="M20" s="1">
        <f t="shared" si="0"/>
        <v>2029</v>
      </c>
      <c r="N20" s="1"/>
      <c r="O20" s="1"/>
      <c r="P20" s="1">
        <f t="shared" si="1"/>
        <v>1039</v>
      </c>
      <c r="Q20" s="1">
        <f t="shared" si="5"/>
        <v>990</v>
      </c>
      <c r="R20" s="1">
        <f t="shared" si="2"/>
        <v>1320</v>
      </c>
      <c r="S20" s="8">
        <v>0</v>
      </c>
      <c r="T20" s="8">
        <v>990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1">
        <v>330</v>
      </c>
    </row>
    <row r="21" spans="1:31" x14ac:dyDescent="0.3">
      <c r="A21" s="1" t="s">
        <v>27</v>
      </c>
      <c r="B21" s="1" t="s">
        <v>55</v>
      </c>
      <c r="C21" s="1">
        <f>VLOOKUP(B21,'[4]项目编码  '!$B$1:$C$65536,2,FALSE)</f>
        <v>10880030203</v>
      </c>
      <c r="D21" s="1" t="str">
        <f>VLOOKUP(B21,[5]sheet!$C$1:$H$65536,6,FALSE)</f>
        <v>100</v>
      </c>
      <c r="E21" s="1" t="str">
        <f>VLOOKUP(B:B,[6]配额0227!$A:$B,2,0)</f>
        <v>室内电脑板-CEM-1/</v>
      </c>
      <c r="F21" s="1" t="str">
        <f>VLOOKUP(B:B,'[7]厂家配额 (新)'!$A$1:$C$65536,3,0)</f>
        <v>和而泰</v>
      </c>
      <c r="G21" s="1" t="str">
        <f>VLOOKUP(B21,[8]物料价格查询导出!$B:$I,8,FALSE)</f>
        <v>28.41</v>
      </c>
      <c r="H21" s="1">
        <f t="shared" si="3"/>
        <v>1420.5</v>
      </c>
      <c r="I21" s="1">
        <f t="shared" si="4"/>
        <v>50</v>
      </c>
      <c r="J21" s="1">
        <f>VLOOKUP(C21,[1]Data!$A:$K,11,FALSE)</f>
        <v>1</v>
      </c>
      <c r="K21" s="1"/>
      <c r="L21" s="1">
        <f>VLOOKUP(B21,'[2]2月份'!$A:$F,6,FALSE)</f>
        <v>320</v>
      </c>
      <c r="M21" s="1">
        <f t="shared" si="0"/>
        <v>320</v>
      </c>
      <c r="N21" s="1">
        <f>VLOOKUP(C21,[3]保留到5!$A:$B,2,FALSE)</f>
        <v>2000</v>
      </c>
      <c r="O21" s="1"/>
      <c r="P21" s="1">
        <f t="shared" si="1"/>
        <v>2270</v>
      </c>
      <c r="Q21" s="1">
        <f t="shared" si="5"/>
        <v>50</v>
      </c>
      <c r="R21" s="1">
        <f t="shared" si="2"/>
        <v>2256</v>
      </c>
      <c r="S21" s="8">
        <v>108</v>
      </c>
      <c r="T21" s="8">
        <v>50</v>
      </c>
      <c r="U21" s="8">
        <v>30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1">
        <v>2068</v>
      </c>
    </row>
    <row r="22" spans="1:31" x14ac:dyDescent="0.3">
      <c r="A22" s="1" t="s">
        <v>27</v>
      </c>
      <c r="B22" s="1" t="s">
        <v>56</v>
      </c>
      <c r="C22" s="1">
        <f>VLOOKUP(B22,'[4]项目编码  '!$B$1:$C$65536,2,FALSE)</f>
        <v>10880029054</v>
      </c>
      <c r="D22" s="1" t="str">
        <f>VLOOKUP(B22,[5]sheet!$C$1:$H$65536,6,FALSE)</f>
        <v>30</v>
      </c>
      <c r="E22" s="1" t="str">
        <f>VLOOKUP(B:B,[6]配额0227!$A:$B,2,0)</f>
        <v>室内电脑板-FR-4P平台内机板</v>
      </c>
      <c r="F22" s="1" t="str">
        <f>VLOOKUP(B:B,'[7]厂家配额 (新)'!$A$1:$C$65536,3,0)</f>
        <v>领智/和而泰//</v>
      </c>
      <c r="G22" s="1" t="str">
        <f>VLOOKUP(B22,[8]物料价格查询导出!$B:$I,8,FALSE)</f>
        <v>56.52</v>
      </c>
      <c r="H22" s="1">
        <f t="shared" si="3"/>
        <v>0</v>
      </c>
      <c r="I22" s="1">
        <f t="shared" si="4"/>
        <v>0</v>
      </c>
      <c r="J22" s="1"/>
      <c r="K22" s="1"/>
      <c r="L22" s="1">
        <f>VLOOKUP(B22,'[2]2月份'!$A:$F,6,FALSE)</f>
        <v>34</v>
      </c>
      <c r="M22" s="1">
        <f t="shared" si="0"/>
        <v>34</v>
      </c>
      <c r="N22" s="1">
        <f>VLOOKUP(C22,[3]保留到5!$A:$B,2,FALSE)</f>
        <v>600</v>
      </c>
      <c r="O22" s="1"/>
      <c r="P22" s="1">
        <f t="shared" si="1"/>
        <v>634</v>
      </c>
      <c r="Q22" s="1">
        <f t="shared" si="5"/>
        <v>0</v>
      </c>
      <c r="R22" s="1">
        <f t="shared" si="2"/>
        <v>163</v>
      </c>
      <c r="S22" s="8">
        <v>0</v>
      </c>
      <c r="T22" s="8">
        <v>0</v>
      </c>
      <c r="U22" s="8">
        <v>51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1">
        <v>112</v>
      </c>
    </row>
    <row r="23" spans="1:31" x14ac:dyDescent="0.3">
      <c r="A23" s="1" t="s">
        <v>27</v>
      </c>
      <c r="B23" s="1" t="s">
        <v>57</v>
      </c>
      <c r="C23" s="1">
        <f>VLOOKUP(B23,'[4]项目编码  '!$B$1:$C$65536,2,FALSE)</f>
        <v>10880029055</v>
      </c>
      <c r="D23" s="1" t="str">
        <f>VLOOKUP(B23,[5]sheet!$C$1:$H$65536,6,FALSE)</f>
        <v>30</v>
      </c>
      <c r="E23" s="1" t="str">
        <f>VLOOKUP(B:B,[6]配额0227!$A:$B,2,0)</f>
        <v>室内电脑板-FR-4P平台内机板</v>
      </c>
      <c r="F23" s="1" t="str">
        <f>VLOOKUP(B:B,'[7]厂家配额 (新)'!$A$1:$C$65536,3,0)</f>
        <v>领智/和而泰//</v>
      </c>
      <c r="G23" s="1" t="str">
        <f>VLOOKUP(B23,[8]物料价格查询导出!$B:$I,8,FALSE)</f>
        <v>59.22</v>
      </c>
      <c r="H23" s="1">
        <f t="shared" si="3"/>
        <v>0</v>
      </c>
      <c r="I23" s="1">
        <f t="shared" si="4"/>
        <v>0</v>
      </c>
      <c r="J23" s="1"/>
      <c r="K23" s="1"/>
      <c r="L23" s="1"/>
      <c r="M23" s="1">
        <f t="shared" si="0"/>
        <v>0</v>
      </c>
      <c r="N23" s="1"/>
      <c r="O23" s="1" t="s">
        <v>52</v>
      </c>
      <c r="P23" s="1">
        <f t="shared" si="1"/>
        <v>0</v>
      </c>
      <c r="Q23" s="1">
        <f t="shared" si="5"/>
        <v>0</v>
      </c>
      <c r="R23" s="1">
        <f t="shared" si="2"/>
        <v>314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127</v>
      </c>
      <c r="AB23" s="8">
        <v>0</v>
      </c>
      <c r="AC23" s="8">
        <v>0</v>
      </c>
      <c r="AD23" s="8">
        <v>0</v>
      </c>
      <c r="AE23" s="1">
        <v>187</v>
      </c>
    </row>
    <row r="24" spans="1:31" x14ac:dyDescent="0.3">
      <c r="A24" s="1" t="s">
        <v>27</v>
      </c>
      <c r="B24" s="1" t="s">
        <v>58</v>
      </c>
      <c r="C24" s="1">
        <f>VLOOKUP(B24,'[4]项目编码  '!$B$1:$C$65536,2,FALSE)</f>
        <v>10880020556</v>
      </c>
      <c r="D24" s="1" t="str">
        <f>VLOOKUP(B24,[5]sheet!$C$1:$H$65536,6,FALSE)</f>
        <v>100</v>
      </c>
      <c r="E24" s="1" t="str">
        <f>VLOOKUP(B:B,[6]配额0227!$A:$B,2,0)</f>
        <v>室内电脑板-FR-4P平台内机板</v>
      </c>
      <c r="F24" s="1" t="str">
        <f>VLOOKUP(B:B,'[7]厂家配额 (新)'!$A$1:$C$65536,3,0)</f>
        <v>和而泰</v>
      </c>
      <c r="G24" s="1" t="str">
        <f>VLOOKUP(B24,[8]物料价格查询导出!$B:$I,8,FALSE)</f>
        <v>63.54</v>
      </c>
      <c r="H24" s="1">
        <f t="shared" si="3"/>
        <v>0</v>
      </c>
      <c r="I24" s="1">
        <f t="shared" si="4"/>
        <v>0</v>
      </c>
      <c r="J24" s="1">
        <f>VLOOKUP(C24,[1]Data!$A:$K,11,FALSE)</f>
        <v>49</v>
      </c>
      <c r="K24" s="1"/>
      <c r="L24" s="1">
        <f>VLOOKUP(B24,'[2]2月份'!$A:$F,6,FALSE)</f>
        <v>109</v>
      </c>
      <c r="M24" s="1">
        <f t="shared" si="0"/>
        <v>109</v>
      </c>
      <c r="N24" s="1">
        <f>VLOOKUP(C24,[3]保留到5!$A:$B,2,FALSE)</f>
        <v>700</v>
      </c>
      <c r="O24" s="1"/>
      <c r="P24" s="1">
        <f t="shared" si="1"/>
        <v>809</v>
      </c>
      <c r="Q24" s="1">
        <f t="shared" si="5"/>
        <v>0</v>
      </c>
      <c r="R24" s="1">
        <f t="shared" si="2"/>
        <v>870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50</v>
      </c>
      <c r="AB24" s="8">
        <v>50</v>
      </c>
      <c r="AC24" s="8">
        <v>720</v>
      </c>
      <c r="AD24" s="8">
        <v>0</v>
      </c>
      <c r="AE24" s="1">
        <v>50</v>
      </c>
    </row>
    <row r="25" spans="1:31" x14ac:dyDescent="0.3">
      <c r="A25" s="1" t="s">
        <v>27</v>
      </c>
      <c r="B25" s="1" t="s">
        <v>59</v>
      </c>
      <c r="C25" s="1">
        <f>VLOOKUP(B25,'[4]项目编码  '!$B$1:$C$65536,2,FALSE)</f>
        <v>10880028881</v>
      </c>
      <c r="D25" s="1" t="str">
        <f>VLOOKUP(B25,[5]sheet!$C$1:$H$65536,6,FALSE)</f>
        <v>100</v>
      </c>
      <c r="E25" s="1" t="str">
        <f>VLOOKUP(B:B,[6]配额0227!$A:$B,2,0)</f>
        <v>室内电脑板-FR-4P平台内机板</v>
      </c>
      <c r="F25" s="1" t="str">
        <f>VLOOKUP(B:B,'[7]厂家配额 (新)'!$A$1:$C$65536,3,0)</f>
        <v>和而泰</v>
      </c>
      <c r="G25" s="1" t="str">
        <f>VLOOKUP(B25,[8]物料价格查询导出!$B:$I,8,FALSE)</f>
        <v>62.53</v>
      </c>
      <c r="H25" s="1">
        <f t="shared" si="3"/>
        <v>0</v>
      </c>
      <c r="I25" s="1">
        <f t="shared" si="4"/>
        <v>0</v>
      </c>
      <c r="J25" s="1"/>
      <c r="K25" s="1"/>
      <c r="L25" s="1">
        <f>VLOOKUP(B25,'[2]2月份'!$A:$F,6,FALSE)</f>
        <v>93</v>
      </c>
      <c r="M25" s="1">
        <f t="shared" si="0"/>
        <v>93</v>
      </c>
      <c r="N25" s="1">
        <f>VLOOKUP(C25,[3]保留到5!$A:$B,2,FALSE)</f>
        <v>1000</v>
      </c>
      <c r="O25" s="1"/>
      <c r="P25" s="1">
        <f t="shared" si="1"/>
        <v>1093</v>
      </c>
      <c r="Q25" s="1">
        <f t="shared" si="5"/>
        <v>0</v>
      </c>
      <c r="R25" s="1">
        <f t="shared" si="2"/>
        <v>940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522</v>
      </c>
      <c r="AB25" s="8">
        <v>0</v>
      </c>
      <c r="AC25" s="8">
        <v>0</v>
      </c>
      <c r="AD25" s="8">
        <v>0</v>
      </c>
      <c r="AE25" s="1">
        <v>418</v>
      </c>
    </row>
    <row r="26" spans="1:31" x14ac:dyDescent="0.3">
      <c r="A26" s="1" t="s">
        <v>27</v>
      </c>
      <c r="B26" s="1" t="s">
        <v>60</v>
      </c>
      <c r="C26" s="1">
        <f>VLOOKUP(B26,'[4]项目编码  '!$B$1:$C$65536,2,FALSE)</f>
        <v>10880031242</v>
      </c>
      <c r="D26" s="1" t="str">
        <f>VLOOKUP(B26,[5]sheet!$C$1:$H$65536,6,FALSE)</f>
        <v>50</v>
      </c>
      <c r="E26" s="1" t="str">
        <f>VLOOKUP(B:B,[6]配额0227!$A:$B,2,0)</f>
        <v>变频外电脑板-FR-4/</v>
      </c>
      <c r="F26" s="1" t="str">
        <f>VLOOKUP(B:B,'[7]厂家配额 (新)'!$A$1:$C$65536,3,0)</f>
        <v>和而泰/中家智康//</v>
      </c>
      <c r="G26" s="1" t="str">
        <f>VLOOKUP(B26,[8]物料价格查询导出!$B:$I,8,FALSE)</f>
        <v>173.03</v>
      </c>
      <c r="H26" s="1">
        <f t="shared" si="3"/>
        <v>39710.385000000002</v>
      </c>
      <c r="I26" s="1">
        <f t="shared" si="4"/>
        <v>229.5</v>
      </c>
      <c r="J26" s="1">
        <f>VLOOKUP(C26,[1]Data!$A:$K,11,FALSE)</f>
        <v>3</v>
      </c>
      <c r="K26" s="1">
        <f>VLOOKUP(C26,'[1]Data (2)'!$A:$K,11,FALSE)</f>
        <v>12</v>
      </c>
      <c r="L26" s="1">
        <f>VLOOKUP(B26,'[2]2月份'!$A:$F,6,FALSE)</f>
        <v>525</v>
      </c>
      <c r="M26" s="1">
        <f t="shared" si="0"/>
        <v>537</v>
      </c>
      <c r="N26" s="1"/>
      <c r="O26" s="1" t="s">
        <v>61</v>
      </c>
      <c r="P26" s="1">
        <f t="shared" si="1"/>
        <v>78</v>
      </c>
      <c r="Q26" s="1">
        <f t="shared" si="5"/>
        <v>459</v>
      </c>
      <c r="R26" s="1">
        <f t="shared" si="2"/>
        <v>1264</v>
      </c>
      <c r="S26" s="8">
        <v>0</v>
      </c>
      <c r="T26" s="8">
        <v>459</v>
      </c>
      <c r="U26" s="8">
        <v>165</v>
      </c>
      <c r="V26" s="8">
        <v>0</v>
      </c>
      <c r="W26" s="8">
        <v>0</v>
      </c>
      <c r="X26" s="8">
        <v>100</v>
      </c>
      <c r="Y26" s="8">
        <v>0</v>
      </c>
      <c r="Z26" s="8">
        <v>0</v>
      </c>
      <c r="AA26" s="8">
        <v>0</v>
      </c>
      <c r="AB26" s="8">
        <v>0</v>
      </c>
      <c r="AC26" s="8">
        <v>120</v>
      </c>
      <c r="AD26" s="8">
        <v>0</v>
      </c>
      <c r="AE26" s="1">
        <v>420</v>
      </c>
    </row>
    <row r="27" spans="1:31" x14ac:dyDescent="0.3">
      <c r="A27" s="1" t="s">
        <v>27</v>
      </c>
      <c r="B27" s="1" t="s">
        <v>62</v>
      </c>
      <c r="C27" s="1">
        <f>VLOOKUP(B27,'[4]项目编码  '!$B$1:$C$65536,2,FALSE)</f>
        <v>10880031243</v>
      </c>
      <c r="D27" s="1" t="str">
        <f>VLOOKUP(B27,[5]sheet!$C$1:$H$65536,6,FALSE)</f>
        <v>50</v>
      </c>
      <c r="E27" s="1" t="str">
        <f>VLOOKUP(B:B,[6]配额0227!$A:$B,2,0)</f>
        <v>变频外电脑板-FR-4/</v>
      </c>
      <c r="F27" s="1" t="str">
        <f>VLOOKUP(B:B,'[7]厂家配额 (新)'!$A$1:$C$65536,3,0)</f>
        <v>和而泰/中家智康//</v>
      </c>
      <c r="G27" s="1" t="str">
        <f>VLOOKUP(B27,[8]物料价格查询导出!$B:$I,8,FALSE)</f>
        <v>179.50</v>
      </c>
      <c r="H27" s="1">
        <f t="shared" si="3"/>
        <v>0</v>
      </c>
      <c r="I27" s="1">
        <f t="shared" si="4"/>
        <v>0</v>
      </c>
      <c r="J27" s="1">
        <f>VLOOKUP(C27,[1]Data!$A:$K,11,FALSE)</f>
        <v>3</v>
      </c>
      <c r="K27" s="1"/>
      <c r="L27" s="1">
        <f>VLOOKUP(B27,'[2]2月份'!$A:$F,6,FALSE)</f>
        <v>801</v>
      </c>
      <c r="M27" s="1">
        <f t="shared" si="0"/>
        <v>801</v>
      </c>
      <c r="N27" s="1"/>
      <c r="O27" s="1"/>
      <c r="P27" s="1">
        <f t="shared" si="1"/>
        <v>801</v>
      </c>
      <c r="Q27" s="1">
        <f t="shared" si="5"/>
        <v>0</v>
      </c>
      <c r="R27" s="1">
        <f t="shared" si="2"/>
        <v>872</v>
      </c>
      <c r="S27" s="8">
        <v>0</v>
      </c>
      <c r="T27" s="8">
        <v>0</v>
      </c>
      <c r="U27" s="8">
        <v>0</v>
      </c>
      <c r="V27" s="8">
        <v>380</v>
      </c>
      <c r="W27" s="8">
        <v>312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80</v>
      </c>
      <c r="AD27" s="8">
        <v>0</v>
      </c>
      <c r="AE27" s="1">
        <v>100</v>
      </c>
    </row>
    <row r="28" spans="1:31" x14ac:dyDescent="0.3">
      <c r="A28" s="1" t="s">
        <v>38</v>
      </c>
      <c r="B28" s="1" t="s">
        <v>63</v>
      </c>
      <c r="C28" s="1"/>
      <c r="D28" s="1" t="str">
        <f>VLOOKUP(B28,[5]sheet!$C$1:$H$65536,6,FALSE)</f>
        <v>50</v>
      </c>
      <c r="E28" s="1" t="str">
        <f>VLOOKUP(B:B,[6]配额0227!$A:$B,2,0)</f>
        <v>变频外电脑板-FR-4</v>
      </c>
      <c r="F28" s="1" t="str">
        <f>VLOOKUP(B:B,'[7]厂家配额 (新)'!$A$1:$C$65536,3,0)</f>
        <v>和而泰/中家智康//</v>
      </c>
      <c r="G28" s="1" t="str">
        <f>VLOOKUP(B28,[8]物料价格查询导出!$B:$I,8,FALSE)</f>
        <v>179.19</v>
      </c>
      <c r="H28" s="1">
        <f t="shared" si="3"/>
        <v>0</v>
      </c>
      <c r="I28" s="1">
        <f t="shared" si="4"/>
        <v>0</v>
      </c>
      <c r="J28" s="1"/>
      <c r="K28" s="1"/>
      <c r="L28" s="1"/>
      <c r="M28" s="1">
        <f t="shared" si="0"/>
        <v>0</v>
      </c>
      <c r="N28" s="1"/>
      <c r="O28" s="1" t="s">
        <v>64</v>
      </c>
      <c r="P28" s="1">
        <f t="shared" si="1"/>
        <v>0</v>
      </c>
      <c r="Q28" s="1">
        <f t="shared" si="5"/>
        <v>0</v>
      </c>
      <c r="R28" s="1">
        <f t="shared" si="2"/>
        <v>6</v>
      </c>
      <c r="S28" s="8">
        <v>0</v>
      </c>
      <c r="T28" s="8">
        <v>0</v>
      </c>
      <c r="U28" s="8">
        <v>0</v>
      </c>
      <c r="V28" s="8">
        <v>6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1">
        <v>0</v>
      </c>
    </row>
    <row r="29" spans="1:31" x14ac:dyDescent="0.3">
      <c r="A29" s="1" t="s">
        <v>38</v>
      </c>
      <c r="B29" s="1" t="s">
        <v>65</v>
      </c>
      <c r="C29" s="1"/>
      <c r="D29" s="1" t="str">
        <f>VLOOKUP(B29,[5]sheet!$C$1:$H$65536,6,FALSE)</f>
        <v>50</v>
      </c>
      <c r="E29" s="1" t="str">
        <f>VLOOKUP(B:B,[6]配额0227!$A:$B,2,0)</f>
        <v>变频外电脑板-FR-4</v>
      </c>
      <c r="F29" s="1" t="str">
        <f>VLOOKUP(B:B,'[7]厂家配额 (新)'!$A$1:$C$65536,3,0)</f>
        <v>中家/和而泰//</v>
      </c>
      <c r="G29" s="1" t="str">
        <f>VLOOKUP(B29,[8]物料价格查询导出!$B:$I,8,FALSE)</f>
        <v>202.60</v>
      </c>
      <c r="H29" s="1">
        <f t="shared" si="3"/>
        <v>0</v>
      </c>
      <c r="I29" s="1">
        <f t="shared" si="4"/>
        <v>0</v>
      </c>
      <c r="J29" s="1"/>
      <c r="K29" s="1"/>
      <c r="L29" s="1"/>
      <c r="M29" s="1">
        <f t="shared" si="0"/>
        <v>0</v>
      </c>
      <c r="N29" s="1"/>
      <c r="O29" s="1" t="s">
        <v>64</v>
      </c>
      <c r="P29" s="1">
        <f t="shared" si="1"/>
        <v>0</v>
      </c>
      <c r="Q29" s="1">
        <f t="shared" si="5"/>
        <v>0</v>
      </c>
      <c r="R29" s="1">
        <f t="shared" si="2"/>
        <v>6</v>
      </c>
      <c r="S29" s="8">
        <v>0</v>
      </c>
      <c r="T29" s="8">
        <v>0</v>
      </c>
      <c r="U29" s="8">
        <v>0</v>
      </c>
      <c r="V29" s="8">
        <v>6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1">
        <v>0</v>
      </c>
    </row>
    <row r="30" spans="1:31" x14ac:dyDescent="0.3">
      <c r="A30" s="1" t="s">
        <v>27</v>
      </c>
      <c r="B30" s="1" t="s">
        <v>66</v>
      </c>
      <c r="C30" s="1">
        <f>VLOOKUP(B30,'[4]项目编码  '!$B$1:$C$65536,2,FALSE)</f>
        <v>10880030607</v>
      </c>
      <c r="D30" s="1" t="str">
        <f>VLOOKUP(B30,[5]sheet!$C$1:$H$65536,6,FALSE)</f>
        <v>70</v>
      </c>
      <c r="E30" s="1" t="str">
        <f>VLOOKUP(B:B,[6]配额0227!$A:$B,2,0)</f>
        <v>变频外电脑板-FR-4/</v>
      </c>
      <c r="F30" s="1" t="str">
        <f>VLOOKUP(B:B,'[7]厂家配额 (新)'!$A$1:$C$65536,3,0)</f>
        <v>和而泰/中家智康//</v>
      </c>
      <c r="G30" s="1" t="str">
        <f>VLOOKUP(B30,[8]物料价格查询导出!$B:$I,8,FALSE)</f>
        <v>131.77</v>
      </c>
      <c r="H30" s="1">
        <f t="shared" si="3"/>
        <v>0</v>
      </c>
      <c r="I30" s="1">
        <f t="shared" si="4"/>
        <v>0</v>
      </c>
      <c r="J30" s="1">
        <f>VLOOKUP(C30,[1]Data!$A:$K,11,FALSE)</f>
        <v>6</v>
      </c>
      <c r="K30" s="1"/>
      <c r="L30" s="1">
        <f>VLOOKUP(B30,'[2]2月份'!$A:$F,6,FALSE)</f>
        <v>380</v>
      </c>
      <c r="M30" s="1">
        <f t="shared" si="0"/>
        <v>380</v>
      </c>
      <c r="N30" s="1">
        <f>VLOOKUP(C30,[3]保留到5!$A:$B,2,FALSE)</f>
        <v>300</v>
      </c>
      <c r="O30" s="1" t="s">
        <v>67</v>
      </c>
      <c r="P30" s="1">
        <f t="shared" si="1"/>
        <v>680</v>
      </c>
      <c r="Q30" s="1">
        <f t="shared" si="5"/>
        <v>0</v>
      </c>
      <c r="R30" s="1">
        <f t="shared" si="2"/>
        <v>2677</v>
      </c>
      <c r="S30" s="8">
        <v>0</v>
      </c>
      <c r="T30" s="8">
        <v>0</v>
      </c>
      <c r="U30" s="8">
        <v>580</v>
      </c>
      <c r="V30" s="8">
        <v>0</v>
      </c>
      <c r="W30" s="8">
        <v>0</v>
      </c>
      <c r="X30" s="8">
        <v>0</v>
      </c>
      <c r="Y30" s="8">
        <v>1517</v>
      </c>
      <c r="Z30" s="8">
        <v>293</v>
      </c>
      <c r="AA30" s="8">
        <v>0</v>
      </c>
      <c r="AB30" s="8">
        <v>0</v>
      </c>
      <c r="AC30" s="8">
        <v>0</v>
      </c>
      <c r="AD30" s="8">
        <v>0</v>
      </c>
      <c r="AE30" s="1">
        <v>287</v>
      </c>
    </row>
    <row r="31" spans="1:31" x14ac:dyDescent="0.3">
      <c r="A31" s="1" t="s">
        <v>27</v>
      </c>
      <c r="B31" s="1" t="s">
        <v>68</v>
      </c>
      <c r="C31" s="1">
        <f>VLOOKUP(B31,'[4]项目编码  '!$B$1:$C$65536,2,FALSE)</f>
        <v>10880030608</v>
      </c>
      <c r="D31" s="1" t="str">
        <f>VLOOKUP(B31,[5]sheet!$C$1:$H$65536,6,FALSE)</f>
        <v>70</v>
      </c>
      <c r="E31" s="1" t="str">
        <f>VLOOKUP(B:B,[6]配额0227!$A:$B,2,0)</f>
        <v>变频外电脑板-FR-4/</v>
      </c>
      <c r="F31" s="1" t="str">
        <f>VLOOKUP(B:B,'[7]厂家配额 (新)'!$A$1:$C$65536,3,0)</f>
        <v>和而泰/中家智康//</v>
      </c>
      <c r="G31" s="1" t="str">
        <f>VLOOKUP(B31,[8]物料价格查询导出!$B:$I,8,FALSE)</f>
        <v>132.74</v>
      </c>
      <c r="H31" s="1">
        <f t="shared" si="3"/>
        <v>0</v>
      </c>
      <c r="I31" s="1">
        <f t="shared" si="4"/>
        <v>0</v>
      </c>
      <c r="J31" s="1">
        <f>VLOOKUP(C31,[1]Data!$A:$K,11,FALSE)</f>
        <v>2</v>
      </c>
      <c r="K31" s="1"/>
      <c r="L31" s="1">
        <f>VLOOKUP(B31,'[2]2月份'!$A:$F,6,FALSE)</f>
        <v>1129</v>
      </c>
      <c r="M31" s="1">
        <f t="shared" si="0"/>
        <v>1129</v>
      </c>
      <c r="N31" s="1"/>
      <c r="O31" s="1" t="s">
        <v>67</v>
      </c>
      <c r="P31" s="1">
        <f t="shared" si="1"/>
        <v>1129</v>
      </c>
      <c r="Q31" s="1">
        <f t="shared" si="5"/>
        <v>0</v>
      </c>
      <c r="R31" s="1">
        <f t="shared" si="2"/>
        <v>2485</v>
      </c>
      <c r="S31" s="8">
        <v>0</v>
      </c>
      <c r="T31" s="8">
        <v>0</v>
      </c>
      <c r="U31" s="8">
        <v>580</v>
      </c>
      <c r="V31" s="8">
        <v>0</v>
      </c>
      <c r="W31" s="8">
        <v>0</v>
      </c>
      <c r="X31" s="8">
        <v>0</v>
      </c>
      <c r="Y31" s="8">
        <v>1015</v>
      </c>
      <c r="Z31" s="8">
        <v>320</v>
      </c>
      <c r="AA31" s="8">
        <v>0</v>
      </c>
      <c r="AB31" s="8">
        <v>0</v>
      </c>
      <c r="AC31" s="8">
        <v>0</v>
      </c>
      <c r="AD31" s="8">
        <v>0</v>
      </c>
      <c r="AE31" s="1">
        <v>570</v>
      </c>
    </row>
    <row r="32" spans="1:31" x14ac:dyDescent="0.3">
      <c r="A32" s="1" t="s">
        <v>38</v>
      </c>
      <c r="B32" s="1" t="s">
        <v>69</v>
      </c>
      <c r="C32" s="1">
        <f>VLOOKUP(B32,'[4]项目编码  '!$B$1:$C$65536,2,FALSE)</f>
        <v>10880031138</v>
      </c>
      <c r="D32" s="1" t="str">
        <f>VLOOKUP(B32,[5]sheet!$C$1:$H$65536,6,FALSE)</f>
        <v>50</v>
      </c>
      <c r="E32" s="1" t="str">
        <f>VLOOKUP(B:B,[6]配额0227!$A:$B,2,0)</f>
        <v>变频外电脑板-FR-4/</v>
      </c>
      <c r="F32" s="1" t="str">
        <f>VLOOKUP(B:B,'[7]厂家配额 (新)'!$A$1:$C$65536,3,0)</f>
        <v>和而泰/中家智康//</v>
      </c>
      <c r="G32" s="1" t="str">
        <f>VLOOKUP(B32,[8]物料价格查询导出!$B:$I,8,FALSE)</f>
        <v>134.23</v>
      </c>
      <c r="H32" s="1">
        <f t="shared" si="3"/>
        <v>0</v>
      </c>
      <c r="I32" s="1">
        <f t="shared" si="4"/>
        <v>0</v>
      </c>
      <c r="J32" s="1"/>
      <c r="K32" s="1"/>
      <c r="L32" s="1">
        <f>VLOOKUP(B32,'[2]2月份'!$A:$F,6,FALSE)</f>
        <v>1</v>
      </c>
      <c r="M32" s="1">
        <f t="shared" si="0"/>
        <v>1</v>
      </c>
      <c r="N32" s="1">
        <f>VLOOKUP(C32,[3]保留到5!$A:$B,2,FALSE)</f>
        <v>7</v>
      </c>
      <c r="O32" s="1" t="s">
        <v>70</v>
      </c>
      <c r="P32" s="1">
        <f t="shared" si="1"/>
        <v>8</v>
      </c>
      <c r="Q32" s="1">
        <f t="shared" si="5"/>
        <v>0</v>
      </c>
      <c r="R32" s="1">
        <f t="shared" si="2"/>
        <v>9</v>
      </c>
      <c r="S32" s="8">
        <v>0</v>
      </c>
      <c r="T32" s="8">
        <v>0</v>
      </c>
      <c r="U32" s="8">
        <v>0</v>
      </c>
      <c r="V32" s="8">
        <v>9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1">
        <v>0</v>
      </c>
    </row>
    <row r="33" spans="1:31" x14ac:dyDescent="0.3">
      <c r="A33" s="1" t="s">
        <v>38</v>
      </c>
      <c r="B33" s="1" t="s">
        <v>71</v>
      </c>
      <c r="C33" s="1">
        <f>VLOOKUP(B33,'[4]项目编码  '!$B$1:$C$65536,2,FALSE)</f>
        <v>10880031139</v>
      </c>
      <c r="D33" s="1" t="str">
        <f>VLOOKUP(B33,[5]sheet!$C$1:$H$65536,6,FALSE)</f>
        <v>50</v>
      </c>
      <c r="E33" s="1" t="str">
        <f>VLOOKUP(B:B,[6]配额0227!$A:$B,2,0)</f>
        <v>变频外电脑板-FR-4/</v>
      </c>
      <c r="F33" s="1" t="str">
        <f>VLOOKUP(B:B,'[7]厂家配额 (新)'!$A$1:$C$65536,3,0)</f>
        <v>和而泰/中家智康//</v>
      </c>
      <c r="G33" s="1" t="str">
        <f>VLOOKUP(B33,[8]物料价格查询导出!$B:$I,8,FALSE)</f>
        <v>134.23</v>
      </c>
      <c r="H33" s="1">
        <f t="shared" si="3"/>
        <v>0</v>
      </c>
      <c r="I33" s="1">
        <f t="shared" si="4"/>
        <v>0</v>
      </c>
      <c r="J33" s="1"/>
      <c r="K33" s="1"/>
      <c r="L33" s="1">
        <f>VLOOKUP(B33,'[2]2月份'!$A:$F,6,FALSE)</f>
        <v>20</v>
      </c>
      <c r="M33" s="1">
        <f t="shared" si="0"/>
        <v>20</v>
      </c>
      <c r="N33" s="1">
        <f>VLOOKUP(C33,[3]保留到5!$A:$B,2,FALSE)</f>
        <v>12</v>
      </c>
      <c r="O33" s="1"/>
      <c r="P33" s="1">
        <f t="shared" si="1"/>
        <v>32</v>
      </c>
      <c r="Q33" s="1">
        <f t="shared" si="5"/>
        <v>0</v>
      </c>
      <c r="R33" s="1">
        <f t="shared" si="2"/>
        <v>10</v>
      </c>
      <c r="S33" s="8">
        <v>0</v>
      </c>
      <c r="T33" s="8">
        <v>0</v>
      </c>
      <c r="U33" s="8">
        <v>0</v>
      </c>
      <c r="V33" s="8">
        <v>10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1">
        <v>0</v>
      </c>
    </row>
    <row r="34" spans="1:31" x14ac:dyDescent="0.3">
      <c r="A34" s="1" t="s">
        <v>38</v>
      </c>
      <c r="B34" s="1" t="s">
        <v>72</v>
      </c>
      <c r="C34" s="1"/>
      <c r="D34" s="1" t="str">
        <f>VLOOKUP(B34,[5]sheet!$C$1:$H$65536,6,FALSE)</f>
        <v>50</v>
      </c>
      <c r="E34" s="1" t="str">
        <f>VLOOKUP(B:B,[6]配额0227!$A:$B,2,0)</f>
        <v>变频外电脑板-FR-4</v>
      </c>
      <c r="F34" s="1" t="str">
        <f>VLOOKUP(B:B,'[7]厂家配额 (新)'!$A$1:$C$65536,3,0)</f>
        <v>和而泰/中家智康//</v>
      </c>
      <c r="G34" s="1" t="str">
        <f>VLOOKUP(B34,[8]物料价格查询导出!$B:$I,8,FALSE)</f>
        <v>138.34</v>
      </c>
      <c r="H34" s="1">
        <f t="shared" si="3"/>
        <v>0</v>
      </c>
      <c r="I34" s="1">
        <f t="shared" si="4"/>
        <v>0</v>
      </c>
      <c r="J34" s="1"/>
      <c r="K34" s="1"/>
      <c r="L34" s="1"/>
      <c r="M34" s="1">
        <f t="shared" si="0"/>
        <v>0</v>
      </c>
      <c r="N34" s="1"/>
      <c r="O34" s="1" t="s">
        <v>64</v>
      </c>
      <c r="P34" s="1">
        <f t="shared" si="1"/>
        <v>0</v>
      </c>
      <c r="Q34" s="1">
        <f t="shared" si="5"/>
        <v>0</v>
      </c>
      <c r="R34" s="1">
        <f t="shared" si="2"/>
        <v>6</v>
      </c>
      <c r="S34" s="8">
        <v>0</v>
      </c>
      <c r="T34" s="8">
        <v>0</v>
      </c>
      <c r="U34" s="8">
        <v>0</v>
      </c>
      <c r="V34" s="8">
        <v>6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1">
        <v>0</v>
      </c>
    </row>
    <row r="35" spans="1:31" x14ac:dyDescent="0.3">
      <c r="A35" s="1" t="s">
        <v>38</v>
      </c>
      <c r="B35" s="1" t="s">
        <v>73</v>
      </c>
      <c r="C35" s="1"/>
      <c r="D35" s="1" t="str">
        <f>VLOOKUP(B35,[5]sheet!$C$1:$H$65536,6,FALSE)</f>
        <v>50</v>
      </c>
      <c r="E35" s="1" t="str">
        <f>VLOOKUP(B:B,[6]配额0227!$A:$B,2,0)</f>
        <v>变频外电脑板-FR-4</v>
      </c>
      <c r="F35" s="1" t="str">
        <f>VLOOKUP(B:B,'[7]厂家配额 (新)'!$A$1:$C$65536,3,0)</f>
        <v>中家/和而泰//</v>
      </c>
      <c r="G35" s="1" t="str">
        <f>VLOOKUP(B35,[8]物料价格查询导出!$B:$I,8,FALSE)</f>
        <v>138.34</v>
      </c>
      <c r="H35" s="1">
        <f t="shared" si="3"/>
        <v>0</v>
      </c>
      <c r="I35" s="1">
        <f t="shared" si="4"/>
        <v>0</v>
      </c>
      <c r="J35" s="1"/>
      <c r="K35" s="1"/>
      <c r="L35" s="1"/>
      <c r="M35" s="1">
        <f t="shared" si="0"/>
        <v>0</v>
      </c>
      <c r="N35" s="1"/>
      <c r="O35" s="1" t="s">
        <v>64</v>
      </c>
      <c r="P35" s="1">
        <f t="shared" si="1"/>
        <v>0</v>
      </c>
      <c r="Q35" s="1">
        <f t="shared" si="5"/>
        <v>0</v>
      </c>
      <c r="R35" s="1">
        <f t="shared" si="2"/>
        <v>6</v>
      </c>
      <c r="S35" s="8">
        <v>0</v>
      </c>
      <c r="T35" s="8">
        <v>0</v>
      </c>
      <c r="U35" s="8">
        <v>0</v>
      </c>
      <c r="V35" s="8">
        <v>6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1">
        <v>0</v>
      </c>
    </row>
    <row r="36" spans="1:31" ht="28" x14ac:dyDescent="0.3">
      <c r="A36" s="1" t="s">
        <v>27</v>
      </c>
      <c r="B36" s="1" t="s">
        <v>74</v>
      </c>
      <c r="C36" s="1">
        <f>VLOOKUP(B36,'[4]项目编码  '!$B$1:$C$65536,2,FALSE)</f>
        <v>10880028306</v>
      </c>
      <c r="D36" s="1" t="str">
        <f>VLOOKUP(B36,[5]sheet!$C$1:$H$65536,6,FALSE)</f>
        <v>100</v>
      </c>
      <c r="E36" s="1" t="str">
        <f>VLOOKUP(B:B,[6]配额0227!$A:$B,2,0)</f>
        <v>室内电脑板-FR-4136*165</v>
      </c>
      <c r="F36" s="1" t="str">
        <f>VLOOKUP(B:B,'[7]厂家配额 (新)'!$A$1:$C$65536,3,0)</f>
        <v>和而泰</v>
      </c>
      <c r="G36" s="1" t="str">
        <f>VLOOKUP(B36,[8]物料价格查询导出!$B:$I,8,FALSE)</f>
        <v>42.40</v>
      </c>
      <c r="H36" s="1">
        <f t="shared" ref="H36:H67" si="6">I36*G36</f>
        <v>38584</v>
      </c>
      <c r="I36" s="1">
        <f t="shared" ref="I36:I67" si="7">Q36*D36/100</f>
        <v>910</v>
      </c>
      <c r="J36" s="1">
        <f>VLOOKUP(C36,[1]Data!$A:$K,11,FALSE)</f>
        <v>46</v>
      </c>
      <c r="K36" s="1"/>
      <c r="L36" s="1">
        <f>VLOOKUP(B36,'[2]2月份'!$A:$F,6,FALSE)</f>
        <v>1575</v>
      </c>
      <c r="M36" s="1">
        <f t="shared" si="0"/>
        <v>1575</v>
      </c>
      <c r="N36" s="1"/>
      <c r="O36" s="6" t="s">
        <v>75</v>
      </c>
      <c r="P36" s="1">
        <f t="shared" si="1"/>
        <v>665</v>
      </c>
      <c r="Q36" s="1">
        <f t="shared" ref="Q36:Q67" si="8">SUM(T36)</f>
        <v>910</v>
      </c>
      <c r="R36" s="1">
        <f t="shared" si="2"/>
        <v>5267</v>
      </c>
      <c r="S36" s="8">
        <v>0</v>
      </c>
      <c r="T36" s="8">
        <v>910</v>
      </c>
      <c r="U36" s="8">
        <v>0</v>
      </c>
      <c r="V36" s="8">
        <v>360</v>
      </c>
      <c r="W36" s="8">
        <v>0</v>
      </c>
      <c r="X36" s="8">
        <v>665</v>
      </c>
      <c r="Y36" s="8">
        <v>0</v>
      </c>
      <c r="Z36" s="8">
        <v>140</v>
      </c>
      <c r="AA36" s="8">
        <v>60</v>
      </c>
      <c r="AB36" s="8">
        <v>855</v>
      </c>
      <c r="AC36" s="8">
        <v>1215</v>
      </c>
      <c r="AD36" s="8">
        <v>0</v>
      </c>
      <c r="AE36" s="1">
        <v>1062</v>
      </c>
    </row>
    <row r="37" spans="1:31" ht="28" customHeight="1" x14ac:dyDescent="0.3">
      <c r="A37" s="1" t="s">
        <v>27</v>
      </c>
      <c r="B37" s="1" t="s">
        <v>76</v>
      </c>
      <c r="C37" s="1">
        <f>VLOOKUP(B37,'[4]项目编码  '!$B$1:$C$65536,2,FALSE)</f>
        <v>10880028307</v>
      </c>
      <c r="D37" s="1" t="str">
        <f>VLOOKUP(B37,[5]sheet!$C$1:$H$65536,6,FALSE)</f>
        <v>100</v>
      </c>
      <c r="E37" s="1" t="str">
        <f>VLOOKUP(B:B,[6]配额0227!$A:$B,2,0)</f>
        <v>室内电脑板-FR-4136*165</v>
      </c>
      <c r="F37" s="1" t="str">
        <f>VLOOKUP(B:B,'[7]厂家配额 (新)'!$A$1:$C$65536,3,0)</f>
        <v>和而泰</v>
      </c>
      <c r="G37" s="1" t="str">
        <f>VLOOKUP(B37,[8]物料价格查询导出!$B:$I,8,FALSE)</f>
        <v>42.40</v>
      </c>
      <c r="H37" s="1">
        <f t="shared" si="6"/>
        <v>2332</v>
      </c>
      <c r="I37" s="1">
        <f t="shared" si="7"/>
        <v>55</v>
      </c>
      <c r="J37" s="1"/>
      <c r="K37" s="1"/>
      <c r="L37" s="1">
        <f>VLOOKUP(B37,'[2]2月份'!$A:$F,6,FALSE)</f>
        <v>311</v>
      </c>
      <c r="M37" s="1">
        <f t="shared" si="0"/>
        <v>311</v>
      </c>
      <c r="N37" s="1">
        <f>VLOOKUP(C37,[3]保留到5!$A:$B,2,FALSE)</f>
        <v>796</v>
      </c>
      <c r="O37" s="1"/>
      <c r="P37" s="1">
        <f t="shared" si="1"/>
        <v>1052</v>
      </c>
      <c r="Q37" s="1">
        <f t="shared" si="8"/>
        <v>55</v>
      </c>
      <c r="R37" s="1">
        <f t="shared" si="2"/>
        <v>1558</v>
      </c>
      <c r="S37" s="8">
        <v>0</v>
      </c>
      <c r="T37" s="8">
        <v>55</v>
      </c>
      <c r="U37" s="8">
        <v>0</v>
      </c>
      <c r="V37" s="8">
        <v>30</v>
      </c>
      <c r="W37" s="8">
        <v>125</v>
      </c>
      <c r="X37" s="8">
        <v>0</v>
      </c>
      <c r="Y37" s="8">
        <v>353</v>
      </c>
      <c r="Z37" s="8">
        <v>200</v>
      </c>
      <c r="AA37" s="8">
        <v>50</v>
      </c>
      <c r="AB37" s="8">
        <v>0</v>
      </c>
      <c r="AC37" s="8">
        <v>0</v>
      </c>
      <c r="AD37" s="8">
        <v>0</v>
      </c>
      <c r="AE37" s="1">
        <v>745</v>
      </c>
    </row>
    <row r="38" spans="1:31" x14ac:dyDescent="0.3">
      <c r="A38" s="1" t="s">
        <v>38</v>
      </c>
      <c r="B38" s="1" t="s">
        <v>77</v>
      </c>
      <c r="C38" s="1">
        <f>VLOOKUP(B38,'[4]项目编码  '!$B$1:$C$65536,2,FALSE)</f>
        <v>10880020802</v>
      </c>
      <c r="D38" s="1" t="str">
        <f>VLOOKUP(B38,[5]sheet!$C$1:$H$65536,6,FALSE)</f>
        <v>70</v>
      </c>
      <c r="E38" s="1" t="str">
        <f>VLOOKUP(B:B,[6]配额0227!$A:$B,2,0)</f>
        <v>变频外电脑板-FR-4240*180</v>
      </c>
      <c r="F38" s="1" t="str">
        <f>VLOOKUP(B:B,'[7]厂家配额 (新)'!$A$1:$C$65536,3,0)</f>
        <v>和而泰/航嘉//</v>
      </c>
      <c r="G38" s="1" t="str">
        <f>VLOOKUP(B38,[8]物料价格查询导出!$B:$I,8,FALSE)</f>
        <v>152.05</v>
      </c>
      <c r="H38" s="1">
        <f t="shared" si="6"/>
        <v>0</v>
      </c>
      <c r="I38" s="1">
        <f t="shared" si="7"/>
        <v>0</v>
      </c>
      <c r="J38" s="1">
        <f>VLOOKUP(C38,[1]Data!$A:$K,11,FALSE)</f>
        <v>6</v>
      </c>
      <c r="K38" s="1">
        <f>VLOOKUP(C38,'[1]Data (2)'!$A:$K,11,FALSE)</f>
        <v>2</v>
      </c>
      <c r="L38" s="1"/>
      <c r="M38" s="1">
        <f t="shared" si="0"/>
        <v>2</v>
      </c>
      <c r="N38" s="1">
        <f>VLOOKUP(C38,[3]保留到5!$A:$B,2,FALSE)</f>
        <v>150</v>
      </c>
      <c r="O38" s="1" t="s">
        <v>35</v>
      </c>
      <c r="P38" s="1">
        <f t="shared" si="1"/>
        <v>152</v>
      </c>
      <c r="Q38" s="1">
        <f t="shared" si="8"/>
        <v>0</v>
      </c>
      <c r="R38" s="1">
        <f t="shared" si="2"/>
        <v>191</v>
      </c>
      <c r="S38" s="8">
        <v>0</v>
      </c>
      <c r="T38" s="8">
        <v>0</v>
      </c>
      <c r="U38" s="8">
        <v>0</v>
      </c>
      <c r="V38" s="8">
        <v>191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1">
        <v>0</v>
      </c>
    </row>
    <row r="39" spans="1:31" x14ac:dyDescent="0.3">
      <c r="A39" s="1" t="s">
        <v>38</v>
      </c>
      <c r="B39" s="1" t="s">
        <v>78</v>
      </c>
      <c r="C39" s="1">
        <f>VLOOKUP(B39,'[4]项目编码  '!$B$1:$C$65536,2,FALSE)</f>
        <v>10880021476</v>
      </c>
      <c r="D39" s="1" t="str">
        <f>VLOOKUP(B39,[5]sheet!$C$1:$H$65536,6,FALSE)</f>
        <v>100</v>
      </c>
      <c r="E39" s="1" t="str">
        <f>VLOOKUP(B:B,[6]配额0227!$A:$B,2,0)</f>
        <v>变频外电脑板-FR-4240*180</v>
      </c>
      <c r="F39" s="1" t="str">
        <f>VLOOKUP(B:B,'[7]厂家配额 (新)'!$A$1:$C$65536,3,0)</f>
        <v>和而泰</v>
      </c>
      <c r="G39" s="1" t="str">
        <f>VLOOKUP(B39,[8]物料价格查询导出!$B:$I,8,FALSE)</f>
        <v>172.04</v>
      </c>
      <c r="H39" s="1">
        <f t="shared" si="6"/>
        <v>0</v>
      </c>
      <c r="I39" s="1">
        <f t="shared" si="7"/>
        <v>0</v>
      </c>
      <c r="J39" s="1">
        <f>VLOOKUP(C39,[1]Data!$A:$K,11,FALSE)</f>
        <v>1</v>
      </c>
      <c r="K39" s="1"/>
      <c r="L39" s="1">
        <f>VLOOKUP(B39,'[2]2月份'!$A:$F,6,FALSE)</f>
        <v>13</v>
      </c>
      <c r="M39" s="1">
        <f t="shared" si="0"/>
        <v>13</v>
      </c>
      <c r="N39" s="1"/>
      <c r="O39" s="1"/>
      <c r="P39" s="1">
        <f t="shared" si="1"/>
        <v>13</v>
      </c>
      <c r="Q39" s="1">
        <f t="shared" si="8"/>
        <v>0</v>
      </c>
      <c r="R39" s="1">
        <f t="shared" si="2"/>
        <v>10</v>
      </c>
      <c r="S39" s="8">
        <v>0</v>
      </c>
      <c r="T39" s="8">
        <v>0</v>
      </c>
      <c r="U39" s="8">
        <v>0</v>
      </c>
      <c r="V39" s="8">
        <v>10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1">
        <v>0</v>
      </c>
    </row>
    <row r="40" spans="1:31" x14ac:dyDescent="0.3">
      <c r="A40" s="1" t="s">
        <v>38</v>
      </c>
      <c r="B40" s="1" t="s">
        <v>79</v>
      </c>
      <c r="C40" s="1">
        <v>10880034565</v>
      </c>
      <c r="D40" s="1" t="str">
        <f>VLOOKUP(B40,[5]sheet!$C$1:$H$65536,6,FALSE)</f>
        <v>70</v>
      </c>
      <c r="E40" s="1" t="str">
        <f>VLOOKUP(B:B,[6]配额0227!$A:$B,2,0)</f>
        <v>变频外电脑板-FR-4</v>
      </c>
      <c r="F40" s="1" t="str">
        <f>VLOOKUP(B:B,'[7]厂家配额 (新)'!$A$1:$C$65536,3,0)</f>
        <v>和而泰/尚研//</v>
      </c>
      <c r="G40" s="1" t="str">
        <f>VLOOKUP(B40,[8]物料价格查询导出!$B:$I,8,FALSE)</f>
        <v>162.90</v>
      </c>
      <c r="H40" s="1">
        <f t="shared" si="6"/>
        <v>114.03</v>
      </c>
      <c r="I40" s="1">
        <f t="shared" si="7"/>
        <v>0.7</v>
      </c>
      <c r="J40" s="1">
        <f>VLOOKUP(C40,[1]Data!$A:$K,11,FALSE)</f>
        <v>26</v>
      </c>
      <c r="K40" s="1"/>
      <c r="L40" s="1"/>
      <c r="M40" s="1">
        <f t="shared" si="0"/>
        <v>0</v>
      </c>
      <c r="N40" s="1">
        <f>VLOOKUP(C40,[3]保留到5!$A:$B,2,FALSE)</f>
        <v>200</v>
      </c>
      <c r="O40" s="1" t="s">
        <v>80</v>
      </c>
      <c r="P40" s="1">
        <f t="shared" si="1"/>
        <v>199</v>
      </c>
      <c r="Q40" s="1">
        <f t="shared" si="8"/>
        <v>1</v>
      </c>
      <c r="R40" s="1">
        <f t="shared" si="2"/>
        <v>185</v>
      </c>
      <c r="S40" s="8">
        <v>0</v>
      </c>
      <c r="T40" s="8">
        <v>1</v>
      </c>
      <c r="U40" s="8">
        <v>0</v>
      </c>
      <c r="V40" s="8">
        <v>0</v>
      </c>
      <c r="W40" s="8">
        <v>184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1">
        <v>0</v>
      </c>
    </row>
    <row r="41" spans="1:31" x14ac:dyDescent="0.3">
      <c r="A41" s="1" t="s">
        <v>27</v>
      </c>
      <c r="B41" s="1" t="s">
        <v>81</v>
      </c>
      <c r="C41" s="1">
        <f>VLOOKUP(B41,'[4]项目编码  '!$B$1:$C$65536,2,FALSE)</f>
        <v>10880035982</v>
      </c>
      <c r="D41" s="1" t="str">
        <f>VLOOKUP(B41,[5]sheet!$C$1:$H$65536,6,FALSE)</f>
        <v>70</v>
      </c>
      <c r="E41" s="1" t="str">
        <f>VLOOKUP(B:B,[6]配额0227!$A:$B,2,0)</f>
        <v>变频外电脑板-FR-4</v>
      </c>
      <c r="F41" s="1" t="str">
        <f>VLOOKUP(B:B,'[7]厂家配额 (新)'!$A$1:$C$65536,3,0)</f>
        <v>和而泰/尚研//</v>
      </c>
      <c r="G41" s="1" t="str">
        <f>VLOOKUP(B41,[8]物料价格查询导出!$B:$I,8,FALSE)</f>
        <v>170.96</v>
      </c>
      <c r="H41" s="1">
        <f t="shared" si="6"/>
        <v>0</v>
      </c>
      <c r="I41" s="1">
        <f t="shared" si="7"/>
        <v>0</v>
      </c>
      <c r="J41" s="1"/>
      <c r="K41" s="1"/>
      <c r="L41" s="1">
        <f>VLOOKUP(B41,'[2]2月份'!$A:$F,6,FALSE)</f>
        <v>115</v>
      </c>
      <c r="M41" s="1">
        <f t="shared" si="0"/>
        <v>115</v>
      </c>
      <c r="N41" s="1">
        <f>VLOOKUP(C41,[3]保留到5!$A:$B,2,FALSE)</f>
        <v>1010</v>
      </c>
      <c r="O41" s="1" t="s">
        <v>82</v>
      </c>
      <c r="P41" s="1">
        <f t="shared" si="1"/>
        <v>1125</v>
      </c>
      <c r="Q41" s="1">
        <f t="shared" si="8"/>
        <v>0</v>
      </c>
      <c r="R41" s="1">
        <f t="shared" si="2"/>
        <v>2535</v>
      </c>
      <c r="S41" s="8">
        <v>0</v>
      </c>
      <c r="T41" s="8">
        <v>0</v>
      </c>
      <c r="U41" s="8">
        <v>0</v>
      </c>
      <c r="V41" s="8">
        <v>0</v>
      </c>
      <c r="W41" s="8">
        <v>1365</v>
      </c>
      <c r="X41" s="8">
        <v>0</v>
      </c>
      <c r="Y41" s="8">
        <v>0</v>
      </c>
      <c r="Z41" s="8">
        <v>195</v>
      </c>
      <c r="AA41" s="8">
        <v>975</v>
      </c>
      <c r="AB41" s="8">
        <v>0</v>
      </c>
      <c r="AC41" s="8">
        <v>0</v>
      </c>
      <c r="AD41" s="8">
        <v>0</v>
      </c>
      <c r="AE41" s="1">
        <v>0</v>
      </c>
    </row>
    <row r="42" spans="1:31" x14ac:dyDescent="0.3">
      <c r="A42" s="1" t="s">
        <v>27</v>
      </c>
      <c r="B42" s="1" t="s">
        <v>83</v>
      </c>
      <c r="C42" s="1">
        <f>VLOOKUP(B42,'[4]项目编码  '!$B$1:$C$65536,2,FALSE)</f>
        <v>10880035981</v>
      </c>
      <c r="D42" s="1" t="str">
        <f>VLOOKUP(B42,[5]sheet!$C$1:$H$65536,6,FALSE)</f>
        <v>70</v>
      </c>
      <c r="E42" s="1" t="str">
        <f>VLOOKUP(B:B,[6]配额0227!$A:$B,2,0)</f>
        <v>变频外电脑板-FR-4</v>
      </c>
      <c r="F42" s="1" t="str">
        <f>VLOOKUP(B:B,'[7]厂家配额 (新)'!$A$1:$C$65536,3,0)</f>
        <v>和而泰/尚研//</v>
      </c>
      <c r="G42" s="1" t="str">
        <f>VLOOKUP(B42,[8]物料价格查询导出!$B:$I,8,FALSE)</f>
        <v>177.41</v>
      </c>
      <c r="H42" s="1">
        <f t="shared" si="6"/>
        <v>0</v>
      </c>
      <c r="I42" s="1">
        <f t="shared" si="7"/>
        <v>0</v>
      </c>
      <c r="J42" s="1"/>
      <c r="K42" s="1"/>
      <c r="L42" s="1">
        <f>VLOOKUP(B42,'[2]2月份'!$A:$F,6,FALSE)</f>
        <v>233</v>
      </c>
      <c r="M42" s="1">
        <f t="shared" si="0"/>
        <v>233</v>
      </c>
      <c r="N42" s="1">
        <f>VLOOKUP(C42,[3]保留到5!$A:$B,2,FALSE)</f>
        <v>311</v>
      </c>
      <c r="O42" s="1"/>
      <c r="P42" s="1">
        <f t="shared" si="1"/>
        <v>544</v>
      </c>
      <c r="Q42" s="1">
        <f t="shared" si="8"/>
        <v>0</v>
      </c>
      <c r="R42" s="1">
        <f t="shared" si="2"/>
        <v>780</v>
      </c>
      <c r="S42" s="8">
        <v>0</v>
      </c>
      <c r="T42" s="8">
        <v>0</v>
      </c>
      <c r="U42" s="8">
        <v>0</v>
      </c>
      <c r="V42" s="8">
        <v>0</v>
      </c>
      <c r="W42" s="8">
        <v>390</v>
      </c>
      <c r="X42" s="8">
        <v>0</v>
      </c>
      <c r="Y42" s="8">
        <v>0</v>
      </c>
      <c r="Z42" s="8">
        <v>130</v>
      </c>
      <c r="AA42" s="8">
        <v>0</v>
      </c>
      <c r="AB42" s="8">
        <v>0</v>
      </c>
      <c r="AC42" s="8">
        <v>260</v>
      </c>
      <c r="AD42" s="8">
        <v>0</v>
      </c>
      <c r="AE42" s="1">
        <v>0</v>
      </c>
    </row>
    <row r="43" spans="1:31" x14ac:dyDescent="0.3">
      <c r="A43" s="1" t="s">
        <v>27</v>
      </c>
      <c r="B43" s="1" t="s">
        <v>84</v>
      </c>
      <c r="C43" s="1">
        <f>VLOOKUP(B43,'[4]项目编码  '!$B$1:$C$65536,2,FALSE)</f>
        <v>10880035980</v>
      </c>
      <c r="D43" s="1" t="str">
        <f>VLOOKUP(B43,[5]sheet!$C$1:$H$65536,6,FALSE)</f>
        <v>70</v>
      </c>
      <c r="E43" s="1" t="str">
        <f>VLOOKUP(B:B,[6]配额0227!$A:$B,2,0)</f>
        <v>变频外电脑板-FR-4</v>
      </c>
      <c r="F43" s="1" t="str">
        <f>VLOOKUP(B:B,'[7]厂家配额 (新)'!$A$1:$C$65536,3,0)</f>
        <v>和而泰/尚研//</v>
      </c>
      <c r="G43" s="1" t="str">
        <f>VLOOKUP(B43,[8]物料价格查询导出!$B:$I,8,FALSE)</f>
        <v>177.94</v>
      </c>
      <c r="H43" s="1">
        <f t="shared" si="6"/>
        <v>0</v>
      </c>
      <c r="I43" s="1">
        <f t="shared" si="7"/>
        <v>0</v>
      </c>
      <c r="J43" s="1"/>
      <c r="K43" s="1"/>
      <c r="L43" s="1"/>
      <c r="M43" s="1">
        <f t="shared" si="0"/>
        <v>0</v>
      </c>
      <c r="N43" s="1"/>
      <c r="O43" s="1" t="s">
        <v>85</v>
      </c>
      <c r="P43" s="1">
        <f t="shared" si="1"/>
        <v>0</v>
      </c>
      <c r="Q43" s="1">
        <f t="shared" si="8"/>
        <v>0</v>
      </c>
      <c r="R43" s="1">
        <f t="shared" si="2"/>
        <v>360</v>
      </c>
      <c r="S43" s="8">
        <v>0</v>
      </c>
      <c r="T43" s="8">
        <v>0</v>
      </c>
      <c r="U43" s="8">
        <v>0</v>
      </c>
      <c r="V43" s="8">
        <v>0</v>
      </c>
      <c r="W43" s="8">
        <v>180</v>
      </c>
      <c r="X43" s="8">
        <v>0</v>
      </c>
      <c r="Y43" s="8">
        <v>0</v>
      </c>
      <c r="Z43" s="8">
        <v>0</v>
      </c>
      <c r="AA43" s="8">
        <v>180</v>
      </c>
      <c r="AB43" s="8">
        <v>0</v>
      </c>
      <c r="AC43" s="8">
        <v>0</v>
      </c>
      <c r="AD43" s="8">
        <v>0</v>
      </c>
      <c r="AE43" s="1">
        <v>0</v>
      </c>
    </row>
    <row r="44" spans="1:31" x14ac:dyDescent="0.3">
      <c r="A44" s="1" t="s">
        <v>27</v>
      </c>
      <c r="B44" s="1" t="s">
        <v>86</v>
      </c>
      <c r="C44" s="1">
        <f>VLOOKUP(B44,'[4]项目编码  '!$B$1:$C$65536,2,FALSE)</f>
        <v>10880038291</v>
      </c>
      <c r="D44" s="1" t="str">
        <f>VLOOKUP(B44,[5]sheet!$C$1:$H$65536,6,FALSE)</f>
        <v>30</v>
      </c>
      <c r="E44" s="1" t="str">
        <f>VLOOKUP(B:B,[6]配额0227!$A:$B,2,0)</f>
        <v>变频外电脑板-FR-4</v>
      </c>
      <c r="F44" s="1" t="str">
        <f>VLOOKUP(B:B,'[7]厂家配额 (新)'!$A$1:$C$65536,3,0)</f>
        <v>中家智康/和而泰</v>
      </c>
      <c r="G44" s="1" t="str">
        <f>VLOOKUP(B44,[8]物料价格查询导出!$B:$I,8,FALSE)</f>
        <v>172.00</v>
      </c>
      <c r="H44" s="1">
        <f t="shared" si="6"/>
        <v>0</v>
      </c>
      <c r="I44" s="1">
        <f t="shared" si="7"/>
        <v>0</v>
      </c>
      <c r="J44" s="1"/>
      <c r="K44" s="1"/>
      <c r="L44" s="1"/>
      <c r="M44" s="1">
        <f t="shared" si="0"/>
        <v>0</v>
      </c>
      <c r="N44" s="1"/>
      <c r="O44" s="1" t="s">
        <v>87</v>
      </c>
      <c r="P44" s="1">
        <f t="shared" si="1"/>
        <v>0</v>
      </c>
      <c r="Q44" s="1">
        <f t="shared" si="8"/>
        <v>0</v>
      </c>
      <c r="R44" s="1">
        <f t="shared" si="2"/>
        <v>384</v>
      </c>
      <c r="S44" s="8">
        <v>0</v>
      </c>
      <c r="T44" s="8">
        <v>0</v>
      </c>
      <c r="U44" s="8">
        <v>0</v>
      </c>
      <c r="V44" s="8">
        <v>384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1">
        <v>0</v>
      </c>
    </row>
    <row r="45" spans="1:31" x14ac:dyDescent="0.3">
      <c r="A45" s="1" t="s">
        <v>27</v>
      </c>
      <c r="B45" s="1" t="s">
        <v>88</v>
      </c>
      <c r="C45" s="1">
        <f>VLOOKUP(B45,'[4]项目编码  '!$B$1:$C$65536,2,FALSE)</f>
        <v>10880021311</v>
      </c>
      <c r="D45" s="1" t="str">
        <f>VLOOKUP(B45,[5]sheet!$C$1:$H$65536,6,FALSE)</f>
        <v>100</v>
      </c>
      <c r="E45" s="1" t="str">
        <f>VLOOKUP(B:B,[6]配额0227!$A:$B,2,0)</f>
        <v>室内电脑板-CEM-1</v>
      </c>
      <c r="F45" s="1" t="str">
        <f>VLOOKUP(B:B,'[7]厂家配额 (新)'!$A$1:$C$65536,3,0)</f>
        <v>和而泰</v>
      </c>
      <c r="G45" s="1" t="str">
        <f>VLOOKUP(B45,[8]物料价格查询导出!$B:$I,8,FALSE)</f>
        <v>32.40</v>
      </c>
      <c r="H45" s="1">
        <f t="shared" si="6"/>
        <v>0</v>
      </c>
      <c r="I45" s="1">
        <f t="shared" si="7"/>
        <v>0</v>
      </c>
      <c r="J45" s="1"/>
      <c r="K45" s="1"/>
      <c r="L45" s="1">
        <f>VLOOKUP(B45,'[2]2月份'!$A:$F,6,FALSE)</f>
        <v>29</v>
      </c>
      <c r="M45" s="1">
        <f t="shared" si="0"/>
        <v>29</v>
      </c>
      <c r="N45" s="1"/>
      <c r="O45" s="1"/>
      <c r="P45" s="1">
        <f t="shared" si="1"/>
        <v>29</v>
      </c>
      <c r="Q45" s="1">
        <f t="shared" si="8"/>
        <v>0</v>
      </c>
      <c r="R45" s="1">
        <f t="shared" si="2"/>
        <v>2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2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1">
        <v>0</v>
      </c>
    </row>
    <row r="46" spans="1:31" x14ac:dyDescent="0.3">
      <c r="A46" s="1" t="s">
        <v>27</v>
      </c>
      <c r="B46" s="1" t="s">
        <v>89</v>
      </c>
      <c r="C46" s="1">
        <f>VLOOKUP(B46,'[4]项目编码  '!$B$1:$C$65536,2,FALSE)</f>
        <v>10880021318</v>
      </c>
      <c r="D46" s="1" t="str">
        <f>VLOOKUP(B46,[5]sheet!$C$1:$H$65536,6,FALSE)</f>
        <v>100</v>
      </c>
      <c r="E46" s="1" t="str">
        <f>VLOOKUP(B:B,[6]配额0227!$A:$B,2,0)</f>
        <v>室内电脑板-CEM-1</v>
      </c>
      <c r="F46" s="1" t="str">
        <f>VLOOKUP(B:B,'[7]厂家配额 (新)'!$A$1:$C$65536,3,0)</f>
        <v>和而泰</v>
      </c>
      <c r="G46" s="1" t="str">
        <f>VLOOKUP(B46,[8]物料价格查询导出!$B:$I,8,FALSE)</f>
        <v>33.30</v>
      </c>
      <c r="H46" s="1">
        <f t="shared" si="6"/>
        <v>0</v>
      </c>
      <c r="I46" s="1">
        <f t="shared" si="7"/>
        <v>0</v>
      </c>
      <c r="J46" s="1"/>
      <c r="K46" s="1"/>
      <c r="L46" s="1">
        <f>VLOOKUP(B46,'[2]2月份'!$A:$F,6,FALSE)</f>
        <v>19</v>
      </c>
      <c r="M46" s="1">
        <f t="shared" si="0"/>
        <v>19</v>
      </c>
      <c r="N46" s="1">
        <f>VLOOKUP(C46,[3]保留到5!$A:$B,2,FALSE)</f>
        <v>550</v>
      </c>
      <c r="O46" s="1"/>
      <c r="P46" s="1">
        <f t="shared" si="1"/>
        <v>569</v>
      </c>
      <c r="Q46" s="1">
        <f t="shared" si="8"/>
        <v>0</v>
      </c>
      <c r="R46" s="1">
        <f t="shared" si="2"/>
        <v>532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1">
        <v>532</v>
      </c>
    </row>
    <row r="47" spans="1:31" x14ac:dyDescent="0.3">
      <c r="A47" s="1" t="s">
        <v>27</v>
      </c>
      <c r="B47" s="1" t="s">
        <v>90</v>
      </c>
      <c r="C47" s="1">
        <f>VLOOKUP(B47,'[4]项目编码  '!$B$1:$C$65536,2,FALSE)</f>
        <v>10880021416</v>
      </c>
      <c r="D47" s="1" t="str">
        <f>VLOOKUP(B47,[5]sheet!$C$1:$H$65536,6,FALSE)</f>
        <v>100</v>
      </c>
      <c r="E47" s="1" t="str">
        <f>VLOOKUP(B:B,[6]配额0227!$A:$B,2,0)</f>
        <v>室内电脑板-CEM-1</v>
      </c>
      <c r="F47" s="1" t="str">
        <f>VLOOKUP(B:B,'[7]厂家配额 (新)'!$A$1:$C$65536,3,0)</f>
        <v>和而泰</v>
      </c>
      <c r="G47" s="1" t="str">
        <f>VLOOKUP(B47,[8]物料价格查询导出!$B:$I,8,FALSE)</f>
        <v>32.93</v>
      </c>
      <c r="H47" s="1">
        <f t="shared" si="6"/>
        <v>0</v>
      </c>
      <c r="I47" s="1">
        <f t="shared" si="7"/>
        <v>0</v>
      </c>
      <c r="J47" s="1"/>
      <c r="K47" s="1"/>
      <c r="L47" s="1">
        <f>VLOOKUP(B47,'[2]2月份'!$A:$F,6,FALSE)</f>
        <v>27</v>
      </c>
      <c r="M47" s="1">
        <f t="shared" si="0"/>
        <v>27</v>
      </c>
      <c r="N47" s="1">
        <f>VLOOKUP(C47,[3]保留到5!$A:$B,2,FALSE)</f>
        <v>700</v>
      </c>
      <c r="O47" s="1"/>
      <c r="P47" s="1">
        <f t="shared" si="1"/>
        <v>727</v>
      </c>
      <c r="Q47" s="1">
        <f t="shared" si="8"/>
        <v>0</v>
      </c>
      <c r="R47" s="1">
        <f t="shared" si="2"/>
        <v>667</v>
      </c>
      <c r="S47" s="8">
        <v>0</v>
      </c>
      <c r="T47" s="8">
        <v>0</v>
      </c>
      <c r="U47" s="8">
        <v>667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1">
        <v>0</v>
      </c>
    </row>
    <row r="48" spans="1:31" x14ac:dyDescent="0.3">
      <c r="A48" s="1" t="s">
        <v>27</v>
      </c>
      <c r="B48" s="1" t="s">
        <v>91</v>
      </c>
      <c r="C48" s="1">
        <f>VLOOKUP(B48,'[4]项目编码  '!$B$1:$C$65536,2,FALSE)</f>
        <v>10880031018</v>
      </c>
      <c r="D48" s="1" t="str">
        <f>VLOOKUP(B48,[5]sheet!$C$1:$H$65536,6,FALSE)</f>
        <v>100</v>
      </c>
      <c r="E48" s="1" t="str">
        <f>VLOOKUP(B:B,[6]配额0227!$A:$B,2,0)</f>
        <v>室内电脑板-FR-4</v>
      </c>
      <c r="F48" s="1" t="str">
        <f>VLOOKUP(B:B,'[7]厂家配额 (新)'!$A$1:$C$65536,3,0)</f>
        <v>和而泰</v>
      </c>
      <c r="G48" s="1" t="str">
        <f>VLOOKUP(B48,[8]物料价格查询导出!$B:$I,8,FALSE)</f>
        <v>196.83</v>
      </c>
      <c r="H48" s="1">
        <f t="shared" si="6"/>
        <v>0</v>
      </c>
      <c r="I48" s="1">
        <f t="shared" si="7"/>
        <v>0</v>
      </c>
      <c r="J48" s="1"/>
      <c r="K48" s="1"/>
      <c r="L48" s="1">
        <f>VLOOKUP(B48,'[2]2月份'!$A:$F,6,FALSE)</f>
        <v>17</v>
      </c>
      <c r="M48" s="1">
        <f t="shared" si="0"/>
        <v>17</v>
      </c>
      <c r="N48" s="1"/>
      <c r="O48" s="1" t="s">
        <v>92</v>
      </c>
      <c r="P48" s="1">
        <f t="shared" si="1"/>
        <v>17</v>
      </c>
      <c r="Q48" s="1">
        <f t="shared" si="8"/>
        <v>0</v>
      </c>
      <c r="R48" s="1">
        <f t="shared" si="2"/>
        <v>20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20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1">
        <v>0</v>
      </c>
    </row>
    <row r="49" spans="1:31" x14ac:dyDescent="0.3">
      <c r="A49" s="1" t="s">
        <v>27</v>
      </c>
      <c r="B49" s="1" t="s">
        <v>93</v>
      </c>
      <c r="C49" s="1">
        <f>VLOOKUP(B49,'[4]项目编码  '!$B$1:$C$65536,2,FALSE)</f>
        <v>10880020048</v>
      </c>
      <c r="D49" s="1" t="str">
        <f>VLOOKUP(B49,[5]sheet!$C$1:$H$65536,6,FALSE)</f>
        <v>100</v>
      </c>
      <c r="E49" s="1" t="str">
        <f>VLOOKUP(B:B,[6]配额0227!$A:$B,2,0)</f>
        <v>变频外电脑板-FR-4</v>
      </c>
      <c r="F49" s="1" t="str">
        <f>VLOOKUP(B:B,'[7]厂家配额 (新)'!$A$1:$C$65536,3,0)</f>
        <v>和而泰</v>
      </c>
      <c r="G49" s="1" t="str">
        <f>VLOOKUP(B49,[8]物料价格查询导出!$B:$I,8,FALSE)</f>
        <v>54.92</v>
      </c>
      <c r="H49" s="1">
        <f t="shared" si="6"/>
        <v>0</v>
      </c>
      <c r="I49" s="1">
        <f t="shared" si="7"/>
        <v>0</v>
      </c>
      <c r="J49" s="1">
        <f>VLOOKUP(C49,[1]Data!$A:$K,11,FALSE)</f>
        <v>2</v>
      </c>
      <c r="K49" s="1">
        <f>VLOOKUP(C49,'[1]Data (2)'!$A:$K,11,FALSE)</f>
        <v>161</v>
      </c>
      <c r="L49" s="1">
        <f>VLOOKUP(B49,'[2]2月份'!$A:$F,6,FALSE)</f>
        <v>471</v>
      </c>
      <c r="M49" s="1">
        <f t="shared" si="0"/>
        <v>632</v>
      </c>
      <c r="N49" s="1"/>
      <c r="O49" s="1"/>
      <c r="P49" s="1">
        <f t="shared" si="1"/>
        <v>632</v>
      </c>
      <c r="Q49" s="1">
        <f t="shared" si="8"/>
        <v>0</v>
      </c>
      <c r="R49" s="1">
        <f t="shared" si="2"/>
        <v>360</v>
      </c>
      <c r="S49" s="8">
        <v>0</v>
      </c>
      <c r="T49" s="8">
        <v>0</v>
      </c>
      <c r="U49" s="8">
        <v>360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1">
        <v>0</v>
      </c>
    </row>
    <row r="50" spans="1:31" x14ac:dyDescent="0.3">
      <c r="A50" s="1" t="s">
        <v>27</v>
      </c>
      <c r="B50" s="1" t="s">
        <v>94</v>
      </c>
      <c r="C50" s="1">
        <f>VLOOKUP(B50,'[4]项目编码  '!$B$1:$C$65536,2,FALSE)</f>
        <v>10880031307</v>
      </c>
      <c r="D50" s="1" t="str">
        <f>VLOOKUP(B50,[5]sheet!$C$1:$H$65536,6,FALSE)</f>
        <v>30</v>
      </c>
      <c r="E50" s="1" t="str">
        <f>VLOOKUP(B:B,[6]配额0227!$A:$B,2,0)</f>
        <v>室内电脑板-CEM-1</v>
      </c>
      <c r="F50" s="1" t="str">
        <f>VLOOKUP(B:B,'[7]厂家配额 (新)'!$A$1:$C$65536,3,0)</f>
        <v>领智/和而泰//</v>
      </c>
      <c r="G50" s="1" t="str">
        <f>VLOOKUP(B50,[8]物料价格查询导出!$B:$I,8,FALSE)</f>
        <v>37.33</v>
      </c>
      <c r="H50" s="1">
        <f t="shared" si="6"/>
        <v>0</v>
      </c>
      <c r="I50" s="1">
        <f t="shared" si="7"/>
        <v>0</v>
      </c>
      <c r="J50" s="1"/>
      <c r="K50" s="1"/>
      <c r="L50" s="1">
        <f>VLOOKUP(B50,'[2]2月份'!$A:$F,6,FALSE)</f>
        <v>924</v>
      </c>
      <c r="M50" s="1">
        <f t="shared" si="0"/>
        <v>924</v>
      </c>
      <c r="N50" s="1"/>
      <c r="O50" s="1" t="s">
        <v>48</v>
      </c>
      <c r="P50" s="1">
        <f t="shared" si="1"/>
        <v>924</v>
      </c>
      <c r="Q50" s="1">
        <f t="shared" si="8"/>
        <v>0</v>
      </c>
      <c r="R50" s="1">
        <f t="shared" si="2"/>
        <v>2297</v>
      </c>
      <c r="S50" s="8">
        <v>0</v>
      </c>
      <c r="T50" s="8">
        <v>0</v>
      </c>
      <c r="U50" s="8">
        <v>775</v>
      </c>
      <c r="V50" s="8">
        <v>0</v>
      </c>
      <c r="W50" s="8">
        <v>0</v>
      </c>
      <c r="X50" s="8">
        <v>0</v>
      </c>
      <c r="Y50" s="8">
        <v>0</v>
      </c>
      <c r="Z50" s="8">
        <v>580</v>
      </c>
      <c r="AA50" s="8">
        <v>2</v>
      </c>
      <c r="AB50" s="8">
        <v>0</v>
      </c>
      <c r="AC50" s="8">
        <v>0</v>
      </c>
      <c r="AD50" s="8">
        <v>0</v>
      </c>
      <c r="AE50" s="1">
        <v>940</v>
      </c>
    </row>
    <row r="51" spans="1:31" x14ac:dyDescent="0.3">
      <c r="A51" s="1" t="s">
        <v>27</v>
      </c>
      <c r="B51" s="1" t="s">
        <v>95</v>
      </c>
      <c r="C51" s="1">
        <f>VLOOKUP(B51,'[4]项目编码  '!$B$1:$C$65536,2,FALSE)</f>
        <v>10880031182</v>
      </c>
      <c r="D51" s="1" t="str">
        <f>VLOOKUP(B51,[5]sheet!$C$1:$H$65536,6,FALSE)</f>
        <v>30</v>
      </c>
      <c r="E51" s="1" t="str">
        <f>VLOOKUP(B:B,[6]配额0227!$A:$B,2,0)</f>
        <v>室内电脑板-CEM-1</v>
      </c>
      <c r="F51" s="1" t="str">
        <f>VLOOKUP(B:B,'[7]厂家配额 (新)'!$A$1:$C$65536,3,0)</f>
        <v>领智/和而泰//</v>
      </c>
      <c r="G51" s="1" t="str">
        <f>VLOOKUP(B51,[8]物料价格查询导出!$B:$I,8,FALSE)</f>
        <v>35.67</v>
      </c>
      <c r="H51" s="1">
        <f t="shared" si="6"/>
        <v>0</v>
      </c>
      <c r="I51" s="1">
        <f t="shared" si="7"/>
        <v>0</v>
      </c>
      <c r="J51" s="1">
        <f>VLOOKUP(C51,[1]Data!$A:$K,11,FALSE)</f>
        <v>4</v>
      </c>
      <c r="K51" s="1"/>
      <c r="L51" s="1">
        <f>VLOOKUP(B51,'[2]2月份'!$A:$F,6,FALSE)</f>
        <v>6</v>
      </c>
      <c r="M51" s="1">
        <f t="shared" si="0"/>
        <v>6</v>
      </c>
      <c r="N51" s="1"/>
      <c r="O51" s="1"/>
      <c r="P51" s="1">
        <f t="shared" si="1"/>
        <v>6</v>
      </c>
      <c r="Q51" s="1">
        <f t="shared" si="8"/>
        <v>0</v>
      </c>
      <c r="R51" s="1">
        <f t="shared" si="2"/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1">
        <v>0</v>
      </c>
    </row>
    <row r="52" spans="1:31" x14ac:dyDescent="0.3">
      <c r="A52" s="1" t="s">
        <v>27</v>
      </c>
      <c r="B52" s="1" t="s">
        <v>96</v>
      </c>
      <c r="C52" s="1">
        <f>VLOOKUP(B52,'[4]项目编码  '!$B$1:$C$65536,2,FALSE)</f>
        <v>10880031183</v>
      </c>
      <c r="D52" s="1" t="str">
        <f>VLOOKUP(B52,[5]sheet!$C$1:$H$65536,6,FALSE)</f>
        <v>30</v>
      </c>
      <c r="E52" s="1" t="str">
        <f>VLOOKUP(B:B,[6]配额0227!$A:$B,2,0)</f>
        <v>室内电脑板-CEM-1</v>
      </c>
      <c r="F52" s="1" t="str">
        <f>VLOOKUP(B:B,'[7]厂家配额 (新)'!$A$1:$C$65536,3,0)</f>
        <v>领智/和而泰//</v>
      </c>
      <c r="G52" s="1" t="str">
        <f>VLOOKUP(B52,[8]物料价格查询导出!$B:$I,8,FALSE)</f>
        <v>36.12</v>
      </c>
      <c r="H52" s="1">
        <f t="shared" si="6"/>
        <v>0</v>
      </c>
      <c r="I52" s="1">
        <f t="shared" si="7"/>
        <v>0</v>
      </c>
      <c r="J52" s="1">
        <f>VLOOKUP(C52,[1]Data!$A:$K,11,FALSE)</f>
        <v>1</v>
      </c>
      <c r="K52" s="1"/>
      <c r="L52" s="1">
        <f>VLOOKUP(B52,'[2]2月份'!$A:$F,6,FALSE)</f>
        <v>433</v>
      </c>
      <c r="M52" s="1">
        <f t="shared" si="0"/>
        <v>433</v>
      </c>
      <c r="N52" s="1"/>
      <c r="O52" s="1"/>
      <c r="P52" s="1">
        <f t="shared" si="1"/>
        <v>433</v>
      </c>
      <c r="Q52" s="1">
        <f t="shared" si="8"/>
        <v>0</v>
      </c>
      <c r="R52" s="1">
        <f t="shared" si="2"/>
        <v>348</v>
      </c>
      <c r="S52" s="8">
        <v>0</v>
      </c>
      <c r="T52" s="8">
        <v>0</v>
      </c>
      <c r="U52" s="8">
        <v>0</v>
      </c>
      <c r="V52" s="8">
        <v>0</v>
      </c>
      <c r="W52" s="8">
        <v>348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1">
        <v>0</v>
      </c>
    </row>
    <row r="53" spans="1:31" x14ac:dyDescent="0.3">
      <c r="A53" s="1" t="s">
        <v>27</v>
      </c>
      <c r="B53" s="1" t="s">
        <v>97</v>
      </c>
      <c r="C53" s="1">
        <f>VLOOKUP(B53,'[4]项目编码  '!$B$1:$C$65536,2,FALSE)</f>
        <v>10880020208</v>
      </c>
      <c r="D53" s="1" t="str">
        <f>VLOOKUP(B53,[5]sheet!$C$1:$H$65536,6,FALSE)</f>
        <v>100</v>
      </c>
      <c r="E53" s="1" t="str">
        <f>VLOOKUP(B:B,[6]配额0227!$A:$B,2,0)</f>
        <v>变频外电脑板-FR-4205mm*157mm</v>
      </c>
      <c r="F53" s="1" t="str">
        <f>VLOOKUP(B:B,'[7]厂家配额 (新)'!$A$1:$C$65536,3,0)</f>
        <v>和而泰</v>
      </c>
      <c r="G53" s="1" t="str">
        <f>VLOOKUP(B53,[8]物料价格查询导出!$B:$I,8,FALSE)</f>
        <v>91.59</v>
      </c>
      <c r="H53" s="1">
        <f t="shared" si="6"/>
        <v>0</v>
      </c>
      <c r="I53" s="1">
        <f t="shared" si="7"/>
        <v>0</v>
      </c>
      <c r="J53" s="1"/>
      <c r="K53" s="1">
        <f>VLOOKUP(C53,'[1]Data (2)'!$A:$K,11,FALSE)</f>
        <v>27</v>
      </c>
      <c r="L53" s="1">
        <f>VLOOKUP(B53,'[2]2月份'!$A:$F,6,FALSE)</f>
        <v>4</v>
      </c>
      <c r="M53" s="1">
        <f t="shared" si="0"/>
        <v>31</v>
      </c>
      <c r="N53" s="1">
        <f>VLOOKUP(C53,[3]保留到5!$A:$B,2,FALSE)</f>
        <v>2000</v>
      </c>
      <c r="O53" s="1" t="s">
        <v>98</v>
      </c>
      <c r="P53" s="1">
        <f t="shared" si="1"/>
        <v>2031</v>
      </c>
      <c r="Q53" s="1">
        <f t="shared" si="8"/>
        <v>0</v>
      </c>
      <c r="R53" s="1">
        <f t="shared" si="2"/>
        <v>1385</v>
      </c>
      <c r="S53" s="8">
        <v>0</v>
      </c>
      <c r="T53" s="8">
        <v>0</v>
      </c>
      <c r="U53" s="8">
        <v>1091</v>
      </c>
      <c r="V53" s="8">
        <v>0</v>
      </c>
      <c r="W53" s="8">
        <v>1</v>
      </c>
      <c r="X53" s="8">
        <v>94</v>
      </c>
      <c r="Y53" s="8">
        <v>199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1">
        <v>0</v>
      </c>
    </row>
    <row r="54" spans="1:31" x14ac:dyDescent="0.3">
      <c r="A54" s="1" t="s">
        <v>38</v>
      </c>
      <c r="B54" s="1" t="s">
        <v>99</v>
      </c>
      <c r="C54" s="1">
        <f>VLOOKUP(B54,'[4]项目编码  '!$B$1:$C$65536,2,FALSE)</f>
        <v>10880020677</v>
      </c>
      <c r="D54" s="1" t="str">
        <f>VLOOKUP(B54,[5]sheet!$C$1:$H$65536,6,FALSE)</f>
        <v>100</v>
      </c>
      <c r="E54" s="1" t="str">
        <f>VLOOKUP(B:B,[6]配额0227!$A:$B,2,0)</f>
        <v>变频外电脑板-FR-4205mm*157mm</v>
      </c>
      <c r="F54" s="1" t="str">
        <f>VLOOKUP(B:B,'[7]厂家配额 (新)'!$A$1:$C$65536,3,0)</f>
        <v>和而泰</v>
      </c>
      <c r="G54" s="1" t="str">
        <f>VLOOKUP(B54,[8]物料价格查询导出!$B:$I,8,FALSE)</f>
        <v>88.06</v>
      </c>
      <c r="H54" s="1">
        <f t="shared" si="6"/>
        <v>0</v>
      </c>
      <c r="I54" s="1">
        <f t="shared" si="7"/>
        <v>0</v>
      </c>
      <c r="J54" s="1"/>
      <c r="K54" s="1"/>
      <c r="L54" s="1">
        <f>VLOOKUP(B54,'[2]2月份'!$A:$F,6,FALSE)</f>
        <v>53</v>
      </c>
      <c r="M54" s="1">
        <f t="shared" si="0"/>
        <v>53</v>
      </c>
      <c r="N54" s="1"/>
      <c r="O54" s="1" t="s">
        <v>100</v>
      </c>
      <c r="P54" s="1">
        <f t="shared" si="1"/>
        <v>53</v>
      </c>
      <c r="Q54" s="1">
        <f t="shared" si="8"/>
        <v>0</v>
      </c>
      <c r="R54" s="1">
        <f t="shared" si="2"/>
        <v>60</v>
      </c>
      <c r="S54" s="8">
        <v>0</v>
      </c>
      <c r="T54" s="8">
        <v>0</v>
      </c>
      <c r="U54" s="8">
        <v>0</v>
      </c>
      <c r="V54" s="8">
        <v>60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1">
        <v>0</v>
      </c>
    </row>
    <row r="55" spans="1:31" x14ac:dyDescent="0.3">
      <c r="A55" s="1" t="s">
        <v>38</v>
      </c>
      <c r="B55" s="1" t="s">
        <v>101</v>
      </c>
      <c r="C55" s="1">
        <f>VLOOKUP(B55,'[4]项目编码  '!$B$1:$C$65536,2,FALSE)</f>
        <v>10880020678</v>
      </c>
      <c r="D55" s="1" t="str">
        <f>VLOOKUP(B55,[5]sheet!$C$1:$H$65536,6,FALSE)</f>
        <v>100</v>
      </c>
      <c r="E55" s="1" t="str">
        <f>VLOOKUP(B:B,[6]配额0227!$A:$B,2,0)</f>
        <v>变频外电脑板-FR-4205mm*157mm</v>
      </c>
      <c r="F55" s="1" t="str">
        <f>VLOOKUP(B:B,'[7]厂家配额 (新)'!$A$1:$C$65536,3,0)</f>
        <v>和而泰</v>
      </c>
      <c r="G55" s="1" t="str">
        <f>VLOOKUP(B55,[8]物料价格查询导出!$B:$I,8,FALSE)</f>
        <v>91.75</v>
      </c>
      <c r="H55" s="1">
        <f t="shared" si="6"/>
        <v>0</v>
      </c>
      <c r="I55" s="1">
        <f t="shared" si="7"/>
        <v>0</v>
      </c>
      <c r="J55" s="1"/>
      <c r="K55" s="1"/>
      <c r="L55" s="1">
        <f>VLOOKUP(B55,'[2]2月份'!$A:$F,6,FALSE)</f>
        <v>46</v>
      </c>
      <c r="M55" s="1">
        <f t="shared" si="0"/>
        <v>46</v>
      </c>
      <c r="N55" s="1"/>
      <c r="O55" s="1"/>
      <c r="P55" s="1">
        <f t="shared" si="1"/>
        <v>46</v>
      </c>
      <c r="Q55" s="1">
        <f t="shared" si="8"/>
        <v>0</v>
      </c>
      <c r="R55" s="1">
        <f t="shared" si="2"/>
        <v>31</v>
      </c>
      <c r="S55" s="8">
        <v>0</v>
      </c>
      <c r="T55" s="8">
        <v>0</v>
      </c>
      <c r="U55" s="8">
        <v>0</v>
      </c>
      <c r="V55" s="8">
        <v>31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1">
        <v>0</v>
      </c>
    </row>
    <row r="56" spans="1:31" x14ac:dyDescent="0.3">
      <c r="A56" s="1" t="s">
        <v>27</v>
      </c>
      <c r="B56" s="1" t="s">
        <v>102</v>
      </c>
      <c r="C56" s="1">
        <f>VLOOKUP(B56,'[4]项目编码  '!$B$1:$C$65536,2,FALSE)</f>
        <v>10880020940</v>
      </c>
      <c r="D56" s="1" t="str">
        <f>VLOOKUP(B56,[5]sheet!$C$1:$H$65536,6,FALSE)</f>
        <v>100</v>
      </c>
      <c r="E56" s="1" t="str">
        <f>VLOOKUP(B:B,[6]配额0227!$A:$B,2,0)</f>
        <v>变频外电脑板-FR-4205mm*157mm</v>
      </c>
      <c r="F56" s="1" t="str">
        <f>VLOOKUP(B:B,'[7]厂家配额 (新)'!$A$1:$C$65536,3,0)</f>
        <v>和而泰</v>
      </c>
      <c r="G56" s="1" t="str">
        <f>VLOOKUP(B56,[8]物料价格查询导出!$B:$I,8,FALSE)</f>
        <v>93.51</v>
      </c>
      <c r="H56" s="1">
        <f t="shared" si="6"/>
        <v>0</v>
      </c>
      <c r="I56" s="1">
        <f t="shared" si="7"/>
        <v>0</v>
      </c>
      <c r="J56" s="1"/>
      <c r="K56" s="1"/>
      <c r="L56" s="1">
        <f>VLOOKUP(B56,'[2]2月份'!$A:$F,6,FALSE)</f>
        <v>86</v>
      </c>
      <c r="M56" s="1">
        <f t="shared" si="0"/>
        <v>86</v>
      </c>
      <c r="N56" s="1"/>
      <c r="O56" s="1"/>
      <c r="P56" s="1">
        <f t="shared" si="1"/>
        <v>86</v>
      </c>
      <c r="Q56" s="1">
        <f t="shared" si="8"/>
        <v>0</v>
      </c>
      <c r="R56" s="1">
        <f t="shared" si="2"/>
        <v>75</v>
      </c>
      <c r="S56" s="8">
        <v>0</v>
      </c>
      <c r="T56" s="8">
        <v>0</v>
      </c>
      <c r="U56" s="8">
        <v>0</v>
      </c>
      <c r="V56" s="8">
        <v>75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1">
        <v>0</v>
      </c>
    </row>
    <row r="57" spans="1:31" x14ac:dyDescent="0.3">
      <c r="A57" s="1" t="s">
        <v>27</v>
      </c>
      <c r="B57" s="1" t="s">
        <v>103</v>
      </c>
      <c r="C57" s="1">
        <f>VLOOKUP(B57,'[4]项目编码  '!$B$1:$C$65536,2,FALSE)</f>
        <v>10880021015</v>
      </c>
      <c r="D57" s="1" t="str">
        <f>VLOOKUP(B57,[5]sheet!$C$1:$H$65536,6,FALSE)</f>
        <v>70</v>
      </c>
      <c r="E57" s="1" t="str">
        <f>VLOOKUP(B:B,[6]配额0227!$A:$B,2,0)</f>
        <v>变频外电脑板-FR-4/</v>
      </c>
      <c r="F57" s="1" t="str">
        <f>VLOOKUP(B:B,'[7]厂家配额 (新)'!$A$1:$C$65536,3,0)</f>
        <v>和而泰/尚研//</v>
      </c>
      <c r="G57" s="1" t="str">
        <f>VLOOKUP(B57,[8]物料价格查询导出!$B:$I,8,FALSE)</f>
        <v>116.13</v>
      </c>
      <c r="H57" s="1">
        <f t="shared" si="6"/>
        <v>0</v>
      </c>
      <c r="I57" s="1">
        <f t="shared" si="7"/>
        <v>0</v>
      </c>
      <c r="J57" s="1">
        <f>VLOOKUP(C57,[1]Data!$A:$K,11,FALSE)</f>
        <v>22</v>
      </c>
      <c r="K57" s="1">
        <f>VLOOKUP(C57,'[1]Data (2)'!$A:$K,11,FALSE)</f>
        <v>5</v>
      </c>
      <c r="L57" s="1">
        <f>VLOOKUP(B57,'[2]2月份'!$A:$F,6,FALSE)</f>
        <v>16</v>
      </c>
      <c r="M57" s="1">
        <f t="shared" si="0"/>
        <v>21</v>
      </c>
      <c r="N57" s="1"/>
      <c r="O57" s="1"/>
      <c r="P57" s="1">
        <f t="shared" si="1"/>
        <v>21</v>
      </c>
      <c r="Q57" s="1">
        <f t="shared" si="8"/>
        <v>0</v>
      </c>
      <c r="R57" s="1">
        <f t="shared" si="2"/>
        <v>2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2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1">
        <v>0</v>
      </c>
    </row>
    <row r="58" spans="1:31" x14ac:dyDescent="0.3">
      <c r="A58" s="1" t="s">
        <v>27</v>
      </c>
      <c r="B58" s="1" t="s">
        <v>104</v>
      </c>
      <c r="C58" s="1">
        <f>VLOOKUP(B58,'[4]项目编码  '!$B$1:$C$65536,2,FALSE)</f>
        <v>10880021019</v>
      </c>
      <c r="D58" s="1" t="str">
        <f>VLOOKUP(B58,[5]sheet!$C$1:$H$65536,6,FALSE)</f>
        <v>70</v>
      </c>
      <c r="E58" s="1" t="str">
        <f>VLOOKUP(B:B,[6]配额0227!$A:$B,2,0)</f>
        <v>变频外电脑板-FR-4/</v>
      </c>
      <c r="F58" s="1" t="str">
        <f>VLOOKUP(B:B,'[7]厂家配额 (新)'!$A$1:$C$65536,3,0)</f>
        <v>和而泰/尚研//</v>
      </c>
      <c r="G58" s="1" t="str">
        <f>VLOOKUP(B58,[8]物料价格查询导出!$B:$I,8,FALSE)</f>
        <v>116.13</v>
      </c>
      <c r="H58" s="1">
        <f t="shared" si="6"/>
        <v>0</v>
      </c>
      <c r="I58" s="1">
        <f t="shared" si="7"/>
        <v>0</v>
      </c>
      <c r="J58" s="1">
        <f>VLOOKUP(C58,[1]Data!$A:$K,11,FALSE)</f>
        <v>1</v>
      </c>
      <c r="K58" s="1"/>
      <c r="L58" s="1">
        <f>VLOOKUP(B58,'[2]2月份'!$A:$F,6,FALSE)</f>
        <v>26</v>
      </c>
      <c r="M58" s="1">
        <f t="shared" si="0"/>
        <v>26</v>
      </c>
      <c r="N58" s="1"/>
      <c r="O58" s="1"/>
      <c r="P58" s="1">
        <f t="shared" si="1"/>
        <v>26</v>
      </c>
      <c r="Q58" s="1">
        <f t="shared" si="8"/>
        <v>0</v>
      </c>
      <c r="R58" s="1">
        <f t="shared" si="2"/>
        <v>2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2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1">
        <v>0</v>
      </c>
    </row>
    <row r="59" spans="1:31" ht="42" x14ac:dyDescent="0.3">
      <c r="A59" s="1" t="s">
        <v>38</v>
      </c>
      <c r="B59" s="1" t="s">
        <v>105</v>
      </c>
      <c r="C59" s="1">
        <f>VLOOKUP(B59,'[4]项目编码  '!$B$1:$C$65536,2,FALSE)</f>
        <v>10880030920</v>
      </c>
      <c r="D59" s="1" t="str">
        <f>VLOOKUP(B59,[5]sheet!$C$1:$H$65536,6,FALSE)</f>
        <v>100</v>
      </c>
      <c r="E59" s="1" t="str">
        <f>VLOOKUP(B:B,[6]配额0227!$A:$B,2,0)</f>
        <v>变频外电脑板-FR-4/</v>
      </c>
      <c r="F59" s="1" t="str">
        <f>VLOOKUP(B:B,'[7]厂家配额 (新)'!$A$1:$C$65536,3,0)</f>
        <v>和而泰</v>
      </c>
      <c r="G59" s="1" t="str">
        <f>VLOOKUP(B59,[8]物料价格查询导出!$B:$I,8,FALSE)</f>
        <v>113.71</v>
      </c>
      <c r="H59" s="1">
        <f t="shared" si="6"/>
        <v>0</v>
      </c>
      <c r="I59" s="1">
        <f t="shared" si="7"/>
        <v>0</v>
      </c>
      <c r="J59" s="1">
        <v>10</v>
      </c>
      <c r="K59" s="1">
        <v>314</v>
      </c>
      <c r="L59" s="1">
        <f>VLOOKUP(B59,'[2]2月份'!$A:$F,6,FALSE)</f>
        <v>101</v>
      </c>
      <c r="M59" s="1">
        <f t="shared" si="0"/>
        <v>415</v>
      </c>
      <c r="N59" s="1"/>
      <c r="O59" s="6" t="s">
        <v>106</v>
      </c>
      <c r="P59" s="1">
        <f t="shared" si="1"/>
        <v>415</v>
      </c>
      <c r="Q59" s="1">
        <f t="shared" si="8"/>
        <v>0</v>
      </c>
      <c r="R59" s="1">
        <f t="shared" si="2"/>
        <v>28</v>
      </c>
      <c r="S59" s="8">
        <v>0</v>
      </c>
      <c r="T59" s="8">
        <v>0</v>
      </c>
      <c r="U59" s="8">
        <v>0</v>
      </c>
      <c r="V59" s="8">
        <v>28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1">
        <v>0</v>
      </c>
    </row>
    <row r="60" spans="1:31" ht="24" customHeight="1" x14ac:dyDescent="0.3">
      <c r="A60" s="1" t="s">
        <v>27</v>
      </c>
      <c r="B60" s="1" t="s">
        <v>107</v>
      </c>
      <c r="C60" s="1">
        <f>VLOOKUP(B60,'[4]项目编码  '!$B$1:$C$65536,2,FALSE)</f>
        <v>10880031135</v>
      </c>
      <c r="D60" s="1" t="str">
        <f>VLOOKUP(B60,[5]sheet!$C$1:$H$65536,6,FALSE)</f>
        <v>30</v>
      </c>
      <c r="E60" s="1" t="str">
        <f>VLOOKUP(B:B,[6]配额0227!$A:$B,2,0)</f>
        <v>变频外电脑板-FR-4</v>
      </c>
      <c r="F60" s="1" t="str">
        <f>VLOOKUP(B:B,'[7]厂家配额 (新)'!$A$1:$C$65536,3,0)</f>
        <v>领智/和而泰//</v>
      </c>
      <c r="G60" s="1" t="str">
        <f>VLOOKUP(B60,[8]物料价格查询导出!$B:$I,8,FALSE)</f>
        <v>116.37</v>
      </c>
      <c r="H60" s="1">
        <f t="shared" si="6"/>
        <v>0</v>
      </c>
      <c r="I60" s="1">
        <f t="shared" si="7"/>
        <v>0</v>
      </c>
      <c r="J60" s="1"/>
      <c r="K60" s="1">
        <f>VLOOKUP(C60,'[1]Data (2)'!$A:$K,11,FALSE)</f>
        <v>10</v>
      </c>
      <c r="L60" s="1">
        <f>VLOOKUP(B60,'[2]2月份'!$A:$F,6,FALSE)</f>
        <v>66</v>
      </c>
      <c r="M60" s="1">
        <f t="shared" si="0"/>
        <v>76</v>
      </c>
      <c r="N60" s="1"/>
      <c r="O60" s="1"/>
      <c r="P60" s="1">
        <f t="shared" si="1"/>
        <v>76</v>
      </c>
      <c r="Q60" s="1">
        <f t="shared" si="8"/>
        <v>0</v>
      </c>
      <c r="R60" s="1">
        <f t="shared" si="2"/>
        <v>2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2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1">
        <v>0</v>
      </c>
    </row>
    <row r="61" spans="1:31" ht="29" customHeight="1" x14ac:dyDescent="0.3">
      <c r="A61" s="1" t="s">
        <v>27</v>
      </c>
      <c r="B61" s="1" t="s">
        <v>108</v>
      </c>
      <c r="C61" s="1">
        <f>VLOOKUP(B61,'[4]项目编码  '!$B$1:$C$65536,2,FALSE)</f>
        <v>10880031136</v>
      </c>
      <c r="D61" s="1" t="str">
        <f>VLOOKUP(B61,[5]sheet!$C$1:$H$65536,6,FALSE)</f>
        <v>30</v>
      </c>
      <c r="E61" s="1" t="str">
        <f>VLOOKUP(B:B,[6]配额0227!$A:$B,2,0)</f>
        <v>变频外电脑板-FR-4</v>
      </c>
      <c r="F61" s="1" t="str">
        <f>VLOOKUP(B:B,'[7]厂家配额 (新)'!$A$1:$C$65536,3,0)</f>
        <v>领智/和而泰//</v>
      </c>
      <c r="G61" s="1" t="str">
        <f>VLOOKUP(B61,[8]物料价格查询导出!$B:$I,8,FALSE)</f>
        <v>122.40</v>
      </c>
      <c r="H61" s="1">
        <f t="shared" si="6"/>
        <v>4957.2</v>
      </c>
      <c r="I61" s="1">
        <f t="shared" si="7"/>
        <v>40.5</v>
      </c>
      <c r="J61" s="1"/>
      <c r="K61" s="1"/>
      <c r="L61" s="1"/>
      <c r="M61" s="1">
        <f t="shared" si="0"/>
        <v>0</v>
      </c>
      <c r="N61" s="1"/>
      <c r="O61" s="1" t="s">
        <v>109</v>
      </c>
      <c r="P61" s="1">
        <f t="shared" si="1"/>
        <v>-135</v>
      </c>
      <c r="Q61" s="1">
        <f t="shared" si="8"/>
        <v>135</v>
      </c>
      <c r="R61" s="1">
        <f t="shared" si="2"/>
        <v>135</v>
      </c>
      <c r="S61" s="8">
        <v>0</v>
      </c>
      <c r="T61" s="8">
        <v>135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1">
        <v>0</v>
      </c>
    </row>
    <row r="62" spans="1:31" ht="28" x14ac:dyDescent="0.3">
      <c r="A62" s="1" t="s">
        <v>27</v>
      </c>
      <c r="B62" s="1" t="s">
        <v>110</v>
      </c>
      <c r="C62" s="1">
        <f>VLOOKUP(B62,'[4]项目编码  '!$B$1:$C$65536,2,FALSE)</f>
        <v>10880018097</v>
      </c>
      <c r="D62" s="1" t="str">
        <f>VLOOKUP(B62,[5]sheet!$C$1:$H$65536,6,FALSE)</f>
        <v>100</v>
      </c>
      <c r="E62" s="1" t="str">
        <f>VLOOKUP(B:B,[6]配额0227!$A:$B,2,0)</f>
        <v>变频外电脑板-FR-4/</v>
      </c>
      <c r="F62" s="1" t="str">
        <f>VLOOKUP(B:B,'[7]厂家配额 (新)'!$A$1:$C$65536,3,0)</f>
        <v>和而泰</v>
      </c>
      <c r="G62" s="1" t="str">
        <f>VLOOKUP(B62,[8]物料价格查询导出!$B:$I,8,FALSE)</f>
        <v>116.12</v>
      </c>
      <c r="H62" s="1">
        <f t="shared" si="6"/>
        <v>0</v>
      </c>
      <c r="I62" s="1">
        <f t="shared" si="7"/>
        <v>0</v>
      </c>
      <c r="J62" s="1">
        <f>VLOOKUP(C62,[1]Data!$A:$K,11,FALSE)</f>
        <v>67</v>
      </c>
      <c r="K62" s="1"/>
      <c r="L62" s="1">
        <f>VLOOKUP(B62,'[2]2月份'!$A:$F,6,FALSE)</f>
        <v>192</v>
      </c>
      <c r="M62" s="1">
        <f t="shared" si="0"/>
        <v>192</v>
      </c>
      <c r="N62" s="1">
        <f>VLOOKUP(C62,[3]保留到5!$A:$B,2,FALSE)</f>
        <v>1040</v>
      </c>
      <c r="O62" s="6" t="s">
        <v>111</v>
      </c>
      <c r="P62" s="1">
        <f t="shared" si="1"/>
        <v>1232</v>
      </c>
      <c r="Q62" s="1">
        <f t="shared" si="8"/>
        <v>0</v>
      </c>
      <c r="R62" s="1">
        <f t="shared" si="2"/>
        <v>8677</v>
      </c>
      <c r="S62" s="8">
        <v>0</v>
      </c>
      <c r="T62" s="8">
        <v>0</v>
      </c>
      <c r="U62" s="8">
        <v>12</v>
      </c>
      <c r="V62" s="8">
        <v>4345</v>
      </c>
      <c r="W62" s="8">
        <v>0</v>
      </c>
      <c r="X62" s="8">
        <v>0</v>
      </c>
      <c r="Y62" s="8">
        <v>4320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1">
        <v>0</v>
      </c>
    </row>
    <row r="63" spans="1:31" ht="21" customHeight="1" x14ac:dyDescent="0.3">
      <c r="A63" s="1" t="s">
        <v>27</v>
      </c>
      <c r="B63" s="1" t="s">
        <v>112</v>
      </c>
      <c r="C63" s="1">
        <f>VLOOKUP(B63,'[4]项目编码  '!$B$1:$C$65536,2,FALSE)</f>
        <v>10880036721</v>
      </c>
      <c r="D63" s="1" t="str">
        <f>VLOOKUP(B63,[5]sheet!$C$1:$H$65536,6,FALSE)</f>
        <v>70</v>
      </c>
      <c r="E63" s="1" t="str">
        <f>VLOOKUP(B:B,[6]配额0227!$A:$B,2,0)</f>
        <v>变频外电脑板-FR-4/</v>
      </c>
      <c r="F63" s="1" t="str">
        <f>VLOOKUP(B:B,'[7]厂家配额 (新)'!$A$1:$C$65536,3,0)</f>
        <v>和而泰/尚研//</v>
      </c>
      <c r="G63" s="1" t="str">
        <f>VLOOKUP(B63,[8]物料价格查询导出!$B:$I,8,FALSE)</f>
        <v>121.76</v>
      </c>
      <c r="H63" s="1">
        <f t="shared" si="6"/>
        <v>0</v>
      </c>
      <c r="I63" s="1">
        <f t="shared" si="7"/>
        <v>0</v>
      </c>
      <c r="J63" s="1"/>
      <c r="K63" s="1"/>
      <c r="L63" s="1">
        <f>VLOOKUP(B63,'[2]2月份'!$A:$F,6,FALSE)</f>
        <v>14</v>
      </c>
      <c r="M63" s="1">
        <f t="shared" si="0"/>
        <v>14</v>
      </c>
      <c r="N63" s="1"/>
      <c r="O63" s="6" t="s">
        <v>113</v>
      </c>
      <c r="P63" s="1">
        <f t="shared" si="1"/>
        <v>14</v>
      </c>
      <c r="Q63" s="1">
        <f t="shared" si="8"/>
        <v>0</v>
      </c>
      <c r="R63" s="1">
        <f t="shared" si="2"/>
        <v>1380</v>
      </c>
      <c r="S63" s="8">
        <v>0</v>
      </c>
      <c r="T63" s="8">
        <v>0</v>
      </c>
      <c r="U63" s="8">
        <v>0</v>
      </c>
      <c r="V63" s="8">
        <v>0</v>
      </c>
      <c r="W63" s="8">
        <v>690</v>
      </c>
      <c r="X63" s="8">
        <v>0</v>
      </c>
      <c r="Y63" s="8">
        <v>0</v>
      </c>
      <c r="Z63" s="8">
        <v>0</v>
      </c>
      <c r="AA63" s="8">
        <v>0</v>
      </c>
      <c r="AB63" s="8">
        <v>690</v>
      </c>
      <c r="AC63" s="8">
        <v>0</v>
      </c>
      <c r="AD63" s="8">
        <v>0</v>
      </c>
      <c r="AE63" s="1">
        <v>0</v>
      </c>
    </row>
    <row r="64" spans="1:31" ht="20" customHeight="1" x14ac:dyDescent="0.3">
      <c r="A64" s="1" t="s">
        <v>27</v>
      </c>
      <c r="B64" s="1" t="s">
        <v>114</v>
      </c>
      <c r="C64" s="1">
        <f>VLOOKUP(B64,'[4]项目编码  '!$B$1:$C$65536,2,FALSE)</f>
        <v>10880019240</v>
      </c>
      <c r="D64" s="1" t="str">
        <f>VLOOKUP(B64,[5]sheet!$C$1:$H$65536,6,FALSE)</f>
        <v>100</v>
      </c>
      <c r="E64" s="1" t="str">
        <f>VLOOKUP(B:B,[6]配额0227!$A:$B,2,0)</f>
        <v>变频外电脑板-FR-4/</v>
      </c>
      <c r="F64" s="1" t="str">
        <f>VLOOKUP(B:B,'[7]厂家配额 (新)'!$A$1:$C$65536,3,0)</f>
        <v>和而泰</v>
      </c>
      <c r="G64" s="1" t="str">
        <f>VLOOKUP(B64,[8]物料价格查询导出!$B:$I,8,FALSE)</f>
        <v>118.50</v>
      </c>
      <c r="H64" s="1">
        <f t="shared" si="6"/>
        <v>0</v>
      </c>
      <c r="I64" s="1">
        <f t="shared" si="7"/>
        <v>0</v>
      </c>
      <c r="J64" s="1">
        <f>VLOOKUP(C64,[1]Data!$A:$K,11,FALSE)</f>
        <v>6</v>
      </c>
      <c r="K64" s="1"/>
      <c r="L64" s="1">
        <f>VLOOKUP(B64,'[2]2月份'!$A:$F,6,FALSE)</f>
        <v>48</v>
      </c>
      <c r="M64" s="1">
        <f t="shared" si="0"/>
        <v>48</v>
      </c>
      <c r="N64" s="1">
        <f>VLOOKUP(C64,[3]保留到5!$A:$B,2,FALSE)</f>
        <v>9</v>
      </c>
      <c r="O64" s="1"/>
      <c r="P64" s="1">
        <f t="shared" si="1"/>
        <v>57</v>
      </c>
      <c r="Q64" s="1">
        <f t="shared" si="8"/>
        <v>0</v>
      </c>
      <c r="R64" s="1">
        <f t="shared" si="2"/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1">
        <v>0</v>
      </c>
    </row>
    <row r="65" spans="1:31" ht="20" customHeight="1" x14ac:dyDescent="0.3">
      <c r="A65" s="1" t="s">
        <v>27</v>
      </c>
      <c r="B65" s="1" t="s">
        <v>115</v>
      </c>
      <c r="C65" s="1">
        <f>VLOOKUP(B65,'[4]项目编码  '!$B$1:$C$65536,2,FALSE)</f>
        <v>10880021173</v>
      </c>
      <c r="D65" s="1" t="str">
        <f>VLOOKUP(B65,[5]sheet!$C$1:$H$65536,6,FALSE)</f>
        <v>100</v>
      </c>
      <c r="E65" s="1" t="str">
        <f>VLOOKUP(B:B,[6]配额0227!$A:$B,2,0)</f>
        <v>变频外电脑板-FR-4/</v>
      </c>
      <c r="F65" s="1" t="str">
        <f>VLOOKUP(B:B,'[7]厂家配额 (新)'!$A$1:$C$65536,3,0)</f>
        <v>和而泰</v>
      </c>
      <c r="G65" s="1" t="str">
        <f>VLOOKUP(B65,[8]物料价格查询导出!$B:$I,8,FALSE)</f>
        <v>114.63</v>
      </c>
      <c r="H65" s="1">
        <f t="shared" si="6"/>
        <v>30491.58</v>
      </c>
      <c r="I65" s="1">
        <f t="shared" si="7"/>
        <v>266</v>
      </c>
      <c r="J65" s="1">
        <f>VLOOKUP(C65,[1]Data!$A:$K,11,FALSE)</f>
        <v>15</v>
      </c>
      <c r="K65" s="1">
        <f>VLOOKUP(C65,'[1]Data (2)'!$A:$K,11,FALSE)</f>
        <v>24</v>
      </c>
      <c r="L65" s="1">
        <f>VLOOKUP(B65,'[2]2月份'!$A:$F,6,FALSE)</f>
        <v>2</v>
      </c>
      <c r="M65" s="1">
        <f t="shared" si="0"/>
        <v>26</v>
      </c>
      <c r="N65" s="1">
        <f>VLOOKUP(C65,[3]保留到5!$A:$B,2,FALSE)</f>
        <v>300</v>
      </c>
      <c r="O65" s="1" t="s">
        <v>98</v>
      </c>
      <c r="P65" s="1">
        <f t="shared" si="1"/>
        <v>60</v>
      </c>
      <c r="Q65" s="1">
        <f t="shared" si="8"/>
        <v>266</v>
      </c>
      <c r="R65" s="1">
        <f t="shared" si="2"/>
        <v>266</v>
      </c>
      <c r="S65" s="8">
        <v>0</v>
      </c>
      <c r="T65" s="8">
        <v>266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1">
        <v>0</v>
      </c>
    </row>
    <row r="66" spans="1:31" ht="22" customHeight="1" x14ac:dyDescent="0.3">
      <c r="A66" s="1" t="s">
        <v>27</v>
      </c>
      <c r="B66" s="1" t="s">
        <v>116</v>
      </c>
      <c r="C66" s="1">
        <f>VLOOKUP(B66,'[4]项目编码  '!$B$1:$C$65536,2,FALSE)</f>
        <v>10880033216</v>
      </c>
      <c r="D66" s="1" t="str">
        <f>VLOOKUP(B66,[5]sheet!$C$1:$H$65536,6,FALSE)</f>
        <v>50</v>
      </c>
      <c r="E66" s="1" t="str">
        <f>VLOOKUP(B:B,[6]配额0227!$A:$B,2,0)</f>
        <v>变频外电脑板-FR-4</v>
      </c>
      <c r="F66" s="1" t="str">
        <f>VLOOKUP(B:B,'[7]厂家配额 (新)'!$A$1:$C$65536,3,0)</f>
        <v>和而泰/尚研//</v>
      </c>
      <c r="G66" s="1" t="str">
        <f>VLOOKUP(B66,[8]物料价格查询导出!$B:$I,8,FALSE)</f>
        <v>105.94</v>
      </c>
      <c r="H66" s="1">
        <f t="shared" si="6"/>
        <v>0</v>
      </c>
      <c r="I66" s="1">
        <f t="shared" si="7"/>
        <v>0</v>
      </c>
      <c r="J66" s="1"/>
      <c r="K66" s="1">
        <f>VLOOKUP(C66,'[1]Data (2)'!$A:$K,11,FALSE)</f>
        <v>11</v>
      </c>
      <c r="L66" s="1">
        <f>VLOOKUP(B66,'[2]2月份'!$A:$F,6,FALSE)</f>
        <v>354</v>
      </c>
      <c r="M66" s="1">
        <f t="shared" si="0"/>
        <v>365</v>
      </c>
      <c r="N66" s="1">
        <f>VLOOKUP(C66,[3]保留到5!$A:$B,2,FALSE)</f>
        <v>1503</v>
      </c>
      <c r="O66" s="1" t="s">
        <v>35</v>
      </c>
      <c r="P66" s="1">
        <f t="shared" si="1"/>
        <v>1868</v>
      </c>
      <c r="Q66" s="1">
        <f t="shared" si="8"/>
        <v>0</v>
      </c>
      <c r="R66" s="1">
        <f t="shared" si="2"/>
        <v>3600</v>
      </c>
      <c r="S66" s="8">
        <v>0</v>
      </c>
      <c r="T66" s="8">
        <v>0</v>
      </c>
      <c r="U66" s="8">
        <v>0</v>
      </c>
      <c r="V66" s="8">
        <v>1600</v>
      </c>
      <c r="W66" s="8">
        <v>0</v>
      </c>
      <c r="X66" s="8">
        <v>1500</v>
      </c>
      <c r="Y66" s="8">
        <v>500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1">
        <v>0</v>
      </c>
    </row>
    <row r="67" spans="1:31" ht="21" customHeight="1" x14ac:dyDescent="0.3">
      <c r="A67" s="1" t="s">
        <v>27</v>
      </c>
      <c r="B67" s="1" t="s">
        <v>117</v>
      </c>
      <c r="C67" s="1">
        <f>VLOOKUP(B67,'[4]项目编码  '!$B$1:$C$65536,2,FALSE)</f>
        <v>10880027958</v>
      </c>
      <c r="D67" s="1" t="str">
        <f>VLOOKUP(B67,[5]sheet!$C$1:$H$65536,6,FALSE)</f>
        <v>100</v>
      </c>
      <c r="E67" s="1" t="str">
        <f>VLOOKUP(B:B,[6]配额0227!$A:$B,2,0)</f>
        <v>变频外电脑板-FR-4</v>
      </c>
      <c r="F67" s="1" t="str">
        <f>VLOOKUP(B:B,'[7]厂家配额 (新)'!$A$1:$C$65536,3,0)</f>
        <v>和而泰</v>
      </c>
      <c r="G67" s="1" t="str">
        <f>VLOOKUP(B67,[8]物料价格查询导出!$B:$I,8,FALSE)</f>
        <v>108.85</v>
      </c>
      <c r="H67" s="1">
        <f t="shared" si="6"/>
        <v>21770</v>
      </c>
      <c r="I67" s="1">
        <f t="shared" si="7"/>
        <v>200</v>
      </c>
      <c r="J67" s="1">
        <f>VLOOKUP(C67,[1]Data!$A:$K,11,FALSE)</f>
        <v>5</v>
      </c>
      <c r="K67" s="1"/>
      <c r="L67" s="1">
        <f>VLOOKUP(B67,'[2]2月份'!$A:$F,6,FALSE)</f>
        <v>37</v>
      </c>
      <c r="M67" s="1">
        <f t="shared" ref="M67:M113" si="9">L67+K67</f>
        <v>37</v>
      </c>
      <c r="N67" s="1">
        <f>VLOOKUP(C67,[3]保留到5!$A:$B,2,FALSE)</f>
        <v>1390</v>
      </c>
      <c r="O67" s="1" t="s">
        <v>118</v>
      </c>
      <c r="P67" s="1">
        <f t="shared" ref="P67:P113" si="10">N67+M67-Q67</f>
        <v>1227</v>
      </c>
      <c r="Q67" s="1">
        <f t="shared" si="8"/>
        <v>200</v>
      </c>
      <c r="R67" s="1">
        <f t="shared" ref="R67:R113" si="11">SUM(S67:AE67)</f>
        <v>990</v>
      </c>
      <c r="S67" s="8">
        <v>0</v>
      </c>
      <c r="T67" s="8">
        <v>200</v>
      </c>
      <c r="U67" s="8">
        <v>790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1">
        <v>0</v>
      </c>
    </row>
    <row r="68" spans="1:31" ht="19" customHeight="1" x14ac:dyDescent="0.3">
      <c r="A68" s="1" t="s">
        <v>27</v>
      </c>
      <c r="B68" s="1" t="s">
        <v>119</v>
      </c>
      <c r="C68" s="1">
        <f>VLOOKUP(B68,'[4]项目编码  '!$B$1:$C$65536,2,FALSE)</f>
        <v>10880031304</v>
      </c>
      <c r="D68" s="1" t="str">
        <f>VLOOKUP(B68,[5]sheet!$C$1:$H$65536,6,FALSE)</f>
        <v>30</v>
      </c>
      <c r="E68" s="1" t="str">
        <f>VLOOKUP(B:B,[6]配额0227!$A:$B,2,0)</f>
        <v>室内电脑板-CEM-1</v>
      </c>
      <c r="F68" s="1" t="str">
        <f>VLOOKUP(B:B,'[7]厂家配额 (新)'!$A$1:$C$65536,3,0)</f>
        <v>领智/和而泰//</v>
      </c>
      <c r="G68" s="1" t="str">
        <f>VLOOKUP(B68,[8]物料价格查询导出!$B:$I,8,FALSE)</f>
        <v>38.30</v>
      </c>
      <c r="H68" s="1">
        <f t="shared" ref="H68:H99" si="12">I68*G68</f>
        <v>0</v>
      </c>
      <c r="I68" s="1">
        <f t="shared" ref="I68:I99" si="13">Q68*D68/100</f>
        <v>0</v>
      </c>
      <c r="J68" s="1">
        <f>VLOOKUP(C68,[1]Data!$A:$K,11,FALSE)</f>
        <v>13</v>
      </c>
      <c r="K68" s="1"/>
      <c r="L68" s="1">
        <f>VLOOKUP(B68,'[2]2月份'!$A:$F,6,FALSE)</f>
        <v>234</v>
      </c>
      <c r="M68" s="1">
        <f t="shared" si="9"/>
        <v>234</v>
      </c>
      <c r="N68" s="1"/>
      <c r="O68" s="1"/>
      <c r="P68" s="1">
        <f t="shared" si="10"/>
        <v>234</v>
      </c>
      <c r="Q68" s="1">
        <f t="shared" ref="Q68:Q99" si="14">SUM(T68)</f>
        <v>0</v>
      </c>
      <c r="R68" s="1">
        <f t="shared" si="11"/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1">
        <v>0</v>
      </c>
    </row>
    <row r="69" spans="1:31" ht="24" customHeight="1" x14ac:dyDescent="0.3">
      <c r="A69" s="1" t="s">
        <v>27</v>
      </c>
      <c r="B69" s="1" t="s">
        <v>120</v>
      </c>
      <c r="C69" s="1">
        <f>VLOOKUP(B69,'[4]项目编码  '!$B$1:$C$65536,2,FALSE)</f>
        <v>10880033217</v>
      </c>
      <c r="D69" s="1" t="str">
        <f>VLOOKUP(B69,[5]sheet!$C$1:$H$65536,6,FALSE)</f>
        <v>30</v>
      </c>
      <c r="E69" s="1" t="str">
        <f>VLOOKUP(B:B,[6]配额0227!$A:$B,2,0)</f>
        <v>室内电脑板-CEM-1</v>
      </c>
      <c r="F69" s="1" t="str">
        <f>VLOOKUP(B:B,'[7]厂家配额 (新)'!$A$1:$C$65536,3,0)</f>
        <v>和而泰/领智//</v>
      </c>
      <c r="G69" s="1" t="str">
        <f>VLOOKUP(B69,[8]物料价格查询导出!$B:$I,8,FALSE)</f>
        <v>40.02</v>
      </c>
      <c r="H69" s="1">
        <f t="shared" si="12"/>
        <v>0</v>
      </c>
      <c r="I69" s="1">
        <f t="shared" si="13"/>
        <v>0</v>
      </c>
      <c r="J69" s="1">
        <f>VLOOKUP(C69,[1]Data!$A:$K,11,FALSE)</f>
        <v>15</v>
      </c>
      <c r="K69" s="1">
        <f>VLOOKUP(C69,'[1]Data (2)'!$A:$K,11,FALSE)</f>
        <v>38</v>
      </c>
      <c r="L69" s="1"/>
      <c r="M69" s="1">
        <f t="shared" si="9"/>
        <v>38</v>
      </c>
      <c r="N69" s="1"/>
      <c r="O69" s="6" t="s">
        <v>121</v>
      </c>
      <c r="P69" s="1">
        <f t="shared" si="10"/>
        <v>38</v>
      </c>
      <c r="Q69" s="1">
        <f t="shared" si="14"/>
        <v>0</v>
      </c>
      <c r="R69" s="1">
        <f t="shared" si="11"/>
        <v>7375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1785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1">
        <v>5590</v>
      </c>
    </row>
    <row r="70" spans="1:31" ht="21" customHeight="1" x14ac:dyDescent="0.3">
      <c r="A70" s="1" t="s">
        <v>27</v>
      </c>
      <c r="B70" s="1" t="s">
        <v>122</v>
      </c>
      <c r="C70" s="1">
        <f>VLOOKUP(B70,'[4]项目编码  '!$B$1:$C$65536,2,FALSE)</f>
        <v>10880036434</v>
      </c>
      <c r="D70" s="1" t="str">
        <f>VLOOKUP(B70,[5]sheet!$C$1:$H$65536,6,FALSE)</f>
        <v>70</v>
      </c>
      <c r="E70" s="1" t="str">
        <f>VLOOKUP(B:B,[6]配额0227!$A:$B,2,0)</f>
        <v>变频外电脑板-FR-4</v>
      </c>
      <c r="F70" s="1" t="str">
        <f>VLOOKUP(B:B,'[7]厂家配额 (新)'!$A$1:$C$65536,3,0)</f>
        <v>和而泰/领智//</v>
      </c>
      <c r="G70" s="1" t="str">
        <f>VLOOKUP(B70,[8]物料价格查询导出!$B:$I,8,FALSE)</f>
        <v>104.46</v>
      </c>
      <c r="H70" s="1">
        <f t="shared" si="12"/>
        <v>0</v>
      </c>
      <c r="I70" s="1">
        <f t="shared" si="13"/>
        <v>0</v>
      </c>
      <c r="J70" s="1"/>
      <c r="K70" s="1"/>
      <c r="L70" s="1"/>
      <c r="M70" s="1">
        <f t="shared" si="9"/>
        <v>0</v>
      </c>
      <c r="N70" s="1">
        <f>VLOOKUP(C70,[3]保留到5!$A:$B,2,FALSE)</f>
        <v>900</v>
      </c>
      <c r="O70" s="1" t="s">
        <v>48</v>
      </c>
      <c r="P70" s="1">
        <f t="shared" si="10"/>
        <v>900</v>
      </c>
      <c r="Q70" s="1">
        <f t="shared" si="14"/>
        <v>0</v>
      </c>
      <c r="R70" s="1">
        <f t="shared" si="11"/>
        <v>1254</v>
      </c>
      <c r="S70" s="8">
        <v>944</v>
      </c>
      <c r="T70" s="8">
        <v>0</v>
      </c>
      <c r="U70" s="8">
        <v>250</v>
      </c>
      <c r="V70" s="8">
        <v>60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1">
        <v>0</v>
      </c>
    </row>
    <row r="71" spans="1:31" ht="21" customHeight="1" x14ac:dyDescent="0.3">
      <c r="A71" s="1" t="s">
        <v>27</v>
      </c>
      <c r="B71" s="1" t="s">
        <v>123</v>
      </c>
      <c r="C71" s="1">
        <f>VLOOKUP(B71,'[4]项目编码  '!$B$1:$C$65536,2,FALSE)</f>
        <v>10880036361</v>
      </c>
      <c r="D71" s="1" t="str">
        <f>VLOOKUP(B71,[5]sheet!$C$1:$H$65536,6,FALSE)</f>
        <v>30</v>
      </c>
      <c r="E71" s="1" t="str">
        <f>VLOOKUP(B:B,[6]配额0227!$A:$B,2,0)</f>
        <v>变频外电脑板-FR-4</v>
      </c>
      <c r="F71" s="1" t="str">
        <f>VLOOKUP(B:B,'[7]厂家配额 (新)'!$A$1:$C$65536,3,0)</f>
        <v>领智/和而泰//</v>
      </c>
      <c r="G71" s="1" t="str">
        <f>VLOOKUP(B71,[8]物料价格查询导出!$B:$I,8,FALSE)</f>
        <v>104.46</v>
      </c>
      <c r="H71" s="1">
        <f t="shared" si="12"/>
        <v>57160.512000000002</v>
      </c>
      <c r="I71" s="1">
        <f t="shared" si="13"/>
        <v>547.20000000000005</v>
      </c>
      <c r="J71" s="1"/>
      <c r="K71" s="1"/>
      <c r="L71" s="1"/>
      <c r="M71" s="1">
        <f t="shared" si="9"/>
        <v>0</v>
      </c>
      <c r="N71" s="1">
        <f>VLOOKUP(C71,[3]保留到5!$A:$B,2,FALSE)</f>
        <v>600</v>
      </c>
      <c r="O71" s="1" t="s">
        <v>48</v>
      </c>
      <c r="P71" s="1">
        <f t="shared" si="10"/>
        <v>-1224</v>
      </c>
      <c r="Q71" s="1">
        <f t="shared" si="14"/>
        <v>1824</v>
      </c>
      <c r="R71" s="1">
        <f t="shared" si="11"/>
        <v>1984</v>
      </c>
      <c r="S71" s="8">
        <v>0</v>
      </c>
      <c r="T71" s="8">
        <v>1824</v>
      </c>
      <c r="U71" s="8">
        <v>100</v>
      </c>
      <c r="V71" s="8">
        <v>60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1">
        <v>0</v>
      </c>
    </row>
    <row r="72" spans="1:31" ht="20" customHeight="1" x14ac:dyDescent="0.3">
      <c r="A72" s="1" t="s">
        <v>27</v>
      </c>
      <c r="B72" s="1" t="s">
        <v>124</v>
      </c>
      <c r="C72" s="1">
        <f>VLOOKUP(B72,'[4]项目编码  '!$B$1:$C$65536,2,FALSE)</f>
        <v>10880030596</v>
      </c>
      <c r="D72" s="1" t="str">
        <f>VLOOKUP(B72,[5]sheet!$C$1:$H$65536,6,FALSE)</f>
        <v>100</v>
      </c>
      <c r="E72" s="1" t="str">
        <f>VLOOKUP(B:B,[6]配额0227!$A:$B,2,0)</f>
        <v>变频外电脑板-FR-4300mm*180mm</v>
      </c>
      <c r="F72" s="1" t="str">
        <f>VLOOKUP(B:B,'[7]厂家配额 (新)'!$A$1:$C$65536,3,0)</f>
        <v>和而泰</v>
      </c>
      <c r="G72" s="1" t="str">
        <f>VLOOKUP(B72,[8]物料价格查询导出!$B:$I,8,FALSE)</f>
        <v>236.16</v>
      </c>
      <c r="H72" s="1">
        <f t="shared" si="12"/>
        <v>23616</v>
      </c>
      <c r="I72" s="1">
        <f t="shared" si="13"/>
        <v>100</v>
      </c>
      <c r="J72" s="1"/>
      <c r="K72" s="1"/>
      <c r="L72" s="1">
        <f>VLOOKUP(B72,'[2]2月份'!$A:$F,6,FALSE)</f>
        <v>1</v>
      </c>
      <c r="M72" s="1">
        <f t="shared" si="9"/>
        <v>1</v>
      </c>
      <c r="N72" s="1">
        <f>VLOOKUP(C72,[3]保留到5!$A:$B,2,FALSE)</f>
        <v>200</v>
      </c>
      <c r="O72" s="1" t="s">
        <v>125</v>
      </c>
      <c r="P72" s="1">
        <f t="shared" si="10"/>
        <v>101</v>
      </c>
      <c r="Q72" s="1">
        <f t="shared" si="14"/>
        <v>100</v>
      </c>
      <c r="R72" s="1">
        <f t="shared" si="11"/>
        <v>220</v>
      </c>
      <c r="S72" s="8">
        <v>0</v>
      </c>
      <c r="T72" s="8">
        <v>100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1">
        <v>120</v>
      </c>
    </row>
    <row r="73" spans="1:31" ht="20" customHeight="1" x14ac:dyDescent="0.3">
      <c r="A73" s="1" t="s">
        <v>27</v>
      </c>
      <c r="B73" s="1" t="s">
        <v>126</v>
      </c>
      <c r="C73" s="1">
        <f>VLOOKUP(B73,'[4]项目编码  '!$B$1:$C$65536,2,FALSE)</f>
        <v>10880031847</v>
      </c>
      <c r="D73" s="1" t="str">
        <f>VLOOKUP(B73,[5]sheet!$C$1:$H$65536,6,FALSE)</f>
        <v>30</v>
      </c>
      <c r="E73" s="1" t="str">
        <f>VLOOKUP(B:B,[6]配额0227!$A:$B,2,0)</f>
        <v>变频外电脑板-FR-4</v>
      </c>
      <c r="F73" s="1" t="str">
        <f>VLOOKUP(B:B,'[7]厂家配额 (新)'!$A$1:$C$65536,3,0)</f>
        <v>领智/和而泰//</v>
      </c>
      <c r="G73" s="1" t="str">
        <f>VLOOKUP(B73,[8]物料价格查询导出!$B:$I,8,FALSE)</f>
        <v>206.68</v>
      </c>
      <c r="H73" s="1">
        <f t="shared" si="12"/>
        <v>3100.2</v>
      </c>
      <c r="I73" s="1">
        <f t="shared" si="13"/>
        <v>15</v>
      </c>
      <c r="J73" s="1">
        <f>VLOOKUP(C73,[1]Data!$A:$K,11,FALSE)</f>
        <v>16</v>
      </c>
      <c r="K73" s="1"/>
      <c r="L73" s="1"/>
      <c r="M73" s="1">
        <f t="shared" si="9"/>
        <v>0</v>
      </c>
      <c r="N73" s="1"/>
      <c r="O73" s="1" t="s">
        <v>127</v>
      </c>
      <c r="P73" s="1">
        <f t="shared" si="10"/>
        <v>-50</v>
      </c>
      <c r="Q73" s="1">
        <f t="shared" si="14"/>
        <v>50</v>
      </c>
      <c r="R73" s="1">
        <f t="shared" si="11"/>
        <v>595</v>
      </c>
      <c r="S73" s="8">
        <v>0</v>
      </c>
      <c r="T73" s="8">
        <v>50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200</v>
      </c>
      <c r="AB73" s="8">
        <v>0</v>
      </c>
      <c r="AC73" s="8">
        <v>0</v>
      </c>
      <c r="AD73" s="8">
        <v>0</v>
      </c>
      <c r="AE73" s="1">
        <v>345</v>
      </c>
    </row>
    <row r="74" spans="1:31" ht="20" customHeight="1" x14ac:dyDescent="0.3">
      <c r="A74" s="1" t="s">
        <v>27</v>
      </c>
      <c r="B74" s="1" t="s">
        <v>128</v>
      </c>
      <c r="C74" s="1">
        <f>VLOOKUP(B74,'[4]项目编码  '!$B$1:$C$65536,2,FALSE)</f>
        <v>10880031856</v>
      </c>
      <c r="D74" s="1" t="str">
        <f>VLOOKUP(B74,[5]sheet!$C$1:$H$65536,6,FALSE)</f>
        <v>30</v>
      </c>
      <c r="E74" s="1" t="str">
        <f>VLOOKUP(B:B,[6]配额0227!$A:$B,2,0)</f>
        <v>变频外电脑板-FR-4</v>
      </c>
      <c r="F74" s="1" t="str">
        <f>VLOOKUP(B:B,'[7]厂家配额 (新)'!$A$1:$C$65536,3,0)</f>
        <v>领智/和而泰//</v>
      </c>
      <c r="G74" s="1" t="str">
        <f>VLOOKUP(B74,[8]物料价格查询导出!$B:$I,8,FALSE)</f>
        <v>191.93</v>
      </c>
      <c r="H74" s="1">
        <f t="shared" si="12"/>
        <v>0</v>
      </c>
      <c r="I74" s="1">
        <f t="shared" si="13"/>
        <v>0</v>
      </c>
      <c r="J74" s="1"/>
      <c r="K74" s="1"/>
      <c r="L74" s="1"/>
      <c r="M74" s="1">
        <f t="shared" si="9"/>
        <v>0</v>
      </c>
      <c r="N74" s="1"/>
      <c r="O74" s="1" t="s">
        <v>129</v>
      </c>
      <c r="P74" s="1">
        <f t="shared" si="10"/>
        <v>0</v>
      </c>
      <c r="Q74" s="1">
        <f t="shared" si="14"/>
        <v>0</v>
      </c>
      <c r="R74" s="1">
        <f t="shared" si="11"/>
        <v>320</v>
      </c>
      <c r="S74" s="8">
        <v>0</v>
      </c>
      <c r="T74" s="8">
        <v>0</v>
      </c>
      <c r="U74" s="8">
        <v>0</v>
      </c>
      <c r="V74" s="8">
        <v>12</v>
      </c>
      <c r="W74" s="8">
        <v>0</v>
      </c>
      <c r="X74" s="8">
        <v>0</v>
      </c>
      <c r="Y74" s="8">
        <v>0</v>
      </c>
      <c r="Z74" s="8">
        <v>0</v>
      </c>
      <c r="AA74" s="8">
        <v>38</v>
      </c>
      <c r="AB74" s="8">
        <v>0</v>
      </c>
      <c r="AC74" s="8">
        <v>0</v>
      </c>
      <c r="AD74" s="8">
        <v>0</v>
      </c>
      <c r="AE74" s="1">
        <v>270</v>
      </c>
    </row>
    <row r="75" spans="1:31" ht="21" customHeight="1" x14ac:dyDescent="0.3">
      <c r="A75" s="1" t="s">
        <v>27</v>
      </c>
      <c r="B75" s="1" t="s">
        <v>130</v>
      </c>
      <c r="C75" s="1">
        <f>VLOOKUP(B75,'[4]项目编码  '!$B$1:$C$65536,2,FALSE)</f>
        <v>10880030320</v>
      </c>
      <c r="D75" s="1" t="str">
        <f>VLOOKUP(B75,[5]sheet!$C$1:$H$65536,6,FALSE)</f>
        <v>100</v>
      </c>
      <c r="E75" s="1" t="str">
        <f>VLOOKUP(B:B,[6]配额0227!$A:$B,2,0)</f>
        <v>室内电脑板-FR-4136*165</v>
      </c>
      <c r="F75" s="1" t="str">
        <f>VLOOKUP(B:B,'[7]厂家配额 (新)'!$A$1:$C$65536,3,0)</f>
        <v>和而泰</v>
      </c>
      <c r="G75" s="1" t="str">
        <f>VLOOKUP(B75,[8]物料价格查询导出!$B:$I,8,FALSE)</f>
        <v>76.20</v>
      </c>
      <c r="H75" s="1">
        <f t="shared" si="12"/>
        <v>0</v>
      </c>
      <c r="I75" s="1">
        <f t="shared" si="13"/>
        <v>0</v>
      </c>
      <c r="J75" s="1"/>
      <c r="K75" s="1"/>
      <c r="L75" s="1">
        <f>VLOOKUP(B75,'[2]2月份'!$A:$F,6,FALSE)</f>
        <v>105</v>
      </c>
      <c r="M75" s="1">
        <f t="shared" si="9"/>
        <v>105</v>
      </c>
      <c r="N75" s="1">
        <f>VLOOKUP(C75,[3]保留到5!$A:$B,2,FALSE)</f>
        <v>6</v>
      </c>
      <c r="O75" s="1" t="s">
        <v>131</v>
      </c>
      <c r="P75" s="1">
        <f t="shared" si="10"/>
        <v>111</v>
      </c>
      <c r="Q75" s="1">
        <f t="shared" si="14"/>
        <v>0</v>
      </c>
      <c r="R75" s="1">
        <f t="shared" si="11"/>
        <v>180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130</v>
      </c>
      <c r="AC75" s="8">
        <v>0</v>
      </c>
      <c r="AD75" s="8">
        <v>0</v>
      </c>
      <c r="AE75" s="1">
        <v>50</v>
      </c>
    </row>
    <row r="76" spans="1:31" ht="20" customHeight="1" x14ac:dyDescent="0.3">
      <c r="A76" s="1" t="s">
        <v>27</v>
      </c>
      <c r="B76" s="1" t="s">
        <v>132</v>
      </c>
      <c r="C76" s="1">
        <f>VLOOKUP(B76,'[4]项目编码  '!$B$1:$C$65536,2,FALSE)</f>
        <v>10880031157</v>
      </c>
      <c r="D76" s="1" t="str">
        <f>VLOOKUP(B76,[5]sheet!$C$1:$H$65536,6,FALSE)</f>
        <v>30</v>
      </c>
      <c r="E76" s="1" t="str">
        <f>VLOOKUP(B:B,[6]配额0227!$A:$B,2,0)</f>
        <v>室内电脑板-FR-4</v>
      </c>
      <c r="F76" s="1" t="str">
        <f>VLOOKUP(B:B,'[7]厂家配额 (新)'!$A$1:$C$65536,3,0)</f>
        <v>领智/和而泰//</v>
      </c>
      <c r="G76" s="1" t="str">
        <f>VLOOKUP(B76,[8]物料价格查询导出!$B:$I,8,FALSE)</f>
        <v>72.95</v>
      </c>
      <c r="H76" s="1">
        <f t="shared" si="12"/>
        <v>0</v>
      </c>
      <c r="I76" s="1">
        <f t="shared" si="13"/>
        <v>0</v>
      </c>
      <c r="J76" s="1"/>
      <c r="K76" s="1"/>
      <c r="L76" s="1">
        <f>VLOOKUP(B76,'[2]2月份'!$A:$F,6,FALSE)</f>
        <v>65</v>
      </c>
      <c r="M76" s="1">
        <f t="shared" si="9"/>
        <v>65</v>
      </c>
      <c r="N76" s="1"/>
      <c r="O76" s="1" t="s">
        <v>82</v>
      </c>
      <c r="P76" s="1">
        <f t="shared" si="10"/>
        <v>65</v>
      </c>
      <c r="Q76" s="1">
        <f t="shared" si="14"/>
        <v>0</v>
      </c>
      <c r="R76" s="1">
        <f t="shared" si="11"/>
        <v>3101</v>
      </c>
      <c r="S76" s="8">
        <v>0</v>
      </c>
      <c r="T76" s="8">
        <v>0</v>
      </c>
      <c r="U76" s="8">
        <v>1</v>
      </c>
      <c r="V76" s="8">
        <v>0</v>
      </c>
      <c r="W76" s="8">
        <v>0</v>
      </c>
      <c r="X76" s="8">
        <v>0</v>
      </c>
      <c r="Y76" s="8">
        <v>0</v>
      </c>
      <c r="Z76" s="8">
        <v>210</v>
      </c>
      <c r="AA76" s="8">
        <v>2080</v>
      </c>
      <c r="AB76" s="8">
        <v>730</v>
      </c>
      <c r="AC76" s="8">
        <v>0</v>
      </c>
      <c r="AD76" s="8">
        <v>0</v>
      </c>
      <c r="AE76" s="1">
        <v>80</v>
      </c>
    </row>
    <row r="77" spans="1:31" ht="17" customHeight="1" x14ac:dyDescent="0.3">
      <c r="A77" s="1" t="s">
        <v>27</v>
      </c>
      <c r="B77" s="1" t="s">
        <v>133</v>
      </c>
      <c r="C77" s="1">
        <f>VLOOKUP(B77,'[4]项目编码  '!$B$1:$C$65536,2,FALSE)</f>
        <v>10880031160</v>
      </c>
      <c r="D77" s="1" t="str">
        <f>VLOOKUP(B77,[5]sheet!$C$1:$H$65536,6,FALSE)</f>
        <v>30</v>
      </c>
      <c r="E77" s="1" t="str">
        <f>VLOOKUP(B:B,[6]配额0227!$A:$B,2,0)</f>
        <v>室内电脑板-FR-4</v>
      </c>
      <c r="F77" s="1" t="str">
        <f>VLOOKUP(B:B,'[7]厂家配额 (新)'!$A$1:$C$65536,3,0)</f>
        <v>领智/和而泰//</v>
      </c>
      <c r="G77" s="1" t="str">
        <f>VLOOKUP(B77,[8]物料价格查询导出!$B:$I,8,FALSE)</f>
        <v>74.75</v>
      </c>
      <c r="H77" s="1">
        <f t="shared" si="12"/>
        <v>0</v>
      </c>
      <c r="I77" s="1">
        <f t="shared" si="13"/>
        <v>0</v>
      </c>
      <c r="J77" s="1"/>
      <c r="K77" s="1"/>
      <c r="L77" s="1"/>
      <c r="M77" s="1">
        <f t="shared" si="9"/>
        <v>0</v>
      </c>
      <c r="N77" s="1"/>
      <c r="O77" s="1" t="s">
        <v>134</v>
      </c>
      <c r="P77" s="1">
        <f t="shared" si="10"/>
        <v>0</v>
      </c>
      <c r="Q77" s="1">
        <f t="shared" si="14"/>
        <v>0</v>
      </c>
      <c r="R77" s="1">
        <f t="shared" si="11"/>
        <v>30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30</v>
      </c>
      <c r="AB77" s="8">
        <v>0</v>
      </c>
      <c r="AC77" s="8">
        <v>0</v>
      </c>
      <c r="AD77" s="8">
        <v>0</v>
      </c>
      <c r="AE77" s="1">
        <v>0</v>
      </c>
    </row>
    <row r="78" spans="1:31" ht="17" customHeight="1" x14ac:dyDescent="0.3">
      <c r="A78" s="1" t="s">
        <v>27</v>
      </c>
      <c r="B78" s="1" t="s">
        <v>135</v>
      </c>
      <c r="C78" s="1">
        <f>VLOOKUP(B78,'[4]项目编码  '!$B$1:$C$65536,2,FALSE)</f>
        <v>10880031161</v>
      </c>
      <c r="D78" s="1" t="str">
        <f>VLOOKUP(B78,[5]sheet!$C$1:$H$65536,6,FALSE)</f>
        <v>30</v>
      </c>
      <c r="E78" s="1" t="str">
        <f>VLOOKUP(B:B,[6]配额0227!$A:$B,2,0)</f>
        <v>室内电脑板-FR-4</v>
      </c>
      <c r="F78" s="1" t="str">
        <f>VLOOKUP(B:B,'[7]厂家配额 (新)'!$A$1:$C$65536,3,0)</f>
        <v>领智/和而泰//</v>
      </c>
      <c r="G78" s="1" t="str">
        <f>VLOOKUP(B78,[8]物料价格查询导出!$B:$I,8,FALSE)</f>
        <v>72.95</v>
      </c>
      <c r="H78" s="1">
        <f t="shared" si="12"/>
        <v>0</v>
      </c>
      <c r="I78" s="1">
        <f t="shared" si="13"/>
        <v>0</v>
      </c>
      <c r="J78" s="1"/>
      <c r="K78" s="1">
        <f>VLOOKUP(C78,'[1]Data (2)'!$A:$K,11,FALSE)</f>
        <v>1</v>
      </c>
      <c r="L78" s="1">
        <f>VLOOKUP(B78,'[2]2月份'!$A:$F,6,FALSE)</f>
        <v>175</v>
      </c>
      <c r="M78" s="1">
        <f t="shared" si="9"/>
        <v>176</v>
      </c>
      <c r="N78" s="1">
        <f>VLOOKUP(C78,[3]保留到5!$A:$B,2,FALSE)</f>
        <v>7</v>
      </c>
      <c r="O78" s="1" t="s">
        <v>136</v>
      </c>
      <c r="P78" s="1">
        <f t="shared" si="10"/>
        <v>183</v>
      </c>
      <c r="Q78" s="1">
        <f t="shared" si="14"/>
        <v>0</v>
      </c>
      <c r="R78" s="1">
        <f t="shared" si="11"/>
        <v>284</v>
      </c>
      <c r="S78" s="8">
        <v>0</v>
      </c>
      <c r="T78" s="8">
        <v>0</v>
      </c>
      <c r="U78" s="8">
        <v>4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280</v>
      </c>
      <c r="AC78" s="8">
        <v>0</v>
      </c>
      <c r="AD78" s="8">
        <v>0</v>
      </c>
      <c r="AE78" s="1">
        <v>0</v>
      </c>
    </row>
    <row r="79" spans="1:31" ht="26" customHeight="1" x14ac:dyDescent="0.3">
      <c r="A79" s="1" t="s">
        <v>27</v>
      </c>
      <c r="B79" s="1" t="s">
        <v>137</v>
      </c>
      <c r="C79" s="1">
        <f>VLOOKUP(B79,'[4]项目编码  '!$B$1:$C$65536,2,FALSE)</f>
        <v>10880029957</v>
      </c>
      <c r="D79" s="1" t="str">
        <f>VLOOKUP(B79,[5]sheet!$C$1:$H$65536,6,FALSE)</f>
        <v>50</v>
      </c>
      <c r="E79" s="1" t="str">
        <f>VLOOKUP(B:B,[6]配额0227!$A:$B,2,0)</f>
        <v>室内电脑板-/</v>
      </c>
      <c r="F79" s="1" t="str">
        <f>VLOOKUP(B:B,'[7]厂家配额 (新)'!$A$1:$C$65536,3,0)</f>
        <v>领智/和而泰//</v>
      </c>
      <c r="G79" s="1" t="str">
        <f>VLOOKUP(B79,[8]物料价格查询导出!$B:$I,8,FALSE)</f>
        <v>47.16</v>
      </c>
      <c r="H79" s="1">
        <f t="shared" si="12"/>
        <v>0</v>
      </c>
      <c r="I79" s="1">
        <f t="shared" si="13"/>
        <v>0</v>
      </c>
      <c r="J79" s="1"/>
      <c r="K79" s="1">
        <f>VLOOKUP(C79,'[1]Data (2)'!$A:$K,11,FALSE)</f>
        <v>2</v>
      </c>
      <c r="L79" s="1">
        <f>VLOOKUP(B79,'[2]2月份'!$A:$F,6,FALSE)</f>
        <v>238</v>
      </c>
      <c r="M79" s="1">
        <f t="shared" si="9"/>
        <v>240</v>
      </c>
      <c r="N79" s="1"/>
      <c r="O79" s="1" t="s">
        <v>138</v>
      </c>
      <c r="P79" s="1">
        <f t="shared" si="10"/>
        <v>240</v>
      </c>
      <c r="Q79" s="1">
        <f t="shared" si="14"/>
        <v>0</v>
      </c>
      <c r="R79" s="1">
        <f t="shared" si="11"/>
        <v>2371</v>
      </c>
      <c r="S79" s="8">
        <v>0</v>
      </c>
      <c r="T79" s="8">
        <v>0</v>
      </c>
      <c r="U79" s="8">
        <v>960</v>
      </c>
      <c r="V79" s="8">
        <v>0</v>
      </c>
      <c r="W79" s="8">
        <v>0</v>
      </c>
      <c r="X79" s="8">
        <v>0</v>
      </c>
      <c r="Y79" s="8">
        <v>0</v>
      </c>
      <c r="Z79" s="8">
        <v>240</v>
      </c>
      <c r="AA79" s="8">
        <v>0</v>
      </c>
      <c r="AB79" s="8">
        <v>0</v>
      </c>
      <c r="AC79" s="8">
        <v>0</v>
      </c>
      <c r="AD79" s="8">
        <v>0</v>
      </c>
      <c r="AE79" s="1">
        <v>1171</v>
      </c>
    </row>
    <row r="80" spans="1:31" ht="17" customHeight="1" x14ac:dyDescent="0.3">
      <c r="A80" s="1" t="s">
        <v>27</v>
      </c>
      <c r="B80" s="1" t="s">
        <v>139</v>
      </c>
      <c r="C80" s="1">
        <f>VLOOKUP(B80,'[4]项目编码  '!$B$1:$C$65536,2,FALSE)</f>
        <v>10880030784</v>
      </c>
      <c r="D80" s="1" t="str">
        <f>VLOOKUP(B80,[5]sheet!$C$1:$H$65536,6,FALSE)</f>
        <v>30</v>
      </c>
      <c r="E80" s="1" t="str">
        <f>VLOOKUP(B:B,[6]配额0227!$A:$B,2,0)</f>
        <v>室内电脑板-/</v>
      </c>
      <c r="F80" s="1" t="str">
        <f>VLOOKUP(B:B,'[7]厂家配额 (新)'!$A$1:$C$65536,3,0)</f>
        <v>和而泰/领智</v>
      </c>
      <c r="G80" s="1" t="str">
        <f>VLOOKUP(B80,[8]物料价格查询导出!$B:$I,8,FALSE)</f>
        <v>47.78</v>
      </c>
      <c r="H80" s="1">
        <f t="shared" si="12"/>
        <v>0</v>
      </c>
      <c r="I80" s="1">
        <f t="shared" si="13"/>
        <v>0</v>
      </c>
      <c r="J80" s="1">
        <f>VLOOKUP(C80,[1]Data!$A:$K,11,FALSE)</f>
        <v>4</v>
      </c>
      <c r="K80" s="1"/>
      <c r="L80" s="1">
        <f>VLOOKUP(B80,'[2]2月份'!$A:$F,6,FALSE)</f>
        <v>8</v>
      </c>
      <c r="M80" s="1">
        <f t="shared" si="9"/>
        <v>8</v>
      </c>
      <c r="N80" s="1"/>
      <c r="O80" s="1" t="s">
        <v>140</v>
      </c>
      <c r="P80" s="1">
        <f t="shared" si="10"/>
        <v>8</v>
      </c>
      <c r="Q80" s="1">
        <f t="shared" si="14"/>
        <v>0</v>
      </c>
      <c r="R80" s="1">
        <f t="shared" si="11"/>
        <v>350</v>
      </c>
      <c r="S80" s="8">
        <v>0</v>
      </c>
      <c r="T80" s="8">
        <v>0</v>
      </c>
      <c r="U80" s="8">
        <v>150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1">
        <v>200</v>
      </c>
    </row>
    <row r="81" spans="1:31" ht="25" customHeight="1" x14ac:dyDescent="0.3">
      <c r="A81" s="1" t="s">
        <v>27</v>
      </c>
      <c r="B81" s="1" t="s">
        <v>141</v>
      </c>
      <c r="C81" s="1">
        <f>VLOOKUP(B81,'[4]项目编码  '!$B$1:$C$65536,2,FALSE)</f>
        <v>10880030976</v>
      </c>
      <c r="D81" s="1" t="str">
        <f>VLOOKUP(B81,[5]sheet!$C$1:$H$65536,6,FALSE)</f>
        <v>30</v>
      </c>
      <c r="E81" s="1" t="str">
        <f>VLOOKUP(B:B,[6]配额0227!$A:$B,2,0)</f>
        <v>变频外电脑板-/</v>
      </c>
      <c r="F81" s="1" t="str">
        <f>VLOOKUP(B:B,'[7]厂家配额 (新)'!$A$1:$C$65536,3,0)</f>
        <v>领智/和而泰//</v>
      </c>
      <c r="G81" s="1" t="str">
        <f>VLOOKUP(B81,[8]物料价格查询导出!$B:$I,8,FALSE)</f>
        <v>136.84</v>
      </c>
      <c r="H81" s="1">
        <f t="shared" si="12"/>
        <v>0</v>
      </c>
      <c r="I81" s="1">
        <f t="shared" si="13"/>
        <v>0</v>
      </c>
      <c r="J81" s="1"/>
      <c r="K81" s="1"/>
      <c r="L81" s="1">
        <f>VLOOKUP(B81,'[2]2月份'!$A:$F,6,FALSE)</f>
        <v>21</v>
      </c>
      <c r="M81" s="1">
        <f t="shared" si="9"/>
        <v>21</v>
      </c>
      <c r="N81" s="1">
        <f>VLOOKUP(C81,[3]保留到5!$A:$B,2,FALSE)</f>
        <v>496</v>
      </c>
      <c r="O81" s="6" t="s">
        <v>61</v>
      </c>
      <c r="P81" s="1">
        <f t="shared" si="10"/>
        <v>517</v>
      </c>
      <c r="Q81" s="1">
        <f t="shared" si="14"/>
        <v>0</v>
      </c>
      <c r="R81" s="1">
        <f t="shared" si="11"/>
        <v>2241</v>
      </c>
      <c r="S81" s="8">
        <v>0</v>
      </c>
      <c r="T81" s="8">
        <v>0</v>
      </c>
      <c r="U81" s="8">
        <v>830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240</v>
      </c>
      <c r="AC81" s="8">
        <v>0</v>
      </c>
      <c r="AD81" s="8">
        <v>0</v>
      </c>
      <c r="AE81" s="1">
        <v>1171</v>
      </c>
    </row>
    <row r="82" spans="1:31" ht="30" customHeight="1" x14ac:dyDescent="0.3">
      <c r="A82" s="1" t="s">
        <v>27</v>
      </c>
      <c r="B82" s="1" t="s">
        <v>142</v>
      </c>
      <c r="C82" s="1">
        <f>VLOOKUP(B82,'[4]项目编码  '!$B$1:$C$65536,2,FALSE)</f>
        <v>10880033279</v>
      </c>
      <c r="D82" s="1" t="str">
        <f>VLOOKUP(B82,[5]sheet!$C$1:$H$65536,6,FALSE)</f>
        <v>70</v>
      </c>
      <c r="E82" s="1" t="str">
        <f>VLOOKUP(B:B,[6]配额0227!$A:$B,2,0)</f>
        <v>变频外电脑板</v>
      </c>
      <c r="F82" s="1" t="str">
        <f>VLOOKUP(B:B,'[7]厂家配额 (新)'!$A$1:$C$65536,3,0)</f>
        <v>和而泰/领智</v>
      </c>
      <c r="G82" s="1" t="str">
        <f>VLOOKUP(B82,[8]物料价格查询导出!$B:$I,8,FALSE)</f>
        <v>136.84</v>
      </c>
      <c r="H82" s="1">
        <f t="shared" si="12"/>
        <v>0</v>
      </c>
      <c r="I82" s="1">
        <f t="shared" si="13"/>
        <v>0</v>
      </c>
      <c r="J82" s="1">
        <f>VLOOKUP(C82,[1]Data!$A:$K,11,FALSE)</f>
        <v>13</v>
      </c>
      <c r="K82" s="1"/>
      <c r="L82" s="1">
        <f>VLOOKUP(B82,'[2]2月份'!$A:$F,6,FALSE)</f>
        <v>40</v>
      </c>
      <c r="M82" s="1">
        <f t="shared" si="9"/>
        <v>40</v>
      </c>
      <c r="N82" s="1"/>
      <c r="O82" s="6" t="s">
        <v>143</v>
      </c>
      <c r="P82" s="1">
        <f t="shared" si="10"/>
        <v>40</v>
      </c>
      <c r="Q82" s="1">
        <f t="shared" si="14"/>
        <v>0</v>
      </c>
      <c r="R82" s="1">
        <f t="shared" si="11"/>
        <v>465</v>
      </c>
      <c r="S82" s="8">
        <v>0</v>
      </c>
      <c r="T82" s="8">
        <v>0</v>
      </c>
      <c r="U82" s="8">
        <v>315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1">
        <v>150</v>
      </c>
    </row>
    <row r="83" spans="1:31" ht="22" customHeight="1" x14ac:dyDescent="0.3">
      <c r="A83" s="1" t="s">
        <v>27</v>
      </c>
      <c r="B83" s="1" t="s">
        <v>144</v>
      </c>
      <c r="C83" s="1">
        <f>VLOOKUP(B83,'[4]项目编码  '!$B$1:$C$65536,2,FALSE)</f>
        <v>10880030977</v>
      </c>
      <c r="D83" s="1" t="str">
        <f>VLOOKUP(B83,[5]sheet!$C$1:$H$65536,6,FALSE)</f>
        <v>30</v>
      </c>
      <c r="E83" s="1" t="str">
        <f>VLOOKUP(B:B,[6]配额0227!$A:$B,2,0)</f>
        <v>变频外电脑板-/</v>
      </c>
      <c r="F83" s="1" t="str">
        <f>VLOOKUP(B:B,'[7]厂家配额 (新)'!$A$1:$C$65536,3,0)</f>
        <v>和而泰/领智</v>
      </c>
      <c r="G83" s="1" t="str">
        <f>VLOOKUP(B83,[8]物料价格查询导出!$B:$I,8,FALSE)</f>
        <v>166.71</v>
      </c>
      <c r="H83" s="1">
        <f t="shared" si="12"/>
        <v>0</v>
      </c>
      <c r="I83" s="1">
        <f t="shared" si="13"/>
        <v>0</v>
      </c>
      <c r="J83" s="1"/>
      <c r="K83" s="1"/>
      <c r="L83" s="1">
        <f>VLOOKUP(B83,'[2]2月份'!$A:$F,6,FALSE)</f>
        <v>143</v>
      </c>
      <c r="M83" s="1">
        <f t="shared" si="9"/>
        <v>143</v>
      </c>
      <c r="N83" s="1"/>
      <c r="O83" s="1"/>
      <c r="P83" s="1">
        <f t="shared" si="10"/>
        <v>143</v>
      </c>
      <c r="Q83" s="1">
        <f t="shared" si="14"/>
        <v>0</v>
      </c>
      <c r="R83" s="1">
        <f t="shared" si="11"/>
        <v>200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1">
        <v>200</v>
      </c>
    </row>
    <row r="84" spans="1:31" ht="22" customHeight="1" x14ac:dyDescent="0.3">
      <c r="A84" s="1" t="s">
        <v>27</v>
      </c>
      <c r="B84" s="1" t="s">
        <v>145</v>
      </c>
      <c r="C84" s="1">
        <f>VLOOKUP(B84,'[4]项目编码  '!$B$1:$C$65536,2,FALSE)</f>
        <v>10880033280</v>
      </c>
      <c r="D84" s="1" t="str">
        <f>VLOOKUP(B84,[5]sheet!$C$1:$H$65536,6,FALSE)</f>
        <v>70</v>
      </c>
      <c r="E84" s="1" t="str">
        <f>VLOOKUP(B:B,[6]配额0227!$A:$B,2,0)</f>
        <v>变频外电脑板</v>
      </c>
      <c r="F84" s="1" t="str">
        <f>VLOOKUP(B:B,'[7]厂家配额 (新)'!$A$1:$C$65536,3,0)</f>
        <v>领智/和而泰//</v>
      </c>
      <c r="G84" s="1" t="str">
        <f>VLOOKUP(B84,[8]物料价格查询导出!$B:$I,8,FALSE)</f>
        <v>166.92</v>
      </c>
      <c r="H84" s="1">
        <f t="shared" si="12"/>
        <v>0</v>
      </c>
      <c r="I84" s="1">
        <f t="shared" si="13"/>
        <v>0</v>
      </c>
      <c r="J84" s="1">
        <f>VLOOKUP(C84,[1]Data!$A:$K,11,FALSE)</f>
        <v>5</v>
      </c>
      <c r="K84" s="1"/>
      <c r="L84" s="1"/>
      <c r="M84" s="1">
        <f t="shared" si="9"/>
        <v>0</v>
      </c>
      <c r="N84" s="1"/>
      <c r="O84" s="1" t="s">
        <v>125</v>
      </c>
      <c r="P84" s="1">
        <f t="shared" si="10"/>
        <v>0</v>
      </c>
      <c r="Q84" s="1">
        <f t="shared" si="14"/>
        <v>0</v>
      </c>
      <c r="R84" s="1">
        <f t="shared" si="11"/>
        <v>48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1">
        <v>48</v>
      </c>
    </row>
    <row r="85" spans="1:31" ht="28" x14ac:dyDescent="0.3">
      <c r="A85" s="1" t="s">
        <v>27</v>
      </c>
      <c r="B85" s="1" t="s">
        <v>146</v>
      </c>
      <c r="C85" s="1">
        <f>VLOOKUP(B85,'[4]项目编码  '!$B$1:$C$65536,2,FALSE)</f>
        <v>10880029958</v>
      </c>
      <c r="D85" s="1" t="str">
        <f>VLOOKUP(B85,[5]sheet!$C$1:$H$65536,6,FALSE)</f>
        <v>30</v>
      </c>
      <c r="E85" s="1" t="str">
        <f>VLOOKUP(B:B,[6]配额0227!$A:$B,2,0)</f>
        <v>显示板-LED</v>
      </c>
      <c r="F85" s="1" t="str">
        <f>VLOOKUP(B:B,'[7]厂家配额 (新)'!$A$1:$C$65536,3,0)</f>
        <v>领智/和而泰//</v>
      </c>
      <c r="G85" s="1" t="str">
        <f>VLOOKUP(B85,[8]物料价格查询导出!$B:$I,8,FALSE)</f>
        <v>7.37</v>
      </c>
      <c r="H85" s="1">
        <f t="shared" si="12"/>
        <v>8.8439999999999994</v>
      </c>
      <c r="I85" s="1">
        <f t="shared" si="13"/>
        <v>1.2</v>
      </c>
      <c r="J85" s="1">
        <f>VLOOKUP(C85,[1]Data!$A:$K,11,FALSE)</f>
        <v>323</v>
      </c>
      <c r="K85" s="1"/>
      <c r="L85" s="1">
        <f>VLOOKUP(B85,'[2]2月份'!$A:$F,6,FALSE)</f>
        <v>715</v>
      </c>
      <c r="M85" s="1">
        <f t="shared" si="9"/>
        <v>715</v>
      </c>
      <c r="N85" s="1"/>
      <c r="O85" s="6" t="s">
        <v>147</v>
      </c>
      <c r="P85" s="1">
        <f t="shared" si="10"/>
        <v>711</v>
      </c>
      <c r="Q85" s="1">
        <f t="shared" si="14"/>
        <v>4</v>
      </c>
      <c r="R85" s="1">
        <f t="shared" si="11"/>
        <v>2747</v>
      </c>
      <c r="S85" s="8">
        <v>0</v>
      </c>
      <c r="T85" s="8">
        <v>4</v>
      </c>
      <c r="U85" s="8">
        <v>1132</v>
      </c>
      <c r="V85" s="8">
        <v>0</v>
      </c>
      <c r="W85" s="8">
        <v>0</v>
      </c>
      <c r="X85" s="8">
        <v>0</v>
      </c>
      <c r="Y85" s="8">
        <v>0</v>
      </c>
      <c r="Z85" s="8">
        <v>240</v>
      </c>
      <c r="AA85" s="8">
        <v>0</v>
      </c>
      <c r="AB85" s="8">
        <v>0</v>
      </c>
      <c r="AC85" s="8">
        <v>0</v>
      </c>
      <c r="AD85" s="8">
        <v>0</v>
      </c>
      <c r="AE85" s="1">
        <v>1371</v>
      </c>
    </row>
    <row r="86" spans="1:31" ht="22" customHeight="1" x14ac:dyDescent="0.3">
      <c r="A86" s="1" t="s">
        <v>27</v>
      </c>
      <c r="B86" s="1" t="s">
        <v>148</v>
      </c>
      <c r="C86" s="1">
        <f>VLOOKUP(B86,'[4]项目编码  '!$B$1:$C$65536,2,FALSE)</f>
        <v>10880036764</v>
      </c>
      <c r="D86" s="1" t="str">
        <f>VLOOKUP(B86,[5]sheet!$C$1:$H$65536,6,FALSE)</f>
        <v>30</v>
      </c>
      <c r="E86" s="1" t="str">
        <f>VLOOKUP(B:B,[6]配额0227!$A:$B,2,0)</f>
        <v>室内电脑板-CEM-1165*136</v>
      </c>
      <c r="F86" s="1" t="str">
        <f>VLOOKUP(B:B,'[7]厂家配额 (新)'!$A$1:$C$65536,3,0)</f>
        <v>领智/和而泰//</v>
      </c>
      <c r="G86" s="1" t="str">
        <f>VLOOKUP(B86,[8]物料价格查询导出!$B:$I,8,FALSE)</f>
        <v>37.82</v>
      </c>
      <c r="H86" s="1">
        <f t="shared" si="12"/>
        <v>0</v>
      </c>
      <c r="I86" s="1">
        <f t="shared" si="13"/>
        <v>0</v>
      </c>
      <c r="J86" s="1"/>
      <c r="K86" s="1"/>
      <c r="L86" s="1">
        <f>VLOOKUP(B86,'[2]2月份'!$A:$F,6,FALSE)</f>
        <v>1590</v>
      </c>
      <c r="M86" s="1">
        <f t="shared" si="9"/>
        <v>1590</v>
      </c>
      <c r="N86" s="1"/>
      <c r="O86" s="1" t="s">
        <v>149</v>
      </c>
      <c r="P86" s="1">
        <f t="shared" si="10"/>
        <v>1590</v>
      </c>
      <c r="Q86" s="1">
        <f t="shared" si="14"/>
        <v>0</v>
      </c>
      <c r="R86" s="1">
        <f t="shared" si="11"/>
        <v>9333</v>
      </c>
      <c r="S86" s="8">
        <v>653</v>
      </c>
      <c r="T86" s="8">
        <v>0</v>
      </c>
      <c r="U86" s="8">
        <v>99</v>
      </c>
      <c r="V86" s="8">
        <v>0</v>
      </c>
      <c r="W86" s="8">
        <v>2</v>
      </c>
      <c r="X86" s="8">
        <v>0</v>
      </c>
      <c r="Y86" s="8">
        <v>0</v>
      </c>
      <c r="Z86" s="8">
        <v>882</v>
      </c>
      <c r="AA86" s="8">
        <v>35</v>
      </c>
      <c r="AB86" s="8">
        <v>0</v>
      </c>
      <c r="AC86" s="8">
        <v>0</v>
      </c>
      <c r="AD86" s="8">
        <v>0</v>
      </c>
      <c r="AE86" s="1">
        <v>7662</v>
      </c>
    </row>
    <row r="87" spans="1:31" ht="22" customHeight="1" x14ac:dyDescent="0.3">
      <c r="A87" s="1" t="s">
        <v>27</v>
      </c>
      <c r="B87" s="1" t="s">
        <v>150</v>
      </c>
      <c r="C87" s="1">
        <f>VLOOKUP(B87,'[4]项目编码  '!$B$1:$C$65536,2,FALSE)</f>
        <v>10880035534</v>
      </c>
      <c r="D87" s="1" t="str">
        <f>VLOOKUP(B87,[5]sheet!$C$1:$H$65536,6,FALSE)</f>
        <v>30</v>
      </c>
      <c r="E87" s="1" t="str">
        <f>VLOOKUP(B:B,[6]配额0227!$A:$B,2,0)</f>
        <v>室内电脑板-CEM-1</v>
      </c>
      <c r="F87" s="1" t="str">
        <f>VLOOKUP(B:B,'[7]厂家配额 (新)'!$A$1:$C$65536,3,0)</f>
        <v>领智/和而泰//</v>
      </c>
      <c r="G87" s="1" t="str">
        <f>VLOOKUP(B87,[8]物料价格查询导出!$B:$I,8,FALSE)</f>
        <v>41.44</v>
      </c>
      <c r="H87" s="1">
        <f t="shared" si="12"/>
        <v>0</v>
      </c>
      <c r="I87" s="1">
        <f t="shared" si="13"/>
        <v>0</v>
      </c>
      <c r="J87" s="1"/>
      <c r="K87" s="1"/>
      <c r="L87" s="1">
        <f>VLOOKUP(B87,'[2]2月份'!$A:$F,6,FALSE)</f>
        <v>423</v>
      </c>
      <c r="M87" s="1">
        <f t="shared" si="9"/>
        <v>423</v>
      </c>
      <c r="N87" s="1"/>
      <c r="O87" s="1" t="s">
        <v>82</v>
      </c>
      <c r="P87" s="1">
        <f t="shared" si="10"/>
        <v>423</v>
      </c>
      <c r="Q87" s="1">
        <f t="shared" si="14"/>
        <v>0</v>
      </c>
      <c r="R87" s="1">
        <f t="shared" si="11"/>
        <v>4401</v>
      </c>
      <c r="S87" s="8">
        <v>0</v>
      </c>
      <c r="T87" s="8">
        <v>0</v>
      </c>
      <c r="U87" s="8">
        <v>0</v>
      </c>
      <c r="V87" s="8">
        <v>0</v>
      </c>
      <c r="W87" s="8">
        <v>885</v>
      </c>
      <c r="X87" s="8">
        <v>0</v>
      </c>
      <c r="Y87" s="8">
        <v>175</v>
      </c>
      <c r="Z87" s="8">
        <v>1</v>
      </c>
      <c r="AA87" s="8">
        <v>3150</v>
      </c>
      <c r="AB87" s="8">
        <v>0</v>
      </c>
      <c r="AC87" s="8">
        <v>0</v>
      </c>
      <c r="AD87" s="8">
        <v>0</v>
      </c>
      <c r="AE87" s="1">
        <v>190</v>
      </c>
    </row>
    <row r="88" spans="1:31" ht="22" customHeight="1" x14ac:dyDescent="0.3">
      <c r="A88" s="1" t="s">
        <v>27</v>
      </c>
      <c r="B88" s="1" t="s">
        <v>151</v>
      </c>
      <c r="C88" s="1">
        <f>VLOOKUP(B88,'[4]项目编码  '!$B$1:$C$65536,2,FALSE)</f>
        <v>10880036325</v>
      </c>
      <c r="D88" s="1" t="str">
        <f>VLOOKUP(B88,[5]sheet!$C$1:$H$65536,6,FALSE)</f>
        <v>30</v>
      </c>
      <c r="E88" s="1" t="str">
        <f>VLOOKUP(B:B,[6]配额0227!$A:$B,2,0)</f>
        <v>室内电脑板-CEM-1165*136</v>
      </c>
      <c r="F88" s="1" t="str">
        <f>VLOOKUP(B:B,'[7]厂家配额 (新)'!$A$1:$C$65536,3,0)</f>
        <v>领智/和而泰//</v>
      </c>
      <c r="G88" s="1" t="str">
        <f>VLOOKUP(B88,[8]物料价格查询导出!$B:$I,8,FALSE)</f>
        <v>38.32</v>
      </c>
      <c r="H88" s="1">
        <f t="shared" si="12"/>
        <v>7299.96</v>
      </c>
      <c r="I88" s="1">
        <f t="shared" si="13"/>
        <v>190.5</v>
      </c>
      <c r="J88" s="1"/>
      <c r="K88" s="1">
        <f>VLOOKUP(C88,'[1]Data (2)'!$A:$K,11,FALSE)</f>
        <v>2</v>
      </c>
      <c r="L88" s="1">
        <f>VLOOKUP(B88,'[2]2月份'!$A:$F,6,FALSE)</f>
        <v>1466</v>
      </c>
      <c r="M88" s="1">
        <f t="shared" si="9"/>
        <v>1468</v>
      </c>
      <c r="N88" s="1">
        <f>VLOOKUP(C88,[3]保留到5!$A:$B,2,FALSE)</f>
        <v>11</v>
      </c>
      <c r="O88" s="1" t="s">
        <v>152</v>
      </c>
      <c r="P88" s="1">
        <f t="shared" si="10"/>
        <v>844</v>
      </c>
      <c r="Q88" s="1">
        <f t="shared" si="14"/>
        <v>635</v>
      </c>
      <c r="R88" s="1">
        <f t="shared" si="11"/>
        <v>7039</v>
      </c>
      <c r="S88" s="8">
        <v>0</v>
      </c>
      <c r="T88" s="8">
        <v>635</v>
      </c>
      <c r="U88" s="8">
        <v>290</v>
      </c>
      <c r="V88" s="8">
        <v>290</v>
      </c>
      <c r="W88" s="8">
        <v>0</v>
      </c>
      <c r="X88" s="8">
        <v>0</v>
      </c>
      <c r="Y88" s="8">
        <v>0</v>
      </c>
      <c r="Z88" s="8">
        <v>2680</v>
      </c>
      <c r="AA88" s="8">
        <v>0</v>
      </c>
      <c r="AB88" s="8">
        <v>285</v>
      </c>
      <c r="AC88" s="8">
        <v>0</v>
      </c>
      <c r="AD88" s="8">
        <v>0</v>
      </c>
      <c r="AE88" s="1">
        <v>2859</v>
      </c>
    </row>
    <row r="89" spans="1:31" ht="22" customHeight="1" x14ac:dyDescent="0.3">
      <c r="A89" s="1" t="s">
        <v>27</v>
      </c>
      <c r="B89" s="1" t="s">
        <v>153</v>
      </c>
      <c r="C89" s="1">
        <f>VLOOKUP(B89,'[4]项目编码  '!$B$1:$C$65536,2,FALSE)</f>
        <v>10880036760</v>
      </c>
      <c r="D89" s="1" t="str">
        <f>VLOOKUP(B89,[5]sheet!$C$1:$H$65536,6,FALSE)</f>
        <v>30</v>
      </c>
      <c r="E89" s="1" t="str">
        <f>VLOOKUP(B:B,[6]配额0227!$A:$B,2,0)</f>
        <v>室内电脑板-CEM-1155*136</v>
      </c>
      <c r="F89" s="1" t="str">
        <f>VLOOKUP(B:B,'[7]厂家配额 (新)'!$A$1:$C$65536,3,0)</f>
        <v>和而泰/领智//</v>
      </c>
      <c r="G89" s="1" t="str">
        <f>VLOOKUP(B89,[8]物料价格查询导出!$B:$I,8,FALSE)</f>
        <v>37.58</v>
      </c>
      <c r="H89" s="1">
        <f t="shared" si="12"/>
        <v>0</v>
      </c>
      <c r="I89" s="1">
        <f t="shared" si="13"/>
        <v>0</v>
      </c>
      <c r="J89" s="1"/>
      <c r="K89" s="1">
        <f>VLOOKUP(C89,'[1]Data (2)'!$A:$K,11,FALSE)</f>
        <v>13</v>
      </c>
      <c r="L89" s="1">
        <f>VLOOKUP(B89,'[2]2月份'!$A:$F,6,FALSE)</f>
        <v>3727</v>
      </c>
      <c r="M89" s="1">
        <f t="shared" si="9"/>
        <v>3740</v>
      </c>
      <c r="N89" s="1">
        <f>VLOOKUP(C89,[3]保留到5!$A:$B,2,FALSE)</f>
        <v>9</v>
      </c>
      <c r="O89" s="1" t="s">
        <v>154</v>
      </c>
      <c r="P89" s="1">
        <f t="shared" si="10"/>
        <v>3749</v>
      </c>
      <c r="Q89" s="1">
        <f t="shared" si="14"/>
        <v>0</v>
      </c>
      <c r="R89" s="1">
        <f t="shared" si="11"/>
        <v>15383</v>
      </c>
      <c r="S89" s="8">
        <v>1794</v>
      </c>
      <c r="T89" s="8">
        <v>0</v>
      </c>
      <c r="U89" s="8">
        <v>0</v>
      </c>
      <c r="V89" s="8">
        <v>1340</v>
      </c>
      <c r="W89" s="8">
        <v>134</v>
      </c>
      <c r="X89" s="8">
        <v>2825</v>
      </c>
      <c r="Y89" s="8">
        <v>0</v>
      </c>
      <c r="Z89" s="8">
        <v>1075</v>
      </c>
      <c r="AA89" s="8">
        <v>0</v>
      </c>
      <c r="AB89" s="8">
        <v>3130</v>
      </c>
      <c r="AC89" s="8">
        <v>600</v>
      </c>
      <c r="AD89" s="8">
        <v>0</v>
      </c>
      <c r="AE89" s="1">
        <v>4485</v>
      </c>
    </row>
    <row r="90" spans="1:31" ht="22" customHeight="1" x14ac:dyDescent="0.3">
      <c r="A90" s="1" t="s">
        <v>27</v>
      </c>
      <c r="B90" s="1" t="s">
        <v>155</v>
      </c>
      <c r="C90" s="1">
        <f>VLOOKUP(B90,'[4]项目编码  '!$B$1:$C$65536,2,FALSE)</f>
        <v>10880036761</v>
      </c>
      <c r="D90" s="1" t="str">
        <f>VLOOKUP(B90,[5]sheet!$C$1:$H$65536,6,FALSE)</f>
        <v>30</v>
      </c>
      <c r="E90" s="1" t="str">
        <f>VLOOKUP(B:B,[6]配额0227!$A:$B,2,0)</f>
        <v>室内电脑板-CEM-1165*136</v>
      </c>
      <c r="F90" s="1" t="str">
        <f>VLOOKUP(B:B,'[7]厂家配额 (新)'!$A$1:$C$65536,3,0)</f>
        <v>领智/和而泰//</v>
      </c>
      <c r="G90" s="1" t="str">
        <f>VLOOKUP(B90,[8]物料价格查询导出!$B:$I,8,FALSE)</f>
        <v>42.28</v>
      </c>
      <c r="H90" s="1">
        <f t="shared" si="12"/>
        <v>0</v>
      </c>
      <c r="I90" s="1">
        <f t="shared" si="13"/>
        <v>0</v>
      </c>
      <c r="J90" s="1">
        <f>VLOOKUP(C90,[1]Data!$A:$K,11,FALSE)</f>
        <v>1</v>
      </c>
      <c r="K90" s="1"/>
      <c r="L90" s="1">
        <f>VLOOKUP(B90,'[2]2月份'!$A:$F,6,FALSE)</f>
        <v>152</v>
      </c>
      <c r="M90" s="1">
        <f t="shared" si="9"/>
        <v>152</v>
      </c>
      <c r="N90" s="1"/>
      <c r="O90" s="1" t="s">
        <v>156</v>
      </c>
      <c r="P90" s="1">
        <f t="shared" si="10"/>
        <v>152</v>
      </c>
      <c r="Q90" s="1">
        <f t="shared" si="14"/>
        <v>0</v>
      </c>
      <c r="R90" s="1">
        <f t="shared" si="11"/>
        <v>1661</v>
      </c>
      <c r="S90" s="8">
        <v>129</v>
      </c>
      <c r="T90" s="8">
        <v>0</v>
      </c>
      <c r="U90" s="8">
        <v>2</v>
      </c>
      <c r="V90" s="8">
        <v>20</v>
      </c>
      <c r="W90" s="8">
        <v>1410</v>
      </c>
      <c r="X90" s="8">
        <v>0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1">
        <v>100</v>
      </c>
    </row>
    <row r="91" spans="1:31" ht="22" customHeight="1" x14ac:dyDescent="0.3">
      <c r="A91" s="1" t="s">
        <v>27</v>
      </c>
      <c r="B91" s="1" t="s">
        <v>157</v>
      </c>
      <c r="C91" s="1">
        <f>VLOOKUP(B91,'[4]项目编码  '!$B$1:$C$65536,2,FALSE)</f>
        <v>10880035512</v>
      </c>
      <c r="D91" s="1" t="str">
        <f>VLOOKUP(B91,[5]sheet!$C$1:$H$65536,6,FALSE)</f>
        <v>70</v>
      </c>
      <c r="E91" s="1" t="str">
        <f>VLOOKUP(B:B,[6]配额0227!$A:$B,2,0)</f>
        <v>室内电脑板-FR-4162mm*130mm</v>
      </c>
      <c r="F91" s="1" t="str">
        <f>VLOOKUP(B:B,'[7]厂家配额 (新)'!$A$1:$C$65536,3,0)</f>
        <v>领智/和而泰//</v>
      </c>
      <c r="G91" s="1" t="str">
        <f>VLOOKUP(B91,[8]物料价格查询导出!$B:$I,8,FALSE)</f>
        <v>43.53</v>
      </c>
      <c r="H91" s="1">
        <f t="shared" si="12"/>
        <v>0</v>
      </c>
      <c r="I91" s="1">
        <f t="shared" si="13"/>
        <v>0</v>
      </c>
      <c r="J91" s="1"/>
      <c r="K91" s="1"/>
      <c r="L91" s="1">
        <f>VLOOKUP(B91,'[2]2月份'!$A:$F,6,FALSE)</f>
        <v>24</v>
      </c>
      <c r="M91" s="1">
        <f t="shared" si="9"/>
        <v>24</v>
      </c>
      <c r="N91" s="1"/>
      <c r="O91" s="1" t="s">
        <v>158</v>
      </c>
      <c r="P91" s="1">
        <f t="shared" si="10"/>
        <v>24</v>
      </c>
      <c r="Q91" s="1">
        <f t="shared" si="14"/>
        <v>0</v>
      </c>
      <c r="R91" s="1">
        <f t="shared" si="11"/>
        <v>1890</v>
      </c>
      <c r="S91" s="8">
        <v>0</v>
      </c>
      <c r="T91" s="8">
        <v>0</v>
      </c>
      <c r="U91" s="8">
        <v>0</v>
      </c>
      <c r="V91" s="8">
        <v>0</v>
      </c>
      <c r="W91" s="8">
        <v>0</v>
      </c>
      <c r="X91" s="8">
        <v>900</v>
      </c>
      <c r="Y91" s="8">
        <v>360</v>
      </c>
      <c r="Z91" s="8">
        <v>0</v>
      </c>
      <c r="AA91" s="8">
        <v>0</v>
      </c>
      <c r="AB91" s="8">
        <v>630</v>
      </c>
      <c r="AC91" s="8">
        <v>0</v>
      </c>
      <c r="AD91" s="8">
        <v>0</v>
      </c>
      <c r="AE91" s="1">
        <v>0</v>
      </c>
    </row>
    <row r="92" spans="1:31" ht="21" customHeight="1" x14ac:dyDescent="0.3">
      <c r="A92" s="1" t="s">
        <v>27</v>
      </c>
      <c r="B92" s="1" t="s">
        <v>159</v>
      </c>
      <c r="C92" s="1">
        <f>VLOOKUP(B92,'[4]项目编码  '!$B$1:$C$65536,2,FALSE)</f>
        <v>10880036348</v>
      </c>
      <c r="D92" s="1" t="str">
        <f>VLOOKUP(B92,[5]sheet!$C$1:$H$65536,6,FALSE)</f>
        <v>70</v>
      </c>
      <c r="E92" s="1" t="str">
        <f>VLOOKUP(B:B,[6]配额0227!$A:$B,2,0)</f>
        <v>室内电脑板-FR-4165*136</v>
      </c>
      <c r="F92" s="1" t="str">
        <f>VLOOKUP(B:B,'[7]厂家配额 (新)'!$A$1:$C$65536,3,0)</f>
        <v>和而泰/领智//</v>
      </c>
      <c r="G92" s="1" t="str">
        <f>VLOOKUP(B92,[8]物料价格查询导出!$B:$I,8,FALSE)</f>
        <v>40.30</v>
      </c>
      <c r="H92" s="1">
        <f t="shared" si="12"/>
        <v>0</v>
      </c>
      <c r="I92" s="1">
        <f t="shared" si="13"/>
        <v>0</v>
      </c>
      <c r="J92" s="1"/>
      <c r="K92" s="1">
        <f>VLOOKUP(C92,'[1]Data (2)'!$A:$K,11,FALSE)</f>
        <v>7</v>
      </c>
      <c r="L92" s="1"/>
      <c r="M92" s="1">
        <f t="shared" si="9"/>
        <v>7</v>
      </c>
      <c r="N92" s="1">
        <f>VLOOKUP(C92,[3]保留到5!$A:$B,2,FALSE)</f>
        <v>1000</v>
      </c>
      <c r="O92" s="1" t="s">
        <v>160</v>
      </c>
      <c r="P92" s="1">
        <f t="shared" si="10"/>
        <v>1007</v>
      </c>
      <c r="Q92" s="1">
        <f t="shared" si="14"/>
        <v>0</v>
      </c>
      <c r="R92" s="1">
        <f t="shared" si="11"/>
        <v>5244</v>
      </c>
      <c r="S92" s="8">
        <v>0</v>
      </c>
      <c r="T92" s="8">
        <v>0</v>
      </c>
      <c r="U92" s="8">
        <v>4</v>
      </c>
      <c r="V92" s="8">
        <v>0</v>
      </c>
      <c r="W92" s="8">
        <v>4620</v>
      </c>
      <c r="X92" s="8">
        <v>0</v>
      </c>
      <c r="Y92" s="8">
        <v>120</v>
      </c>
      <c r="Z92" s="8">
        <v>100</v>
      </c>
      <c r="AA92" s="8">
        <v>0</v>
      </c>
      <c r="AB92" s="8">
        <v>0</v>
      </c>
      <c r="AC92" s="8">
        <v>0</v>
      </c>
      <c r="AD92" s="8">
        <v>0</v>
      </c>
      <c r="AE92" s="1">
        <v>400</v>
      </c>
    </row>
    <row r="93" spans="1:31" ht="28" x14ac:dyDescent="0.3">
      <c r="A93" s="1" t="s">
        <v>27</v>
      </c>
      <c r="B93" s="1" t="s">
        <v>161</v>
      </c>
      <c r="C93" s="1">
        <f>VLOOKUP(B93,'[4]项目编码  '!$B$1:$C$65536,2,FALSE)</f>
        <v>10880036349</v>
      </c>
      <c r="D93" s="1" t="str">
        <f>VLOOKUP(B93,[5]sheet!$C$1:$H$65536,6,FALSE)</f>
        <v>70</v>
      </c>
      <c r="E93" s="1" t="str">
        <f>VLOOKUP(B:B,[6]配额0227!$A:$B,2,0)</f>
        <v>室内电脑板-FR-4165*136</v>
      </c>
      <c r="F93" s="1" t="str">
        <f>VLOOKUP(B:B,'[7]厂家配额 (新)'!$A$1:$C$65536,3,0)</f>
        <v>领智/和而泰//</v>
      </c>
      <c r="G93" s="1" t="str">
        <f>VLOOKUP(B93,[8]物料价格查询导出!$B:$I,8,FALSE)</f>
        <v>38.13</v>
      </c>
      <c r="H93" s="1">
        <f t="shared" si="12"/>
        <v>0</v>
      </c>
      <c r="I93" s="1">
        <f t="shared" si="13"/>
        <v>0</v>
      </c>
      <c r="J93" s="1"/>
      <c r="K93" s="1"/>
      <c r="L93" s="1"/>
      <c r="M93" s="1">
        <f t="shared" si="9"/>
        <v>0</v>
      </c>
      <c r="N93" s="1"/>
      <c r="O93" s="6" t="s">
        <v>162</v>
      </c>
      <c r="P93" s="1">
        <f t="shared" si="10"/>
        <v>0</v>
      </c>
      <c r="Q93" s="1">
        <f t="shared" si="14"/>
        <v>0</v>
      </c>
      <c r="R93" s="1">
        <f t="shared" si="11"/>
        <v>6104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2295</v>
      </c>
      <c r="AB93" s="8">
        <v>1427</v>
      </c>
      <c r="AC93" s="8">
        <v>0</v>
      </c>
      <c r="AD93" s="8">
        <v>0</v>
      </c>
      <c r="AE93" s="1">
        <v>2382</v>
      </c>
    </row>
    <row r="94" spans="1:31" ht="20" customHeight="1" x14ac:dyDescent="0.3">
      <c r="A94" s="1" t="s">
        <v>27</v>
      </c>
      <c r="B94" s="1" t="s">
        <v>163</v>
      </c>
      <c r="C94" s="1">
        <f>VLOOKUP(B94,'[4]项目编码  '!$B$1:$C$65536,2,FALSE)</f>
        <v>10880033911</v>
      </c>
      <c r="D94" s="1" t="str">
        <f>VLOOKUP(B94,[5]sheet!$C$1:$H$65536,6,FALSE)</f>
        <v>30</v>
      </c>
      <c r="E94" s="1" t="str">
        <f>VLOOKUP(B:B,[6]配额0227!$A:$B,2,0)</f>
        <v>显示板-LED</v>
      </c>
      <c r="F94" s="1" t="str">
        <f>VLOOKUP(B:B,'[7]厂家配额 (新)'!$A$1:$C$65536,3,0)</f>
        <v>和而泰/领智</v>
      </c>
      <c r="G94" s="1" t="str">
        <f>VLOOKUP(B94,[8]物料价格查询导出!$B:$I,8,FALSE)</f>
        <v>9.34</v>
      </c>
      <c r="H94" s="1">
        <f t="shared" si="12"/>
        <v>0</v>
      </c>
      <c r="I94" s="1">
        <f t="shared" si="13"/>
        <v>0</v>
      </c>
      <c r="J94" s="1">
        <f>VLOOKUP(C94,[1]Data!$A:$K,11,FALSE)</f>
        <v>11</v>
      </c>
      <c r="K94" s="1">
        <f>VLOOKUP(C94,'[1]Data (2)'!$A:$K,11,FALSE)</f>
        <v>300</v>
      </c>
      <c r="L94" s="1">
        <f>VLOOKUP(B94,'[2]2月份'!$A:$F,6,FALSE)</f>
        <v>5</v>
      </c>
      <c r="M94" s="1">
        <f t="shared" si="9"/>
        <v>305</v>
      </c>
      <c r="N94" s="1"/>
      <c r="O94" s="1" t="s">
        <v>48</v>
      </c>
      <c r="P94" s="1">
        <f t="shared" si="10"/>
        <v>305</v>
      </c>
      <c r="Q94" s="1">
        <f t="shared" si="14"/>
        <v>0</v>
      </c>
      <c r="R94" s="1">
        <f t="shared" si="11"/>
        <v>854</v>
      </c>
      <c r="S94" s="8">
        <v>0</v>
      </c>
      <c r="T94" s="8">
        <v>0</v>
      </c>
      <c r="U94" s="8">
        <v>656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1">
        <v>198</v>
      </c>
    </row>
    <row r="95" spans="1:31" ht="17" customHeight="1" x14ac:dyDescent="0.3">
      <c r="A95" s="1" t="s">
        <v>27</v>
      </c>
      <c r="B95" s="1" t="s">
        <v>164</v>
      </c>
      <c r="C95" s="1">
        <f>VLOOKUP(B95,'[4]项目编码  '!$B$1:$C$65536,2,FALSE)</f>
        <v>10880030931</v>
      </c>
      <c r="D95" s="1" t="str">
        <f>VLOOKUP(B95,[5]sheet!$C$1:$H$65536,6,FALSE)</f>
        <v>70</v>
      </c>
      <c r="E95" s="1" t="str">
        <f>VLOOKUP(B:B,[6]配额0227!$A:$B,2,0)</f>
        <v>室内电脑板-FR-4136*165</v>
      </c>
      <c r="F95" s="1" t="str">
        <f>VLOOKUP(B:B,'[7]厂家配额 (新)'!$A$1:$C$65536,3,0)</f>
        <v>和而泰/领智//</v>
      </c>
      <c r="G95" s="1" t="str">
        <f>VLOOKUP(B95,[8]物料价格查询导出!$B:$I,8,FALSE)</f>
        <v>51.02</v>
      </c>
      <c r="H95" s="1">
        <f t="shared" si="12"/>
        <v>0</v>
      </c>
      <c r="I95" s="1">
        <f t="shared" si="13"/>
        <v>0</v>
      </c>
      <c r="J95" s="1"/>
      <c r="K95" s="1"/>
      <c r="L95" s="1">
        <f>VLOOKUP(B95,'[2]2月份'!$A:$F,6,FALSE)</f>
        <v>280</v>
      </c>
      <c r="M95" s="1">
        <f t="shared" si="9"/>
        <v>280</v>
      </c>
      <c r="N95" s="1">
        <f>VLOOKUP(C95,[3]保留到5!$A:$B,2,FALSE)</f>
        <v>200</v>
      </c>
      <c r="O95" s="1" t="s">
        <v>165</v>
      </c>
      <c r="P95" s="1">
        <f t="shared" si="10"/>
        <v>480</v>
      </c>
      <c r="Q95" s="1">
        <f t="shared" si="14"/>
        <v>0</v>
      </c>
      <c r="R95" s="1">
        <f t="shared" si="11"/>
        <v>490</v>
      </c>
      <c r="S95" s="8">
        <v>0</v>
      </c>
      <c r="T95" s="8">
        <v>0</v>
      </c>
      <c r="U95" s="8">
        <v>196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98</v>
      </c>
      <c r="AD95" s="8">
        <v>0</v>
      </c>
      <c r="AE95" s="1">
        <v>196</v>
      </c>
    </row>
    <row r="96" spans="1:31" ht="19" customHeight="1" x14ac:dyDescent="0.3">
      <c r="A96" s="1" t="s">
        <v>27</v>
      </c>
      <c r="B96" s="1" t="s">
        <v>166</v>
      </c>
      <c r="C96" s="1">
        <f>VLOOKUP(B96,'[4]项目编码  '!$B$1:$C$65536,2,FALSE)</f>
        <v>10880036480</v>
      </c>
      <c r="D96" s="1" t="str">
        <f>VLOOKUP(B96,[5]sheet!$C$1:$H$65536,6,FALSE)</f>
        <v>70</v>
      </c>
      <c r="E96" s="1" t="str">
        <f>VLOOKUP(B:B,[6]配额0227!$A:$B,2,0)</f>
        <v>变频外电脑板-FR-4</v>
      </c>
      <c r="F96" s="1" t="str">
        <f>VLOOKUP(B:B,'[7]厂家配额 (新)'!$A$1:$C$65536,3,0)</f>
        <v>和而泰/航嘉//</v>
      </c>
      <c r="G96" s="1" t="str">
        <f>VLOOKUP(B96,[8]物料价格查询导出!$B:$I,8,FALSE)</f>
        <v>129.98</v>
      </c>
      <c r="H96" s="1">
        <f t="shared" si="12"/>
        <v>0</v>
      </c>
      <c r="I96" s="1">
        <f t="shared" si="13"/>
        <v>0</v>
      </c>
      <c r="J96" s="1"/>
      <c r="K96" s="1"/>
      <c r="L96" s="1">
        <f>VLOOKUP(B96,'[2]2月份'!$A:$F,6,FALSE)</f>
        <v>29</v>
      </c>
      <c r="M96" s="1">
        <f t="shared" si="9"/>
        <v>29</v>
      </c>
      <c r="N96" s="1"/>
      <c r="O96" s="1" t="s">
        <v>167</v>
      </c>
      <c r="P96" s="1">
        <f t="shared" si="10"/>
        <v>29</v>
      </c>
      <c r="Q96" s="1">
        <f t="shared" si="14"/>
        <v>0</v>
      </c>
      <c r="R96" s="1">
        <f t="shared" si="11"/>
        <v>940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1">
        <v>940</v>
      </c>
    </row>
    <row r="97" spans="1:31" ht="19" customHeight="1" x14ac:dyDescent="0.3">
      <c r="A97" s="1" t="s">
        <v>27</v>
      </c>
      <c r="B97" s="1" t="s">
        <v>168</v>
      </c>
      <c r="C97" s="1">
        <f>VLOOKUP(B97,'[4]项目编码  '!$B$1:$C$65536,2,FALSE)</f>
        <v>10880035653</v>
      </c>
      <c r="D97" s="1" t="str">
        <f>VLOOKUP(B97,[5]sheet!$C$1:$H$65536,6,FALSE)</f>
        <v>30</v>
      </c>
      <c r="E97" s="1" t="str">
        <f>VLOOKUP(B:B,[6]配额0227!$A:$B,2,0)</f>
        <v>变频外电脑板-FR-4</v>
      </c>
      <c r="F97" s="1" t="str">
        <f>VLOOKUP(B:B,'[7]厂家配额 (新)'!$A$1:$C$65536,3,0)</f>
        <v>领智/和而泰//</v>
      </c>
      <c r="G97" s="1" t="str">
        <f>VLOOKUP(B97,[8]物料价格查询导出!$B:$I,8,FALSE)</f>
        <v>131.06</v>
      </c>
      <c r="H97" s="1">
        <f t="shared" si="12"/>
        <v>37941.870000000003</v>
      </c>
      <c r="I97" s="1">
        <f t="shared" si="13"/>
        <v>289.5</v>
      </c>
      <c r="J97" s="1"/>
      <c r="K97" s="1"/>
      <c r="L97" s="1">
        <f>VLOOKUP(B97,'[2]2月份'!$A:$F,6,FALSE)</f>
        <v>26</v>
      </c>
      <c r="M97" s="1">
        <f t="shared" si="9"/>
        <v>26</v>
      </c>
      <c r="N97" s="1">
        <f>VLOOKUP(C97,[3]保留到5!$A:$B,2,FALSE)</f>
        <v>1000</v>
      </c>
      <c r="O97" s="1" t="s">
        <v>169</v>
      </c>
      <c r="P97" s="1">
        <f t="shared" si="10"/>
        <v>61</v>
      </c>
      <c r="Q97" s="1">
        <f t="shared" si="14"/>
        <v>965</v>
      </c>
      <c r="R97" s="1">
        <f t="shared" si="11"/>
        <v>4175</v>
      </c>
      <c r="S97" s="8">
        <v>0</v>
      </c>
      <c r="T97" s="8">
        <v>965</v>
      </c>
      <c r="U97" s="8">
        <v>0</v>
      </c>
      <c r="V97" s="8">
        <v>1820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1">
        <v>1390</v>
      </c>
    </row>
    <row r="98" spans="1:31" ht="22" customHeight="1" x14ac:dyDescent="0.3">
      <c r="A98" s="1" t="s">
        <v>27</v>
      </c>
      <c r="B98" s="1" t="s">
        <v>170</v>
      </c>
      <c r="C98" s="1">
        <f>VLOOKUP(B98,'[4]项目编码  '!$B$1:$C$65536,2,FALSE)</f>
        <v>10880035661</v>
      </c>
      <c r="D98" s="1" t="str">
        <f>VLOOKUP(B98,[5]sheet!$C$1:$H$65536,6,FALSE)</f>
        <v>30</v>
      </c>
      <c r="E98" s="1" t="str">
        <f>VLOOKUP(B:B,[6]配额0227!$A:$B,2,0)</f>
        <v>变频外电脑板-FR-4</v>
      </c>
      <c r="F98" s="1" t="str">
        <f>VLOOKUP(B:B,'[7]厂家配额 (新)'!$A$1:$C$65536,3,0)</f>
        <v>领智/和而泰//</v>
      </c>
      <c r="G98" s="1" t="str">
        <f>VLOOKUP(B98,[8]物料价格查询导出!$B:$I,8,FALSE)</f>
        <v>134.06</v>
      </c>
      <c r="H98" s="1">
        <f t="shared" si="12"/>
        <v>0</v>
      </c>
      <c r="I98" s="1">
        <f t="shared" si="13"/>
        <v>0</v>
      </c>
      <c r="J98" s="1">
        <f>VLOOKUP(C98,[1]Data!$A:$K,11,FALSE)</f>
        <v>83</v>
      </c>
      <c r="K98" s="1"/>
      <c r="L98" s="1"/>
      <c r="M98" s="1">
        <f t="shared" si="9"/>
        <v>0</v>
      </c>
      <c r="N98" s="1"/>
      <c r="O98" s="1" t="s">
        <v>109</v>
      </c>
      <c r="P98" s="1">
        <f t="shared" si="10"/>
        <v>0</v>
      </c>
      <c r="Q98" s="1">
        <f t="shared" si="14"/>
        <v>0</v>
      </c>
      <c r="R98" s="1">
        <f t="shared" si="11"/>
        <v>1961</v>
      </c>
      <c r="S98" s="8">
        <v>0</v>
      </c>
      <c r="T98" s="8">
        <v>0</v>
      </c>
      <c r="U98" s="8">
        <v>0</v>
      </c>
      <c r="V98" s="8">
        <v>74</v>
      </c>
      <c r="W98" s="8">
        <v>580</v>
      </c>
      <c r="X98" s="8">
        <v>0</v>
      </c>
      <c r="Y98" s="8">
        <v>120</v>
      </c>
      <c r="Z98" s="8">
        <v>1</v>
      </c>
      <c r="AA98" s="8">
        <v>0</v>
      </c>
      <c r="AB98" s="8">
        <v>0</v>
      </c>
      <c r="AC98" s="8">
        <v>1186</v>
      </c>
      <c r="AD98" s="8">
        <v>0</v>
      </c>
      <c r="AE98" s="1">
        <v>0</v>
      </c>
    </row>
    <row r="99" spans="1:31" x14ac:dyDescent="0.3">
      <c r="A99" s="1" t="s">
        <v>38</v>
      </c>
      <c r="B99" s="1" t="s">
        <v>171</v>
      </c>
      <c r="C99" s="1">
        <f>VLOOKUP(B99,'[4]项目编码  '!$B$1:$C$65536,2,FALSE)</f>
        <v>10880033251</v>
      </c>
      <c r="D99" s="1" t="str">
        <f>VLOOKUP(B99,[5]sheet!$C$1:$H$65536,6,FALSE)</f>
        <v>30</v>
      </c>
      <c r="E99" s="1" t="str">
        <f>VLOOKUP(B:B,[6]配额0227!$A:$B,2,0)</f>
        <v>室内电脑板</v>
      </c>
      <c r="F99" s="1" t="str">
        <f>VLOOKUP(B:B,'[7]厂家配额 (新)'!$A$1:$C$65536,3,0)</f>
        <v>和而泰/领智</v>
      </c>
      <c r="G99" s="1" t="str">
        <f>VLOOKUP(B99,[8]物料价格查询导出!$B:$I,8,FALSE)</f>
        <v>48.23</v>
      </c>
      <c r="H99" s="1">
        <f t="shared" si="12"/>
        <v>0</v>
      </c>
      <c r="I99" s="1">
        <f t="shared" si="13"/>
        <v>0</v>
      </c>
      <c r="J99" s="1">
        <f>VLOOKUP(C99,[1]Data!$A:$K,11,FALSE)</f>
        <v>10</v>
      </c>
      <c r="K99" s="1"/>
      <c r="L99" s="1">
        <f>VLOOKUP(B99,'[2]2月份'!$A:$F,6,FALSE)</f>
        <v>29</v>
      </c>
      <c r="M99" s="1">
        <f t="shared" si="9"/>
        <v>29</v>
      </c>
      <c r="N99" s="1"/>
      <c r="O99" s="1" t="s">
        <v>172</v>
      </c>
      <c r="P99" s="1">
        <f t="shared" si="10"/>
        <v>29</v>
      </c>
      <c r="Q99" s="1">
        <f t="shared" si="14"/>
        <v>0</v>
      </c>
      <c r="R99" s="1">
        <f t="shared" si="11"/>
        <v>22</v>
      </c>
      <c r="S99" s="8">
        <v>0</v>
      </c>
      <c r="T99" s="8">
        <v>0</v>
      </c>
      <c r="U99" s="8">
        <v>22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1">
        <v>0</v>
      </c>
    </row>
    <row r="100" spans="1:31" x14ac:dyDescent="0.3">
      <c r="A100" s="1" t="s">
        <v>27</v>
      </c>
      <c r="B100" s="1" t="s">
        <v>173</v>
      </c>
      <c r="C100" s="1">
        <f>VLOOKUP(B100,'[4]项目编码  '!$B$1:$C$65536,2,FALSE)</f>
        <v>10880037971</v>
      </c>
      <c r="D100" s="1" t="str">
        <f>VLOOKUP(B100,[5]sheet!$C$1:$H$65536,6,FALSE)</f>
        <v>70</v>
      </c>
      <c r="E100" s="1" t="str">
        <f>VLOOKUP(B:B,[6]配额0227!$A:$B,2,0)</f>
        <v>室内电脑板-FR-4</v>
      </c>
      <c r="F100" s="1" t="str">
        <f>VLOOKUP(B:B,'[7]厂家配额 (新)'!$A$1:$C$65536,3,0)</f>
        <v>和而泰/领智//</v>
      </c>
      <c r="G100" s="1" t="str">
        <f>VLOOKUP(B100,[8]物料价格查询导出!$B:$I,8,FALSE)</f>
        <v>46.56</v>
      </c>
      <c r="H100" s="1">
        <f t="shared" ref="H100:H113" si="15">I100*G100</f>
        <v>0</v>
      </c>
      <c r="I100" s="1">
        <f t="shared" ref="I100:I113" si="16">Q100*D100/100</f>
        <v>0</v>
      </c>
      <c r="J100" s="1"/>
      <c r="K100" s="1"/>
      <c r="L100" s="1">
        <f>VLOOKUP(B100,'[2]2月份'!$A:$F,6,FALSE)</f>
        <v>52</v>
      </c>
      <c r="M100" s="1">
        <f t="shared" si="9"/>
        <v>52</v>
      </c>
      <c r="N100" s="1"/>
      <c r="O100" s="1" t="s">
        <v>174</v>
      </c>
      <c r="P100" s="1">
        <f t="shared" si="10"/>
        <v>52</v>
      </c>
      <c r="Q100" s="1">
        <f t="shared" ref="Q100:Q113" si="17">SUM(T100)</f>
        <v>0</v>
      </c>
      <c r="R100" s="1">
        <f t="shared" si="11"/>
        <v>112</v>
      </c>
      <c r="S100" s="8">
        <v>0</v>
      </c>
      <c r="T100" s="8">
        <v>0</v>
      </c>
      <c r="U100" s="8">
        <v>64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1">
        <v>48</v>
      </c>
    </row>
    <row r="101" spans="1:31" x14ac:dyDescent="0.3">
      <c r="A101" s="1" t="s">
        <v>27</v>
      </c>
      <c r="B101" s="1" t="s">
        <v>175</v>
      </c>
      <c r="C101" s="1">
        <f>VLOOKUP(B101,'[4]项目编码  '!$B$1:$C$65536,2,FALSE)</f>
        <v>10880037969</v>
      </c>
      <c r="D101" s="1" t="str">
        <f>VLOOKUP(B101,[5]sheet!$C$1:$H$65536,6,FALSE)</f>
        <v>70</v>
      </c>
      <c r="E101" s="1" t="str">
        <f>VLOOKUP(B:B,[6]配额0227!$A:$B,2,0)</f>
        <v>室内电脑板-FR-4</v>
      </c>
      <c r="F101" s="1" t="str">
        <f>VLOOKUP(B:B,'[7]厂家配额 (新)'!$A$1:$C$65536,3,0)</f>
        <v>和而泰/领智//</v>
      </c>
      <c r="G101" s="1" t="str">
        <f>VLOOKUP(B101,[8]物料价格查询导出!$B:$I,8,FALSE)</f>
        <v>45.66</v>
      </c>
      <c r="H101" s="1">
        <f t="shared" si="15"/>
        <v>0</v>
      </c>
      <c r="I101" s="1">
        <f t="shared" si="16"/>
        <v>0</v>
      </c>
      <c r="J101" s="1"/>
      <c r="K101" s="1"/>
      <c r="L101" s="1">
        <f>VLOOKUP(B101,'[2]2月份'!$A:$F,6,FALSE)</f>
        <v>9</v>
      </c>
      <c r="M101" s="1">
        <f t="shared" si="9"/>
        <v>9</v>
      </c>
      <c r="N101" s="1"/>
      <c r="O101" s="1" t="s">
        <v>176</v>
      </c>
      <c r="P101" s="1">
        <f t="shared" si="10"/>
        <v>9</v>
      </c>
      <c r="Q101" s="1">
        <f t="shared" si="17"/>
        <v>0</v>
      </c>
      <c r="R101" s="1">
        <f t="shared" si="11"/>
        <v>742</v>
      </c>
      <c r="S101" s="8">
        <v>0</v>
      </c>
      <c r="T101" s="8">
        <v>0</v>
      </c>
      <c r="U101" s="8">
        <v>592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1">
        <v>150</v>
      </c>
    </row>
    <row r="102" spans="1:31" x14ac:dyDescent="0.3">
      <c r="A102" s="1" t="s">
        <v>27</v>
      </c>
      <c r="B102" s="1" t="s">
        <v>177</v>
      </c>
      <c r="C102" s="1">
        <f>VLOOKUP(B102,'[4]项目编码  '!$B$1:$C$65536,2,FALSE)</f>
        <v>10880033805</v>
      </c>
      <c r="D102" s="1" t="str">
        <f>VLOOKUP(B102,[5]sheet!$C$1:$H$65536,6,FALSE)</f>
        <v>70</v>
      </c>
      <c r="E102" s="1" t="str">
        <f>VLOOKUP(B:B,[6]配额0227!$A:$B,2,0)</f>
        <v>室内电脑板-CEM-1</v>
      </c>
      <c r="F102" s="1" t="str">
        <f>VLOOKUP(B:B,'[7]厂家配额 (新)'!$A$1:$C$65536,3,0)</f>
        <v>和而泰/领智//</v>
      </c>
      <c r="G102" s="1" t="str">
        <f>VLOOKUP(B102,[8]物料价格查询导出!$B:$I,8,FALSE)</f>
        <v>43.96</v>
      </c>
      <c r="H102" s="1">
        <f t="shared" si="15"/>
        <v>0</v>
      </c>
      <c r="I102" s="1">
        <f t="shared" si="16"/>
        <v>0</v>
      </c>
      <c r="J102" s="1">
        <f>VLOOKUP(C102,[1]Data!$A:$K,11,FALSE)</f>
        <v>1</v>
      </c>
      <c r="K102" s="1">
        <f>VLOOKUP(C102,'[1]Data (2)'!$A:$K,11,FALSE)</f>
        <v>295</v>
      </c>
      <c r="L102" s="1">
        <f>VLOOKUP(B102,'[2]2月份'!$A:$F,6,FALSE)</f>
        <v>5</v>
      </c>
      <c r="M102" s="1">
        <f t="shared" si="9"/>
        <v>300</v>
      </c>
      <c r="N102" s="1"/>
      <c r="O102" s="1" t="s">
        <v>48</v>
      </c>
      <c r="P102" s="1">
        <f t="shared" si="10"/>
        <v>300</v>
      </c>
      <c r="Q102" s="1">
        <f t="shared" si="17"/>
        <v>0</v>
      </c>
      <c r="R102" s="1">
        <f t="shared" si="11"/>
        <v>192</v>
      </c>
      <c r="S102" s="8">
        <v>0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0</v>
      </c>
      <c r="Z102" s="8">
        <v>52</v>
      </c>
      <c r="AA102" s="8">
        <v>0</v>
      </c>
      <c r="AB102" s="8">
        <v>0</v>
      </c>
      <c r="AC102" s="8">
        <v>140</v>
      </c>
      <c r="AD102" s="8">
        <v>0</v>
      </c>
      <c r="AE102" s="1">
        <v>0</v>
      </c>
    </row>
    <row r="103" spans="1:31" ht="23" customHeight="1" x14ac:dyDescent="0.3">
      <c r="A103" s="1" t="s">
        <v>27</v>
      </c>
      <c r="B103" s="1" t="s">
        <v>178</v>
      </c>
      <c r="C103" s="1">
        <f>VLOOKUP(B103,'[4]项目编码  '!$B$1:$C$65536,2,FALSE)</f>
        <v>10880036350</v>
      </c>
      <c r="D103" s="1" t="str">
        <f>VLOOKUP(B103,[5]sheet!$C$1:$H$65536,6,FALSE)</f>
        <v>30</v>
      </c>
      <c r="E103" s="1" t="str">
        <f>VLOOKUP(B:B,[6]配额0227!$A:$B,2,0)</f>
        <v>室内电脑板-CEM-1</v>
      </c>
      <c r="F103" s="1" t="str">
        <f>VLOOKUP(B:B,'[7]厂家配额 (新)'!$A$1:$C$65536,3,0)</f>
        <v>领智/和而泰//</v>
      </c>
      <c r="G103" s="1" t="str">
        <f>VLOOKUP(B103,[8]物料价格查询导出!$B:$I,8,FALSE)</f>
        <v>41.66</v>
      </c>
      <c r="H103" s="1">
        <f t="shared" si="15"/>
        <v>0</v>
      </c>
      <c r="I103" s="1">
        <f t="shared" si="16"/>
        <v>0</v>
      </c>
      <c r="J103" s="1"/>
      <c r="K103" s="1"/>
      <c r="L103" s="1">
        <f>VLOOKUP(B103,'[2]2月份'!$A:$F,6,FALSE)</f>
        <v>26</v>
      </c>
      <c r="M103" s="1">
        <f t="shared" si="9"/>
        <v>26</v>
      </c>
      <c r="N103" s="1"/>
      <c r="O103" s="1" t="s">
        <v>179</v>
      </c>
      <c r="P103" s="1">
        <f t="shared" si="10"/>
        <v>26</v>
      </c>
      <c r="Q103" s="1">
        <f t="shared" si="17"/>
        <v>0</v>
      </c>
      <c r="R103" s="1">
        <f t="shared" si="11"/>
        <v>7746</v>
      </c>
      <c r="S103" s="8">
        <v>0</v>
      </c>
      <c r="T103" s="8">
        <v>0</v>
      </c>
      <c r="U103" s="8">
        <v>139</v>
      </c>
      <c r="V103" s="8">
        <v>0</v>
      </c>
      <c r="W103" s="8">
        <v>0</v>
      </c>
      <c r="X103" s="8">
        <v>62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1">
        <v>7545</v>
      </c>
    </row>
    <row r="104" spans="1:31" ht="28" x14ac:dyDescent="0.3">
      <c r="A104" s="1" t="s">
        <v>27</v>
      </c>
      <c r="B104" s="1" t="s">
        <v>180</v>
      </c>
      <c r="C104" s="1" t="str">
        <f>VLOOKUP(B104,'[4]项目编码  '!$B$1:$C$65536,2,FALSE)</f>
        <v>10880036282</v>
      </c>
      <c r="D104" s="1" t="str">
        <f>VLOOKUP(B104,[5]sheet!$C$1:$H$65536,6,FALSE)</f>
        <v>30</v>
      </c>
      <c r="E104" s="1" t="str">
        <f>VLOOKUP(B:B,[6]配额0227!$A:$B,2,0)</f>
        <v>一体机电脑板-CEM-1</v>
      </c>
      <c r="F104" s="1" t="str">
        <f>VLOOKUP(B:B,'[7]厂家配额 (新)'!$A$1:$C$65536,3,0)</f>
        <v>领智/和而泰//</v>
      </c>
      <c r="G104" s="1" t="str">
        <f>VLOOKUP(B104,[8]物料价格查询导出!$B:$I,8,FALSE)</f>
        <v>29.97</v>
      </c>
      <c r="H104" s="1">
        <f t="shared" si="15"/>
        <v>0</v>
      </c>
      <c r="I104" s="1">
        <f t="shared" si="16"/>
        <v>0</v>
      </c>
      <c r="J104" s="1"/>
      <c r="K104" s="1"/>
      <c r="L104" s="1"/>
      <c r="M104" s="1">
        <f t="shared" si="9"/>
        <v>0</v>
      </c>
      <c r="N104" s="1"/>
      <c r="O104" s="6" t="s">
        <v>181</v>
      </c>
      <c r="P104" s="1">
        <f t="shared" si="10"/>
        <v>0</v>
      </c>
      <c r="Q104" s="1">
        <f t="shared" si="17"/>
        <v>0</v>
      </c>
      <c r="R104" s="1">
        <f t="shared" si="11"/>
        <v>2412</v>
      </c>
      <c r="S104" s="8">
        <v>0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1">
        <v>2412</v>
      </c>
    </row>
    <row r="105" spans="1:31" ht="21" customHeight="1" x14ac:dyDescent="0.3">
      <c r="A105" s="1" t="s">
        <v>27</v>
      </c>
      <c r="B105" s="1" t="s">
        <v>182</v>
      </c>
      <c r="C105" s="1">
        <f>VLOOKUP(B105,'[4]项目编码  '!$B$1:$C$65536,2,FALSE)</f>
        <v>10880036432</v>
      </c>
      <c r="D105" s="1" t="str">
        <f>VLOOKUP(B105,[5]sheet!$C$1:$H$65536,6,FALSE)</f>
        <v>70</v>
      </c>
      <c r="E105" s="1" t="str">
        <f>VLOOKUP(B:B,[6]配额0227!$A:$B,2,0)</f>
        <v>室内电脑板-CEM-1</v>
      </c>
      <c r="F105" s="1" t="str">
        <f>VLOOKUP(B:B,'[7]厂家配额 (新)'!$A$1:$C$65536,3,0)</f>
        <v>麦格米特/和而泰//</v>
      </c>
      <c r="G105" s="1" t="str">
        <f>VLOOKUP(B105,[8]物料价格查询导出!$B:$I,8,FALSE)</f>
        <v>43.00</v>
      </c>
      <c r="H105" s="1">
        <f t="shared" si="15"/>
        <v>0</v>
      </c>
      <c r="I105" s="1">
        <f t="shared" si="16"/>
        <v>0</v>
      </c>
      <c r="J105" s="1"/>
      <c r="K105" s="1"/>
      <c r="L105" s="1">
        <f>VLOOKUP(B105,'[2]2月份'!$A:$F,6,FALSE)</f>
        <v>3202</v>
      </c>
      <c r="M105" s="1">
        <f t="shared" si="9"/>
        <v>3202</v>
      </c>
      <c r="N105" s="1"/>
      <c r="O105" s="1"/>
      <c r="P105" s="1">
        <f t="shared" si="10"/>
        <v>3202</v>
      </c>
      <c r="Q105" s="1">
        <f t="shared" si="17"/>
        <v>0</v>
      </c>
      <c r="R105" s="1">
        <f t="shared" si="11"/>
        <v>15801</v>
      </c>
      <c r="S105" s="8">
        <v>0</v>
      </c>
      <c r="T105" s="8">
        <v>0</v>
      </c>
      <c r="U105" s="8">
        <v>4992</v>
      </c>
      <c r="V105" s="8">
        <v>2149</v>
      </c>
      <c r="W105" s="8">
        <v>0</v>
      </c>
      <c r="X105" s="8">
        <v>40</v>
      </c>
      <c r="Y105" s="8">
        <v>150</v>
      </c>
      <c r="Z105" s="8">
        <v>315</v>
      </c>
      <c r="AA105" s="8">
        <v>0</v>
      </c>
      <c r="AB105" s="8">
        <v>0</v>
      </c>
      <c r="AC105" s="8">
        <v>0</v>
      </c>
      <c r="AD105" s="8">
        <v>0</v>
      </c>
      <c r="AE105" s="1">
        <v>8155</v>
      </c>
    </row>
    <row r="106" spans="1:31" ht="21" customHeight="1" x14ac:dyDescent="0.3">
      <c r="A106" s="1" t="s">
        <v>27</v>
      </c>
      <c r="B106" s="1" t="s">
        <v>183</v>
      </c>
      <c r="C106" s="1">
        <f>VLOOKUP(B106,'[4]项目编码  '!$B$1:$C$65536,2,FALSE)</f>
        <v>10880038124</v>
      </c>
      <c r="D106" s="1" t="str">
        <f>VLOOKUP(B106,[5]sheet!$C$1:$H$65536,6,FALSE)</f>
        <v>70</v>
      </c>
      <c r="E106" s="1" t="str">
        <f>VLOOKUP(B:B,[6]配额0227!$A:$B,2,0)</f>
        <v>室内电脑板-CEM-1</v>
      </c>
      <c r="F106" s="1" t="str">
        <f>VLOOKUP(B:B,'[7]厂家配额 (新)'!$A$1:$C$65536,3,0)</f>
        <v>和而泰/尚研//</v>
      </c>
      <c r="G106" s="1" t="str">
        <f>VLOOKUP(B106,[8]物料价格查询导出!$B:$I,8,FALSE)</f>
        <v>43.61</v>
      </c>
      <c r="H106" s="1">
        <f t="shared" si="15"/>
        <v>0</v>
      </c>
      <c r="I106" s="1">
        <f t="shared" si="16"/>
        <v>0</v>
      </c>
      <c r="J106" s="1"/>
      <c r="K106" s="1"/>
      <c r="L106" s="1"/>
      <c r="M106" s="1">
        <f t="shared" si="9"/>
        <v>0</v>
      </c>
      <c r="N106" s="1">
        <f>VLOOKUP(C106,[3]保留到5!$A:$B,2,FALSE)</f>
        <v>13</v>
      </c>
      <c r="O106" s="1" t="s">
        <v>184</v>
      </c>
      <c r="P106" s="1">
        <f t="shared" si="10"/>
        <v>13</v>
      </c>
      <c r="Q106" s="1">
        <f t="shared" si="17"/>
        <v>0</v>
      </c>
      <c r="R106" s="1">
        <f t="shared" si="11"/>
        <v>2683</v>
      </c>
      <c r="S106" s="8">
        <v>0</v>
      </c>
      <c r="T106" s="8">
        <v>0</v>
      </c>
      <c r="U106" s="8">
        <v>0</v>
      </c>
      <c r="V106" s="8">
        <v>0</v>
      </c>
      <c r="W106" s="8">
        <v>0</v>
      </c>
      <c r="X106" s="8">
        <v>0</v>
      </c>
      <c r="Y106" s="8">
        <v>2680</v>
      </c>
      <c r="Z106" s="8">
        <v>0</v>
      </c>
      <c r="AA106" s="8">
        <v>0</v>
      </c>
      <c r="AB106" s="8">
        <v>3</v>
      </c>
      <c r="AC106" s="8">
        <v>0</v>
      </c>
      <c r="AD106" s="8">
        <v>0</v>
      </c>
      <c r="AE106" s="1">
        <v>0</v>
      </c>
    </row>
    <row r="107" spans="1:31" ht="21" customHeight="1" x14ac:dyDescent="0.3">
      <c r="A107" s="1" t="s">
        <v>27</v>
      </c>
      <c r="B107" s="1" t="s">
        <v>185</v>
      </c>
      <c r="C107" s="1">
        <f>VLOOKUP(B107,'[4]项目编码  '!$B$1:$C$65536,2,FALSE)</f>
        <v>10880038125</v>
      </c>
      <c r="D107" s="1" t="str">
        <f>VLOOKUP(B107,[5]sheet!$C$1:$H$65536,6,FALSE)</f>
        <v>70</v>
      </c>
      <c r="E107" s="1" t="str">
        <f>VLOOKUP(B:B,[6]配额0227!$A:$B,2,0)</f>
        <v>室内电脑板-CEM-1</v>
      </c>
      <c r="F107" s="1" t="str">
        <f>VLOOKUP(B:B,'[7]厂家配额 (新)'!$A$1:$C$65536,3,0)</f>
        <v>和而泰/尚研//</v>
      </c>
      <c r="G107" s="1" t="str">
        <f>VLOOKUP(B107,[8]物料价格查询导出!$B:$I,8,FALSE)</f>
        <v>43.61</v>
      </c>
      <c r="H107" s="1">
        <f t="shared" si="15"/>
        <v>0</v>
      </c>
      <c r="I107" s="1">
        <f t="shared" si="16"/>
        <v>0</v>
      </c>
      <c r="J107" s="1"/>
      <c r="K107" s="1">
        <f>VLOOKUP(C107,'[1]Data (2)'!$A:$K,11,FALSE)</f>
        <v>2</v>
      </c>
      <c r="L107" s="1">
        <f>VLOOKUP(B107,'[2]2月份'!$A:$F,6,FALSE)</f>
        <v>9</v>
      </c>
      <c r="M107" s="1">
        <f t="shared" si="9"/>
        <v>11</v>
      </c>
      <c r="N107" s="1">
        <f>VLOOKUP(C107,[3]保留到5!$A:$B,2,FALSE)</f>
        <v>8</v>
      </c>
      <c r="O107" s="1" t="s">
        <v>186</v>
      </c>
      <c r="P107" s="1">
        <f t="shared" si="10"/>
        <v>19</v>
      </c>
      <c r="Q107" s="1">
        <f t="shared" si="17"/>
        <v>0</v>
      </c>
      <c r="R107" s="1">
        <f t="shared" si="11"/>
        <v>510</v>
      </c>
      <c r="S107" s="8">
        <v>0</v>
      </c>
      <c r="T107" s="8">
        <v>0</v>
      </c>
      <c r="U107" s="8">
        <v>0</v>
      </c>
      <c r="V107" s="8">
        <v>0</v>
      </c>
      <c r="W107" s="8">
        <v>0</v>
      </c>
      <c r="X107" s="8">
        <v>510</v>
      </c>
      <c r="Y107" s="8">
        <v>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1">
        <v>0</v>
      </c>
    </row>
    <row r="108" spans="1:31" x14ac:dyDescent="0.3">
      <c r="A108" s="1" t="s">
        <v>27</v>
      </c>
      <c r="B108" s="1" t="s">
        <v>187</v>
      </c>
      <c r="C108" s="1">
        <f>VLOOKUP(B108,'[4]项目编码  '!$B$1:$C$65536,2,FALSE)</f>
        <v>10880036704</v>
      </c>
      <c r="D108" s="1" t="str">
        <f>VLOOKUP(B108,[5]sheet!$C$1:$H$65536,6,FALSE)</f>
        <v>30</v>
      </c>
      <c r="E108" s="1" t="str">
        <f>VLOOKUP(B:B,[6]配额0227!$A:$B,2,0)</f>
        <v>室内电脑板-165mm*136mm</v>
      </c>
      <c r="F108" s="1" t="str">
        <f>VLOOKUP(B:B,'[7]厂家配额 (新)'!$A$1:$C$65536,3,0)</f>
        <v>领智/和而泰//</v>
      </c>
      <c r="G108" s="1" t="str">
        <f>VLOOKUP(B108,[8]物料价格查询导出!$B:$I,8,FALSE)</f>
        <v>34.86</v>
      </c>
      <c r="H108" s="1">
        <f t="shared" si="15"/>
        <v>0</v>
      </c>
      <c r="I108" s="1">
        <f t="shared" si="16"/>
        <v>0</v>
      </c>
      <c r="J108" s="1"/>
      <c r="K108" s="1"/>
      <c r="L108" s="1">
        <f>VLOOKUP(B108,'[2]2月份'!$A:$F,6,FALSE)</f>
        <v>76</v>
      </c>
      <c r="M108" s="1">
        <f t="shared" si="9"/>
        <v>76</v>
      </c>
      <c r="N108" s="1">
        <f>VLOOKUP(C108,[3]保留到5!$A:$B,2,FALSE)</f>
        <v>460</v>
      </c>
      <c r="O108" s="1" t="s">
        <v>188</v>
      </c>
      <c r="P108" s="1">
        <f t="shared" si="10"/>
        <v>536</v>
      </c>
      <c r="Q108" s="1">
        <f t="shared" si="17"/>
        <v>0</v>
      </c>
      <c r="R108" s="1">
        <f t="shared" si="11"/>
        <v>2535</v>
      </c>
      <c r="S108" s="8">
        <v>0</v>
      </c>
      <c r="T108" s="8">
        <v>0</v>
      </c>
      <c r="U108" s="8">
        <v>0</v>
      </c>
      <c r="V108" s="8">
        <v>1365</v>
      </c>
      <c r="W108" s="8">
        <v>0</v>
      </c>
      <c r="X108" s="8">
        <v>0</v>
      </c>
      <c r="Y108" s="8">
        <v>0</v>
      </c>
      <c r="Z108" s="8">
        <v>0</v>
      </c>
      <c r="AA108" s="8">
        <v>0</v>
      </c>
      <c r="AB108" s="8">
        <v>0</v>
      </c>
      <c r="AC108" s="8">
        <v>1170</v>
      </c>
      <c r="AD108" s="8">
        <v>0</v>
      </c>
      <c r="AE108" s="1">
        <v>0</v>
      </c>
    </row>
    <row r="109" spans="1:31" x14ac:dyDescent="0.3">
      <c r="A109" s="1" t="s">
        <v>27</v>
      </c>
      <c r="B109" s="1" t="s">
        <v>189</v>
      </c>
      <c r="C109" s="1">
        <f>VLOOKUP(B109,'[4]项目编码  '!$B$1:$C$65536,2,FALSE)</f>
        <v>10880036706</v>
      </c>
      <c r="D109" s="1" t="str">
        <f>VLOOKUP(B109,[5]sheet!$C$1:$H$65536,6,FALSE)</f>
        <v>30</v>
      </c>
      <c r="E109" s="1" t="str">
        <f>VLOOKUP(B:B,[6]配额0227!$A:$B,2,0)</f>
        <v>室内电脑板-165mm*136mm</v>
      </c>
      <c r="F109" s="1" t="str">
        <f>VLOOKUP(B:B,'[7]厂家配额 (新)'!$A$1:$C$65536,3,0)</f>
        <v>领智/和而泰//</v>
      </c>
      <c r="G109" s="1" t="str">
        <f>VLOOKUP(B109,[8]物料价格查询导出!$B:$I,8,FALSE)</f>
        <v>37.88</v>
      </c>
      <c r="H109" s="1">
        <f t="shared" si="15"/>
        <v>0</v>
      </c>
      <c r="I109" s="1">
        <f t="shared" si="16"/>
        <v>0</v>
      </c>
      <c r="J109" s="1"/>
      <c r="K109" s="1"/>
      <c r="L109" s="1">
        <f>VLOOKUP(B109,'[2]2月份'!$A:$F,6,FALSE)</f>
        <v>57</v>
      </c>
      <c r="M109" s="1">
        <f t="shared" si="9"/>
        <v>57</v>
      </c>
      <c r="N109" s="1">
        <f>VLOOKUP(C109,[3]保留到5!$A:$B,2,FALSE)</f>
        <v>200</v>
      </c>
      <c r="O109" s="1" t="s">
        <v>35</v>
      </c>
      <c r="P109" s="1">
        <f t="shared" si="10"/>
        <v>257</v>
      </c>
      <c r="Q109" s="1">
        <f t="shared" si="17"/>
        <v>0</v>
      </c>
      <c r="R109" s="1">
        <f t="shared" si="11"/>
        <v>780</v>
      </c>
      <c r="S109" s="8">
        <v>0</v>
      </c>
      <c r="T109" s="8">
        <v>0</v>
      </c>
      <c r="U109" s="8">
        <v>0</v>
      </c>
      <c r="V109" s="8">
        <v>130</v>
      </c>
      <c r="W109" s="8">
        <v>260</v>
      </c>
      <c r="X109" s="8">
        <v>0</v>
      </c>
      <c r="Y109" s="8">
        <v>0</v>
      </c>
      <c r="Z109" s="8">
        <v>0</v>
      </c>
      <c r="AA109" s="8">
        <v>390</v>
      </c>
      <c r="AB109" s="8">
        <v>0</v>
      </c>
      <c r="AC109" s="8">
        <v>0</v>
      </c>
      <c r="AD109" s="8">
        <v>0</v>
      </c>
      <c r="AE109" s="1">
        <v>0</v>
      </c>
    </row>
    <row r="110" spans="1:31" x14ac:dyDescent="0.3">
      <c r="A110" s="1" t="s">
        <v>27</v>
      </c>
      <c r="B110" s="1" t="s">
        <v>190</v>
      </c>
      <c r="C110" s="1">
        <f>VLOOKUP(B110,'[4]项目编码  '!$B$1:$C$65536,2,FALSE)</f>
        <v>10880036708</v>
      </c>
      <c r="D110" s="1" t="str">
        <f>VLOOKUP(B110,[5]sheet!$C$1:$H$65536,6,FALSE)</f>
        <v>30</v>
      </c>
      <c r="E110" s="1" t="str">
        <f>VLOOKUP(B:B,[6]配额0227!$A:$B,2,0)</f>
        <v>室内电脑板-162mm*130mm</v>
      </c>
      <c r="F110" s="1" t="str">
        <f>VLOOKUP(B:B,'[7]厂家配额 (新)'!$A$1:$C$65536,3,0)</f>
        <v>领智/和而泰//</v>
      </c>
      <c r="G110" s="1" t="str">
        <f>VLOOKUP(B110,[8]物料价格查询导出!$B:$I,8,FALSE)</f>
        <v>37.76</v>
      </c>
      <c r="H110" s="1">
        <f t="shared" si="15"/>
        <v>0</v>
      </c>
      <c r="I110" s="1">
        <f t="shared" si="16"/>
        <v>0</v>
      </c>
      <c r="J110" s="1"/>
      <c r="K110" s="1"/>
      <c r="L110" s="1">
        <f>VLOOKUP(B110,'[2]2月份'!$A:$F,6,FALSE)</f>
        <v>39</v>
      </c>
      <c r="M110" s="1">
        <f t="shared" si="9"/>
        <v>39</v>
      </c>
      <c r="N110" s="1"/>
      <c r="O110" s="1" t="s">
        <v>191</v>
      </c>
      <c r="P110" s="1">
        <f t="shared" si="10"/>
        <v>39</v>
      </c>
      <c r="Q110" s="1">
        <f t="shared" si="17"/>
        <v>0</v>
      </c>
      <c r="R110" s="1">
        <f t="shared" si="11"/>
        <v>360</v>
      </c>
      <c r="S110" s="8">
        <v>0</v>
      </c>
      <c r="T110" s="8">
        <v>0</v>
      </c>
      <c r="U110" s="8">
        <v>180</v>
      </c>
      <c r="V110" s="8">
        <v>0</v>
      </c>
      <c r="W110" s="8">
        <v>0</v>
      </c>
      <c r="X110" s="8">
        <v>0</v>
      </c>
      <c r="Y110" s="8">
        <v>0</v>
      </c>
      <c r="Z110" s="8">
        <v>0</v>
      </c>
      <c r="AA110" s="8">
        <v>0</v>
      </c>
      <c r="AB110" s="8">
        <v>0</v>
      </c>
      <c r="AC110" s="8">
        <v>180</v>
      </c>
      <c r="AD110" s="8">
        <v>0</v>
      </c>
      <c r="AE110" s="1">
        <v>0</v>
      </c>
    </row>
    <row r="111" spans="1:31" x14ac:dyDescent="0.3">
      <c r="A111" s="1" t="s">
        <v>27</v>
      </c>
      <c r="B111" s="1" t="s">
        <v>192</v>
      </c>
      <c r="C111" s="1">
        <f>VLOOKUP(B111,'[4]项目编码  '!$B$1:$C$65536,2,FALSE)</f>
        <v>10880036707</v>
      </c>
      <c r="D111" s="1" t="str">
        <f>VLOOKUP(B111,[5]sheet!$C$1:$H$65536,6,FALSE)</f>
        <v>30</v>
      </c>
      <c r="E111" s="1" t="str">
        <f>VLOOKUP(B:B,[6]配额0227!$A:$B,2,0)</f>
        <v>室内电脑板-165mm*136mm</v>
      </c>
      <c r="F111" s="1" t="str">
        <f>VLOOKUP(B:B,'[7]厂家配额 (新)'!$A$1:$C$65536,3,0)</f>
        <v>领智/和而泰//</v>
      </c>
      <c r="G111" s="1" t="str">
        <f>VLOOKUP(B111,[8]物料价格查询导出!$B:$I,8,FALSE)</f>
        <v>37.15</v>
      </c>
      <c r="H111" s="1">
        <f t="shared" si="15"/>
        <v>0</v>
      </c>
      <c r="I111" s="1">
        <f t="shared" si="16"/>
        <v>0</v>
      </c>
      <c r="J111" s="1"/>
      <c r="K111" s="1"/>
      <c r="L111" s="1">
        <f>VLOOKUP(B111,'[2]2月份'!$A:$F,6,FALSE)</f>
        <v>240</v>
      </c>
      <c r="M111" s="1">
        <f t="shared" si="9"/>
        <v>240</v>
      </c>
      <c r="N111" s="1"/>
      <c r="O111" s="1" t="s">
        <v>193</v>
      </c>
      <c r="P111" s="1">
        <f t="shared" si="10"/>
        <v>240</v>
      </c>
      <c r="Q111" s="1">
        <f t="shared" si="17"/>
        <v>0</v>
      </c>
      <c r="R111" s="1">
        <f t="shared" si="11"/>
        <v>1380</v>
      </c>
      <c r="S111" s="8">
        <v>0</v>
      </c>
      <c r="T111" s="8">
        <v>0</v>
      </c>
      <c r="U111" s="8">
        <v>460</v>
      </c>
      <c r="V111" s="8">
        <v>230</v>
      </c>
      <c r="W111" s="8">
        <v>0</v>
      </c>
      <c r="X111" s="8">
        <v>0</v>
      </c>
      <c r="Y111" s="8">
        <v>0</v>
      </c>
      <c r="Z111" s="8">
        <v>0</v>
      </c>
      <c r="AA111" s="8">
        <v>690</v>
      </c>
      <c r="AB111" s="8">
        <v>0</v>
      </c>
      <c r="AC111" s="8">
        <v>0</v>
      </c>
      <c r="AD111" s="8">
        <v>0</v>
      </c>
      <c r="AE111" s="1">
        <v>0</v>
      </c>
    </row>
    <row r="112" spans="1:31" x14ac:dyDescent="0.3">
      <c r="A112" s="1" t="s">
        <v>27</v>
      </c>
      <c r="B112" s="1" t="s">
        <v>194</v>
      </c>
      <c r="C112" s="1">
        <f>VLOOKUP(B112,'[4]项目编码  '!$B$1:$C$65536,2,FALSE)</f>
        <v>10880036423</v>
      </c>
      <c r="D112" s="1" t="str">
        <f>VLOOKUP(B112,[5]sheet!$C$1:$H$65536,6,FALSE)</f>
        <v>30</v>
      </c>
      <c r="E112" s="1" t="str">
        <f>VLOOKUP(B:B,[6]配额0227!$A:$B,2,0)</f>
        <v>室内电脑板-CEM-1</v>
      </c>
      <c r="F112" s="1" t="str">
        <f>VLOOKUP(B:B,'[7]厂家配额 (新)'!$A$1:$C$65536,3,0)</f>
        <v>和而泰/康美特//</v>
      </c>
      <c r="G112" s="1" t="str">
        <f>VLOOKUP(B112,[8]物料价格查询导出!$B:$I,8,FALSE)</f>
        <v>29.50</v>
      </c>
      <c r="H112" s="1">
        <f t="shared" si="15"/>
        <v>0</v>
      </c>
      <c r="I112" s="1">
        <f t="shared" si="16"/>
        <v>0</v>
      </c>
      <c r="J112" s="1"/>
      <c r="K112" s="1"/>
      <c r="L112" s="1">
        <f>VLOOKUP(B112,'[2]2月份'!$A:$F,6,FALSE)</f>
        <v>337</v>
      </c>
      <c r="M112" s="1">
        <f t="shared" si="9"/>
        <v>337</v>
      </c>
      <c r="N112" s="1"/>
      <c r="O112" s="1" t="s">
        <v>195</v>
      </c>
      <c r="P112" s="1">
        <f t="shared" si="10"/>
        <v>337</v>
      </c>
      <c r="Q112" s="1">
        <f t="shared" si="17"/>
        <v>0</v>
      </c>
      <c r="R112" s="1">
        <f t="shared" si="11"/>
        <v>2713</v>
      </c>
      <c r="S112" s="8">
        <v>0</v>
      </c>
      <c r="T112" s="8">
        <v>0</v>
      </c>
      <c r="U112" s="8">
        <v>320</v>
      </c>
      <c r="V112" s="8">
        <v>0</v>
      </c>
      <c r="W112" s="8">
        <v>0</v>
      </c>
      <c r="X112" s="8">
        <v>0</v>
      </c>
      <c r="Y112" s="8">
        <v>810</v>
      </c>
      <c r="Z112" s="8">
        <v>210</v>
      </c>
      <c r="AA112" s="8">
        <v>0</v>
      </c>
      <c r="AB112" s="8">
        <v>0</v>
      </c>
      <c r="AC112" s="8">
        <v>0</v>
      </c>
      <c r="AD112" s="8">
        <v>0</v>
      </c>
      <c r="AE112" s="1">
        <v>1373</v>
      </c>
    </row>
    <row r="113" spans="1:31" x14ac:dyDescent="0.3">
      <c r="A113" s="1" t="s">
        <v>27</v>
      </c>
      <c r="B113" s="1" t="s">
        <v>196</v>
      </c>
      <c r="C113" s="1">
        <f>VLOOKUP(B113,'[4]项目编码  '!$B$1:$C$65536,2,FALSE)</f>
        <v>10880036424</v>
      </c>
      <c r="D113" s="1" t="str">
        <f>VLOOKUP(B113,[5]sheet!$C$1:$H$65536,6,FALSE)</f>
        <v>70</v>
      </c>
      <c r="E113" s="1" t="str">
        <f>VLOOKUP(B:B,[6]配额0227!$A:$B,2,0)</f>
        <v>室内电脑板-CEM-1</v>
      </c>
      <c r="F113" s="1" t="str">
        <f>VLOOKUP(B:B,'[7]厂家配额 (新)'!$A$1:$C$65536,3,0)</f>
        <v>领智/和而泰//</v>
      </c>
      <c r="G113" s="1" t="str">
        <f>VLOOKUP(B113,[8]物料价格查询导出!$B:$I,8,FALSE)</f>
        <v>28.88</v>
      </c>
      <c r="H113" s="1">
        <f t="shared" si="15"/>
        <v>55957.887999999999</v>
      </c>
      <c r="I113" s="1">
        <f t="shared" si="16"/>
        <v>1937.6</v>
      </c>
      <c r="J113" s="1"/>
      <c r="K113" s="1">
        <f>VLOOKUP(C113,'[1]Data (2)'!$A:$K,11,FALSE)</f>
        <v>2</v>
      </c>
      <c r="L113" s="1">
        <f>VLOOKUP(B113,'[2]2月份'!$A:$F,6,FALSE)</f>
        <v>42</v>
      </c>
      <c r="M113" s="1">
        <f t="shared" si="9"/>
        <v>44</v>
      </c>
      <c r="N113" s="1">
        <f>VLOOKUP(C113,[3]保留到5!$A:$B,2,FALSE)</f>
        <v>2800</v>
      </c>
      <c r="O113" s="1"/>
      <c r="P113" s="1">
        <f t="shared" si="10"/>
        <v>76</v>
      </c>
      <c r="Q113" s="1">
        <f t="shared" si="17"/>
        <v>2768</v>
      </c>
      <c r="R113" s="1">
        <f t="shared" si="11"/>
        <v>2808</v>
      </c>
      <c r="S113" s="8">
        <v>0</v>
      </c>
      <c r="T113" s="8">
        <v>2768</v>
      </c>
      <c r="U113" s="8">
        <v>0</v>
      </c>
      <c r="V113" s="8">
        <v>0</v>
      </c>
      <c r="W113" s="8">
        <v>40</v>
      </c>
      <c r="X113" s="8">
        <v>0</v>
      </c>
      <c r="Y113" s="8">
        <v>0</v>
      </c>
      <c r="Z113" s="8">
        <v>0</v>
      </c>
      <c r="AA113" s="8">
        <v>0</v>
      </c>
      <c r="AB113" s="8">
        <v>0</v>
      </c>
      <c r="AC113" s="8">
        <v>0</v>
      </c>
      <c r="AD113" s="8">
        <v>0</v>
      </c>
      <c r="AE113" s="1">
        <v>0</v>
      </c>
    </row>
  </sheetData>
  <autoFilter ref="A2:AE113" xr:uid="{00000000-0009-0000-0000-000001000000}"/>
  <mergeCells count="1">
    <mergeCell ref="A1:AE1"/>
  </mergeCells>
  <phoneticPr fontId="3" type="noConversion"/>
  <conditionalFormatting sqref="P3:P113">
    <cfRule type="cellIs" dxfId="1" priority="1" operator="lessThan">
      <formula>0</formula>
    </cfRule>
  </conditionalFormatting>
  <conditionalFormatting sqref="B1:C1048576">
    <cfRule type="duplicateValues" dxfId="0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652"/>
  <sheetViews>
    <sheetView zoomScale="85" zoomScaleNormal="85" workbookViewId="0">
      <selection activeCell="D17" sqref="D17"/>
    </sheetView>
  </sheetViews>
  <sheetFormatPr defaultColWidth="15.5" defaultRowHeight="14" x14ac:dyDescent="0.3"/>
  <sheetData>
    <row r="1" spans="1:17" ht="20" x14ac:dyDescent="0.4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7" x14ac:dyDescent="0.3">
      <c r="A2" s="1" t="s">
        <v>1</v>
      </c>
      <c r="B2" s="1" t="s">
        <v>2</v>
      </c>
      <c r="C2" s="1" t="s">
        <v>5</v>
      </c>
      <c r="D2" s="1" t="s">
        <v>6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L2" s="2" t="s">
        <v>21</v>
      </c>
      <c r="M2" s="2" t="s">
        <v>22</v>
      </c>
      <c r="N2" s="2" t="s">
        <v>23</v>
      </c>
      <c r="O2" s="2" t="s">
        <v>24</v>
      </c>
      <c r="P2" s="2" t="s">
        <v>25</v>
      </c>
      <c r="Q2" s="1" t="s">
        <v>26</v>
      </c>
    </row>
    <row r="3" spans="1:17" x14ac:dyDescent="0.3">
      <c r="A3" s="1" t="s">
        <v>38</v>
      </c>
      <c r="B3" s="1" t="s">
        <v>197</v>
      </c>
      <c r="C3" s="1" t="str">
        <f>VLOOKUP(B:B,[6]配额0227!$A:$B,2,0)</f>
        <v>端子排-塑料/</v>
      </c>
      <c r="D3" s="1" t="str">
        <f>VLOOKUP(B:B,'[7]厂家配额 (新)'!$A$1:$C$65536,3,0)</f>
        <v>凯都/源峰/华冠//</v>
      </c>
      <c r="E3" s="1">
        <v>355</v>
      </c>
      <c r="F3" s="1">
        <v>1940</v>
      </c>
      <c r="G3" s="1">
        <v>918</v>
      </c>
      <c r="H3" s="1">
        <v>3828</v>
      </c>
      <c r="I3" s="1">
        <v>3425</v>
      </c>
      <c r="J3" s="1">
        <v>2265</v>
      </c>
      <c r="K3" s="1">
        <v>1117</v>
      </c>
      <c r="L3" s="1">
        <v>4348</v>
      </c>
      <c r="M3" s="1">
        <v>5486</v>
      </c>
      <c r="N3" s="1">
        <v>4071</v>
      </c>
      <c r="O3" s="1">
        <v>5392</v>
      </c>
      <c r="P3" s="1">
        <v>0</v>
      </c>
      <c r="Q3" s="1">
        <v>0</v>
      </c>
    </row>
    <row r="4" spans="1:17" x14ac:dyDescent="0.3">
      <c r="A4" s="1" t="s">
        <v>38</v>
      </c>
      <c r="B4" s="1" t="s">
        <v>198</v>
      </c>
      <c r="C4" s="1" t="str">
        <f>VLOOKUP(B:B,[6]配额0227!$A:$B,2,0)</f>
        <v>2.93塑料/</v>
      </c>
      <c r="D4" s="1" t="str">
        <f>VLOOKUP(B:B,'[7]厂家配额 (新)'!$A$1:$C$65536,3,0)</f>
        <v>凯都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145</v>
      </c>
      <c r="L4" s="1">
        <v>0</v>
      </c>
      <c r="M4" s="1">
        <v>0</v>
      </c>
      <c r="N4" s="1">
        <v>0</v>
      </c>
      <c r="O4" s="1">
        <v>892</v>
      </c>
      <c r="P4" s="1">
        <v>0</v>
      </c>
      <c r="Q4" s="1">
        <v>0</v>
      </c>
    </row>
    <row r="5" spans="1:17" x14ac:dyDescent="0.3">
      <c r="A5" s="1" t="s">
        <v>38</v>
      </c>
      <c r="B5" s="1" t="s">
        <v>199</v>
      </c>
      <c r="C5" s="1" t="str">
        <f>VLOOKUP(B:B,[6]配额0227!$A:$B,2,0)</f>
        <v>端子排-/</v>
      </c>
      <c r="D5" s="1" t="str">
        <f>VLOOKUP(B:B,'[7]厂家配额 (新)'!$A$1:$C$65536,3,0)</f>
        <v>源峰</v>
      </c>
      <c r="E5" s="1">
        <v>0</v>
      </c>
      <c r="F5" s="1">
        <v>0</v>
      </c>
      <c r="G5" s="1">
        <v>2582</v>
      </c>
      <c r="H5" s="1">
        <v>20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</row>
    <row r="6" spans="1:17" x14ac:dyDescent="0.3">
      <c r="A6" s="1" t="s">
        <v>38</v>
      </c>
      <c r="B6" s="1" t="s">
        <v>200</v>
      </c>
      <c r="C6" s="1" t="str">
        <f>VLOOKUP(B:B,[6]配额0227!$A:$B,2,0)</f>
        <v>遥控器-塑料</v>
      </c>
      <c r="D6" s="1" t="str">
        <f>VLOOKUP(B:B,'[7]厂家配额 (新)'!$A$1:$C$65536,3,0)</f>
        <v>合晶</v>
      </c>
      <c r="E6" s="1">
        <v>0</v>
      </c>
      <c r="F6" s="1">
        <v>0</v>
      </c>
      <c r="G6" s="1">
        <v>0</v>
      </c>
      <c r="H6" s="1">
        <v>0</v>
      </c>
      <c r="I6" s="1">
        <v>190</v>
      </c>
      <c r="J6" s="1">
        <v>0</v>
      </c>
      <c r="K6" s="1">
        <v>0</v>
      </c>
      <c r="L6" s="1">
        <v>370</v>
      </c>
      <c r="M6" s="1">
        <v>0</v>
      </c>
      <c r="N6" s="1">
        <v>2275</v>
      </c>
      <c r="O6" s="1">
        <v>0</v>
      </c>
      <c r="P6" s="1">
        <v>0</v>
      </c>
      <c r="Q6" s="1">
        <v>0</v>
      </c>
    </row>
    <row r="7" spans="1:17" x14ac:dyDescent="0.3">
      <c r="A7" s="1" t="s">
        <v>38</v>
      </c>
      <c r="B7" s="1" t="s">
        <v>201</v>
      </c>
      <c r="C7" s="1" t="str">
        <f>VLOOKUP(B:B,[6]配额0227!$A:$B,2,0)</f>
        <v>遥控器-塑料</v>
      </c>
      <c r="D7" s="1" t="str">
        <f>VLOOKUP(B:B,'[7]厂家配额 (新)'!$A$1:$C$65536,3,0)</f>
        <v>合晶</v>
      </c>
      <c r="E7" s="1">
        <v>221</v>
      </c>
      <c r="F7" s="1">
        <v>2014</v>
      </c>
      <c r="G7" s="1">
        <v>159</v>
      </c>
      <c r="H7" s="1">
        <v>0</v>
      </c>
      <c r="I7" s="1">
        <v>157</v>
      </c>
      <c r="J7" s="1">
        <v>0</v>
      </c>
      <c r="K7" s="1">
        <v>2136</v>
      </c>
      <c r="L7" s="1">
        <v>407</v>
      </c>
      <c r="M7" s="1">
        <v>0</v>
      </c>
      <c r="N7" s="1">
        <v>0</v>
      </c>
      <c r="O7" s="1">
        <v>0</v>
      </c>
      <c r="P7" s="1">
        <v>0</v>
      </c>
      <c r="Q7" s="1">
        <v>0</v>
      </c>
    </row>
    <row r="8" spans="1:17" x14ac:dyDescent="0.3">
      <c r="A8" s="1" t="s">
        <v>38</v>
      </c>
      <c r="B8" s="1" t="s">
        <v>202</v>
      </c>
      <c r="C8" s="1" t="str">
        <f>VLOOKUP(B:B,[6]配额0227!$A:$B,2,0)</f>
        <v>遥控器-/</v>
      </c>
      <c r="D8" s="1" t="str">
        <f>VLOOKUP(B:B,'[7]厂家配额 (新)'!$A$1:$C$65536,3,0)</f>
        <v>合晶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2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</row>
    <row r="9" spans="1:17" x14ac:dyDescent="0.3">
      <c r="A9" s="1" t="s">
        <v>38</v>
      </c>
      <c r="B9" s="1" t="s">
        <v>203</v>
      </c>
      <c r="C9" s="1" t="str">
        <f>VLOOKUP(B:B,[6]配额0227!$A:$B,2,0)</f>
        <v>遥控器-塑料HE</v>
      </c>
      <c r="D9" s="1" t="str">
        <f>VLOOKUP(B:B,'[7]厂家配额 (新)'!$A$1:$C$65536,3,0)</f>
        <v>合晶</v>
      </c>
      <c r="E9" s="1">
        <v>0</v>
      </c>
      <c r="F9" s="1">
        <v>1600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</row>
    <row r="10" spans="1:17" x14ac:dyDescent="0.3">
      <c r="A10" s="1" t="s">
        <v>38</v>
      </c>
      <c r="B10" s="1" t="s">
        <v>204</v>
      </c>
      <c r="C10" s="1" t="str">
        <f>VLOOKUP(B:B,[6]配额0227!$A:$B,2,0)</f>
        <v>遥控器-塑料/</v>
      </c>
      <c r="D10" s="1" t="str">
        <f>VLOOKUP(B:B,'[7]厂家配额 (新)'!$A$1:$C$65536,3,0)</f>
        <v>合晶</v>
      </c>
      <c r="E10" s="1">
        <v>0</v>
      </c>
      <c r="F10" s="1">
        <v>480</v>
      </c>
      <c r="G10" s="1">
        <v>1520</v>
      </c>
      <c r="H10" s="1">
        <v>1200</v>
      </c>
      <c r="I10" s="1">
        <v>885</v>
      </c>
      <c r="J10" s="1">
        <v>0</v>
      </c>
      <c r="K10" s="1">
        <v>1366</v>
      </c>
      <c r="L10" s="1">
        <v>210</v>
      </c>
      <c r="M10" s="1">
        <v>1320</v>
      </c>
      <c r="N10" s="1">
        <v>1975</v>
      </c>
      <c r="O10" s="1">
        <v>1590</v>
      </c>
      <c r="P10" s="1">
        <v>0</v>
      </c>
      <c r="Q10" s="1">
        <v>0</v>
      </c>
    </row>
    <row r="11" spans="1:17" x14ac:dyDescent="0.3">
      <c r="A11" s="1" t="s">
        <v>38</v>
      </c>
      <c r="B11" s="1" t="s">
        <v>205</v>
      </c>
      <c r="C11" s="1" t="str">
        <f>VLOOKUP(B:B,[6]配额0227!$A:$B,2,0)</f>
        <v>遥控器-塑料</v>
      </c>
      <c r="D11" s="1" t="str">
        <f>VLOOKUP(B:B,'[7]厂家配额 (新)'!$A$1:$C$65536,3,0)</f>
        <v>合晶</v>
      </c>
      <c r="E11" s="1">
        <v>0</v>
      </c>
      <c r="F11" s="1">
        <v>100</v>
      </c>
      <c r="G11" s="1">
        <v>0</v>
      </c>
      <c r="H11" s="1">
        <v>1445</v>
      </c>
      <c r="I11" s="1">
        <v>0</v>
      </c>
      <c r="J11" s="1">
        <v>375</v>
      </c>
      <c r="K11" s="1">
        <v>105</v>
      </c>
      <c r="L11" s="1">
        <v>2015</v>
      </c>
      <c r="M11" s="1">
        <v>4879</v>
      </c>
      <c r="N11" s="1">
        <v>990</v>
      </c>
      <c r="O11" s="1">
        <v>4266</v>
      </c>
      <c r="P11" s="1">
        <v>0</v>
      </c>
      <c r="Q11" s="1">
        <v>0</v>
      </c>
    </row>
    <row r="12" spans="1:17" x14ac:dyDescent="0.3">
      <c r="A12" s="1" t="s">
        <v>38</v>
      </c>
      <c r="B12" s="1" t="s">
        <v>206</v>
      </c>
      <c r="C12" s="1" t="str">
        <f>VLOOKUP(B:B,[6]配额0227!$A:$B,2,0)</f>
        <v>遥控器-塑料</v>
      </c>
      <c r="D12" s="1" t="str">
        <f>VLOOKUP(B:B,'[7]厂家配额 (新)'!$A$1:$C$65536,3,0)</f>
        <v>合晶</v>
      </c>
      <c r="E12" s="1">
        <v>1</v>
      </c>
      <c r="F12" s="1">
        <v>1</v>
      </c>
      <c r="G12" s="1">
        <v>2</v>
      </c>
      <c r="H12" s="1">
        <v>479</v>
      </c>
      <c r="I12" s="1">
        <v>184</v>
      </c>
      <c r="J12" s="1">
        <v>0</v>
      </c>
      <c r="K12" s="1">
        <v>790</v>
      </c>
      <c r="L12" s="1">
        <v>71</v>
      </c>
      <c r="M12" s="1">
        <v>420</v>
      </c>
      <c r="N12" s="1">
        <v>335</v>
      </c>
      <c r="O12" s="1">
        <v>2009</v>
      </c>
      <c r="P12" s="1">
        <v>0</v>
      </c>
      <c r="Q12" s="1">
        <v>0</v>
      </c>
    </row>
    <row r="13" spans="1:17" x14ac:dyDescent="0.3">
      <c r="A13" s="1" t="s">
        <v>38</v>
      </c>
      <c r="B13" s="1" t="s">
        <v>207</v>
      </c>
      <c r="C13" s="1" t="str">
        <f>VLOOKUP(B:B,[6]配额0227!$A:$B,2,0)</f>
        <v>遥控器-塑料</v>
      </c>
      <c r="D13" s="1" t="str">
        <f>VLOOKUP(B:B,'[7]厂家配额 (新)'!$A$1:$C$65536,3,0)</f>
        <v>合晶</v>
      </c>
      <c r="E13" s="1">
        <v>0</v>
      </c>
      <c r="F13" s="1">
        <v>0</v>
      </c>
      <c r="G13" s="1">
        <v>0</v>
      </c>
      <c r="H13" s="1">
        <v>4320</v>
      </c>
      <c r="I13" s="1">
        <v>1650</v>
      </c>
      <c r="J13" s="1">
        <v>5626</v>
      </c>
      <c r="K13" s="1">
        <v>2514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</row>
    <row r="14" spans="1:17" x14ac:dyDescent="0.3">
      <c r="A14" s="1" t="s">
        <v>38</v>
      </c>
      <c r="B14" s="1" t="s">
        <v>208</v>
      </c>
      <c r="C14" s="1" t="str">
        <f>VLOOKUP(B:B,[6]配额0227!$A:$B,2,0)</f>
        <v>遥控器-塑料</v>
      </c>
      <c r="D14" s="1" t="str">
        <f>VLOOKUP(B:B,'[7]厂家配额 (新)'!$A$1:$C$65536,3,0)</f>
        <v>合晶</v>
      </c>
      <c r="E14" s="1">
        <v>0</v>
      </c>
      <c r="F14" s="1">
        <v>2400</v>
      </c>
      <c r="G14" s="1">
        <v>4600</v>
      </c>
      <c r="H14" s="1">
        <v>0</v>
      </c>
      <c r="I14" s="1">
        <v>0</v>
      </c>
      <c r="J14" s="1">
        <v>0</v>
      </c>
      <c r="K14" s="1">
        <v>130</v>
      </c>
      <c r="L14" s="1">
        <v>140</v>
      </c>
      <c r="M14" s="1">
        <v>2660</v>
      </c>
      <c r="N14" s="1">
        <v>0</v>
      </c>
      <c r="O14" s="1">
        <v>4490</v>
      </c>
      <c r="P14" s="1">
        <v>0</v>
      </c>
      <c r="Q14" s="1">
        <v>0</v>
      </c>
    </row>
    <row r="15" spans="1:17" x14ac:dyDescent="0.3">
      <c r="A15" s="1" t="s">
        <v>38</v>
      </c>
      <c r="B15" s="1" t="s">
        <v>209</v>
      </c>
      <c r="C15" s="1" t="str">
        <f>VLOOKUP(B:B,[6]配额0227!$A:$B,2,0)</f>
        <v>遥控器-塑料</v>
      </c>
      <c r="D15" s="1" t="str">
        <f>VLOOKUP(B:B,'[7]厂家配额 (新)'!$A$1:$C$65536,3,0)</f>
        <v>合晶</v>
      </c>
      <c r="E15" s="1">
        <v>1134</v>
      </c>
      <c r="F15" s="1">
        <v>250</v>
      </c>
      <c r="G15" s="1">
        <v>497</v>
      </c>
      <c r="H15" s="1">
        <v>0</v>
      </c>
      <c r="I15" s="1">
        <v>2</v>
      </c>
      <c r="J15" s="1">
        <v>1498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</row>
    <row r="16" spans="1:17" x14ac:dyDescent="0.3">
      <c r="A16" s="1" t="s">
        <v>38</v>
      </c>
      <c r="B16" s="1" t="s">
        <v>210</v>
      </c>
      <c r="C16" s="1" t="str">
        <f>VLOOKUP(B:B,[6]配额0227!$A:$B,2,0)</f>
        <v>遥控器-/</v>
      </c>
      <c r="D16" s="1" t="str">
        <f>VLOOKUP(B:B,'[7]厂家配额 (新)'!$A$1:$C$65536,3,0)</f>
        <v>长虹</v>
      </c>
      <c r="E16" s="1">
        <v>1050</v>
      </c>
      <c r="F16" s="1">
        <v>1200</v>
      </c>
      <c r="G16" s="1">
        <v>1200</v>
      </c>
      <c r="H16" s="1">
        <v>1300</v>
      </c>
      <c r="I16" s="1">
        <v>1300</v>
      </c>
      <c r="J16" s="1">
        <v>1300</v>
      </c>
      <c r="K16" s="1">
        <v>1310</v>
      </c>
      <c r="L16" s="1">
        <v>1390</v>
      </c>
      <c r="M16" s="1">
        <v>1300</v>
      </c>
      <c r="N16" s="1">
        <v>1300</v>
      </c>
      <c r="O16" s="1">
        <v>1200</v>
      </c>
      <c r="P16" s="1">
        <v>0</v>
      </c>
      <c r="Q16" s="1">
        <v>0</v>
      </c>
    </row>
    <row r="17" spans="1:17" x14ac:dyDescent="0.3">
      <c r="A17" s="1" t="s">
        <v>38</v>
      </c>
      <c r="B17" s="1" t="s">
        <v>211</v>
      </c>
      <c r="C17" s="1" t="str">
        <f>VLOOKUP(B:B,[6]配额0227!$A:$B,2,0)</f>
        <v>遥控器-塑料冰雪白 HBWH-1404</v>
      </c>
      <c r="D17" s="1" t="str">
        <f>VLOOKUP(B:B,'[7]厂家配额 (新)'!$A$1:$C$65536,3,0)</f>
        <v>合晶</v>
      </c>
      <c r="E17" s="1">
        <v>0</v>
      </c>
      <c r="F17" s="1">
        <v>0</v>
      </c>
      <c r="G17" s="1">
        <v>0</v>
      </c>
      <c r="H17" s="1">
        <v>0</v>
      </c>
      <c r="I17" s="1">
        <v>120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</row>
    <row r="18" spans="1:17" x14ac:dyDescent="0.3">
      <c r="A18" s="1" t="s">
        <v>38</v>
      </c>
      <c r="B18" s="1" t="s">
        <v>212</v>
      </c>
      <c r="C18" s="1" t="str">
        <f>VLOOKUP(B:B,[6]配额0227!$A:$B,2,0)</f>
        <v>遥控器-塑料冰雪白 HBWH-1404</v>
      </c>
      <c r="D18" s="1" t="str">
        <f>VLOOKUP(B:B,'[7]厂家配额 (新)'!$A$1:$C$65536,3,0)</f>
        <v>合晶</v>
      </c>
      <c r="E18" s="1">
        <v>4050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1350</v>
      </c>
      <c r="P18" s="1">
        <v>0</v>
      </c>
      <c r="Q18" s="1">
        <v>0</v>
      </c>
    </row>
    <row r="19" spans="1:17" x14ac:dyDescent="0.3">
      <c r="A19" s="1" t="s">
        <v>38</v>
      </c>
      <c r="B19" s="1" t="s">
        <v>213</v>
      </c>
      <c r="C19" s="1" t="str">
        <f>VLOOKUP(B:B,[6]配额0227!$A:$B,2,0)</f>
        <v>遥控器-塑料</v>
      </c>
      <c r="D19" s="1" t="str">
        <f>VLOOKUP(B:B,'[7]厂家配额 (新)'!$A$1:$C$65536,3,0)</f>
        <v>合晶</v>
      </c>
      <c r="E19" s="1">
        <v>0</v>
      </c>
      <c r="F19" s="1">
        <v>660</v>
      </c>
      <c r="G19" s="1">
        <v>0</v>
      </c>
      <c r="H19" s="1">
        <v>0</v>
      </c>
      <c r="I19" s="1">
        <v>692</v>
      </c>
      <c r="J19" s="1">
        <v>0</v>
      </c>
      <c r="K19" s="1">
        <v>580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</row>
    <row r="20" spans="1:17" x14ac:dyDescent="0.3">
      <c r="A20" s="1" t="s">
        <v>38</v>
      </c>
      <c r="B20" s="1" t="s">
        <v>214</v>
      </c>
      <c r="C20" s="1" t="str">
        <f>VLOOKUP(B:B,[6]配额0227!$A:$B,2,0)</f>
        <v>ROHS-室内端子排(JXW-5-B 600V 30A 4MM2)-/---</v>
      </c>
      <c r="D20" s="1" t="str">
        <f>VLOOKUP(B:B,'[7]厂家配额 (新)'!$A$1:$C$65536,3,0)</f>
        <v>凯都/华冠//</v>
      </c>
      <c r="E20" s="1">
        <v>3659</v>
      </c>
      <c r="F20" s="1">
        <v>1826</v>
      </c>
      <c r="G20" s="1">
        <v>358</v>
      </c>
      <c r="H20" s="1">
        <v>0</v>
      </c>
      <c r="I20" s="1">
        <v>104</v>
      </c>
      <c r="J20" s="1">
        <v>0</v>
      </c>
      <c r="K20" s="1">
        <v>1298</v>
      </c>
      <c r="L20" s="1">
        <v>868</v>
      </c>
      <c r="M20" s="1">
        <v>0</v>
      </c>
      <c r="N20" s="1">
        <v>330</v>
      </c>
      <c r="O20" s="1">
        <v>0</v>
      </c>
      <c r="P20" s="1">
        <v>0</v>
      </c>
      <c r="Q20" s="1">
        <v>0</v>
      </c>
    </row>
    <row r="21" spans="1:17" x14ac:dyDescent="0.3">
      <c r="A21" s="1" t="s">
        <v>38</v>
      </c>
      <c r="B21" s="1" t="s">
        <v>215</v>
      </c>
      <c r="C21" s="1" t="str">
        <f>VLOOKUP(B:B,[6]配额0227!$A:$B,2,0)</f>
        <v>端子排-//</v>
      </c>
      <c r="D21" s="1" t="str">
        <f>VLOOKUP(B:B,'[7]厂家配额 (新)'!$A$1:$C$65536,3,0)</f>
        <v>源峰</v>
      </c>
      <c r="E21" s="1">
        <v>0</v>
      </c>
      <c r="F21" s="1">
        <v>660</v>
      </c>
      <c r="G21" s="1">
        <v>0</v>
      </c>
      <c r="H21" s="1">
        <v>0</v>
      </c>
      <c r="I21" s="1">
        <v>692</v>
      </c>
      <c r="J21" s="1">
        <v>0</v>
      </c>
      <c r="K21" s="1">
        <v>580</v>
      </c>
      <c r="L21" s="1">
        <v>140</v>
      </c>
      <c r="M21" s="1">
        <v>420</v>
      </c>
      <c r="N21" s="1">
        <v>660</v>
      </c>
      <c r="O21" s="1">
        <v>1980</v>
      </c>
      <c r="P21" s="1">
        <v>0</v>
      </c>
      <c r="Q21" s="1">
        <v>0</v>
      </c>
    </row>
    <row r="22" spans="1:17" x14ac:dyDescent="0.3">
      <c r="A22" s="1" t="s">
        <v>38</v>
      </c>
      <c r="B22" s="1" t="s">
        <v>216</v>
      </c>
      <c r="C22" s="1" t="str">
        <f>VLOOKUP(B:B,[6]配额0227!$A:$B,2,0)</f>
        <v>端子排-/</v>
      </c>
      <c r="D22" s="1" t="str">
        <f>VLOOKUP(B:B,'[7]厂家配额 (新)'!$A$1:$C$65536,3,0)</f>
        <v>源峰/凯都//</v>
      </c>
      <c r="E22" s="1">
        <v>0</v>
      </c>
      <c r="F22" s="1">
        <v>2</v>
      </c>
      <c r="G22" s="1">
        <v>2580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</row>
    <row r="23" spans="1:17" x14ac:dyDescent="0.3">
      <c r="A23" s="1" t="s">
        <v>38</v>
      </c>
      <c r="B23" s="1" t="s">
        <v>217</v>
      </c>
      <c r="C23" s="1" t="str">
        <f>VLOOKUP(B:B,[6]配额0227!$A:$B,2,0)</f>
        <v>端子排-/</v>
      </c>
      <c r="D23" s="1" t="str">
        <f>VLOOKUP(B:B,'[7]厂家配额 (新)'!$A$1:$C$65536,3,0)</f>
        <v>凯都/源峰/华冠/</v>
      </c>
      <c r="E23" s="1">
        <v>0</v>
      </c>
      <c r="F23" s="1">
        <v>1</v>
      </c>
      <c r="G23" s="1">
        <v>678</v>
      </c>
      <c r="H23" s="1">
        <v>1360</v>
      </c>
      <c r="I23" s="1">
        <v>185</v>
      </c>
      <c r="J23" s="1">
        <v>0</v>
      </c>
      <c r="K23" s="1">
        <v>199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</row>
    <row r="24" spans="1:17" x14ac:dyDescent="0.3">
      <c r="A24" s="1" t="s">
        <v>38</v>
      </c>
      <c r="B24" s="1" t="s">
        <v>218</v>
      </c>
      <c r="C24" s="1" t="str">
        <f>VLOOKUP(B:B,[6]配额0227!$A:$B,2,0)</f>
        <v>端子排-/---</v>
      </c>
      <c r="D24" s="1" t="str">
        <f>VLOOKUP(B:B,'[7]厂家配额 (新)'!$A$1:$C$65536,3,0)</f>
        <v>凯都/源峰/华冠/</v>
      </c>
      <c r="E24" s="1">
        <v>0</v>
      </c>
      <c r="F24" s="1">
        <v>1760</v>
      </c>
      <c r="G24" s="1">
        <v>0</v>
      </c>
      <c r="H24" s="1">
        <v>6368</v>
      </c>
      <c r="I24" s="1">
        <v>6480</v>
      </c>
      <c r="J24" s="1">
        <v>45</v>
      </c>
      <c r="K24" s="1">
        <v>6120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</row>
    <row r="25" spans="1:17" x14ac:dyDescent="0.3">
      <c r="A25" s="1" t="s">
        <v>38</v>
      </c>
      <c r="B25" s="1" t="s">
        <v>219</v>
      </c>
      <c r="C25" s="1" t="str">
        <f>VLOOKUP(B:B,[6]配额0227!$A:$B,2,0)</f>
        <v>端子排</v>
      </c>
      <c r="D25" s="1" t="str">
        <f>VLOOKUP(B:B,'[7]厂家配额 (新)'!$A$1:$C$65536,3,0)</f>
        <v>源峰/华冠//</v>
      </c>
      <c r="E25" s="1">
        <v>3902</v>
      </c>
      <c r="F25" s="1">
        <v>3494</v>
      </c>
      <c r="G25" s="1">
        <v>5276</v>
      </c>
      <c r="H25" s="1">
        <v>0</v>
      </c>
      <c r="I25" s="1">
        <v>1134</v>
      </c>
      <c r="J25" s="1">
        <v>2800</v>
      </c>
      <c r="K25" s="1">
        <v>6174</v>
      </c>
      <c r="L25" s="1">
        <v>3450</v>
      </c>
      <c r="M25" s="1">
        <v>0</v>
      </c>
      <c r="N25" s="1">
        <v>0</v>
      </c>
      <c r="O25" s="1">
        <v>436</v>
      </c>
      <c r="P25" s="1">
        <v>0</v>
      </c>
      <c r="Q25" s="1">
        <v>0</v>
      </c>
    </row>
    <row r="26" spans="1:17" x14ac:dyDescent="0.3">
      <c r="A26" s="1" t="s">
        <v>38</v>
      </c>
      <c r="B26" s="1" t="s">
        <v>220</v>
      </c>
      <c r="C26" s="1" t="str">
        <f>VLOOKUP(B:B,[6]配额0227!$A:$B,2,0)</f>
        <v>端子排</v>
      </c>
      <c r="D26" s="1" t="str">
        <f>VLOOKUP(B:B,'[7]厂家配额 (新)'!$A$1:$C$65536,3,0)</f>
        <v>源峰/凯都//</v>
      </c>
      <c r="E26" s="1">
        <v>4050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1350</v>
      </c>
      <c r="P26" s="1">
        <v>0</v>
      </c>
      <c r="Q26" s="1">
        <v>0</v>
      </c>
    </row>
    <row r="27" spans="1:17" x14ac:dyDescent="0.3">
      <c r="A27" s="1" t="s">
        <v>38</v>
      </c>
      <c r="B27" s="1" t="s">
        <v>221</v>
      </c>
      <c r="C27" s="1" t="str">
        <f>VLOOKUP(B:B,[6]配额0227!$A:$B,2,0)</f>
        <v>ROHS-室外端子排(JXW-4 600V 30A 4MM2)-/</v>
      </c>
      <c r="D27" s="1" t="str">
        <f>VLOOKUP(B:B,'[7]厂家配额 (新)'!$A$1:$C$65536,3,0)</f>
        <v>凯都</v>
      </c>
      <c r="E27" s="1">
        <v>5150</v>
      </c>
      <c r="F27" s="1">
        <v>4455</v>
      </c>
      <c r="G27" s="1">
        <v>1813</v>
      </c>
      <c r="H27" s="1">
        <v>3358</v>
      </c>
      <c r="I27" s="1">
        <v>3</v>
      </c>
      <c r="J27" s="1">
        <v>0</v>
      </c>
      <c r="K27" s="1">
        <v>435</v>
      </c>
      <c r="L27" s="1">
        <v>2209</v>
      </c>
      <c r="M27" s="1">
        <v>4461</v>
      </c>
      <c r="N27" s="1">
        <v>5516</v>
      </c>
      <c r="O27" s="1">
        <v>2979</v>
      </c>
      <c r="P27" s="1">
        <v>0</v>
      </c>
      <c r="Q27" s="1">
        <v>0</v>
      </c>
    </row>
    <row r="28" spans="1:17" x14ac:dyDescent="0.3">
      <c r="A28" s="1" t="s">
        <v>38</v>
      </c>
      <c r="B28" s="1" t="s">
        <v>222</v>
      </c>
      <c r="C28" s="1" t="str">
        <f>VLOOKUP(B:B,[6]配额0227!$A:$B,2,0)</f>
        <v>遥控器-塑料冰雪白 HBWH-1404</v>
      </c>
      <c r="D28" s="1" t="str">
        <f>VLOOKUP(B:B,'[7]厂家配额 (新)'!$A$1:$C$65536,3,0)</f>
        <v>长虹</v>
      </c>
      <c r="E28" s="1">
        <v>0</v>
      </c>
      <c r="F28" s="1">
        <v>0</v>
      </c>
      <c r="G28" s="1">
        <v>656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</row>
    <row r="29" spans="1:17" x14ac:dyDescent="0.3">
      <c r="A29" s="1" t="s">
        <v>38</v>
      </c>
      <c r="B29" s="1" t="s">
        <v>223</v>
      </c>
      <c r="C29" s="1" t="str">
        <f>VLOOKUP(B:B,[6]配额0227!$A:$B,2,0)</f>
        <v>端子排-/</v>
      </c>
      <c r="D29" s="1" t="str">
        <f>VLOOKUP(B:B,'[7]厂家配额 (新)'!$A$1:$C$65536,3,0)</f>
        <v>凯都/华冠//</v>
      </c>
      <c r="E29" s="1">
        <v>0</v>
      </c>
      <c r="F29" s="1">
        <v>0</v>
      </c>
      <c r="G29" s="1">
        <v>0</v>
      </c>
      <c r="H29" s="1">
        <v>0</v>
      </c>
      <c r="I29" s="1">
        <v>396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</row>
    <row r="30" spans="1:17" x14ac:dyDescent="0.3">
      <c r="A30" s="1" t="s">
        <v>38</v>
      </c>
      <c r="B30" s="1" t="s">
        <v>224</v>
      </c>
      <c r="C30" s="1" t="str">
        <f>VLOOKUP(B:B,[6]配额0227!$A:$B,2,0)</f>
        <v>端子排-//</v>
      </c>
      <c r="D30" s="1" t="str">
        <f>VLOOKUP(B:B,'[7]厂家配额 (新)'!$A$1:$C$65536,3,0)</f>
        <v>源峰</v>
      </c>
      <c r="E30" s="1">
        <v>0</v>
      </c>
      <c r="F30" s="1">
        <v>0</v>
      </c>
      <c r="G30" s="1">
        <v>2582</v>
      </c>
      <c r="H30" s="1">
        <v>20</v>
      </c>
      <c r="I30" s="1">
        <v>0</v>
      </c>
      <c r="J30" s="1">
        <v>0</v>
      </c>
      <c r="K30" s="1">
        <v>250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</row>
    <row r="31" spans="1:17" x14ac:dyDescent="0.3">
      <c r="A31" s="1" t="s">
        <v>38</v>
      </c>
      <c r="B31" s="1" t="s">
        <v>225</v>
      </c>
      <c r="C31" s="1" t="str">
        <f>VLOOKUP(B:B,[6]配额0227!$A:$B,2,0)</f>
        <v>端子排-/</v>
      </c>
      <c r="D31" s="1" t="str">
        <f>VLOOKUP(B:B,'[7]厂家配额 (新)'!$A$1:$C$65536,3,0)</f>
        <v>凯都/华冠//</v>
      </c>
      <c r="E31" s="1">
        <v>0</v>
      </c>
      <c r="F31" s="1">
        <v>0</v>
      </c>
      <c r="G31" s="1">
        <v>0</v>
      </c>
      <c r="H31" s="1">
        <v>0</v>
      </c>
      <c r="I31" s="1">
        <v>296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</row>
    <row r="32" spans="1:17" x14ac:dyDescent="0.3">
      <c r="A32" s="1" t="s">
        <v>38</v>
      </c>
      <c r="B32" s="1" t="s">
        <v>226</v>
      </c>
      <c r="C32" s="1" t="str">
        <f>VLOOKUP(B:B,[6]配额0227!$A:$B,2,0)</f>
        <v>ROHS-室内端子排(6位KFR-60GW/V(ZXF))</v>
      </c>
      <c r="D32" s="1" t="str">
        <f>VLOOKUP(B:B,'[7]厂家配额 (新)'!$A$1:$C$65536,3,0)</f>
        <v>华冠</v>
      </c>
      <c r="E32" s="1">
        <v>10</v>
      </c>
      <c r="F32" s="1">
        <v>1200</v>
      </c>
      <c r="G32" s="1">
        <v>199</v>
      </c>
      <c r="H32" s="1">
        <v>500</v>
      </c>
      <c r="I32" s="1">
        <v>91</v>
      </c>
      <c r="J32" s="1">
        <v>0</v>
      </c>
      <c r="K32" s="1">
        <v>780</v>
      </c>
      <c r="L32" s="1">
        <v>119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</row>
    <row r="33" spans="1:17" x14ac:dyDescent="0.3">
      <c r="A33" s="1" t="s">
        <v>38</v>
      </c>
      <c r="B33" s="1" t="s">
        <v>227</v>
      </c>
      <c r="C33" s="1" t="str">
        <f>VLOOKUP(B:B,[6]配额0227!$A:$B,2,0)</f>
        <v>端子排-N/A</v>
      </c>
      <c r="D33" s="1" t="str">
        <f>VLOOKUP(B:B,'[7]厂家配额 (新)'!$A$1:$C$65536,3,0)</f>
        <v>凯都/源峰/华冠//</v>
      </c>
      <c r="E33" s="1">
        <v>3139</v>
      </c>
      <c r="F33" s="1">
        <v>2909</v>
      </c>
      <c r="G33" s="1">
        <v>5540</v>
      </c>
      <c r="H33" s="1">
        <v>10624</v>
      </c>
      <c r="I33" s="1">
        <v>7036</v>
      </c>
      <c r="J33" s="1">
        <v>10013</v>
      </c>
      <c r="K33" s="1">
        <v>3545</v>
      </c>
      <c r="L33" s="1">
        <v>7126</v>
      </c>
      <c r="M33" s="1">
        <v>10274</v>
      </c>
      <c r="N33" s="1">
        <v>10512</v>
      </c>
      <c r="O33" s="1">
        <v>9010</v>
      </c>
      <c r="P33" s="1">
        <v>0</v>
      </c>
      <c r="Q33" s="1">
        <v>0</v>
      </c>
    </row>
    <row r="34" spans="1:17" x14ac:dyDescent="0.3">
      <c r="A34" s="1" t="s">
        <v>38</v>
      </c>
      <c r="B34" s="1" t="s">
        <v>228</v>
      </c>
      <c r="C34" s="1" t="str">
        <f>VLOOKUP(B:B,[6]配额0227!$A:$B,2,0)</f>
        <v>端子排-//</v>
      </c>
      <c r="D34" s="1" t="str">
        <f>VLOOKUP(B:B,'[7]厂家配额 (新)'!$A$1:$C$65536,3,0)</f>
        <v>华冠</v>
      </c>
      <c r="E34" s="1">
        <v>4050</v>
      </c>
      <c r="F34" s="1">
        <v>3364</v>
      </c>
      <c r="G34" s="1">
        <v>0</v>
      </c>
      <c r="H34" s="1">
        <v>0</v>
      </c>
      <c r="I34" s="1">
        <v>2160</v>
      </c>
      <c r="J34" s="1">
        <v>0</v>
      </c>
      <c r="K34" s="1">
        <v>2</v>
      </c>
      <c r="L34" s="1">
        <v>0</v>
      </c>
      <c r="M34" s="1">
        <v>0</v>
      </c>
      <c r="N34" s="1">
        <v>0</v>
      </c>
      <c r="O34" s="1">
        <v>1350</v>
      </c>
      <c r="P34" s="1">
        <v>0</v>
      </c>
      <c r="Q34" s="1">
        <v>0</v>
      </c>
    </row>
    <row r="35" spans="1:17" x14ac:dyDescent="0.3">
      <c r="A35" s="1" t="s">
        <v>38</v>
      </c>
      <c r="B35" s="1" t="s">
        <v>229</v>
      </c>
      <c r="C35" s="1" t="str">
        <f>VLOOKUP(B:B,[6]配额0227!$A:$B,2,0)</f>
        <v>端子排-/</v>
      </c>
      <c r="D35" s="1" t="str">
        <f>VLOOKUP(B:B,'[7]厂家配额 (新)'!$A$1:$C$65536,3,0)</f>
        <v>凯都/华冠//</v>
      </c>
      <c r="E35" s="1">
        <v>1000</v>
      </c>
      <c r="F35" s="1">
        <v>1200</v>
      </c>
      <c r="G35" s="1">
        <v>1200</v>
      </c>
      <c r="H35" s="1">
        <v>1300</v>
      </c>
      <c r="I35" s="1">
        <v>1300</v>
      </c>
      <c r="J35" s="1">
        <v>1300</v>
      </c>
      <c r="K35" s="1">
        <v>1310</v>
      </c>
      <c r="L35" s="1">
        <v>1390</v>
      </c>
      <c r="M35" s="1">
        <v>1300</v>
      </c>
      <c r="N35" s="1">
        <v>1300</v>
      </c>
      <c r="O35" s="1">
        <v>1000</v>
      </c>
      <c r="P35" s="1">
        <v>0</v>
      </c>
      <c r="Q35" s="1">
        <v>0</v>
      </c>
    </row>
    <row r="36" spans="1:17" x14ac:dyDescent="0.3">
      <c r="A36" s="1" t="s">
        <v>38</v>
      </c>
      <c r="B36" s="1" t="s">
        <v>230</v>
      </c>
      <c r="C36" s="1" t="str">
        <f>VLOOKUP(B:B,[6]配额0227!$A:$B,2,0)</f>
        <v>遥控器</v>
      </c>
      <c r="D36" s="1" t="str">
        <f>VLOOKUP(B:B,'[7]厂家配额 (新)'!$A$1:$C$65536,3,0)</f>
        <v>长虹</v>
      </c>
      <c r="E36" s="1">
        <v>0</v>
      </c>
      <c r="F36" s="1">
        <v>0</v>
      </c>
      <c r="G36" s="1">
        <v>0</v>
      </c>
      <c r="H36" s="1">
        <v>0</v>
      </c>
      <c r="I36" s="1">
        <v>2</v>
      </c>
      <c r="J36" s="1">
        <v>0</v>
      </c>
      <c r="K36" s="1">
        <v>0</v>
      </c>
      <c r="L36" s="1">
        <v>418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</row>
    <row r="37" spans="1:17" x14ac:dyDescent="0.3">
      <c r="A37" s="1" t="s">
        <v>38</v>
      </c>
      <c r="B37" s="1" t="s">
        <v>231</v>
      </c>
      <c r="C37" s="1" t="str">
        <f>VLOOKUP(B:B,[6]配额0227!$A:$B,2,0)</f>
        <v>遥控器-塑料</v>
      </c>
      <c r="D37" s="1" t="str">
        <f>VLOOKUP(B:B,'[7]厂家配额 (新)'!$A$1:$C$65536,3,0)</f>
        <v>思恩泰克</v>
      </c>
      <c r="E37" s="1">
        <v>2100</v>
      </c>
      <c r="F37" s="1">
        <v>0</v>
      </c>
      <c r="G37" s="1">
        <v>0</v>
      </c>
      <c r="H37" s="1">
        <v>500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</row>
    <row r="38" spans="1:17" x14ac:dyDescent="0.3">
      <c r="A38" s="1" t="s">
        <v>38</v>
      </c>
      <c r="B38" s="1" t="s">
        <v>232</v>
      </c>
      <c r="C38" s="1" t="str">
        <f>VLOOKUP(B:B,[6]配额0227!$A:$B,2,0)</f>
        <v>遥控器-塑料</v>
      </c>
      <c r="D38" s="1" t="str">
        <f>VLOOKUP(B:B,'[7]厂家配额 (新)'!$A$1:$C$65536,3,0)</f>
        <v>思恩泰克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187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</row>
    <row r="39" spans="1:17" x14ac:dyDescent="0.3">
      <c r="A39" s="1" t="s">
        <v>38</v>
      </c>
      <c r="B39" s="1" t="s">
        <v>233</v>
      </c>
      <c r="C39" s="1" t="str">
        <f>VLOOKUP(B:B,[6]配额0227!$A:$B,2,0)</f>
        <v>遥控器-塑料</v>
      </c>
      <c r="D39" s="1" t="str">
        <f>VLOOKUP(B:B,'[7]厂家配额 (新)'!$A$1:$C$65536,3,0)</f>
        <v>长虹</v>
      </c>
      <c r="E39" s="1">
        <v>0</v>
      </c>
      <c r="F39" s="1">
        <v>0</v>
      </c>
      <c r="G39" s="1">
        <v>0</v>
      </c>
      <c r="H39" s="1">
        <v>0</v>
      </c>
      <c r="I39" s="1">
        <v>221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</row>
    <row r="40" spans="1:17" x14ac:dyDescent="0.3">
      <c r="A40" s="1" t="s">
        <v>38</v>
      </c>
      <c r="B40" s="1" t="s">
        <v>234</v>
      </c>
      <c r="C40" s="1" t="str">
        <f>VLOOKUP(B:B,[6]配额0227!$A:$B,2,0)</f>
        <v>遥控器-塑料</v>
      </c>
      <c r="D40" s="1" t="str">
        <f>VLOOKUP(B:B,'[7]厂家配额 (新)'!$A$1:$C$65536,3,0)</f>
        <v>合晶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3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</row>
    <row r="41" spans="1:17" x14ac:dyDescent="0.3">
      <c r="A41" s="1" t="s">
        <v>38</v>
      </c>
      <c r="B41" s="1" t="s">
        <v>235</v>
      </c>
      <c r="C41" s="1" t="str">
        <f>VLOOKUP(B:B,[6]配额0227!$A:$B,2,0)</f>
        <v>遥控器-塑料</v>
      </c>
      <c r="D41" s="1" t="str">
        <f>VLOOKUP(B:B,'[7]厂家配额 (新)'!$A$1:$C$65536,3,0)</f>
        <v>长虹/思恩泰克</v>
      </c>
      <c r="E41" s="1">
        <v>0</v>
      </c>
      <c r="F41" s="1">
        <v>0</v>
      </c>
      <c r="G41" s="1">
        <v>0</v>
      </c>
      <c r="H41" s="1">
        <v>0</v>
      </c>
      <c r="I41" s="1">
        <v>30</v>
      </c>
      <c r="J41" s="1">
        <v>0</v>
      </c>
      <c r="K41" s="1">
        <v>140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</row>
    <row r="42" spans="1:17" x14ac:dyDescent="0.3">
      <c r="A42" s="1" t="s">
        <v>38</v>
      </c>
      <c r="B42" s="1" t="s">
        <v>236</v>
      </c>
      <c r="C42" s="1" t="str">
        <f>VLOOKUP(B:B,[6]配额0227!$A:$B,2,0)</f>
        <v>遥控器-塑料</v>
      </c>
      <c r="D42" s="1" t="str">
        <f>VLOOKUP(B:B,'[7]厂家配额 (新)'!$A$1:$C$65536,3,0)</f>
        <v>思恩泰克</v>
      </c>
      <c r="E42" s="1">
        <v>0</v>
      </c>
      <c r="F42" s="1">
        <v>4</v>
      </c>
      <c r="G42" s="1">
        <v>0</v>
      </c>
      <c r="H42" s="1">
        <v>0</v>
      </c>
      <c r="I42" s="1">
        <v>580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</row>
    <row r="43" spans="1:17" x14ac:dyDescent="0.3">
      <c r="A43" s="1" t="s">
        <v>38</v>
      </c>
      <c r="B43" s="1" t="s">
        <v>237</v>
      </c>
      <c r="C43" s="1" t="str">
        <f>VLOOKUP(B:B,[6]配额0227!$A:$B,2,0)</f>
        <v>遥控器-塑料</v>
      </c>
      <c r="D43" s="1" t="str">
        <f>VLOOKUP(B:B,'[7]厂家配额 (新)'!$A$1:$C$65536,3,0)</f>
        <v>思恩泰克</v>
      </c>
      <c r="E43" s="1">
        <v>70</v>
      </c>
      <c r="F43" s="1">
        <v>0</v>
      </c>
      <c r="G43" s="1">
        <v>370</v>
      </c>
      <c r="H43" s="1">
        <v>0</v>
      </c>
      <c r="I43" s="1">
        <v>0</v>
      </c>
      <c r="J43" s="1">
        <v>0</v>
      </c>
      <c r="K43" s="1">
        <v>0</v>
      </c>
      <c r="L43" s="1">
        <v>2124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</row>
    <row r="44" spans="1:17" x14ac:dyDescent="0.3">
      <c r="A44" s="1" t="s">
        <v>38</v>
      </c>
      <c r="B44" s="1" t="s">
        <v>238</v>
      </c>
      <c r="C44" s="1" t="str">
        <f>VLOOKUP(B:B,[6]配额0227!$A:$B,2,0)</f>
        <v>遥控器-塑料冰雪白 HBWH-1404</v>
      </c>
      <c r="D44" s="1" t="str">
        <f>VLOOKUP(B:B,'[7]厂家配额 (新)'!$A$1:$C$65536,3,0)</f>
        <v>合晶/思恩泰克//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570</v>
      </c>
      <c r="M44" s="1">
        <v>2295</v>
      </c>
      <c r="N44" s="1">
        <v>5702</v>
      </c>
      <c r="O44" s="1">
        <v>0</v>
      </c>
      <c r="P44" s="1">
        <v>0</v>
      </c>
      <c r="Q44" s="1">
        <v>0</v>
      </c>
    </row>
    <row r="45" spans="1:17" x14ac:dyDescent="0.3">
      <c r="A45" s="1" t="s">
        <v>38</v>
      </c>
      <c r="B45" s="1" t="s">
        <v>239</v>
      </c>
      <c r="C45" s="1" t="str">
        <f>VLOOKUP(B:B,[6]配额0227!$A:$B,2,0)</f>
        <v>遥控器-冰雪白 WH-0114</v>
      </c>
      <c r="D45" s="1" t="str">
        <f>VLOOKUP(B:B,'[7]厂家配额 (新)'!$A$1:$C$65536,3,0)</f>
        <v>合晶/思恩泰克//</v>
      </c>
      <c r="E45" s="1">
        <v>0</v>
      </c>
      <c r="F45" s="1">
        <v>0</v>
      </c>
      <c r="G45" s="1">
        <v>1132</v>
      </c>
      <c r="H45" s="1">
        <v>0</v>
      </c>
      <c r="I45" s="1">
        <v>0</v>
      </c>
      <c r="J45" s="1">
        <v>0</v>
      </c>
      <c r="K45" s="1">
        <v>0</v>
      </c>
      <c r="L45" s="1">
        <v>240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</row>
    <row r="46" spans="1:17" x14ac:dyDescent="0.3">
      <c r="A46" s="1" t="s">
        <v>38</v>
      </c>
      <c r="B46" s="1" t="s">
        <v>240</v>
      </c>
      <c r="C46" s="1" t="str">
        <f>VLOOKUP(B:B,[6]配额0227!$A:$B,2,0)</f>
        <v>遥控器-塑料</v>
      </c>
      <c r="D46" s="1" t="str">
        <f>VLOOKUP(B:B,'[7]厂家配额 (新)'!$A$1:$C$65536,3,0)</f>
        <v>思恩泰克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62</v>
      </c>
      <c r="P46" s="1">
        <v>0</v>
      </c>
      <c r="Q46" s="1">
        <v>0</v>
      </c>
    </row>
    <row r="47" spans="1:17" x14ac:dyDescent="0.3">
      <c r="A47" s="1" t="s">
        <v>38</v>
      </c>
      <c r="B47" s="1" t="s">
        <v>241</v>
      </c>
      <c r="C47" s="1" t="str">
        <f>VLOOKUP(B:B,[6]配额0227!$A:$B,2,0)</f>
        <v>遥控器-塑料</v>
      </c>
      <c r="D47" s="1" t="str">
        <f>VLOOKUP(B:B,'[7]厂家配额 (新)'!$A$1:$C$65536,3,0)</f>
        <v>思恩泰克</v>
      </c>
      <c r="E47" s="1">
        <v>240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</row>
    <row r="48" spans="1:17" x14ac:dyDescent="0.3">
      <c r="A48" s="1" t="s">
        <v>38</v>
      </c>
      <c r="B48" s="1" t="s">
        <v>242</v>
      </c>
      <c r="C48" s="1" t="str">
        <f>VLOOKUP(B:B,[6]配额0227!$A:$B,2,0)</f>
        <v>遥控器-塑料</v>
      </c>
      <c r="D48" s="1" t="str">
        <f>VLOOKUP(B:B,'[7]厂家配额 (新)'!$A$1:$C$65536,3,0)</f>
        <v>思恩泰克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150</v>
      </c>
      <c r="L48" s="1">
        <v>0</v>
      </c>
      <c r="M48" s="1">
        <v>80</v>
      </c>
      <c r="N48" s="1">
        <v>0</v>
      </c>
      <c r="O48" s="1">
        <v>0</v>
      </c>
      <c r="P48" s="1">
        <v>0</v>
      </c>
      <c r="Q48" s="1">
        <v>0</v>
      </c>
    </row>
    <row r="49" spans="1:17" x14ac:dyDescent="0.3">
      <c r="A49" s="1" t="s">
        <v>38</v>
      </c>
      <c r="B49" s="1" t="s">
        <v>243</v>
      </c>
      <c r="C49" s="1" t="str">
        <f>VLOOKUP(B:B,[6]配额0227!$A:$B,2,0)</f>
        <v>遥控器-塑料</v>
      </c>
      <c r="D49" s="1" t="str">
        <f>VLOOKUP(B:B,'[7]厂家配额 (新)'!$A$1:$C$65536,3,0)</f>
        <v>合晶</v>
      </c>
      <c r="E49" s="1">
        <v>0</v>
      </c>
      <c r="F49" s="1">
        <v>2</v>
      </c>
      <c r="G49" s="1">
        <v>2580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</row>
    <row r="50" spans="1:17" x14ac:dyDescent="0.3">
      <c r="A50" s="1" t="s">
        <v>38</v>
      </c>
      <c r="B50" s="1" t="s">
        <v>244</v>
      </c>
      <c r="C50" s="1" t="str">
        <f>VLOOKUP(B:B,[6]配额0227!$A:$B,2,0)</f>
        <v>遥控器-塑料HE</v>
      </c>
      <c r="D50" s="1" t="str">
        <f>VLOOKUP(B:B,'[7]厂家配额 (新)'!$A$1:$C$65536,3,0)</f>
        <v>福尼特/合晶//</v>
      </c>
      <c r="E50" s="1">
        <v>1800</v>
      </c>
      <c r="F50" s="1">
        <v>2200</v>
      </c>
      <c r="G50" s="1">
        <v>0</v>
      </c>
      <c r="H50" s="1">
        <v>0</v>
      </c>
      <c r="I50" s="1">
        <v>600</v>
      </c>
      <c r="J50" s="1">
        <v>3300</v>
      </c>
      <c r="K50" s="1">
        <v>400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</row>
    <row r="51" spans="1:17" x14ac:dyDescent="0.3">
      <c r="A51" s="1" t="s">
        <v>38</v>
      </c>
      <c r="B51" s="1" t="s">
        <v>245</v>
      </c>
      <c r="C51" s="1" t="str">
        <f>VLOOKUP(B:B,[6]配额0227!$A:$B,2,0)</f>
        <v>遥控器-塑料</v>
      </c>
      <c r="D51" s="1" t="str">
        <f>VLOOKUP(B:B,'[7]厂家配额 (新)'!$A$1:$C$65536,3,0)</f>
        <v>长虹</v>
      </c>
      <c r="E51" s="1">
        <v>1603</v>
      </c>
      <c r="F51" s="1">
        <v>1197</v>
      </c>
      <c r="G51" s="1">
        <v>498</v>
      </c>
      <c r="H51" s="1">
        <v>0</v>
      </c>
      <c r="I51" s="1">
        <v>0</v>
      </c>
      <c r="J51" s="1">
        <v>0</v>
      </c>
      <c r="K51" s="1">
        <v>0</v>
      </c>
      <c r="L51" s="1">
        <v>215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</row>
    <row r="52" spans="1:17" x14ac:dyDescent="0.3">
      <c r="A52" s="1" t="s">
        <v>38</v>
      </c>
      <c r="B52" s="1" t="s">
        <v>246</v>
      </c>
      <c r="C52" s="1" t="str">
        <f>VLOOKUP(B:B,[6]配额0227!$A:$B,2,0)</f>
        <v>遥控器-塑料</v>
      </c>
      <c r="D52" s="1" t="str">
        <f>VLOOKUP(B:B,'[7]厂家配额 (新)'!$A$1:$C$65536,3,0)</f>
        <v>长虹</v>
      </c>
      <c r="E52" s="1">
        <v>862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</row>
    <row r="53" spans="1:17" x14ac:dyDescent="0.3">
      <c r="A53" s="1" t="s">
        <v>38</v>
      </c>
      <c r="B53" s="1" t="s">
        <v>247</v>
      </c>
      <c r="C53" s="1" t="str">
        <f>VLOOKUP(B:B,[6]配额0227!$A:$B,2,0)</f>
        <v>遥控器-塑料</v>
      </c>
      <c r="D53" s="1" t="str">
        <f>VLOOKUP(B:B,'[7]厂家配额 (新)'!$A$1:$C$65536,3,0)</f>
        <v>长虹</v>
      </c>
      <c r="E53" s="1">
        <v>3</v>
      </c>
      <c r="F53" s="1">
        <v>0</v>
      </c>
      <c r="G53" s="1">
        <v>3045</v>
      </c>
      <c r="H53" s="1">
        <v>0</v>
      </c>
      <c r="I53" s="1">
        <v>3</v>
      </c>
      <c r="J53" s="1">
        <v>0</v>
      </c>
      <c r="K53" s="1">
        <v>298</v>
      </c>
      <c r="L53" s="1">
        <v>199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</row>
    <row r="54" spans="1:17" x14ac:dyDescent="0.3">
      <c r="A54" s="1" t="s">
        <v>38</v>
      </c>
      <c r="B54" s="1" t="s">
        <v>248</v>
      </c>
      <c r="C54" s="1" t="str">
        <f>VLOOKUP(B:B,[6]配额0227!$A:$B,2,0)</f>
        <v>遥控器-塑料</v>
      </c>
      <c r="D54" s="1" t="str">
        <f>VLOOKUP(B:B,'[7]厂家配额 (新)'!$A$1:$C$65536,3,0)</f>
        <v>长虹</v>
      </c>
      <c r="E54" s="1">
        <v>198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</row>
    <row r="55" spans="1:17" x14ac:dyDescent="0.3">
      <c r="A55" s="1" t="s">
        <v>38</v>
      </c>
      <c r="B55" s="1" t="s">
        <v>249</v>
      </c>
      <c r="C55" s="1" t="str">
        <f>VLOOKUP(B:B,[6]配额0227!$A:$B,2,0)</f>
        <v>遥控器-塑料</v>
      </c>
      <c r="D55" s="1" t="str">
        <f>VLOOKUP(B:B,'[7]厂家配额 (新)'!$A$1:$C$65536,3,0)</f>
        <v>合晶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990</v>
      </c>
      <c r="O55" s="1">
        <v>1980</v>
      </c>
      <c r="P55" s="1">
        <v>0</v>
      </c>
      <c r="Q55" s="1">
        <v>0</v>
      </c>
    </row>
    <row r="56" spans="1:17" x14ac:dyDescent="0.3">
      <c r="A56" s="1" t="s">
        <v>38</v>
      </c>
      <c r="B56" s="1" t="s">
        <v>250</v>
      </c>
      <c r="C56" s="1" t="str">
        <f>VLOOKUP(B:B,[6]配额0227!$A:$B,2,0)</f>
        <v>遥控器-塑料</v>
      </c>
      <c r="D56" s="1" t="str">
        <f>VLOOKUP(B:B,'[7]厂家配额 (新)'!$A$1:$C$65536,3,0)</f>
        <v>合晶</v>
      </c>
      <c r="E56" s="1">
        <v>40</v>
      </c>
      <c r="F56" s="1">
        <v>80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</row>
    <row r="57" spans="1:17" x14ac:dyDescent="0.3">
      <c r="A57" s="1" t="s">
        <v>38</v>
      </c>
      <c r="B57" s="1" t="s">
        <v>251</v>
      </c>
      <c r="C57" s="1" t="str">
        <f>VLOOKUP(B:B,[6]配额0227!$A:$B,2,0)</f>
        <v>遥控器-塑料</v>
      </c>
      <c r="D57" s="1" t="str">
        <f>VLOOKUP(B:B,'[7]厂家配额 (新)'!$A$1:$C$65536,3,0)</f>
        <v>合晶</v>
      </c>
      <c r="E57" s="1">
        <v>130</v>
      </c>
      <c r="F57" s="1">
        <v>230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</row>
    <row r="58" spans="1:17" x14ac:dyDescent="0.3">
      <c r="A58" s="1" t="s">
        <v>38</v>
      </c>
      <c r="B58" s="1" t="s">
        <v>252</v>
      </c>
      <c r="C58" s="1" t="str">
        <f>VLOOKUP(B:B,[6]配额0227!$A:$B,2,0)</f>
        <v>遥控器-塑料</v>
      </c>
      <c r="D58" s="1" t="str">
        <f>VLOOKUP(B:B,'[7]厂家配额 (新)'!$A$1:$C$65536,3,0)</f>
        <v>合晶</v>
      </c>
      <c r="E58" s="1">
        <v>206</v>
      </c>
      <c r="F58" s="1">
        <v>0</v>
      </c>
      <c r="G58" s="1">
        <v>6</v>
      </c>
      <c r="H58" s="1">
        <v>530</v>
      </c>
      <c r="I58" s="1">
        <v>5270</v>
      </c>
      <c r="J58" s="1">
        <v>0</v>
      </c>
      <c r="K58" s="1">
        <v>333</v>
      </c>
      <c r="L58" s="1">
        <v>490</v>
      </c>
      <c r="M58" s="1">
        <v>125</v>
      </c>
      <c r="N58" s="1">
        <v>310</v>
      </c>
      <c r="O58" s="1">
        <v>290</v>
      </c>
      <c r="P58" s="1">
        <v>0</v>
      </c>
      <c r="Q58" s="1">
        <v>0</v>
      </c>
    </row>
    <row r="59" spans="1:17" x14ac:dyDescent="0.3">
      <c r="A59" s="1" t="s">
        <v>38</v>
      </c>
      <c r="B59" s="1" t="s">
        <v>253</v>
      </c>
      <c r="C59" s="1" t="str">
        <f>VLOOKUP(B:B,[6]配额0227!$A:$B,2,0)</f>
        <v>遥控器-塑料</v>
      </c>
      <c r="D59" s="1" t="str">
        <f>VLOOKUP(B:B,'[7]厂家配额 (新)'!$A$1:$C$65536,3,0)</f>
        <v>合晶</v>
      </c>
      <c r="E59" s="1">
        <v>0</v>
      </c>
      <c r="F59" s="1">
        <v>0</v>
      </c>
      <c r="G59" s="1">
        <v>0</v>
      </c>
      <c r="H59" s="1">
        <v>1000</v>
      </c>
      <c r="I59" s="1">
        <v>0</v>
      </c>
      <c r="J59" s="1">
        <v>0</v>
      </c>
      <c r="K59" s="1">
        <v>175</v>
      </c>
      <c r="L59" s="1">
        <v>640</v>
      </c>
      <c r="M59" s="1">
        <v>1575</v>
      </c>
      <c r="N59" s="1">
        <v>2915</v>
      </c>
      <c r="O59" s="1">
        <v>995</v>
      </c>
      <c r="P59" s="1">
        <v>0</v>
      </c>
      <c r="Q59" s="1">
        <v>0</v>
      </c>
    </row>
    <row r="60" spans="1:17" x14ac:dyDescent="0.3">
      <c r="A60" s="1" t="s">
        <v>38</v>
      </c>
      <c r="B60" s="1" t="s">
        <v>254</v>
      </c>
      <c r="C60" s="1" t="str">
        <f>VLOOKUP(B:B,[6]配额0227!$A:$B,2,0)</f>
        <v>端子排-/</v>
      </c>
      <c r="D60" s="1" t="str">
        <f>VLOOKUP(B:B,'[7]厂家配额 (新)'!$A$1:$C$65536,3,0)</f>
        <v>乐清金龙电子</v>
      </c>
      <c r="E60" s="1">
        <v>0</v>
      </c>
      <c r="F60" s="1">
        <v>0</v>
      </c>
      <c r="G60" s="1">
        <v>1788</v>
      </c>
      <c r="H60" s="1">
        <v>0</v>
      </c>
      <c r="I60" s="1">
        <v>0</v>
      </c>
      <c r="J60" s="1">
        <v>0</v>
      </c>
      <c r="K60" s="1">
        <v>0</v>
      </c>
      <c r="L60" s="1">
        <v>240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</row>
    <row r="61" spans="1:17" x14ac:dyDescent="0.3">
      <c r="A61" s="1" t="s">
        <v>38</v>
      </c>
      <c r="B61" s="1" t="s">
        <v>255</v>
      </c>
      <c r="C61" s="1" t="str">
        <f>VLOOKUP(B:B,[6]配额0227!$A:$B,2,0)</f>
        <v>端子排-/</v>
      </c>
      <c r="D61" s="1" t="str">
        <f>VLOOKUP(B:B,'[7]厂家配额 (新)'!$A$1:$C$65536,3,0)</f>
        <v>乐清金龙电子</v>
      </c>
      <c r="E61" s="1">
        <v>0</v>
      </c>
      <c r="F61" s="1">
        <v>0</v>
      </c>
      <c r="G61" s="1">
        <v>1145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240</v>
      </c>
      <c r="O61" s="1">
        <v>0</v>
      </c>
      <c r="P61" s="1">
        <v>0</v>
      </c>
      <c r="Q61" s="1">
        <v>0</v>
      </c>
    </row>
    <row r="62" spans="1:17" x14ac:dyDescent="0.3">
      <c r="A62" s="1" t="s">
        <v>38</v>
      </c>
      <c r="B62" s="1" t="s">
        <v>256</v>
      </c>
      <c r="C62" s="1" t="str">
        <f>VLOOKUP(B:B,[6]配额0227!$A:$B,2,0)</f>
        <v>端子排-塑料</v>
      </c>
      <c r="D62" s="1" t="str">
        <f>VLOOKUP(B:B,'[7]厂家配额 (新)'!$A$1:$C$65536,3,0)</f>
        <v>源峰</v>
      </c>
      <c r="E62" s="1">
        <v>0</v>
      </c>
      <c r="F62" s="1">
        <v>0</v>
      </c>
      <c r="G62" s="1">
        <v>0</v>
      </c>
      <c r="H62" s="1">
        <v>0</v>
      </c>
      <c r="I62" s="1">
        <v>360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140</v>
      </c>
      <c r="P62" s="1">
        <v>0</v>
      </c>
      <c r="Q62" s="1">
        <v>0</v>
      </c>
    </row>
    <row r="63" spans="1:17" x14ac:dyDescent="0.3">
      <c r="A63" s="1" t="s">
        <v>38</v>
      </c>
      <c r="B63" s="1" t="s">
        <v>257</v>
      </c>
      <c r="C63" s="1" t="str">
        <f>VLOOKUP(B:B,[6]配额0227!$A:$B,2,0)</f>
        <v>遥控器-塑料</v>
      </c>
      <c r="D63" s="1" t="str">
        <f>VLOOKUP(B:B,'[7]厂家配额 (新)'!$A$1:$C$65536,3,0)</f>
        <v>合晶/长虹//</v>
      </c>
      <c r="E63" s="1">
        <v>0</v>
      </c>
      <c r="F63" s="1">
        <v>0</v>
      </c>
      <c r="G63" s="1">
        <v>0</v>
      </c>
      <c r="H63" s="1">
        <v>0</v>
      </c>
      <c r="I63" s="1">
        <v>1</v>
      </c>
      <c r="J63" s="1">
        <v>0</v>
      </c>
      <c r="K63" s="1">
        <v>0</v>
      </c>
      <c r="L63" s="1">
        <v>194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</row>
    <row r="64" spans="1:17" x14ac:dyDescent="0.3">
      <c r="A64" s="1" t="s">
        <v>38</v>
      </c>
      <c r="B64" s="1" t="s">
        <v>258</v>
      </c>
      <c r="C64" s="1" t="str">
        <f>VLOOKUP(B:B,[6]配额0227!$A:$B,2,0)</f>
        <v>室内电脑板-CEM-1</v>
      </c>
      <c r="D64" s="1" t="str">
        <f>VLOOKUP(B:B,'[7]厂家配额 (新)'!$A$1:$C$65536,3,0)</f>
        <v>领智</v>
      </c>
      <c r="E64" s="1">
        <v>0</v>
      </c>
      <c r="F64" s="1">
        <v>0</v>
      </c>
      <c r="G64" s="1">
        <v>0</v>
      </c>
      <c r="H64" s="1">
        <v>0</v>
      </c>
      <c r="I64" s="1">
        <v>167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</row>
    <row r="65" spans="1:17" x14ac:dyDescent="0.3">
      <c r="A65" s="1" t="s">
        <v>38</v>
      </c>
      <c r="B65" s="1" t="s">
        <v>259</v>
      </c>
      <c r="C65" s="1" t="str">
        <f>VLOOKUP(B:B,[6]配额0227!$A:$B,2,0)</f>
        <v>室内电脑板-CEM-1</v>
      </c>
      <c r="D65" s="1" t="str">
        <f>VLOOKUP(B:B,'[7]厂家配额 (新)'!$A$1:$C$65536,3,0)</f>
        <v>领智/领智//</v>
      </c>
      <c r="E65" s="1">
        <v>0</v>
      </c>
      <c r="F65" s="1">
        <v>0</v>
      </c>
      <c r="G65" s="1">
        <v>0</v>
      </c>
      <c r="H65" s="1">
        <v>0</v>
      </c>
      <c r="I65" s="1">
        <v>54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</row>
    <row r="66" spans="1:17" x14ac:dyDescent="0.3">
      <c r="A66" s="1" t="s">
        <v>38</v>
      </c>
      <c r="B66" s="1" t="s">
        <v>260</v>
      </c>
      <c r="C66" s="1" t="str">
        <f>VLOOKUP(B:B,[6]配额0227!$A:$B,2,0)</f>
        <v>显示面板-FR-4</v>
      </c>
      <c r="D66" s="1" t="str">
        <f>VLOOKUP(B:B,'[7]厂家配额 (新)'!$A$1:$C$65536,3,0)</f>
        <v>恒青/领智//</v>
      </c>
      <c r="E66" s="1">
        <v>300</v>
      </c>
      <c r="F66" s="1">
        <v>300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</row>
    <row r="67" spans="1:17" x14ac:dyDescent="0.3">
      <c r="A67" s="1" t="s">
        <v>38</v>
      </c>
      <c r="B67" s="1" t="s">
        <v>28</v>
      </c>
      <c r="C67" s="1" t="str">
        <f>VLOOKUP(B:B,[6]配额0227!$A:$B,2,0)</f>
        <v>显示面板-FR-4</v>
      </c>
      <c r="D67" s="1" t="str">
        <f>VLOOKUP(B:B,'[7]厂家配额 (新)'!$A$1:$C$65536,3,0)</f>
        <v>恒青/和而泰/领智/</v>
      </c>
      <c r="E67" s="1">
        <v>3901</v>
      </c>
      <c r="F67" s="1">
        <v>3401</v>
      </c>
      <c r="G67" s="1">
        <v>4000</v>
      </c>
      <c r="H67" s="1">
        <v>8394</v>
      </c>
      <c r="I67" s="1">
        <v>3165</v>
      </c>
      <c r="J67" s="1">
        <v>11440</v>
      </c>
      <c r="K67" s="1">
        <v>1851</v>
      </c>
      <c r="L67" s="1">
        <v>356</v>
      </c>
      <c r="M67" s="1">
        <v>770</v>
      </c>
      <c r="N67" s="1">
        <v>0</v>
      </c>
      <c r="O67" s="1">
        <v>9885</v>
      </c>
      <c r="P67" s="1">
        <v>0</v>
      </c>
      <c r="Q67" s="1">
        <v>0</v>
      </c>
    </row>
    <row r="68" spans="1:17" x14ac:dyDescent="0.3">
      <c r="A68" s="1" t="s">
        <v>38</v>
      </c>
      <c r="B68" s="1" t="s">
        <v>261</v>
      </c>
      <c r="C68" s="1" t="str">
        <f>VLOOKUP(B:B,[6]配额0227!$A:$B,2,0)</f>
        <v>室内电脑板-CEM-1</v>
      </c>
      <c r="D68" s="1" t="str">
        <f>VLOOKUP(B:B,'[7]厂家配额 (新)'!$A$1:$C$65536,3,0)</f>
        <v>领智</v>
      </c>
      <c r="E68" s="1">
        <v>300</v>
      </c>
      <c r="F68" s="1">
        <v>100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</row>
    <row r="69" spans="1:17" x14ac:dyDescent="0.3">
      <c r="A69" s="1" t="s">
        <v>38</v>
      </c>
      <c r="B69" s="1" t="s">
        <v>262</v>
      </c>
      <c r="C69" s="1" t="str">
        <f>VLOOKUP(B:B,[6]配额0227!$A:$B,2,0)</f>
        <v>室内电脑板-CEM-1</v>
      </c>
      <c r="D69" s="1" t="str">
        <f>VLOOKUP(B:B,'[7]厂家配额 (新)'!$A$1:$C$65536,3,0)</f>
        <v>领智</v>
      </c>
      <c r="E69" s="1">
        <v>0</v>
      </c>
      <c r="F69" s="1">
        <v>200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</row>
    <row r="70" spans="1:17" x14ac:dyDescent="0.3">
      <c r="A70" s="1" t="s">
        <v>38</v>
      </c>
      <c r="B70" s="1" t="s">
        <v>30</v>
      </c>
      <c r="C70" s="1" t="str">
        <f>VLOOKUP(B:B,[6]配额0227!$A:$B,2,0)</f>
        <v>室内电脑板-CEM-1</v>
      </c>
      <c r="D70" s="1" t="str">
        <f>VLOOKUP(B:B,'[7]厂家配额 (新)'!$A$1:$C$65536,3,0)</f>
        <v>和而泰/领智//</v>
      </c>
      <c r="E70" s="1">
        <v>3</v>
      </c>
      <c r="F70" s="1">
        <v>897</v>
      </c>
      <c r="G70" s="1">
        <v>0</v>
      </c>
      <c r="H70" s="1">
        <v>0</v>
      </c>
      <c r="I70" s="1">
        <v>297</v>
      </c>
      <c r="J70" s="1">
        <v>0</v>
      </c>
      <c r="K70" s="1">
        <v>699</v>
      </c>
      <c r="L70" s="1">
        <v>370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</row>
    <row r="71" spans="1:17" x14ac:dyDescent="0.3">
      <c r="A71" s="1" t="s">
        <v>38</v>
      </c>
      <c r="B71" s="1" t="s">
        <v>263</v>
      </c>
      <c r="C71" s="1" t="str">
        <f>VLOOKUP(B:B,[6]配额0227!$A:$B,2,0)</f>
        <v>室内电脑板-CEM-1室内电脑板</v>
      </c>
      <c r="D71" s="1" t="str">
        <f>VLOOKUP(B:B,'[7]厂家配额 (新)'!$A$1:$C$65536,3,0)</f>
        <v>领智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330</v>
      </c>
      <c r="O71" s="1">
        <v>0</v>
      </c>
      <c r="P71" s="1">
        <v>0</v>
      </c>
      <c r="Q71" s="1">
        <v>0</v>
      </c>
    </row>
    <row r="72" spans="1:17" x14ac:dyDescent="0.3">
      <c r="A72" s="1" t="s">
        <v>38</v>
      </c>
      <c r="B72" s="1" t="s">
        <v>264</v>
      </c>
      <c r="C72" s="1" t="str">
        <f>VLOOKUP(B:B,[6]配额0227!$A:$B,2,0)</f>
        <v>室内电脑板-CEM-1室内电脑板</v>
      </c>
      <c r="D72" s="1" t="str">
        <f>VLOOKUP(B:B,'[7]厂家配额 (新)'!$A$1:$C$65536,3,0)</f>
        <v>领智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660</v>
      </c>
      <c r="O72" s="1">
        <v>1980</v>
      </c>
      <c r="P72" s="1">
        <v>0</v>
      </c>
      <c r="Q72" s="1">
        <v>0</v>
      </c>
    </row>
    <row r="73" spans="1:17" x14ac:dyDescent="0.3">
      <c r="A73" s="1" t="s">
        <v>38</v>
      </c>
      <c r="B73" s="1" t="s">
        <v>32</v>
      </c>
      <c r="C73" s="1" t="str">
        <f>VLOOKUP(B:B,[6]配额0227!$A:$B,2,0)</f>
        <v>室内电脑板-CEM-1室内电脑板俄罗斯07/09/12P系列室内电脑板</v>
      </c>
      <c r="D73" s="1" t="str">
        <f>VLOOKUP(B:B,'[7]厂家配额 (新)'!$A$1:$C$65536,3,0)</f>
        <v>和而泰/领智//</v>
      </c>
      <c r="E73" s="1">
        <v>0</v>
      </c>
      <c r="F73" s="1">
        <v>230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</row>
    <row r="74" spans="1:17" x14ac:dyDescent="0.3">
      <c r="A74" s="1" t="s">
        <v>38</v>
      </c>
      <c r="B74" s="1" t="s">
        <v>33</v>
      </c>
      <c r="C74" s="1" t="str">
        <f>VLOOKUP(B:B,[6]配额0227!$A:$B,2,0)</f>
        <v>室内电脑板-CEM-1室内电脑板</v>
      </c>
      <c r="D74" s="1" t="str">
        <f>VLOOKUP(B:B,'[7]厂家配额 (新)'!$A$1:$C$65536,3,0)</f>
        <v>和而泰/领智//</v>
      </c>
      <c r="E74" s="1">
        <v>0</v>
      </c>
      <c r="F74" s="1">
        <v>660</v>
      </c>
      <c r="G74" s="1">
        <v>0</v>
      </c>
      <c r="H74" s="1">
        <v>0</v>
      </c>
      <c r="I74" s="1">
        <v>0</v>
      </c>
      <c r="J74" s="1">
        <v>0</v>
      </c>
      <c r="K74" s="1">
        <v>580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</row>
    <row r="75" spans="1:17" x14ac:dyDescent="0.3">
      <c r="A75" s="1" t="s">
        <v>38</v>
      </c>
      <c r="B75" s="1" t="s">
        <v>36</v>
      </c>
      <c r="C75" s="1" t="str">
        <f>VLOOKUP(B:B,[6]配额0227!$A:$B,2,0)</f>
        <v>室内电脑板-CEM-1室内电脑板俄罗斯07/09/12P系列室内电脑板</v>
      </c>
      <c r="D75" s="1" t="str">
        <f>VLOOKUP(B:B,'[7]厂家配额 (新)'!$A$1:$C$65536,3,0)</f>
        <v>和而泰/领智//</v>
      </c>
      <c r="E75" s="1">
        <v>100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</row>
    <row r="76" spans="1:17" x14ac:dyDescent="0.3">
      <c r="A76" s="1" t="s">
        <v>38</v>
      </c>
      <c r="B76" s="1" t="s">
        <v>265</v>
      </c>
      <c r="C76" s="1" t="str">
        <f>VLOOKUP(B:B,[6]配额0227!$A:$B,2,0)</f>
        <v>室内电脑板-CEM-1室内电脑板俄罗斯07/09/12P系列室内电脑板</v>
      </c>
      <c r="D76" s="1" t="str">
        <f>VLOOKUP(B:B,'[7]厂家配额 (新)'!$A$1:$C$65536,3,0)</f>
        <v>领智</v>
      </c>
      <c r="E76" s="1">
        <v>1115</v>
      </c>
      <c r="F76" s="1">
        <v>399</v>
      </c>
      <c r="G76" s="1">
        <v>0</v>
      </c>
      <c r="H76" s="1">
        <v>0</v>
      </c>
      <c r="I76" s="1">
        <v>1</v>
      </c>
      <c r="J76" s="1">
        <v>0</v>
      </c>
      <c r="K76" s="1">
        <v>599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</row>
    <row r="77" spans="1:17" x14ac:dyDescent="0.3">
      <c r="A77" s="1" t="s">
        <v>38</v>
      </c>
      <c r="B77" s="1" t="s">
        <v>39</v>
      </c>
      <c r="C77" s="1" t="str">
        <f>VLOOKUP(B:B,[6]配额0227!$A:$B,2,0)</f>
        <v>室内电脑板-CEM-1室内电脑板(压敏、保险和继电器防爆)印尼290项目室内电脑</v>
      </c>
      <c r="D77" s="1" t="str">
        <f>VLOOKUP(B:B,'[7]厂家配额 (新)'!$A$1:$C$65536,3,0)</f>
        <v>和而泰/领智//</v>
      </c>
      <c r="E77" s="1">
        <v>0</v>
      </c>
      <c r="F77" s="1">
        <v>0</v>
      </c>
      <c r="G77" s="1">
        <v>0</v>
      </c>
      <c r="H77" s="1">
        <v>0</v>
      </c>
      <c r="I77" s="1">
        <v>170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</row>
    <row r="78" spans="1:17" x14ac:dyDescent="0.3">
      <c r="A78" s="1" t="s">
        <v>38</v>
      </c>
      <c r="B78" s="1" t="s">
        <v>40</v>
      </c>
      <c r="C78" s="1" t="str">
        <f>VLOOKUP(B:B,[6]配额0227!$A:$B,2,0)</f>
        <v>室内电脑板-/</v>
      </c>
      <c r="D78" s="1" t="str">
        <f>VLOOKUP(B:B,'[7]厂家配额 (新)'!$A$1:$C$65536,3,0)</f>
        <v>航嘉/和而泰//</v>
      </c>
      <c r="E78" s="1">
        <v>0</v>
      </c>
      <c r="F78" s="1">
        <v>0</v>
      </c>
      <c r="G78" s="1">
        <v>0</v>
      </c>
      <c r="H78" s="1">
        <v>0</v>
      </c>
      <c r="I78" s="1">
        <v>226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</row>
    <row r="79" spans="1:17" x14ac:dyDescent="0.3">
      <c r="A79" s="1" t="s">
        <v>38</v>
      </c>
      <c r="B79" s="1" t="s">
        <v>44</v>
      </c>
      <c r="C79" s="1" t="str">
        <f>VLOOKUP(B:B,[6]配额0227!$A:$B,2,0)</f>
        <v>室内电脑板-FR-4/</v>
      </c>
      <c r="D79" s="1" t="str">
        <f>VLOOKUP(B:B,'[7]厂家配额 (新)'!$A$1:$C$65536,3,0)</f>
        <v>和而泰/领智//</v>
      </c>
      <c r="E79" s="1">
        <v>0</v>
      </c>
      <c r="F79" s="1">
        <v>0</v>
      </c>
      <c r="G79" s="1">
        <v>0</v>
      </c>
      <c r="H79" s="1">
        <v>1650</v>
      </c>
      <c r="I79" s="1">
        <v>0</v>
      </c>
      <c r="J79" s="1">
        <v>1650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</row>
    <row r="80" spans="1:17" x14ac:dyDescent="0.3">
      <c r="A80" s="1" t="s">
        <v>38</v>
      </c>
      <c r="B80" s="1" t="s">
        <v>266</v>
      </c>
      <c r="C80" s="1" t="str">
        <f>VLOOKUP(B:B,[6]配额0227!$A:$B,2,0)</f>
        <v>室内电脑板-CEM-1</v>
      </c>
      <c r="D80" s="1" t="str">
        <f>VLOOKUP(B:B,'[7]厂家配额 (新)'!$A$1:$C$65536,3,0)</f>
        <v>领智/航嘉//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2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</row>
    <row r="81" spans="1:17" x14ac:dyDescent="0.3">
      <c r="A81" s="1" t="s">
        <v>38</v>
      </c>
      <c r="B81" s="1" t="s">
        <v>267</v>
      </c>
      <c r="C81" s="1" t="str">
        <f>VLOOKUP(B:B,[6]配额0227!$A:$B,2,0)</f>
        <v>室内电脑板-CEM-1165*136</v>
      </c>
      <c r="D81" s="1" t="str">
        <f>VLOOKUP(B:B,'[7]厂家配额 (新)'!$A$1:$C$65536,3,0)</f>
        <v>领智</v>
      </c>
      <c r="E81" s="1">
        <v>1</v>
      </c>
      <c r="F81" s="1">
        <v>0</v>
      </c>
      <c r="G81" s="1">
        <v>0</v>
      </c>
      <c r="H81" s="1">
        <v>479</v>
      </c>
      <c r="I81" s="1">
        <v>0</v>
      </c>
      <c r="J81" s="1">
        <v>0</v>
      </c>
      <c r="K81" s="1">
        <v>130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</row>
    <row r="82" spans="1:17" x14ac:dyDescent="0.3">
      <c r="A82" s="1" t="s">
        <v>38</v>
      </c>
      <c r="B82" s="1" t="s">
        <v>268</v>
      </c>
      <c r="C82" s="1" t="str">
        <f>VLOOKUP(B:B,[6]配额0227!$A:$B,2,0)</f>
        <v>室内电脑板-CEM-1165*136</v>
      </c>
      <c r="D82" s="1" t="str">
        <f>VLOOKUP(B:B,'[7]厂家配额 (新)'!$A$1:$C$65536,3,0)</f>
        <v>领智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1</v>
      </c>
      <c r="M82" s="1">
        <v>0</v>
      </c>
      <c r="N82" s="1">
        <v>0</v>
      </c>
      <c r="O82" s="1">
        <v>839</v>
      </c>
      <c r="P82" s="1">
        <v>0</v>
      </c>
      <c r="Q82" s="1">
        <v>0</v>
      </c>
    </row>
    <row r="83" spans="1:17" x14ac:dyDescent="0.3">
      <c r="A83" s="1" t="s">
        <v>38</v>
      </c>
      <c r="B83" s="1" t="s">
        <v>269</v>
      </c>
      <c r="C83" s="1" t="str">
        <f>VLOOKUP(B:B,[6]配额0227!$A:$B,2,0)</f>
        <v>室内电脑板-CEM-1室内电脑板70P平台24K室内电脑板</v>
      </c>
      <c r="D83" s="1" t="str">
        <f>VLOOKUP(B:B,'[7]厂家配额 (新)'!$A$1:$C$65536,3,0)</f>
        <v>康美特/尚研//</v>
      </c>
      <c r="E83" s="1">
        <v>0</v>
      </c>
      <c r="F83" s="1">
        <v>0</v>
      </c>
      <c r="G83" s="1">
        <v>0</v>
      </c>
      <c r="H83" s="1">
        <v>500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</row>
    <row r="84" spans="1:17" x14ac:dyDescent="0.3">
      <c r="A84" s="1" t="s">
        <v>38</v>
      </c>
      <c r="B84" s="1" t="s">
        <v>270</v>
      </c>
      <c r="C84" s="1" t="str">
        <f>VLOOKUP(B:B,[6]配额0227!$A:$B,2,0)</f>
        <v>室内电脑板-CEM-1</v>
      </c>
      <c r="D84" s="1" t="str">
        <f>VLOOKUP(B:B,'[7]厂家配额 (新)'!$A$1:$C$65536,3,0)</f>
        <v>领智</v>
      </c>
      <c r="E84" s="1">
        <v>0</v>
      </c>
      <c r="F84" s="1">
        <v>1200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</row>
    <row r="85" spans="1:17" x14ac:dyDescent="0.3">
      <c r="A85" s="1" t="s">
        <v>38</v>
      </c>
      <c r="B85" s="1" t="s">
        <v>271</v>
      </c>
      <c r="C85" s="1" t="str">
        <f>VLOOKUP(B:B,[6]配额0227!$A:$B,2,0)</f>
        <v>室内电脑板-CEM-1室内电脑板50P平台18/24k室内电脑板</v>
      </c>
      <c r="D85" s="1" t="str">
        <f>VLOOKUP(B:B,'[7]厂家配额 (新)'!$A$1:$C$65536,3,0)</f>
        <v>领智</v>
      </c>
      <c r="E85" s="1">
        <v>51</v>
      </c>
      <c r="F85" s="1">
        <v>0</v>
      </c>
      <c r="G85" s="1">
        <v>557</v>
      </c>
      <c r="H85" s="1">
        <v>0</v>
      </c>
      <c r="I85" s="1">
        <v>193</v>
      </c>
      <c r="J85" s="1">
        <v>0</v>
      </c>
      <c r="K85" s="1">
        <v>0</v>
      </c>
      <c r="L85" s="1">
        <v>617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</row>
    <row r="86" spans="1:17" x14ac:dyDescent="0.3">
      <c r="A86" s="1" t="s">
        <v>38</v>
      </c>
      <c r="B86" s="1" t="s">
        <v>272</v>
      </c>
      <c r="C86" s="1" t="str">
        <f>VLOOKUP(B:B,[6]配额0227!$A:$B,2,0)</f>
        <v>室内电脑板-CEM-1室内电脑板70P/50P平台18/24k室内电脑板</v>
      </c>
      <c r="D86" s="1" t="str">
        <f>VLOOKUP(B:B,'[7]厂家配额 (新)'!$A$1:$C$65536,3,0)</f>
        <v>领智</v>
      </c>
      <c r="E86" s="1">
        <v>2100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</row>
    <row r="87" spans="1:17" x14ac:dyDescent="0.3">
      <c r="A87" s="1" t="s">
        <v>38</v>
      </c>
      <c r="B87" s="1" t="s">
        <v>273</v>
      </c>
      <c r="C87" s="1" t="str">
        <f>VLOOKUP(B:B,[6]配额0227!$A:$B,2,0)</f>
        <v>室内电脑板-CEM-1室内电脑板70P/50P平台18/24k室内电脑板</v>
      </c>
      <c r="D87" s="1" t="str">
        <f>VLOOKUP(B:B,'[7]厂家配额 (新)'!$A$1:$C$65536,3,0)</f>
        <v>领智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780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</row>
    <row r="88" spans="1:17" x14ac:dyDescent="0.3">
      <c r="A88" s="1" t="s">
        <v>38</v>
      </c>
      <c r="B88" s="1" t="s">
        <v>274</v>
      </c>
      <c r="C88" s="1" t="str">
        <f>VLOOKUP(B:B,[6]配额0227!$A:$B,2,0)</f>
        <v>室内电脑板-CEM-1室内电脑板70P/50P平台18/24k室内电脑板</v>
      </c>
      <c r="D88" s="1" t="str">
        <f>VLOOKUP(B:B,'[7]厂家配额 (新)'!$A$1:$C$65536,3,0)</f>
        <v>康美特/领智//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140</v>
      </c>
      <c r="M88" s="1">
        <v>420</v>
      </c>
      <c r="N88" s="1">
        <v>0</v>
      </c>
      <c r="O88" s="1">
        <v>0</v>
      </c>
      <c r="P88" s="1">
        <v>0</v>
      </c>
      <c r="Q88" s="1">
        <v>0</v>
      </c>
    </row>
    <row r="89" spans="1:17" x14ac:dyDescent="0.3">
      <c r="A89" s="1" t="s">
        <v>38</v>
      </c>
      <c r="B89" s="1" t="s">
        <v>275</v>
      </c>
      <c r="C89" s="1" t="str">
        <f>VLOOKUP(B:B,[6]配额0227!$A:$B,2,0)</f>
        <v>室内电脑板-CEM-1</v>
      </c>
      <c r="D89" s="1" t="str">
        <f>VLOOKUP(B:B,'[7]厂家配额 (新)'!$A$1:$C$65536,3,0)</f>
        <v>领智</v>
      </c>
      <c r="E89" s="1">
        <v>0</v>
      </c>
      <c r="F89" s="1">
        <v>0</v>
      </c>
      <c r="G89" s="1">
        <v>0</v>
      </c>
      <c r="H89" s="1">
        <v>4320</v>
      </c>
      <c r="I89" s="1">
        <v>0</v>
      </c>
      <c r="J89" s="1">
        <v>6490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</row>
    <row r="90" spans="1:17" x14ac:dyDescent="0.3">
      <c r="A90" s="1" t="s">
        <v>38</v>
      </c>
      <c r="B90" s="1" t="s">
        <v>276</v>
      </c>
      <c r="C90" s="1" t="str">
        <f>VLOOKUP(B:B,[6]配额0227!$A:$B,2,0)</f>
        <v>室内电脑板-CEM-1\</v>
      </c>
      <c r="D90" s="1" t="str">
        <f>VLOOKUP(B:B,'[7]厂家配额 (新)'!$A$1:$C$65536,3,0)</f>
        <v>领智</v>
      </c>
      <c r="E90" s="1">
        <v>2</v>
      </c>
      <c r="F90" s="1">
        <v>1008</v>
      </c>
      <c r="G90" s="1">
        <v>0</v>
      </c>
      <c r="H90" s="1">
        <v>0</v>
      </c>
      <c r="I90" s="1">
        <v>6</v>
      </c>
      <c r="J90" s="1">
        <v>1498</v>
      </c>
      <c r="K90" s="1">
        <v>1037</v>
      </c>
      <c r="L90" s="1">
        <v>199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</row>
    <row r="91" spans="1:17" x14ac:dyDescent="0.3">
      <c r="A91" s="1" t="s">
        <v>38</v>
      </c>
      <c r="B91" s="1" t="s">
        <v>277</v>
      </c>
      <c r="C91" s="1" t="str">
        <f>VLOOKUP(B:B,[6]配额0227!$A:$B,2,0)</f>
        <v>室内电脑板-/</v>
      </c>
      <c r="D91" s="1" t="str">
        <f>VLOOKUP(B:B,'[7]厂家配额 (新)'!$A$1:$C$65536,3,0)</f>
        <v>领智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200</v>
      </c>
      <c r="P91" s="1">
        <v>0</v>
      </c>
      <c r="Q91" s="1">
        <v>0</v>
      </c>
    </row>
    <row r="92" spans="1:17" x14ac:dyDescent="0.3">
      <c r="A92" s="1" t="s">
        <v>38</v>
      </c>
      <c r="B92" s="1" t="s">
        <v>278</v>
      </c>
      <c r="C92" s="1" t="str">
        <f>VLOOKUP(B:B,[6]配额0227!$A:$B,2,0)</f>
        <v>室内电脑板-/</v>
      </c>
      <c r="D92" s="1" t="str">
        <f>VLOOKUP(B:B,'[7]厂家配额 (新)'!$A$1:$C$65536,3,0)</f>
        <v>领智</v>
      </c>
      <c r="E92" s="1">
        <v>1000</v>
      </c>
      <c r="F92" s="1">
        <v>1200</v>
      </c>
      <c r="G92" s="1">
        <v>800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900</v>
      </c>
      <c r="N92" s="1">
        <v>1300</v>
      </c>
      <c r="O92" s="1">
        <v>1000</v>
      </c>
      <c r="P92" s="1">
        <v>0</v>
      </c>
      <c r="Q92" s="1">
        <v>0</v>
      </c>
    </row>
    <row r="93" spans="1:17" x14ac:dyDescent="0.3">
      <c r="A93" s="1" t="s">
        <v>38</v>
      </c>
      <c r="B93" s="1" t="s">
        <v>279</v>
      </c>
      <c r="C93" s="1" t="str">
        <f>VLOOKUP(B:B,[6]配额0227!$A:$B,2,0)</f>
        <v>室内电脑板-/</v>
      </c>
      <c r="D93" s="1" t="str">
        <f>VLOOKUP(B:B,'[7]厂家配额 (新)'!$A$1:$C$65536,3,0)</f>
        <v>领智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150</v>
      </c>
      <c r="P93" s="1">
        <v>0</v>
      </c>
      <c r="Q93" s="1">
        <v>0</v>
      </c>
    </row>
    <row r="94" spans="1:17" x14ac:dyDescent="0.3">
      <c r="A94" s="1" t="s">
        <v>38</v>
      </c>
      <c r="B94" s="1" t="s">
        <v>280</v>
      </c>
      <c r="C94" s="1" t="str">
        <f>VLOOKUP(B:B,[6]配额0227!$A:$B,2,0)</f>
        <v>室内电脑板-/室内电脑板</v>
      </c>
      <c r="D94" s="1" t="str">
        <f>VLOOKUP(B:B,'[7]厂家配额 (新)'!$A$1:$C$65536,3,0)</f>
        <v>领智</v>
      </c>
      <c r="E94" s="1">
        <v>1800</v>
      </c>
      <c r="F94" s="1">
        <v>2200</v>
      </c>
      <c r="G94" s="1">
        <v>0</v>
      </c>
      <c r="H94" s="1">
        <v>0</v>
      </c>
      <c r="I94" s="1">
        <v>600</v>
      </c>
      <c r="J94" s="1">
        <v>3300</v>
      </c>
      <c r="K94" s="1">
        <v>400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</row>
    <row r="95" spans="1:17" x14ac:dyDescent="0.3">
      <c r="A95" s="1" t="s">
        <v>38</v>
      </c>
      <c r="B95" s="1" t="s">
        <v>51</v>
      </c>
      <c r="C95" s="1" t="str">
        <f>VLOOKUP(B:B,[6]配额0227!$A:$B,2,0)</f>
        <v>室内电脑板-FR-4</v>
      </c>
      <c r="D95" s="1" t="str">
        <f>VLOOKUP(B:B,'[7]厂家配额 (新)'!$A$1:$C$65536,3,0)</f>
        <v>领智/和而泰//</v>
      </c>
      <c r="E95" s="1">
        <v>0</v>
      </c>
      <c r="F95" s="1">
        <v>1760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</row>
    <row r="96" spans="1:17" x14ac:dyDescent="0.3">
      <c r="A96" s="1" t="s">
        <v>38</v>
      </c>
      <c r="B96" s="1" t="s">
        <v>281</v>
      </c>
      <c r="C96" s="1" t="str">
        <f>VLOOKUP(B:B,[6]配额0227!$A:$B,2,0)</f>
        <v>室内电脑板-CEM-1/</v>
      </c>
      <c r="D96" s="1" t="str">
        <f>VLOOKUP(B:B,'[7]厂家配额 (新)'!$A$1:$C$65536,3,0)</f>
        <v>领智</v>
      </c>
      <c r="E96" s="1">
        <v>0</v>
      </c>
      <c r="F96" s="1">
        <v>1600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</row>
    <row r="97" spans="1:17" x14ac:dyDescent="0.3">
      <c r="A97" s="1" t="s">
        <v>38</v>
      </c>
      <c r="B97" s="1" t="s">
        <v>53</v>
      </c>
      <c r="C97" s="1" t="str">
        <f>VLOOKUP(B:B,[6]配额0227!$A:$B,2,0)</f>
        <v>室内电脑板-CEM-1/</v>
      </c>
      <c r="D97" s="1" t="str">
        <f>VLOOKUP(B:B,'[7]厂家配额 (新)'!$A$1:$C$65536,3,0)</f>
        <v>和而泰</v>
      </c>
      <c r="E97" s="1">
        <v>0</v>
      </c>
      <c r="F97" s="1">
        <v>30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</row>
    <row r="98" spans="1:17" x14ac:dyDescent="0.3">
      <c r="A98" s="1" t="s">
        <v>38</v>
      </c>
      <c r="B98" s="1" t="s">
        <v>55</v>
      </c>
      <c r="C98" s="1" t="str">
        <f>VLOOKUP(B:B,[6]配额0227!$A:$B,2,0)</f>
        <v>室内电脑板-CEM-1/</v>
      </c>
      <c r="D98" s="1" t="str">
        <f>VLOOKUP(B:B,'[7]厂家配额 (新)'!$A$1:$C$65536,3,0)</f>
        <v>和而泰</v>
      </c>
      <c r="E98" s="1">
        <v>0</v>
      </c>
      <c r="F98" s="1">
        <v>50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</row>
    <row r="99" spans="1:17" x14ac:dyDescent="0.3">
      <c r="A99" s="1" t="s">
        <v>38</v>
      </c>
      <c r="B99" s="1" t="s">
        <v>282</v>
      </c>
      <c r="C99" s="1" t="str">
        <f>VLOOKUP(B:B,[6]配额0227!$A:$B,2,0)</f>
        <v>显示板-FR-456*100--</v>
      </c>
      <c r="D99" s="1" t="str">
        <f>VLOOKUP(B:B,'[7]厂家配额 (新)'!$A$1:$C$65536,3,0)</f>
        <v>领智/恒青/国冶星/</v>
      </c>
      <c r="E99" s="1">
        <v>2239</v>
      </c>
      <c r="F99" s="1">
        <v>560</v>
      </c>
      <c r="G99" s="1">
        <v>3914</v>
      </c>
      <c r="H99" s="1">
        <v>0</v>
      </c>
      <c r="I99" s="1">
        <v>313</v>
      </c>
      <c r="J99" s="1">
        <v>1498</v>
      </c>
      <c r="K99" s="1">
        <v>150</v>
      </c>
      <c r="L99" s="1">
        <v>2738</v>
      </c>
      <c r="M99" s="1">
        <v>80</v>
      </c>
      <c r="N99" s="1">
        <v>0</v>
      </c>
      <c r="O99" s="1">
        <v>140</v>
      </c>
      <c r="P99" s="1">
        <v>0</v>
      </c>
      <c r="Q99" s="1">
        <v>0</v>
      </c>
    </row>
    <row r="100" spans="1:17" x14ac:dyDescent="0.3">
      <c r="A100" s="1" t="s">
        <v>38</v>
      </c>
      <c r="B100" s="1" t="s">
        <v>283</v>
      </c>
      <c r="C100" s="1" t="str">
        <f>VLOOKUP(B:B,[6]配额0227!$A:$B,2,0)</f>
        <v>显示板-FR-4</v>
      </c>
      <c r="D100" s="1" t="str">
        <f>VLOOKUP(B:B,'[7]厂家配额 (新)'!$A$1:$C$65536,3,0)</f>
        <v>领智/国冶星//</v>
      </c>
      <c r="E100" s="1">
        <v>0</v>
      </c>
      <c r="F100" s="1">
        <v>2</v>
      </c>
      <c r="G100" s="1">
        <v>2580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</row>
    <row r="101" spans="1:17" x14ac:dyDescent="0.3">
      <c r="A101" s="1" t="s">
        <v>38</v>
      </c>
      <c r="B101" s="1" t="s">
        <v>284</v>
      </c>
      <c r="C101" s="1" t="str">
        <f>VLOOKUP(B:B,[6]配额0227!$A:$B,2,0)</f>
        <v>变频外电脑板-FR-4/</v>
      </c>
      <c r="D101" s="1" t="str">
        <f>VLOOKUP(B:B,'[7]厂家配额 (新)'!$A$1:$C$65536,3,0)</f>
        <v>中家智康</v>
      </c>
      <c r="E101" s="1">
        <v>2</v>
      </c>
      <c r="F101" s="1">
        <v>699</v>
      </c>
      <c r="G101" s="1">
        <v>0</v>
      </c>
      <c r="H101" s="1">
        <v>1078</v>
      </c>
      <c r="I101" s="1">
        <v>0</v>
      </c>
      <c r="J101" s="1">
        <v>0</v>
      </c>
      <c r="K101" s="1">
        <v>245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</row>
    <row r="102" spans="1:17" x14ac:dyDescent="0.3">
      <c r="A102" s="1" t="s">
        <v>38</v>
      </c>
      <c r="B102" s="1" t="s">
        <v>285</v>
      </c>
      <c r="C102" s="1" t="str">
        <f>VLOOKUP(B:B,[6]配额0227!$A:$B,2,0)</f>
        <v>变频外电脑板-FR-4/</v>
      </c>
      <c r="D102" s="1" t="str">
        <f>VLOOKUP(B:B,'[7]厂家配额 (新)'!$A$1:$C$65536,3,0)</f>
        <v>中家智康</v>
      </c>
      <c r="E102" s="1">
        <v>0</v>
      </c>
      <c r="F102" s="1">
        <v>0</v>
      </c>
      <c r="G102" s="1">
        <v>0</v>
      </c>
      <c r="H102" s="1">
        <v>20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</row>
    <row r="103" spans="1:17" x14ac:dyDescent="0.3">
      <c r="A103" s="1" t="s">
        <v>38</v>
      </c>
      <c r="B103" s="1" t="s">
        <v>286</v>
      </c>
      <c r="C103" s="1" t="str">
        <f>VLOOKUP(B:B,[6]配额0227!$A:$B,2,0)</f>
        <v>变频外电脑板-FR-4/</v>
      </c>
      <c r="D103" s="1" t="str">
        <f>VLOOKUP(B:B,'[7]厂家配额 (新)'!$A$1:$C$65536,3,0)</f>
        <v>中家智康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62</v>
      </c>
      <c r="P103" s="1">
        <v>0</v>
      </c>
      <c r="Q103" s="1">
        <v>0</v>
      </c>
    </row>
    <row r="104" spans="1:17" x14ac:dyDescent="0.3">
      <c r="A104" s="1" t="s">
        <v>38</v>
      </c>
      <c r="B104" s="1" t="s">
        <v>60</v>
      </c>
      <c r="C104" s="1" t="str">
        <f>VLOOKUP(B:B,[6]配额0227!$A:$B,2,0)</f>
        <v>变频外电脑板-FR-4/</v>
      </c>
      <c r="D104" s="1" t="str">
        <f>VLOOKUP(B:B,'[7]厂家配额 (新)'!$A$1:$C$65536,3,0)</f>
        <v>和而泰/中家智康//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120</v>
      </c>
      <c r="P104" s="1">
        <v>0</v>
      </c>
      <c r="Q104" s="1">
        <v>0</v>
      </c>
    </row>
    <row r="105" spans="1:17" x14ac:dyDescent="0.3">
      <c r="A105" s="1" t="s">
        <v>38</v>
      </c>
      <c r="B105" s="1" t="s">
        <v>62</v>
      </c>
      <c r="C105" s="1" t="str">
        <f>VLOOKUP(B:B,[6]配额0227!$A:$B,2,0)</f>
        <v>变频外电脑板-FR-4/</v>
      </c>
      <c r="D105" s="1" t="str">
        <f>VLOOKUP(B:B,'[7]厂家配额 (新)'!$A$1:$C$65536,3,0)</f>
        <v>和而泰/中家智康//</v>
      </c>
      <c r="E105" s="1">
        <v>0</v>
      </c>
      <c r="F105" s="1">
        <v>0</v>
      </c>
      <c r="G105" s="1">
        <v>0</v>
      </c>
      <c r="H105" s="1">
        <v>5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80</v>
      </c>
      <c r="P105" s="1">
        <v>0</v>
      </c>
      <c r="Q105" s="1">
        <v>0</v>
      </c>
    </row>
    <row r="106" spans="1:17" x14ac:dyDescent="0.3">
      <c r="A106" s="1" t="s">
        <v>38</v>
      </c>
      <c r="B106" s="1" t="s">
        <v>63</v>
      </c>
      <c r="C106" s="1" t="str">
        <f>VLOOKUP(B:B,[6]配额0227!$A:$B,2,0)</f>
        <v>变频外电脑板-FR-4</v>
      </c>
      <c r="D106" s="1" t="str">
        <f>VLOOKUP(B:B,'[7]厂家配额 (新)'!$A$1:$C$65536,3,0)</f>
        <v>和而泰/中家智康//</v>
      </c>
      <c r="E106" s="1">
        <v>0</v>
      </c>
      <c r="F106" s="1">
        <v>0</v>
      </c>
      <c r="G106" s="1">
        <v>0</v>
      </c>
      <c r="H106" s="1">
        <v>6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</row>
    <row r="107" spans="1:17" x14ac:dyDescent="0.3">
      <c r="A107" s="1" t="s">
        <v>38</v>
      </c>
      <c r="B107" s="1" t="s">
        <v>65</v>
      </c>
      <c r="C107" s="1" t="str">
        <f>VLOOKUP(B:B,[6]配额0227!$A:$B,2,0)</f>
        <v>变频外电脑板-FR-4</v>
      </c>
      <c r="D107" s="1" t="str">
        <f>VLOOKUP(B:B,'[7]厂家配额 (新)'!$A$1:$C$65536,3,0)</f>
        <v>中家/和而泰//</v>
      </c>
      <c r="E107" s="1">
        <v>0</v>
      </c>
      <c r="F107" s="1">
        <v>0</v>
      </c>
      <c r="G107" s="1">
        <v>0</v>
      </c>
      <c r="H107" s="1">
        <v>6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</row>
    <row r="108" spans="1:17" x14ac:dyDescent="0.3">
      <c r="A108" s="1" t="s">
        <v>38</v>
      </c>
      <c r="B108" s="1" t="s">
        <v>287</v>
      </c>
      <c r="C108" s="1" t="str">
        <f>VLOOKUP(B:B,[6]配额0227!$A:$B,2,0)</f>
        <v>变频外电脑板-FR-4/</v>
      </c>
      <c r="D108" s="1" t="str">
        <f>VLOOKUP(B:B,'[7]厂家配额 (新)'!$A$1:$C$65536,3,0)</f>
        <v>中家智康</v>
      </c>
      <c r="E108" s="1">
        <v>0</v>
      </c>
      <c r="F108" s="1">
        <v>0</v>
      </c>
      <c r="G108" s="1">
        <v>0</v>
      </c>
      <c r="H108" s="1">
        <v>6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</row>
    <row r="109" spans="1:17" x14ac:dyDescent="0.3">
      <c r="A109" s="1" t="s">
        <v>38</v>
      </c>
      <c r="B109" s="1" t="s">
        <v>288</v>
      </c>
      <c r="C109" s="1" t="str">
        <f>VLOOKUP(B:B,[6]配额0227!$A:$B,2,0)</f>
        <v>变频外电脑板-FR-4/</v>
      </c>
      <c r="D109" s="1" t="str">
        <f>VLOOKUP(B:B,'[7]厂家配额 (新)'!$A$1:$C$65536,3,0)</f>
        <v>中家智康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85</v>
      </c>
      <c r="L109" s="1">
        <v>0</v>
      </c>
      <c r="M109" s="1">
        <v>0</v>
      </c>
      <c r="N109" s="1">
        <v>0</v>
      </c>
      <c r="O109" s="1">
        <v>135</v>
      </c>
      <c r="P109" s="1">
        <v>0</v>
      </c>
      <c r="Q109" s="1">
        <v>0</v>
      </c>
    </row>
    <row r="110" spans="1:17" x14ac:dyDescent="0.3">
      <c r="A110" s="1" t="s">
        <v>38</v>
      </c>
      <c r="B110" s="1" t="s">
        <v>289</v>
      </c>
      <c r="C110" s="1" t="str">
        <f>VLOOKUP(B:B,[6]配额0227!$A:$B,2,0)</f>
        <v>变频外电脑板-FR-4/</v>
      </c>
      <c r="D110" s="1" t="str">
        <f>VLOOKUP(B:B,'[7]厂家配额 (新)'!$A$1:$C$65536,3,0)</f>
        <v>中家智康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60</v>
      </c>
      <c r="L110" s="1">
        <v>0</v>
      </c>
      <c r="M110" s="1">
        <v>0</v>
      </c>
      <c r="N110" s="1">
        <v>0</v>
      </c>
      <c r="O110" s="1">
        <v>5</v>
      </c>
      <c r="P110" s="1">
        <v>0</v>
      </c>
      <c r="Q110" s="1">
        <v>0</v>
      </c>
    </row>
    <row r="111" spans="1:17" x14ac:dyDescent="0.3">
      <c r="A111" s="1" t="s">
        <v>38</v>
      </c>
      <c r="B111" s="1" t="s">
        <v>290</v>
      </c>
      <c r="C111" s="1" t="str">
        <f>VLOOKUP(B:B,[6]配额0227!$A:$B,2,0)</f>
        <v>变频外电脑板-FR-4/</v>
      </c>
      <c r="D111" s="1" t="str">
        <f>VLOOKUP(B:B,'[7]厂家配额 (新)'!$A$1:$C$65536,3,0)</f>
        <v>中家智康</v>
      </c>
      <c r="E111" s="1">
        <v>0</v>
      </c>
      <c r="F111" s="1">
        <v>0</v>
      </c>
      <c r="G111" s="1">
        <v>0</v>
      </c>
      <c r="H111" s="1">
        <v>6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</row>
    <row r="112" spans="1:17" x14ac:dyDescent="0.3">
      <c r="A112" s="1" t="s">
        <v>38</v>
      </c>
      <c r="B112" s="1" t="s">
        <v>291</v>
      </c>
      <c r="C112" s="1" t="str">
        <f>VLOOKUP(B:B,[6]配额0227!$A:$B,2,0)</f>
        <v>变频外电脑板-FR-4/</v>
      </c>
      <c r="D112" s="1" t="str">
        <f>VLOOKUP(B:B,'[7]厂家配额 (新)'!$A$1:$C$65536,3,0)</f>
        <v>中家智康</v>
      </c>
      <c r="E112" s="1">
        <v>1</v>
      </c>
      <c r="F112" s="1">
        <v>259</v>
      </c>
      <c r="G112" s="1">
        <v>260</v>
      </c>
      <c r="H112" s="1">
        <v>1500</v>
      </c>
      <c r="I112" s="1">
        <v>2</v>
      </c>
      <c r="J112" s="1">
        <v>1200</v>
      </c>
      <c r="K112" s="1">
        <v>248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</row>
    <row r="113" spans="1:17" x14ac:dyDescent="0.3">
      <c r="A113" s="1" t="s">
        <v>38</v>
      </c>
      <c r="B113" s="1" t="s">
        <v>292</v>
      </c>
      <c r="C113" s="1" t="str">
        <f>VLOOKUP(B:B,[6]配额0227!$A:$B,2,0)</f>
        <v>变频外电脑板-FR-4/</v>
      </c>
      <c r="D113" s="1" t="str">
        <f>VLOOKUP(B:B,'[7]厂家配额 (新)'!$A$1:$C$65536,3,0)</f>
        <v>中家智康</v>
      </c>
      <c r="E113" s="1">
        <v>0</v>
      </c>
      <c r="F113" s="1">
        <v>0</v>
      </c>
      <c r="G113" s="1">
        <v>0</v>
      </c>
      <c r="H113" s="1">
        <v>25</v>
      </c>
      <c r="I113" s="1">
        <v>240</v>
      </c>
      <c r="J113" s="1">
        <v>0</v>
      </c>
      <c r="K113" s="1">
        <v>205</v>
      </c>
      <c r="L113" s="1">
        <v>0</v>
      </c>
      <c r="M113" s="1">
        <v>0</v>
      </c>
      <c r="N113" s="1">
        <v>215</v>
      </c>
      <c r="O113" s="1">
        <v>0</v>
      </c>
      <c r="P113" s="1">
        <v>0</v>
      </c>
      <c r="Q113" s="1">
        <v>0</v>
      </c>
    </row>
    <row r="114" spans="1:17" x14ac:dyDescent="0.3">
      <c r="A114" s="1" t="s">
        <v>38</v>
      </c>
      <c r="B114" s="1" t="s">
        <v>293</v>
      </c>
      <c r="C114" s="1" t="str">
        <f>VLOOKUP(B:B,[6]配额0227!$A:$B,2,0)</f>
        <v>变频外电脑板-FR-4/</v>
      </c>
      <c r="D114" s="1" t="str">
        <f>VLOOKUP(B:B,'[7]厂家配额 (新)'!$A$1:$C$65536,3,0)</f>
        <v>中家智康</v>
      </c>
      <c r="E114" s="1">
        <v>0</v>
      </c>
      <c r="F114" s="1">
        <v>20</v>
      </c>
      <c r="G114" s="1">
        <v>180</v>
      </c>
      <c r="H114" s="1">
        <v>450</v>
      </c>
      <c r="I114" s="1">
        <v>0</v>
      </c>
      <c r="J114" s="1">
        <v>450</v>
      </c>
      <c r="K114" s="1">
        <v>0</v>
      </c>
      <c r="L114" s="1">
        <v>0</v>
      </c>
      <c r="M114" s="1">
        <v>0</v>
      </c>
      <c r="N114" s="1">
        <v>0</v>
      </c>
      <c r="O114" s="1">
        <v>135</v>
      </c>
      <c r="P114" s="1">
        <v>0</v>
      </c>
      <c r="Q114" s="1">
        <v>0</v>
      </c>
    </row>
    <row r="115" spans="1:17" x14ac:dyDescent="0.3">
      <c r="A115" s="1" t="s">
        <v>38</v>
      </c>
      <c r="B115" s="1" t="s">
        <v>294</v>
      </c>
      <c r="C115" s="1" t="str">
        <f>VLOOKUP(B:B,[6]配额0227!$A:$B,2,0)</f>
        <v>显示板-FR-460*50--</v>
      </c>
      <c r="D115" s="1" t="str">
        <f>VLOOKUP(B:B,'[7]厂家配额 (新)'!$A$1:$C$65536,3,0)</f>
        <v>领智/恒青//</v>
      </c>
      <c r="E115" s="1">
        <v>8</v>
      </c>
      <c r="F115" s="1">
        <v>6913</v>
      </c>
      <c r="G115" s="1">
        <v>1679</v>
      </c>
      <c r="H115" s="1">
        <v>2200</v>
      </c>
      <c r="I115" s="1">
        <v>1586</v>
      </c>
      <c r="J115" s="1">
        <v>375</v>
      </c>
      <c r="K115" s="1">
        <v>3823</v>
      </c>
      <c r="L115" s="1">
        <v>3640</v>
      </c>
      <c r="M115" s="1">
        <v>7424</v>
      </c>
      <c r="N115" s="1">
        <v>6870</v>
      </c>
      <c r="O115" s="1">
        <v>4815</v>
      </c>
      <c r="P115" s="1">
        <v>0</v>
      </c>
      <c r="Q115" s="1">
        <v>0</v>
      </c>
    </row>
    <row r="116" spans="1:17" x14ac:dyDescent="0.3">
      <c r="A116" s="1" t="s">
        <v>38</v>
      </c>
      <c r="B116" s="1" t="s">
        <v>295</v>
      </c>
      <c r="C116" s="1" t="str">
        <f>VLOOKUP(B:B,[6]配额0227!$A:$B,2,0)</f>
        <v>显示板-LED60*50</v>
      </c>
      <c r="D116" s="1" t="str">
        <f>VLOOKUP(B:B,'[7]厂家配额 (新)'!$A$1:$C$65536,3,0)</f>
        <v>恒青/国冶星</v>
      </c>
      <c r="E116" s="1">
        <v>6012</v>
      </c>
      <c r="F116" s="1">
        <v>598</v>
      </c>
      <c r="G116" s="1">
        <v>504</v>
      </c>
      <c r="H116" s="1">
        <v>530</v>
      </c>
      <c r="I116" s="1">
        <v>6033</v>
      </c>
      <c r="J116" s="1">
        <v>0</v>
      </c>
      <c r="K116" s="1">
        <v>781</v>
      </c>
      <c r="L116" s="1">
        <v>1329</v>
      </c>
      <c r="M116" s="1">
        <v>8405</v>
      </c>
      <c r="N116" s="1">
        <v>8622</v>
      </c>
      <c r="O116" s="1">
        <v>1640</v>
      </c>
      <c r="P116" s="1">
        <v>0</v>
      </c>
      <c r="Q116" s="1">
        <v>0</v>
      </c>
    </row>
    <row r="117" spans="1:17" x14ac:dyDescent="0.3">
      <c r="A117" s="1" t="s">
        <v>38</v>
      </c>
      <c r="B117" s="1" t="s">
        <v>69</v>
      </c>
      <c r="C117" s="1" t="str">
        <f>VLOOKUP(B:B,[6]配额0227!$A:$B,2,0)</f>
        <v>变频外电脑板-FR-4/</v>
      </c>
      <c r="D117" s="1" t="str">
        <f>VLOOKUP(B:B,'[7]厂家配额 (新)'!$A$1:$C$65536,3,0)</f>
        <v>和而泰/中家智康//</v>
      </c>
      <c r="E117" s="1">
        <v>0</v>
      </c>
      <c r="F117" s="1">
        <v>0</v>
      </c>
      <c r="G117" s="1">
        <v>0</v>
      </c>
      <c r="H117" s="1">
        <v>9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</row>
    <row r="118" spans="1:17" x14ac:dyDescent="0.3">
      <c r="A118" s="1" t="s">
        <v>38</v>
      </c>
      <c r="B118" s="1" t="s">
        <v>71</v>
      </c>
      <c r="C118" s="1" t="str">
        <f>VLOOKUP(B:B,[6]配额0227!$A:$B,2,0)</f>
        <v>变频外电脑板-FR-4/</v>
      </c>
      <c r="D118" s="1" t="str">
        <f>VLOOKUP(B:B,'[7]厂家配额 (新)'!$A$1:$C$65536,3,0)</f>
        <v>和而泰/中家智康//</v>
      </c>
      <c r="E118" s="1">
        <v>0</v>
      </c>
      <c r="F118" s="1">
        <v>0</v>
      </c>
      <c r="G118" s="1">
        <v>0</v>
      </c>
      <c r="H118" s="1">
        <v>10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</row>
    <row r="119" spans="1:17" x14ac:dyDescent="0.3">
      <c r="A119" s="1" t="s">
        <v>38</v>
      </c>
      <c r="B119" s="1" t="s">
        <v>72</v>
      </c>
      <c r="C119" s="1" t="str">
        <f>VLOOKUP(B:B,[6]配额0227!$A:$B,2,0)</f>
        <v>变频外电脑板-FR-4</v>
      </c>
      <c r="D119" s="1" t="str">
        <f>VLOOKUP(B:B,'[7]厂家配额 (新)'!$A$1:$C$65536,3,0)</f>
        <v>和而泰/中家智康//</v>
      </c>
      <c r="E119" s="1">
        <v>0</v>
      </c>
      <c r="F119" s="1">
        <v>0</v>
      </c>
      <c r="G119" s="1">
        <v>0</v>
      </c>
      <c r="H119" s="1">
        <v>6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</row>
    <row r="120" spans="1:17" x14ac:dyDescent="0.3">
      <c r="A120" s="1" t="s">
        <v>38</v>
      </c>
      <c r="B120" s="1" t="s">
        <v>73</v>
      </c>
      <c r="C120" s="1" t="str">
        <f>VLOOKUP(B:B,[6]配额0227!$A:$B,2,0)</f>
        <v>变频外电脑板-FR-4</v>
      </c>
      <c r="D120" s="1" t="str">
        <f>VLOOKUP(B:B,'[7]厂家配额 (新)'!$A$1:$C$65536,3,0)</f>
        <v>中家/和而泰//</v>
      </c>
      <c r="E120" s="1">
        <v>0</v>
      </c>
      <c r="F120" s="1">
        <v>0</v>
      </c>
      <c r="G120" s="1">
        <v>0</v>
      </c>
      <c r="H120" s="1">
        <v>6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</row>
    <row r="121" spans="1:17" x14ac:dyDescent="0.3">
      <c r="A121" s="1" t="s">
        <v>38</v>
      </c>
      <c r="B121" s="1" t="s">
        <v>296</v>
      </c>
      <c r="C121" s="1" t="str">
        <f>VLOOKUP(B:B,[6]配额0227!$A:$B,2,0)</f>
        <v>变频外电脑板-FR-4/</v>
      </c>
      <c r="D121" s="1" t="str">
        <f>VLOOKUP(B:B,'[7]厂家配额 (新)'!$A$1:$C$65536,3,0)</f>
        <v>中家智康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128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</row>
    <row r="122" spans="1:17" x14ac:dyDescent="0.3">
      <c r="A122" s="1" t="s">
        <v>38</v>
      </c>
      <c r="B122" s="1" t="s">
        <v>297</v>
      </c>
      <c r="C122" s="1" t="str">
        <f>VLOOKUP(B:B,[6]配额0227!$A:$B,2,0)</f>
        <v>变频外电脑板-FR-4/</v>
      </c>
      <c r="D122" s="1" t="str">
        <f>VLOOKUP(B:B,'[7]厂家配额 (新)'!$A$1:$C$65536,3,0)</f>
        <v>中家智康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290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</row>
    <row r="123" spans="1:17" x14ac:dyDescent="0.3">
      <c r="A123" s="1" t="s">
        <v>38</v>
      </c>
      <c r="B123" s="1" t="s">
        <v>298</v>
      </c>
      <c r="C123" s="1" t="str">
        <f>VLOOKUP(B:B,[6]配额0227!$A:$B,2,0)</f>
        <v>变频外电脑板-FR-4/</v>
      </c>
      <c r="D123" s="1" t="str">
        <f>VLOOKUP(B:B,'[7]厂家配额 (新)'!$A$1:$C$65536,3,0)</f>
        <v>中家智康</v>
      </c>
      <c r="E123" s="1">
        <v>0</v>
      </c>
      <c r="F123" s="1">
        <v>0</v>
      </c>
      <c r="G123" s="1">
        <v>0</v>
      </c>
      <c r="H123" s="1">
        <v>1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</row>
    <row r="124" spans="1:17" x14ac:dyDescent="0.3">
      <c r="A124" s="1" t="s">
        <v>38</v>
      </c>
      <c r="B124" s="1" t="s">
        <v>299</v>
      </c>
      <c r="C124" s="1" t="str">
        <f>VLOOKUP(B:B,[6]配额0227!$A:$B,2,0)</f>
        <v>变频外电脑板-FR-4/</v>
      </c>
      <c r="D124" s="1" t="str">
        <f>VLOOKUP(B:B,'[7]厂家配额 (新)'!$A$1:$C$65536,3,0)</f>
        <v>中家智康</v>
      </c>
      <c r="E124" s="1">
        <v>0</v>
      </c>
      <c r="F124" s="1">
        <v>105</v>
      </c>
      <c r="G124" s="1">
        <v>0</v>
      </c>
      <c r="H124" s="1">
        <v>27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</row>
    <row r="125" spans="1:17" x14ac:dyDescent="0.3">
      <c r="A125" s="1" t="s">
        <v>38</v>
      </c>
      <c r="B125" s="1" t="s">
        <v>300</v>
      </c>
      <c r="C125" s="1" t="str">
        <f>VLOOKUP(B:B,[6]配额0227!$A:$B,2,0)</f>
        <v>变频外电脑板-FR-4/</v>
      </c>
      <c r="D125" s="1" t="str">
        <f>VLOOKUP(B:B,'[7]厂家配额 (新)'!$A$1:$C$65536,3,0)</f>
        <v>中家智康</v>
      </c>
      <c r="E125" s="1">
        <v>0</v>
      </c>
      <c r="F125" s="1">
        <v>0</v>
      </c>
      <c r="G125" s="1">
        <v>0</v>
      </c>
      <c r="H125" s="1">
        <v>5</v>
      </c>
      <c r="I125" s="1">
        <v>0</v>
      </c>
      <c r="J125" s="1">
        <v>0</v>
      </c>
      <c r="K125" s="1">
        <v>360</v>
      </c>
      <c r="L125" s="1">
        <v>860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</row>
    <row r="126" spans="1:17" x14ac:dyDescent="0.3">
      <c r="A126" s="1" t="s">
        <v>38</v>
      </c>
      <c r="B126" s="1" t="s">
        <v>301</v>
      </c>
      <c r="C126" s="1" t="str">
        <f>VLOOKUP(B:B,[6]配额0227!$A:$B,2,0)</f>
        <v>变频外电脑板-FR-4/</v>
      </c>
      <c r="D126" s="1" t="str">
        <f>VLOOKUP(B:B,'[7]厂家配额 (新)'!$A$1:$C$65536,3,0)</f>
        <v>中家智康</v>
      </c>
      <c r="E126" s="1">
        <v>0</v>
      </c>
      <c r="F126" s="1">
        <v>0</v>
      </c>
      <c r="G126" s="1">
        <v>470</v>
      </c>
      <c r="H126" s="1">
        <v>10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60</v>
      </c>
      <c r="O126" s="1">
        <v>0</v>
      </c>
      <c r="P126" s="1">
        <v>0</v>
      </c>
      <c r="Q126" s="1">
        <v>0</v>
      </c>
    </row>
    <row r="127" spans="1:17" x14ac:dyDescent="0.3">
      <c r="A127" s="1" t="s">
        <v>38</v>
      </c>
      <c r="B127" s="1" t="s">
        <v>302</v>
      </c>
      <c r="C127" s="1" t="str">
        <f>VLOOKUP(B:B,[6]配额0227!$A:$B,2,0)</f>
        <v>变频外电脑板-/</v>
      </c>
      <c r="D127" s="1" t="str">
        <f>VLOOKUP(B:B,'[7]厂家配额 (新)'!$A$1:$C$65536,3,0)</f>
        <v>尚研/领智//</v>
      </c>
      <c r="E127" s="1">
        <v>2600</v>
      </c>
      <c r="F127" s="1">
        <v>1400</v>
      </c>
      <c r="G127" s="1">
        <v>0</v>
      </c>
      <c r="H127" s="1">
        <v>0</v>
      </c>
      <c r="I127" s="1">
        <v>0</v>
      </c>
      <c r="J127" s="1">
        <v>2800</v>
      </c>
      <c r="K127" s="1">
        <v>1500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</row>
    <row r="128" spans="1:17" x14ac:dyDescent="0.3">
      <c r="A128" s="1" t="s">
        <v>38</v>
      </c>
      <c r="B128" s="1" t="s">
        <v>303</v>
      </c>
      <c r="C128" s="1" t="str">
        <f>VLOOKUP(B:B,[6]配额0227!$A:$B,2,0)</f>
        <v>变频外电脑板-FR-4240*180</v>
      </c>
      <c r="D128" s="1" t="str">
        <f>VLOOKUP(B:B,'[7]厂家配额 (新)'!$A$1:$C$65536,3,0)</f>
        <v>尚研</v>
      </c>
      <c r="E128" s="1">
        <v>0</v>
      </c>
      <c r="F128" s="1">
        <v>0</v>
      </c>
      <c r="G128" s="1">
        <v>0</v>
      </c>
      <c r="H128" s="1">
        <v>45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</row>
    <row r="129" spans="1:17" x14ac:dyDescent="0.3">
      <c r="A129" s="1" t="s">
        <v>38</v>
      </c>
      <c r="B129" s="1" t="s">
        <v>304</v>
      </c>
      <c r="C129" s="1" t="str">
        <f>VLOOKUP(B:B,[6]配额0227!$A:$B,2,0)</f>
        <v>变频外电脑板-FR-4240*180</v>
      </c>
      <c r="D129" s="1" t="str">
        <f>VLOOKUP(B:B,'[7]厂家配额 (新)'!$A$1:$C$65536,3,0)</f>
        <v>尚研</v>
      </c>
      <c r="E129" s="1">
        <v>0</v>
      </c>
      <c r="F129" s="1">
        <v>0</v>
      </c>
      <c r="G129" s="1">
        <v>0</v>
      </c>
      <c r="H129" s="1">
        <v>44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</row>
    <row r="130" spans="1:17" x14ac:dyDescent="0.3">
      <c r="A130" s="1" t="s">
        <v>38</v>
      </c>
      <c r="B130" s="1" t="s">
        <v>305</v>
      </c>
      <c r="C130" s="1" t="str">
        <f>VLOOKUP(B:B,[6]配额0227!$A:$B,2,0)</f>
        <v>室内电脑板-FR-4136*165</v>
      </c>
      <c r="D130" s="1" t="str">
        <f>VLOOKUP(B:B,'[7]厂家配额 (新)'!$A$1:$C$65536,3,0)</f>
        <v>领智</v>
      </c>
      <c r="E130" s="1">
        <v>24</v>
      </c>
      <c r="F130" s="1">
        <v>259</v>
      </c>
      <c r="G130" s="1">
        <v>1370</v>
      </c>
      <c r="H130" s="1">
        <v>240</v>
      </c>
      <c r="I130" s="1">
        <v>182</v>
      </c>
      <c r="J130" s="1">
        <v>0</v>
      </c>
      <c r="K130" s="1">
        <v>109</v>
      </c>
      <c r="L130" s="1">
        <v>739</v>
      </c>
      <c r="M130" s="1">
        <v>125</v>
      </c>
      <c r="N130" s="1">
        <v>860</v>
      </c>
      <c r="O130" s="1">
        <v>0</v>
      </c>
      <c r="P130" s="1">
        <v>0</v>
      </c>
      <c r="Q130" s="1">
        <v>0</v>
      </c>
    </row>
    <row r="131" spans="1:17" x14ac:dyDescent="0.3">
      <c r="A131" s="1" t="s">
        <v>38</v>
      </c>
      <c r="B131" s="1" t="s">
        <v>74</v>
      </c>
      <c r="C131" s="1" t="str">
        <f>VLOOKUP(B:B,[6]配额0227!$A:$B,2,0)</f>
        <v>室内电脑板-FR-4136*165</v>
      </c>
      <c r="D131" s="1" t="str">
        <f>VLOOKUP(B:B,'[7]厂家配额 (新)'!$A$1:$C$65536,3,0)</f>
        <v>和而泰</v>
      </c>
      <c r="E131" s="1">
        <v>0</v>
      </c>
      <c r="F131" s="1">
        <v>0</v>
      </c>
      <c r="G131" s="1">
        <v>0</v>
      </c>
      <c r="H131" s="1">
        <v>290</v>
      </c>
      <c r="I131" s="1">
        <v>0</v>
      </c>
      <c r="J131" s="1">
        <v>0</v>
      </c>
      <c r="K131" s="1">
        <v>0</v>
      </c>
      <c r="L131" s="1">
        <v>140</v>
      </c>
      <c r="M131" s="1">
        <v>0</v>
      </c>
      <c r="N131" s="1">
        <v>0</v>
      </c>
      <c r="O131" s="1">
        <v>290</v>
      </c>
      <c r="P131" s="1">
        <v>0</v>
      </c>
      <c r="Q131" s="1">
        <v>0</v>
      </c>
    </row>
    <row r="132" spans="1:17" x14ac:dyDescent="0.3">
      <c r="A132" s="1" t="s">
        <v>38</v>
      </c>
      <c r="B132" s="1" t="s">
        <v>76</v>
      </c>
      <c r="C132" s="1" t="str">
        <f>VLOOKUP(B:B,[6]配额0227!$A:$B,2,0)</f>
        <v>室内电脑板-FR-4136*165</v>
      </c>
      <c r="D132" s="1" t="str">
        <f>VLOOKUP(B:B,'[7]厂家配额 (新)'!$A$1:$C$65536,3,0)</f>
        <v>和而泰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353</v>
      </c>
      <c r="L132" s="1">
        <v>200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</row>
    <row r="133" spans="1:17" x14ac:dyDescent="0.3">
      <c r="A133" s="1" t="s">
        <v>38</v>
      </c>
      <c r="B133" s="1" t="s">
        <v>306</v>
      </c>
      <c r="C133" s="1" t="str">
        <f>VLOOKUP(B:B,[6]配额0227!$A:$B,2,0)</f>
        <v>室内电脑板-FR-4</v>
      </c>
      <c r="D133" s="1" t="str">
        <f>VLOOKUP(B:B,'[7]厂家配额 (新)'!$A$1:$C$65536,3,0)</f>
        <v>领智/康美特//</v>
      </c>
      <c r="E133" s="1">
        <v>206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</row>
    <row r="134" spans="1:17" x14ac:dyDescent="0.3">
      <c r="A134" s="1" t="s">
        <v>38</v>
      </c>
      <c r="B134" s="1" t="s">
        <v>77</v>
      </c>
      <c r="C134" s="1" t="str">
        <f>VLOOKUP(B:B,[6]配额0227!$A:$B,2,0)</f>
        <v>变频外电脑板-FR-4240*180</v>
      </c>
      <c r="D134" s="1" t="str">
        <f>VLOOKUP(B:B,'[7]厂家配额 (新)'!$A$1:$C$65536,3,0)</f>
        <v>和而泰/航嘉//</v>
      </c>
      <c r="E134" s="1">
        <v>0</v>
      </c>
      <c r="F134" s="1">
        <v>0</v>
      </c>
      <c r="G134" s="1">
        <v>0</v>
      </c>
      <c r="H134" s="1">
        <v>191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</row>
    <row r="135" spans="1:17" x14ac:dyDescent="0.3">
      <c r="A135" s="1" t="s">
        <v>38</v>
      </c>
      <c r="B135" s="1" t="s">
        <v>78</v>
      </c>
      <c r="C135" s="1" t="str">
        <f>VLOOKUP(B:B,[6]配额0227!$A:$B,2,0)</f>
        <v>变频外电脑板-FR-4240*180</v>
      </c>
      <c r="D135" s="1" t="str">
        <f>VLOOKUP(B:B,'[7]厂家配额 (新)'!$A$1:$C$65536,3,0)</f>
        <v>和而泰</v>
      </c>
      <c r="E135" s="1">
        <v>0</v>
      </c>
      <c r="F135" s="1">
        <v>0</v>
      </c>
      <c r="G135" s="1">
        <v>0</v>
      </c>
      <c r="H135" s="1">
        <v>10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</row>
    <row r="136" spans="1:17" x14ac:dyDescent="0.3">
      <c r="A136" s="1" t="s">
        <v>38</v>
      </c>
      <c r="B136" s="1" t="s">
        <v>307</v>
      </c>
      <c r="C136" s="1" t="str">
        <f>VLOOKUP(B:B,[6]配额0227!$A:$B,2,0)</f>
        <v>变频外电脑板-FR-4240*180</v>
      </c>
      <c r="D136" s="1" t="str">
        <f>VLOOKUP(B:B,'[7]厂家配额 (新)'!$A$1:$C$65536,3,0)</f>
        <v>领智</v>
      </c>
      <c r="E136" s="1">
        <v>0</v>
      </c>
      <c r="F136" s="1">
        <v>0</v>
      </c>
      <c r="G136" s="1">
        <v>0</v>
      </c>
      <c r="H136" s="1">
        <v>100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</row>
    <row r="137" spans="1:17" x14ac:dyDescent="0.3">
      <c r="A137" s="1" t="s">
        <v>38</v>
      </c>
      <c r="B137" s="1" t="s">
        <v>79</v>
      </c>
      <c r="C137" s="1" t="str">
        <f>VLOOKUP(B:B,[6]配额0227!$A:$B,2,0)</f>
        <v>变频外电脑板-FR-4</v>
      </c>
      <c r="D137" s="1" t="str">
        <f>VLOOKUP(B:B,'[7]厂家配额 (新)'!$A$1:$C$65536,3,0)</f>
        <v>和而泰/尚研//</v>
      </c>
      <c r="E137" s="1">
        <v>0</v>
      </c>
      <c r="F137" s="1">
        <v>1</v>
      </c>
      <c r="G137" s="1">
        <v>0</v>
      </c>
      <c r="H137" s="1">
        <v>0</v>
      </c>
      <c r="I137" s="1">
        <v>184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</row>
    <row r="138" spans="1:17" x14ac:dyDescent="0.3">
      <c r="A138" s="1" t="s">
        <v>38</v>
      </c>
      <c r="B138" s="1" t="s">
        <v>308</v>
      </c>
      <c r="C138" s="1" t="str">
        <f>VLOOKUP(B:B,[6]配额0227!$A:$B,2,0)</f>
        <v>变频外电脑板-FR-4</v>
      </c>
      <c r="D138" s="1" t="str">
        <f>VLOOKUP(B:B,'[7]厂家配额 (新)'!$A$1:$C$65536,3,0)</f>
        <v>领智/航嘉//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1800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</row>
    <row r="139" spans="1:17" x14ac:dyDescent="0.3">
      <c r="A139" s="1" t="s">
        <v>38</v>
      </c>
      <c r="B139" s="1" t="s">
        <v>309</v>
      </c>
      <c r="C139" s="1" t="str">
        <f>VLOOKUP(B:B,[6]配额0227!$A:$B,2,0)</f>
        <v>变频外电脑板-FR-4</v>
      </c>
      <c r="D139" s="1" t="str">
        <f>VLOOKUP(B:B,'[7]厂家配额 (新)'!$A$1:$C$65536,3,0)</f>
        <v>航嘉/领智//</v>
      </c>
      <c r="E139" s="1">
        <v>0</v>
      </c>
      <c r="F139" s="1">
        <v>0</v>
      </c>
      <c r="G139" s="1">
        <v>0</v>
      </c>
      <c r="H139" s="1">
        <v>448</v>
      </c>
      <c r="I139" s="1">
        <v>2160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</row>
    <row r="140" spans="1:17" x14ac:dyDescent="0.3">
      <c r="A140" s="1" t="s">
        <v>38</v>
      </c>
      <c r="B140" s="1" t="s">
        <v>310</v>
      </c>
      <c r="C140" s="1" t="str">
        <f>VLOOKUP(B:B,[6]配额0227!$A:$B,2,0)</f>
        <v>显示板-LED</v>
      </c>
      <c r="D140" s="1" t="str">
        <f>VLOOKUP(B:B,'[7]厂家配额 (新)'!$A$1:$C$65536,3,0)</f>
        <v>领智</v>
      </c>
      <c r="E140" s="1">
        <v>1000</v>
      </c>
      <c r="F140" s="1">
        <v>1200</v>
      </c>
      <c r="G140" s="1">
        <v>800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900</v>
      </c>
      <c r="N140" s="1">
        <v>1300</v>
      </c>
      <c r="O140" s="1">
        <v>1350</v>
      </c>
      <c r="P140" s="1">
        <v>0</v>
      </c>
      <c r="Q140" s="1">
        <v>0</v>
      </c>
    </row>
    <row r="141" spans="1:17" x14ac:dyDescent="0.3">
      <c r="A141" s="1" t="s">
        <v>38</v>
      </c>
      <c r="B141" s="1" t="s">
        <v>311</v>
      </c>
      <c r="C141" s="1" t="str">
        <f>VLOOKUP(B:B,[6]配额0227!$A:$B,2,0)</f>
        <v>显示板-LED</v>
      </c>
      <c r="D141" s="1" t="str">
        <f>VLOOKUP(B:B,'[7]厂家配额 (新)'!$A$1:$C$65536,3,0)</f>
        <v>领智/国冶星//</v>
      </c>
      <c r="E141" s="1">
        <v>0</v>
      </c>
      <c r="F141" s="1">
        <v>0</v>
      </c>
      <c r="G141" s="1">
        <v>400</v>
      </c>
      <c r="H141" s="1">
        <v>1300</v>
      </c>
      <c r="I141" s="1">
        <v>1300</v>
      </c>
      <c r="J141" s="1">
        <v>1300</v>
      </c>
      <c r="K141" s="1">
        <v>1310</v>
      </c>
      <c r="L141" s="1">
        <v>1390</v>
      </c>
      <c r="M141" s="1">
        <v>400</v>
      </c>
      <c r="N141" s="1">
        <v>0</v>
      </c>
      <c r="O141" s="1">
        <v>0</v>
      </c>
      <c r="P141" s="1">
        <v>0</v>
      </c>
      <c r="Q141" s="1">
        <v>0</v>
      </c>
    </row>
    <row r="142" spans="1:17" x14ac:dyDescent="0.3">
      <c r="A142" s="1" t="s">
        <v>38</v>
      </c>
      <c r="B142" s="1" t="s">
        <v>312</v>
      </c>
      <c r="C142" s="1" t="str">
        <f>VLOOKUP(B:B,[6]配额0227!$A:$B,2,0)</f>
        <v>变频外电脑板-/</v>
      </c>
      <c r="D142" s="1" t="str">
        <f>VLOOKUP(B:B,'[7]厂家配额 (新)'!$A$1:$C$65536,3,0)</f>
        <v>儒竞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150</v>
      </c>
      <c r="P142" s="1">
        <v>0</v>
      </c>
      <c r="Q142" s="1">
        <v>0</v>
      </c>
    </row>
    <row r="143" spans="1:17" x14ac:dyDescent="0.3">
      <c r="A143" s="1" t="s">
        <v>38</v>
      </c>
      <c r="B143" s="1" t="s">
        <v>313</v>
      </c>
      <c r="C143" s="1" t="str">
        <f>VLOOKUP(B:B,[6]配额0227!$A:$B,2,0)</f>
        <v>变频外电脑板-通用</v>
      </c>
      <c r="D143" s="1" t="str">
        <f>VLOOKUP(B:B,'[7]厂家配额 (新)'!$A$1:$C$65536,3,0)</f>
        <v>儒竞</v>
      </c>
      <c r="E143" s="1">
        <v>1000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900</v>
      </c>
      <c r="N143" s="1">
        <v>1300</v>
      </c>
      <c r="O143" s="1">
        <v>800</v>
      </c>
      <c r="P143" s="1">
        <v>0</v>
      </c>
      <c r="Q143" s="1">
        <v>0</v>
      </c>
    </row>
    <row r="144" spans="1:17" x14ac:dyDescent="0.3">
      <c r="A144" s="1" t="s">
        <v>38</v>
      </c>
      <c r="B144" s="1" t="s">
        <v>314</v>
      </c>
      <c r="C144" s="1" t="str">
        <f>VLOOKUP(B:B,[6]配额0227!$A:$B,2,0)</f>
        <v>变频外电脑板-/</v>
      </c>
      <c r="D144" s="1" t="str">
        <f>VLOOKUP(B:B,'[7]厂家配额 (新)'!$A$1:$C$65536,3,0)</f>
        <v>儒竞</v>
      </c>
      <c r="E144" s="1">
        <v>0</v>
      </c>
      <c r="F144" s="1">
        <v>1200</v>
      </c>
      <c r="G144" s="1">
        <v>800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</row>
    <row r="145" spans="1:17" x14ac:dyDescent="0.3">
      <c r="A145" s="1" t="s">
        <v>38</v>
      </c>
      <c r="B145" s="1" t="s">
        <v>315</v>
      </c>
      <c r="C145" s="1" t="str">
        <f>VLOOKUP(B:B,[6]配额0227!$A:$B,2,0)</f>
        <v>变频外电脑板-/</v>
      </c>
      <c r="D145" s="1" t="str">
        <f>VLOOKUP(B:B,'[7]厂家配额 (新)'!$A$1:$C$65536,3,0)</f>
        <v>儒竞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200</v>
      </c>
      <c r="P145" s="1">
        <v>0</v>
      </c>
      <c r="Q145" s="1">
        <v>0</v>
      </c>
    </row>
    <row r="146" spans="1:17" x14ac:dyDescent="0.3">
      <c r="A146" s="1" t="s">
        <v>38</v>
      </c>
      <c r="B146" s="1" t="s">
        <v>316</v>
      </c>
      <c r="C146" s="1" t="str">
        <f>VLOOKUP(B:B,[6]配额0227!$A:$B,2,0)</f>
        <v>变频外电脑板-/</v>
      </c>
      <c r="D146" s="1" t="str">
        <f>VLOOKUP(B:B,'[7]厂家配额 (新)'!$A$1:$C$65536,3,0)</f>
        <v>儒竞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200</v>
      </c>
      <c r="P146" s="1">
        <v>0</v>
      </c>
      <c r="Q146" s="1">
        <v>0</v>
      </c>
    </row>
    <row r="147" spans="1:17" x14ac:dyDescent="0.3">
      <c r="A147" s="1" t="s">
        <v>38</v>
      </c>
      <c r="B147" s="1" t="s">
        <v>317</v>
      </c>
      <c r="C147" s="1" t="str">
        <f>VLOOKUP(B:B,[6]配额0227!$A:$B,2,0)</f>
        <v>变频外电脑板-通用</v>
      </c>
      <c r="D147" s="1" t="str">
        <f>VLOOKUP(B:B,'[7]厂家配额 (新)'!$A$1:$C$65536,3,0)</f>
        <v>儒竞</v>
      </c>
      <c r="E147" s="1">
        <v>0</v>
      </c>
      <c r="F147" s="1">
        <v>0</v>
      </c>
      <c r="G147" s="1">
        <v>400</v>
      </c>
      <c r="H147" s="1">
        <v>1300</v>
      </c>
      <c r="I147" s="1">
        <v>1300</v>
      </c>
      <c r="J147" s="1">
        <v>1300</v>
      </c>
      <c r="K147" s="1">
        <v>1310</v>
      </c>
      <c r="L147" s="1">
        <v>1390</v>
      </c>
      <c r="M147" s="1">
        <v>400</v>
      </c>
      <c r="N147" s="1">
        <v>0</v>
      </c>
      <c r="O147" s="1">
        <v>0</v>
      </c>
      <c r="P147" s="1">
        <v>0</v>
      </c>
      <c r="Q147" s="1">
        <v>0</v>
      </c>
    </row>
    <row r="148" spans="1:17" x14ac:dyDescent="0.3">
      <c r="A148" s="1" t="s">
        <v>38</v>
      </c>
      <c r="B148" s="1" t="s">
        <v>318</v>
      </c>
      <c r="C148" s="1" t="str">
        <f>VLOOKUP(B:B,[6]配额0227!$A:$B,2,0)</f>
        <v>室内电脑板-CEM-1</v>
      </c>
      <c r="D148" s="1" t="str">
        <f>VLOOKUP(B:B,'[7]厂家配额 (新)'!$A$1:$C$65536,3,0)</f>
        <v>领智/康美特</v>
      </c>
      <c r="E148" s="1">
        <v>0</v>
      </c>
      <c r="F148" s="1">
        <v>383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</row>
    <row r="149" spans="1:17" x14ac:dyDescent="0.3">
      <c r="A149" s="1" t="s">
        <v>38</v>
      </c>
      <c r="B149" s="1" t="s">
        <v>319</v>
      </c>
      <c r="C149" s="1" t="str">
        <f>VLOOKUP(B:B,[6]配额0227!$A:$B,2,0)</f>
        <v>室内电脑板-CEM-1</v>
      </c>
      <c r="D149" s="1" t="str">
        <f>VLOOKUP(B:B,'[7]厂家配额 (新)'!$A$1:$C$65536,3,0)</f>
        <v>航嘉/尚研//</v>
      </c>
      <c r="E149" s="1">
        <v>0</v>
      </c>
      <c r="F149" s="1">
        <v>1</v>
      </c>
      <c r="G149" s="1">
        <v>0</v>
      </c>
      <c r="H149" s="1">
        <v>0</v>
      </c>
      <c r="I149" s="1">
        <v>184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</row>
    <row r="150" spans="1:17" x14ac:dyDescent="0.3">
      <c r="A150" s="1" t="s">
        <v>38</v>
      </c>
      <c r="B150" s="1" t="s">
        <v>320</v>
      </c>
      <c r="C150" s="1" t="str">
        <f>VLOOKUP(B:B,[6]配额0227!$A:$B,2,0)</f>
        <v>室内电脑板-CEM-1</v>
      </c>
      <c r="D150" s="1" t="str">
        <f>VLOOKUP(B:B,'[7]厂家配额 (新)'!$A$1:$C$65536,3,0)</f>
        <v>航嘉/领智//</v>
      </c>
      <c r="E150" s="1">
        <v>0</v>
      </c>
      <c r="F150" s="1">
        <v>0</v>
      </c>
      <c r="G150" s="1">
        <v>0</v>
      </c>
      <c r="H150" s="1">
        <v>0</v>
      </c>
      <c r="I150" s="1">
        <v>2160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</row>
    <row r="151" spans="1:17" x14ac:dyDescent="0.3">
      <c r="A151" s="1" t="s">
        <v>38</v>
      </c>
      <c r="B151" s="1" t="s">
        <v>321</v>
      </c>
      <c r="C151" s="1" t="str">
        <f>VLOOKUP(B:B,[6]配额0227!$A:$B,2,0)</f>
        <v>室内电脑板-CEM-1</v>
      </c>
      <c r="D151" s="1" t="str">
        <f>VLOOKUP(B:B,'[7]厂家配额 (新)'!$A$1:$C$65536,3,0)</f>
        <v>康美特/领智//</v>
      </c>
      <c r="E151" s="1">
        <v>0</v>
      </c>
      <c r="F151" s="1">
        <v>580</v>
      </c>
      <c r="G151" s="1">
        <v>0</v>
      </c>
      <c r="H151" s="1">
        <v>2200</v>
      </c>
      <c r="I151" s="1">
        <v>0</v>
      </c>
      <c r="J151" s="1">
        <v>0</v>
      </c>
      <c r="K151" s="1">
        <v>556</v>
      </c>
      <c r="L151" s="1">
        <v>0</v>
      </c>
      <c r="M151" s="1">
        <v>0</v>
      </c>
      <c r="N151" s="1">
        <v>0</v>
      </c>
      <c r="O151" s="1">
        <v>450</v>
      </c>
      <c r="P151" s="1">
        <v>0</v>
      </c>
      <c r="Q151" s="1">
        <v>0</v>
      </c>
    </row>
    <row r="152" spans="1:17" x14ac:dyDescent="0.3">
      <c r="A152" s="1" t="s">
        <v>38</v>
      </c>
      <c r="B152" s="1" t="s">
        <v>97</v>
      </c>
      <c r="C152" s="1" t="str">
        <f>VLOOKUP(B:B,[6]配额0227!$A:$B,2,0)</f>
        <v>变频外电脑板-FR-4205mm*157mm</v>
      </c>
      <c r="D152" s="1" t="str">
        <f>VLOOKUP(B:B,'[7]厂家配额 (新)'!$A$1:$C$65536,3,0)</f>
        <v>和而泰</v>
      </c>
      <c r="E152" s="1">
        <v>0</v>
      </c>
      <c r="F152" s="1">
        <v>0</v>
      </c>
      <c r="G152" s="1">
        <v>678</v>
      </c>
      <c r="H152" s="1">
        <v>0</v>
      </c>
      <c r="I152" s="1">
        <v>1</v>
      </c>
      <c r="J152" s="1">
        <v>0</v>
      </c>
      <c r="K152" s="1">
        <v>199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</row>
    <row r="153" spans="1:17" x14ac:dyDescent="0.3">
      <c r="A153" s="1" t="s">
        <v>38</v>
      </c>
      <c r="B153" s="1" t="s">
        <v>99</v>
      </c>
      <c r="C153" s="1" t="str">
        <f>VLOOKUP(B:B,[6]配额0227!$A:$B,2,0)</f>
        <v>变频外电脑板-FR-4205mm*157mm</v>
      </c>
      <c r="D153" s="1" t="str">
        <f>VLOOKUP(B:B,'[7]厂家配额 (新)'!$A$1:$C$65536,3,0)</f>
        <v>和而泰</v>
      </c>
      <c r="E153" s="1">
        <v>0</v>
      </c>
      <c r="F153" s="1">
        <v>0</v>
      </c>
      <c r="G153" s="1">
        <v>0</v>
      </c>
      <c r="H153" s="1">
        <v>60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</row>
    <row r="154" spans="1:17" x14ac:dyDescent="0.3">
      <c r="A154" s="1" t="s">
        <v>38</v>
      </c>
      <c r="B154" s="1" t="s">
        <v>101</v>
      </c>
      <c r="C154" s="1" t="str">
        <f>VLOOKUP(B:B,[6]配额0227!$A:$B,2,0)</f>
        <v>变频外电脑板-FR-4205mm*157mm</v>
      </c>
      <c r="D154" s="1" t="str">
        <f>VLOOKUP(B:B,'[7]厂家配额 (新)'!$A$1:$C$65536,3,0)</f>
        <v>和而泰</v>
      </c>
      <c r="E154" s="1">
        <v>0</v>
      </c>
      <c r="F154" s="1">
        <v>0</v>
      </c>
      <c r="G154" s="1">
        <v>0</v>
      </c>
      <c r="H154" s="1">
        <v>31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</row>
    <row r="155" spans="1:17" x14ac:dyDescent="0.3">
      <c r="A155" s="1" t="s">
        <v>38</v>
      </c>
      <c r="B155" s="1" t="s">
        <v>322</v>
      </c>
      <c r="C155" s="1" t="str">
        <f>VLOOKUP(B:B,[6]配额0227!$A:$B,2,0)</f>
        <v>变频外电脑板-FR-4205mm*157mm</v>
      </c>
      <c r="D155" s="1" t="str">
        <f>VLOOKUP(B:B,'[7]厂家配额 (新)'!$A$1:$C$65536,3,0)</f>
        <v>领智</v>
      </c>
      <c r="E155" s="1">
        <v>0</v>
      </c>
      <c r="F155" s="1">
        <v>0</v>
      </c>
      <c r="G155" s="1">
        <v>0</v>
      </c>
      <c r="H155" s="1">
        <v>112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</row>
    <row r="156" spans="1:17" x14ac:dyDescent="0.3">
      <c r="A156" s="1" t="s">
        <v>38</v>
      </c>
      <c r="B156" s="1" t="s">
        <v>323</v>
      </c>
      <c r="C156" s="1" t="str">
        <f>VLOOKUP(B:B,[6]配额0227!$A:$B,2,0)</f>
        <v>变频外电脑板-FR-4/</v>
      </c>
      <c r="D156" s="1" t="str">
        <f>VLOOKUP(B:B,'[7]厂家配额 (新)'!$A$1:$C$65536,3,0)</f>
        <v>领智</v>
      </c>
      <c r="E156" s="1">
        <v>0</v>
      </c>
      <c r="F156" s="1">
        <v>0</v>
      </c>
      <c r="G156" s="1">
        <v>0</v>
      </c>
      <c r="H156" s="1">
        <v>12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</row>
    <row r="157" spans="1:17" x14ac:dyDescent="0.3">
      <c r="A157" s="1" t="s">
        <v>38</v>
      </c>
      <c r="B157" s="1" t="s">
        <v>105</v>
      </c>
      <c r="C157" s="1" t="str">
        <f>VLOOKUP(B:B,[6]配额0227!$A:$B,2,0)</f>
        <v>变频外电脑板-FR-4/</v>
      </c>
      <c r="D157" s="1" t="str">
        <f>VLOOKUP(B:B,'[7]厂家配额 (新)'!$A$1:$C$65536,3,0)</f>
        <v>和而泰</v>
      </c>
      <c r="E157" s="1">
        <v>0</v>
      </c>
      <c r="F157" s="1">
        <v>0</v>
      </c>
      <c r="G157" s="1">
        <v>0</v>
      </c>
      <c r="H157" s="1">
        <v>28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</row>
    <row r="158" spans="1:17" x14ac:dyDescent="0.3">
      <c r="A158" s="1" t="s">
        <v>38</v>
      </c>
      <c r="B158" s="1" t="s">
        <v>110</v>
      </c>
      <c r="C158" s="1" t="str">
        <f>VLOOKUP(B:B,[6]配额0227!$A:$B,2,0)</f>
        <v>变频外电脑板-FR-4/</v>
      </c>
      <c r="D158" s="1" t="str">
        <f>VLOOKUP(B:B,'[7]厂家配额 (新)'!$A$1:$C$65536,3,0)</f>
        <v>和而泰</v>
      </c>
      <c r="E158" s="1">
        <v>0</v>
      </c>
      <c r="F158" s="1">
        <v>0</v>
      </c>
      <c r="G158" s="1">
        <v>0</v>
      </c>
      <c r="H158" s="1">
        <v>4345</v>
      </c>
      <c r="I158" s="1">
        <v>0</v>
      </c>
      <c r="J158" s="1">
        <v>0</v>
      </c>
      <c r="K158" s="1">
        <v>4320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</row>
    <row r="159" spans="1:17" x14ac:dyDescent="0.3">
      <c r="A159" s="1" t="s">
        <v>38</v>
      </c>
      <c r="B159" s="1" t="s">
        <v>116</v>
      </c>
      <c r="C159" s="1" t="str">
        <f>VLOOKUP(B:B,[6]配额0227!$A:$B,2,0)</f>
        <v>变频外电脑板-FR-4</v>
      </c>
      <c r="D159" s="1" t="str">
        <f>VLOOKUP(B:B,'[7]厂家配额 (新)'!$A$1:$C$65536,3,0)</f>
        <v>和而泰/尚研//</v>
      </c>
      <c r="E159" s="1">
        <v>0</v>
      </c>
      <c r="F159" s="1">
        <v>0</v>
      </c>
      <c r="G159" s="1">
        <v>0</v>
      </c>
      <c r="H159" s="1">
        <v>1600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</row>
    <row r="160" spans="1:17" x14ac:dyDescent="0.3">
      <c r="A160" s="1" t="s">
        <v>38</v>
      </c>
      <c r="B160" s="1" t="s">
        <v>324</v>
      </c>
      <c r="C160" s="1" t="str">
        <f>VLOOKUP(B:B,[6]配额0227!$A:$B,2,0)</f>
        <v>变频外电脑板-FR-4/</v>
      </c>
      <c r="D160" s="1" t="str">
        <f>VLOOKUP(B:B,'[7]厂家配额 (新)'!$A$1:$C$65536,3,0)</f>
        <v>中家智康</v>
      </c>
      <c r="E160" s="1">
        <v>0</v>
      </c>
      <c r="F160" s="1">
        <v>0</v>
      </c>
      <c r="G160" s="1">
        <v>0</v>
      </c>
      <c r="H160" s="1">
        <v>50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</row>
    <row r="161" spans="1:17" x14ac:dyDescent="0.3">
      <c r="A161" s="1" t="s">
        <v>38</v>
      </c>
      <c r="B161" s="1" t="s">
        <v>325</v>
      </c>
      <c r="C161" s="1" t="str">
        <f>VLOOKUP(B:B,[6]配额0227!$A:$B,2,0)</f>
        <v>变频外电脑板-FR-4/</v>
      </c>
      <c r="D161" s="1" t="str">
        <f>VLOOKUP(B:B,'[7]厂家配额 (新)'!$A$1:$C$65536,3,0)</f>
        <v>中家智康</v>
      </c>
      <c r="E161" s="1">
        <v>0</v>
      </c>
      <c r="F161" s="1">
        <v>0</v>
      </c>
      <c r="G161" s="1">
        <v>0</v>
      </c>
      <c r="H161" s="1">
        <v>10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</row>
    <row r="162" spans="1:17" x14ac:dyDescent="0.3">
      <c r="A162" s="1" t="s">
        <v>38</v>
      </c>
      <c r="B162" s="1" t="s">
        <v>326</v>
      </c>
      <c r="C162" s="1" t="str">
        <f>VLOOKUP(B:B,[6]配额0227!$A:$B,2,0)</f>
        <v>变频外电脑板-FR-4</v>
      </c>
      <c r="D162" s="1" t="str">
        <f>VLOOKUP(B:B,'[7]厂家配额 (新)'!$A$1:$C$65536,3,0)</f>
        <v>中家智康</v>
      </c>
      <c r="E162" s="1">
        <v>0</v>
      </c>
      <c r="F162" s="1">
        <v>0</v>
      </c>
      <c r="G162" s="1">
        <v>0</v>
      </c>
      <c r="H162" s="1">
        <v>10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</row>
    <row r="163" spans="1:17" x14ac:dyDescent="0.3">
      <c r="A163" s="1" t="s">
        <v>38</v>
      </c>
      <c r="B163" s="1" t="s">
        <v>327</v>
      </c>
      <c r="C163" s="1" t="str">
        <f>VLOOKUP(B:B,[6]配额0227!$A:$B,2,0)</f>
        <v>变频外电脑板-FR-4</v>
      </c>
      <c r="D163" s="1" t="str">
        <f>VLOOKUP(B:B,'[7]厂家配额 (新)'!$A$1:$C$65536,3,0)</f>
        <v>航嘉/领智//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45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</row>
    <row r="164" spans="1:17" x14ac:dyDescent="0.3">
      <c r="A164" s="1" t="s">
        <v>38</v>
      </c>
      <c r="B164" s="1" t="s">
        <v>328</v>
      </c>
      <c r="C164" s="1" t="str">
        <f>VLOOKUP(B:B,[6]配额0227!$A:$B,2,0)</f>
        <v>变频外电脑板-FR-4</v>
      </c>
      <c r="D164" s="1" t="str">
        <f>VLOOKUP(B:B,'[7]厂家配额 (新)'!$A$1:$C$65536,3,0)</f>
        <v>领智/尚研//</v>
      </c>
      <c r="E164" s="1">
        <v>0</v>
      </c>
      <c r="F164" s="1">
        <v>0</v>
      </c>
      <c r="G164" s="1">
        <v>0</v>
      </c>
      <c r="H164" s="1">
        <v>20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</row>
    <row r="165" spans="1:17" x14ac:dyDescent="0.3">
      <c r="A165" s="1" t="s">
        <v>38</v>
      </c>
      <c r="B165" s="1" t="s">
        <v>329</v>
      </c>
      <c r="C165" s="1" t="str">
        <f>VLOOKUP(B:B,[6]配额0227!$A:$B,2,0)</f>
        <v>变频外电脑板-FR-4</v>
      </c>
      <c r="D165" s="1" t="str">
        <f>VLOOKUP(B:B,'[7]厂家配额 (新)'!$A$1:$C$65536,3,0)</f>
        <v>领智/尚研//</v>
      </c>
      <c r="E165" s="1">
        <v>0</v>
      </c>
      <c r="F165" s="1">
        <v>0</v>
      </c>
      <c r="G165" s="1">
        <v>0</v>
      </c>
      <c r="H165" s="1">
        <v>6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</row>
    <row r="166" spans="1:17" x14ac:dyDescent="0.3">
      <c r="A166" s="1" t="s">
        <v>38</v>
      </c>
      <c r="B166" s="1" t="s">
        <v>330</v>
      </c>
      <c r="C166" s="1" t="str">
        <f>VLOOKUP(B:B,[6]配额0227!$A:$B,2,0)</f>
        <v>变频外电脑板-FR-4</v>
      </c>
      <c r="D166" s="1" t="str">
        <f>VLOOKUP(B:B,'[7]厂家配额 (新)'!$A$1:$C$65536,3,0)</f>
        <v>尚研/领智//</v>
      </c>
      <c r="E166" s="1">
        <v>0</v>
      </c>
      <c r="F166" s="1">
        <v>0</v>
      </c>
      <c r="G166" s="1">
        <v>0</v>
      </c>
      <c r="H166" s="1">
        <v>6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</row>
    <row r="167" spans="1:17" x14ac:dyDescent="0.3">
      <c r="A167" s="1" t="s">
        <v>38</v>
      </c>
      <c r="B167" s="1" t="s">
        <v>122</v>
      </c>
      <c r="C167" s="1" t="str">
        <f>VLOOKUP(B:B,[6]配额0227!$A:$B,2,0)</f>
        <v>变频外电脑板-FR-4</v>
      </c>
      <c r="D167" s="1" t="str">
        <f>VLOOKUP(B:B,'[7]厂家配额 (新)'!$A$1:$C$65536,3,0)</f>
        <v>和而泰/领智//</v>
      </c>
      <c r="E167" s="1">
        <v>0</v>
      </c>
      <c r="F167" s="1">
        <v>0</v>
      </c>
      <c r="G167" s="1">
        <v>0</v>
      </c>
      <c r="H167" s="1">
        <v>60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</row>
    <row r="168" spans="1:17" x14ac:dyDescent="0.3">
      <c r="A168" s="1" t="s">
        <v>38</v>
      </c>
      <c r="B168" s="1" t="s">
        <v>123</v>
      </c>
      <c r="C168" s="1" t="str">
        <f>VLOOKUP(B:B,[6]配额0227!$A:$B,2,0)</f>
        <v>变频外电脑板-FR-4</v>
      </c>
      <c r="D168" s="1" t="str">
        <f>VLOOKUP(B:B,'[7]厂家配额 (新)'!$A$1:$C$65536,3,0)</f>
        <v>领智/和而泰//</v>
      </c>
      <c r="E168" s="1">
        <v>0</v>
      </c>
      <c r="F168" s="1">
        <v>0</v>
      </c>
      <c r="G168" s="1">
        <v>0</v>
      </c>
      <c r="H168" s="1">
        <v>60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</row>
    <row r="169" spans="1:17" x14ac:dyDescent="0.3">
      <c r="A169" s="1" t="s">
        <v>38</v>
      </c>
      <c r="B169" s="1" t="s">
        <v>331</v>
      </c>
      <c r="C169" s="1" t="str">
        <f>VLOOKUP(B:B,[6]配额0227!$A:$B,2,0)</f>
        <v>变频外电脑板</v>
      </c>
      <c r="D169" s="1" t="str">
        <f>VLOOKUP(B:B,'[7]厂家配额 (新)'!$A$1:$C$65536,3,0)</f>
        <v>领智/麦格米特//</v>
      </c>
      <c r="E169" s="1">
        <v>700</v>
      </c>
      <c r="F169" s="1">
        <v>0</v>
      </c>
      <c r="G169" s="1">
        <v>0</v>
      </c>
      <c r="H169" s="1">
        <v>0</v>
      </c>
      <c r="I169" s="1">
        <v>1</v>
      </c>
      <c r="J169" s="1">
        <v>0</v>
      </c>
      <c r="K169" s="1">
        <v>539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</row>
    <row r="170" spans="1:17" x14ac:dyDescent="0.3">
      <c r="A170" s="1" t="s">
        <v>38</v>
      </c>
      <c r="B170" s="1" t="s">
        <v>332</v>
      </c>
      <c r="C170" s="1" t="str">
        <f>VLOOKUP(B:B,[6]配额0227!$A:$B,2,0)</f>
        <v>变频外电脑板</v>
      </c>
      <c r="D170" s="1" t="str">
        <f>VLOOKUP(B:B,'[7]厂家配额 (新)'!$A$1:$C$65536,3,0)</f>
        <v>麦格米特/领智//</v>
      </c>
      <c r="E170" s="1">
        <v>602</v>
      </c>
      <c r="F170" s="1">
        <v>2094</v>
      </c>
      <c r="G170" s="1">
        <v>4076</v>
      </c>
      <c r="H170" s="1">
        <v>40</v>
      </c>
      <c r="I170" s="1">
        <v>229</v>
      </c>
      <c r="J170" s="1">
        <v>0</v>
      </c>
      <c r="K170" s="1">
        <v>199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</row>
    <row r="171" spans="1:17" x14ac:dyDescent="0.3">
      <c r="A171" s="1" t="s">
        <v>38</v>
      </c>
      <c r="B171" s="1" t="s">
        <v>333</v>
      </c>
      <c r="C171" s="1" t="str">
        <f>VLOOKUP(B:B,[6]配额0227!$A:$B,2,0)</f>
        <v>变频外电脑板</v>
      </c>
      <c r="D171" s="1" t="str">
        <f>VLOOKUP(B:B,'[7]厂家配额 (新)'!$A$1:$C$65536,3,0)</f>
        <v>领智/麦格米特//</v>
      </c>
      <c r="E171" s="1">
        <v>0</v>
      </c>
      <c r="F171" s="1">
        <v>0</v>
      </c>
      <c r="G171" s="1">
        <v>0</v>
      </c>
      <c r="H171" s="1">
        <v>0</v>
      </c>
      <c r="I171" s="1">
        <v>4</v>
      </c>
      <c r="J171" s="1">
        <v>0</v>
      </c>
      <c r="K171" s="1">
        <v>2106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</row>
    <row r="172" spans="1:17" x14ac:dyDescent="0.3">
      <c r="A172" s="1" t="s">
        <v>38</v>
      </c>
      <c r="B172" s="1" t="s">
        <v>334</v>
      </c>
      <c r="C172" s="1" t="str">
        <f>VLOOKUP(B:B,[6]配额0227!$A:$B,2,0)</f>
        <v>变频外电脑板-FR-4</v>
      </c>
      <c r="D172" s="1" t="str">
        <f>VLOOKUP(B:B,'[7]厂家配额 (新)'!$A$1:$C$65536,3,0)</f>
        <v>领智/尚研//</v>
      </c>
      <c r="E172" s="1">
        <v>0</v>
      </c>
      <c r="F172" s="1">
        <v>0</v>
      </c>
      <c r="G172" s="1">
        <v>0</v>
      </c>
      <c r="H172" s="1">
        <v>20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</row>
    <row r="173" spans="1:17" x14ac:dyDescent="0.3">
      <c r="A173" s="1" t="s">
        <v>38</v>
      </c>
      <c r="B173" s="1" t="s">
        <v>335</v>
      </c>
      <c r="C173" s="1" t="str">
        <f>VLOOKUP(B:B,[6]配额0227!$A:$B,2,0)</f>
        <v>变频外电脑板-FR-4</v>
      </c>
      <c r="D173" s="1" t="s">
        <v>336</v>
      </c>
      <c r="E173" s="1">
        <v>0</v>
      </c>
      <c r="F173" s="1">
        <v>0</v>
      </c>
      <c r="G173" s="1">
        <v>0</v>
      </c>
      <c r="H173" s="1">
        <v>1360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</row>
    <row r="174" spans="1:17" x14ac:dyDescent="0.3">
      <c r="A174" s="1" t="s">
        <v>38</v>
      </c>
      <c r="B174" s="1" t="s">
        <v>337</v>
      </c>
      <c r="C174" s="1" t="str">
        <f>VLOOKUP(B:B,[6]配额0227!$A:$B,2,0)</f>
        <v>变频外电脑板-FR-4</v>
      </c>
      <c r="D174" s="1" t="str">
        <f>VLOOKUP(B:B,'[7]厂家配额 (新)'!$A$1:$C$65536,3,0)</f>
        <v>领智/尚研</v>
      </c>
      <c r="E174" s="1">
        <v>0</v>
      </c>
      <c r="F174" s="1">
        <v>0</v>
      </c>
      <c r="G174" s="1">
        <v>0</v>
      </c>
      <c r="H174" s="1">
        <v>0</v>
      </c>
      <c r="I174" s="1">
        <v>4320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</row>
    <row r="175" spans="1:17" x14ac:dyDescent="0.3">
      <c r="A175" s="1" t="s">
        <v>38</v>
      </c>
      <c r="B175" s="1" t="s">
        <v>338</v>
      </c>
      <c r="C175" s="1" t="str">
        <f>VLOOKUP(B:B,[6]配额0227!$A:$B,2,0)</f>
        <v>变频外电脑板-FR-4</v>
      </c>
      <c r="D175" s="1" t="str">
        <f>VLOOKUP(B:B,'[7]厂家配额 (新)'!$A$1:$C$65536,3,0)</f>
        <v>麦格米特/领智//</v>
      </c>
      <c r="E175" s="1">
        <v>0</v>
      </c>
      <c r="F175" s="1">
        <v>1760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</row>
    <row r="176" spans="1:17" x14ac:dyDescent="0.3">
      <c r="A176" s="1" t="s">
        <v>38</v>
      </c>
      <c r="B176" s="1" t="s">
        <v>137</v>
      </c>
      <c r="C176" s="1" t="str">
        <f>VLOOKUP(B:B,[6]配额0227!$A:$B,2,0)</f>
        <v>室内电脑板-/</v>
      </c>
      <c r="D176" s="1" t="str">
        <f>VLOOKUP(B:B,'[7]厂家配额 (新)'!$A$1:$C$65536,3,0)</f>
        <v>领智/和而泰//</v>
      </c>
      <c r="E176" s="1">
        <v>0</v>
      </c>
      <c r="F176" s="1">
        <v>0</v>
      </c>
      <c r="G176" s="1">
        <v>960</v>
      </c>
      <c r="H176" s="1">
        <v>0</v>
      </c>
      <c r="I176" s="1">
        <v>0</v>
      </c>
      <c r="J176" s="1">
        <v>0</v>
      </c>
      <c r="K176" s="1">
        <v>0</v>
      </c>
      <c r="L176" s="1">
        <v>240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</row>
    <row r="177" spans="1:17" x14ac:dyDescent="0.3">
      <c r="A177" s="1" t="s">
        <v>38</v>
      </c>
      <c r="B177" s="1" t="s">
        <v>139</v>
      </c>
      <c r="C177" s="1" t="str">
        <f>VLOOKUP(B:B,[6]配额0227!$A:$B,2,0)</f>
        <v>室内电脑板-/</v>
      </c>
      <c r="D177" s="1" t="str">
        <f>VLOOKUP(B:B,'[7]厂家配额 (新)'!$A$1:$C$65536,3,0)</f>
        <v>和而泰/领智</v>
      </c>
      <c r="E177" s="1">
        <v>0</v>
      </c>
      <c r="F177" s="1">
        <v>0</v>
      </c>
      <c r="G177" s="1">
        <v>150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</row>
    <row r="178" spans="1:17" x14ac:dyDescent="0.3">
      <c r="A178" s="1" t="s">
        <v>38</v>
      </c>
      <c r="B178" s="1" t="s">
        <v>141</v>
      </c>
      <c r="C178" s="1" t="str">
        <f>VLOOKUP(B:B,[6]配额0227!$A:$B,2,0)</f>
        <v>变频外电脑板-/</v>
      </c>
      <c r="D178" s="1" t="str">
        <f>VLOOKUP(B:B,'[7]厂家配额 (新)'!$A$1:$C$65536,3,0)</f>
        <v>领智/和而泰//</v>
      </c>
      <c r="E178" s="1">
        <v>0</v>
      </c>
      <c r="F178" s="1">
        <v>0</v>
      </c>
      <c r="G178" s="1">
        <v>830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240</v>
      </c>
      <c r="O178" s="1">
        <v>0</v>
      </c>
      <c r="P178" s="1">
        <v>0</v>
      </c>
      <c r="Q178" s="1">
        <v>0</v>
      </c>
    </row>
    <row r="179" spans="1:17" x14ac:dyDescent="0.3">
      <c r="A179" s="1" t="s">
        <v>38</v>
      </c>
      <c r="B179" s="1" t="s">
        <v>142</v>
      </c>
      <c r="C179" s="1" t="str">
        <f>VLOOKUP(B:B,[6]配额0227!$A:$B,2,0)</f>
        <v>变频外电脑板</v>
      </c>
      <c r="D179" s="1" t="str">
        <f>VLOOKUP(B:B,'[7]厂家配额 (新)'!$A$1:$C$65536,3,0)</f>
        <v>和而泰/领智</v>
      </c>
      <c r="E179" s="1">
        <v>0</v>
      </c>
      <c r="F179" s="1">
        <v>0</v>
      </c>
      <c r="G179" s="1">
        <v>315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</row>
    <row r="180" spans="1:17" x14ac:dyDescent="0.3">
      <c r="A180" s="1" t="s">
        <v>38</v>
      </c>
      <c r="B180" s="1" t="s">
        <v>146</v>
      </c>
      <c r="C180" s="1" t="str">
        <f>VLOOKUP(B:B,[6]配额0227!$A:$B,2,0)</f>
        <v>显示板-LED</v>
      </c>
      <c r="D180" s="1" t="str">
        <f>VLOOKUP(B:B,'[7]厂家配额 (新)'!$A$1:$C$65536,3,0)</f>
        <v>领智/和而泰//</v>
      </c>
      <c r="E180" s="1">
        <v>0</v>
      </c>
      <c r="F180" s="1">
        <v>4</v>
      </c>
      <c r="G180" s="1">
        <v>1132</v>
      </c>
      <c r="H180" s="1">
        <v>0</v>
      </c>
      <c r="I180" s="1">
        <v>0</v>
      </c>
      <c r="J180" s="1">
        <v>0</v>
      </c>
      <c r="K180" s="1">
        <v>0</v>
      </c>
      <c r="L180" s="1">
        <v>240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</row>
    <row r="181" spans="1:17" x14ac:dyDescent="0.3">
      <c r="A181" s="1" t="s">
        <v>38</v>
      </c>
      <c r="B181" s="1" t="s">
        <v>148</v>
      </c>
      <c r="C181" s="1" t="str">
        <f>VLOOKUP(B:B,[6]配额0227!$A:$B,2,0)</f>
        <v>室内电脑板-CEM-1165*136</v>
      </c>
      <c r="D181" s="1" t="str">
        <f>VLOOKUP(B:B,'[7]厂家配额 (新)'!$A$1:$C$65536,3,0)</f>
        <v>领智/和而泰//</v>
      </c>
      <c r="E181" s="1">
        <v>234</v>
      </c>
      <c r="F181" s="1">
        <v>0</v>
      </c>
      <c r="G181" s="1">
        <v>99</v>
      </c>
      <c r="H181" s="1">
        <v>0</v>
      </c>
      <c r="I181" s="1">
        <v>2</v>
      </c>
      <c r="J181" s="1">
        <v>0</v>
      </c>
      <c r="K181" s="1">
        <v>0</v>
      </c>
      <c r="L181" s="1">
        <v>482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</row>
    <row r="182" spans="1:17" x14ac:dyDescent="0.3">
      <c r="A182" s="1" t="s">
        <v>38</v>
      </c>
      <c r="B182" s="1" t="s">
        <v>150</v>
      </c>
      <c r="C182" s="1" t="str">
        <f>VLOOKUP(B:B,[6]配额0227!$A:$B,2,0)</f>
        <v>室内电脑板-CEM-1</v>
      </c>
      <c r="D182" s="1" t="str">
        <f>VLOOKUP(B:B,'[7]厂家配额 (新)'!$A$1:$C$65536,3,0)</f>
        <v>领智/和而泰//</v>
      </c>
      <c r="E182" s="1">
        <v>0</v>
      </c>
      <c r="F182" s="1">
        <v>0</v>
      </c>
      <c r="G182" s="1">
        <v>0</v>
      </c>
      <c r="H182" s="1">
        <v>0</v>
      </c>
      <c r="I182" s="1">
        <v>885</v>
      </c>
      <c r="J182" s="1">
        <v>0</v>
      </c>
      <c r="K182" s="1">
        <v>175</v>
      </c>
      <c r="L182" s="1">
        <v>0</v>
      </c>
      <c r="M182" s="1">
        <v>2450</v>
      </c>
      <c r="N182" s="1">
        <v>0</v>
      </c>
      <c r="O182" s="1">
        <v>0</v>
      </c>
      <c r="P182" s="1">
        <v>0</v>
      </c>
      <c r="Q182" s="1">
        <v>0</v>
      </c>
    </row>
    <row r="183" spans="1:17" x14ac:dyDescent="0.3">
      <c r="A183" s="1" t="s">
        <v>38</v>
      </c>
      <c r="B183" s="1" t="s">
        <v>151</v>
      </c>
      <c r="C183" s="1" t="str">
        <f>VLOOKUP(B:B,[6]配额0227!$A:$B,2,0)</f>
        <v>室内电脑板-CEM-1165*136</v>
      </c>
      <c r="D183" s="1" t="str">
        <f>VLOOKUP(B:B,'[7]厂家配额 (新)'!$A$1:$C$65536,3,0)</f>
        <v>领智/和而泰//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2310</v>
      </c>
      <c r="M183" s="1">
        <v>0</v>
      </c>
      <c r="N183" s="1">
        <v>285</v>
      </c>
      <c r="O183" s="1">
        <v>0</v>
      </c>
      <c r="P183" s="1">
        <v>0</v>
      </c>
      <c r="Q183" s="1">
        <v>0</v>
      </c>
    </row>
    <row r="184" spans="1:17" x14ac:dyDescent="0.3">
      <c r="A184" s="1" t="s">
        <v>38</v>
      </c>
      <c r="B184" s="1" t="s">
        <v>339</v>
      </c>
      <c r="C184" s="1" t="str">
        <f>VLOOKUP(B:B,[6]配额0227!$A:$B,2,0)</f>
        <v>室内电脑板-155*136</v>
      </c>
      <c r="D184" s="1" t="str">
        <f>VLOOKUP(B:B,'[7]厂家配额 (新)'!$A$1:$C$65536,3,0)</f>
        <v>领智/康美特</v>
      </c>
      <c r="E184" s="1">
        <v>0</v>
      </c>
      <c r="F184" s="1">
        <v>0</v>
      </c>
      <c r="G184" s="1">
        <v>0</v>
      </c>
      <c r="H184" s="1">
        <v>0</v>
      </c>
      <c r="I184" s="1">
        <v>120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</row>
    <row r="185" spans="1:17" x14ac:dyDescent="0.3">
      <c r="A185" s="1" t="s">
        <v>38</v>
      </c>
      <c r="B185" s="1" t="s">
        <v>153</v>
      </c>
      <c r="C185" s="1" t="str">
        <f>VLOOKUP(B:B,[6]配额0227!$A:$B,2,0)</f>
        <v>室内电脑板-CEM-1155*136</v>
      </c>
      <c r="D185" s="1" t="str">
        <f>VLOOKUP(B:B,'[7]厂家配额 (新)'!$A$1:$C$65536,3,0)</f>
        <v>和而泰/领智//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2060</v>
      </c>
      <c r="O185" s="1">
        <v>0</v>
      </c>
      <c r="P185" s="1">
        <v>0</v>
      </c>
      <c r="Q185" s="1">
        <v>0</v>
      </c>
    </row>
    <row r="186" spans="1:17" x14ac:dyDescent="0.3">
      <c r="A186" s="1" t="s">
        <v>38</v>
      </c>
      <c r="B186" s="1" t="s">
        <v>155</v>
      </c>
      <c r="C186" s="1" t="str">
        <f>VLOOKUP(B:B,[6]配额0227!$A:$B,2,0)</f>
        <v>室内电脑板-CEM-1165*136</v>
      </c>
      <c r="D186" s="1" t="str">
        <f>VLOOKUP(B:B,'[7]厂家配额 (新)'!$A$1:$C$65536,3,0)</f>
        <v>领智/和而泰//</v>
      </c>
      <c r="E186" s="1">
        <v>0</v>
      </c>
      <c r="F186" s="1">
        <v>0</v>
      </c>
      <c r="G186" s="1">
        <v>2</v>
      </c>
      <c r="H186" s="1">
        <v>0</v>
      </c>
      <c r="I186" s="1">
        <v>1230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</row>
    <row r="187" spans="1:17" x14ac:dyDescent="0.3">
      <c r="A187" s="1" t="s">
        <v>38</v>
      </c>
      <c r="B187" s="1" t="s">
        <v>340</v>
      </c>
      <c r="C187" s="1" t="str">
        <f>VLOOKUP(B:B,[6]配额0227!$A:$B,2,0)</f>
        <v>室内电脑板-CEM-1165*136</v>
      </c>
      <c r="D187" s="1" t="str">
        <f>VLOOKUP(B:B,'[7]厂家配额 (新)'!$A$1:$C$65536,3,0)</f>
        <v>领智</v>
      </c>
      <c r="E187" s="1">
        <v>0</v>
      </c>
      <c r="F187" s="1">
        <v>0</v>
      </c>
      <c r="G187" s="1">
        <v>0</v>
      </c>
      <c r="H187" s="1">
        <v>1445</v>
      </c>
      <c r="I187" s="1">
        <v>0</v>
      </c>
      <c r="J187" s="1">
        <v>0</v>
      </c>
      <c r="K187" s="1">
        <v>105</v>
      </c>
      <c r="L187" s="1">
        <v>0</v>
      </c>
      <c r="M187" s="1">
        <v>80</v>
      </c>
      <c r="N187" s="1">
        <v>0</v>
      </c>
      <c r="O187" s="1">
        <v>0</v>
      </c>
      <c r="P187" s="1">
        <v>0</v>
      </c>
      <c r="Q187" s="1">
        <v>0</v>
      </c>
    </row>
    <row r="188" spans="1:17" x14ac:dyDescent="0.3">
      <c r="A188" s="1" t="s">
        <v>38</v>
      </c>
      <c r="B188" s="1" t="s">
        <v>159</v>
      </c>
      <c r="C188" s="1" t="str">
        <f>VLOOKUP(B:B,[6]配额0227!$A:$B,2,0)</f>
        <v>室内电脑板-FR-4165*136</v>
      </c>
      <c r="D188" s="1" t="str">
        <f>VLOOKUP(B:B,'[7]厂家配额 (新)'!$A$1:$C$65536,3,0)</f>
        <v>和而泰/领智//</v>
      </c>
      <c r="E188" s="1">
        <v>1102</v>
      </c>
      <c r="F188" s="1">
        <v>0</v>
      </c>
      <c r="G188" s="1">
        <v>4</v>
      </c>
      <c r="H188" s="1">
        <v>0</v>
      </c>
      <c r="I188" s="1">
        <v>4620</v>
      </c>
      <c r="J188" s="1">
        <v>0</v>
      </c>
      <c r="K188" s="1">
        <v>120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</row>
    <row r="189" spans="1:17" x14ac:dyDescent="0.3">
      <c r="A189" s="1" t="s">
        <v>38</v>
      </c>
      <c r="B189" s="1" t="s">
        <v>161</v>
      </c>
      <c r="C189" s="1" t="str">
        <f>VLOOKUP(B:B,[6]配额0227!$A:$B,2,0)</f>
        <v>室内电脑板-FR-4165*136</v>
      </c>
      <c r="D189" s="1" t="str">
        <f>VLOOKUP(B:B,'[7]厂家配额 (新)'!$A$1:$C$65536,3,0)</f>
        <v>领智/和而泰//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2295</v>
      </c>
      <c r="N189" s="1">
        <v>1427</v>
      </c>
      <c r="O189" s="1">
        <v>0</v>
      </c>
      <c r="P189" s="1">
        <v>0</v>
      </c>
      <c r="Q189" s="1">
        <v>0</v>
      </c>
    </row>
    <row r="190" spans="1:17" x14ac:dyDescent="0.3">
      <c r="A190" s="1" t="s">
        <v>38</v>
      </c>
      <c r="B190" s="1" t="s">
        <v>341</v>
      </c>
      <c r="C190" s="1" t="str">
        <f>VLOOKUP(B:B,[6]配额0227!$A:$B,2,0)</f>
        <v>室内电脑板-CEM-1165*136</v>
      </c>
      <c r="D190" s="1" t="str">
        <f>VLOOKUP(B:B,'[7]厂家配额 (新)'!$A$1:$C$65536,3,0)</f>
        <v>领智</v>
      </c>
      <c r="E190" s="1">
        <v>0</v>
      </c>
      <c r="F190" s="1">
        <v>0</v>
      </c>
      <c r="G190" s="1">
        <v>2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</row>
    <row r="191" spans="1:17" x14ac:dyDescent="0.3">
      <c r="A191" s="1" t="s">
        <v>38</v>
      </c>
      <c r="B191" s="1" t="s">
        <v>342</v>
      </c>
      <c r="C191" s="1" t="str">
        <f>VLOOKUP(B:B,[6]配额0227!$A:$B,2,0)</f>
        <v>室内电脑板-FR-4/</v>
      </c>
      <c r="D191" s="1" t="str">
        <f>VLOOKUP(B:B,'[7]厂家配额 (新)'!$A$1:$C$65536,3,0)</f>
        <v>领智/尚研</v>
      </c>
      <c r="E191" s="1">
        <v>0</v>
      </c>
      <c r="F191" s="1">
        <v>4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</row>
    <row r="192" spans="1:17" x14ac:dyDescent="0.3">
      <c r="A192" s="1" t="s">
        <v>38</v>
      </c>
      <c r="B192" s="1" t="s">
        <v>343</v>
      </c>
      <c r="C192" s="1" t="str">
        <f>VLOOKUP(B:B,[6]配额0227!$A:$B,2,0)</f>
        <v>室内电脑板-FR-4/</v>
      </c>
      <c r="D192" s="1" t="str">
        <f>VLOOKUP(B:B,'[7]厂家配额 (新)'!$A$1:$C$65536,3,0)</f>
        <v>领智/尚研//</v>
      </c>
      <c r="E192" s="1">
        <v>198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3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</row>
    <row r="193" spans="1:17" x14ac:dyDescent="0.3">
      <c r="A193" s="1" t="s">
        <v>38</v>
      </c>
      <c r="B193" s="1" t="s">
        <v>344</v>
      </c>
      <c r="C193" s="1" t="str">
        <f>VLOOKUP(B:B,[6]配额0227!$A:$B,2,0)</f>
        <v>室内电脑板-FR-4/</v>
      </c>
      <c r="D193" s="1" t="str">
        <f>VLOOKUP(B:B,'[7]厂家配额 (新)'!$A$1:$C$65536,3,0)</f>
        <v>麦格米特/领智//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187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</row>
    <row r="194" spans="1:17" x14ac:dyDescent="0.3">
      <c r="A194" s="1" t="s">
        <v>38</v>
      </c>
      <c r="B194" s="1" t="s">
        <v>345</v>
      </c>
      <c r="C194" s="1" t="str">
        <f>VLOOKUP(B:B,[6]配额0227!$A:$B,2,0)</f>
        <v>变频外电脑板-FR-4/</v>
      </c>
      <c r="D194" s="1" t="str">
        <f>VLOOKUP(B:B,'[7]厂家配额 (新)'!$A$1:$C$65536,3,0)</f>
        <v>中家智康</v>
      </c>
      <c r="E194" s="1">
        <v>1</v>
      </c>
      <c r="F194" s="1">
        <v>149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</row>
    <row r="195" spans="1:17" x14ac:dyDescent="0.3">
      <c r="A195" s="1" t="s">
        <v>38</v>
      </c>
      <c r="B195" s="1" t="s">
        <v>346</v>
      </c>
      <c r="C195" s="1" t="str">
        <f>VLOOKUP(B:B,[6]配额0227!$A:$B,2,0)</f>
        <v>变频外电脑板-FR-4/</v>
      </c>
      <c r="D195" s="1" t="str">
        <f>VLOOKUP(B:B,'[7]厂家配额 (新)'!$A$1:$C$65536,3,0)</f>
        <v>中家智康</v>
      </c>
      <c r="E195" s="1">
        <v>99</v>
      </c>
      <c r="F195" s="1">
        <v>0</v>
      </c>
      <c r="G195" s="1">
        <v>2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</row>
    <row r="196" spans="1:17" x14ac:dyDescent="0.3">
      <c r="A196" s="1" t="s">
        <v>38</v>
      </c>
      <c r="B196" s="1" t="s">
        <v>347</v>
      </c>
      <c r="C196" s="1" t="str">
        <f>VLOOKUP(B:B,[6]配额0227!$A:$B,2,0)</f>
        <v>变频外电脑板-FR-4</v>
      </c>
      <c r="D196" s="1" t="str">
        <f>VLOOKUP(B:B,'[7]厂家配额 (新)'!$A$1:$C$65536,3,0)</f>
        <v>中家智康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140</v>
      </c>
      <c r="P196" s="1">
        <v>0</v>
      </c>
      <c r="Q196" s="1">
        <v>0</v>
      </c>
    </row>
    <row r="197" spans="1:17" x14ac:dyDescent="0.3">
      <c r="A197" s="1" t="s">
        <v>38</v>
      </c>
      <c r="B197" s="1" t="s">
        <v>348</v>
      </c>
      <c r="C197" s="1" t="str">
        <f>VLOOKUP(B:B,[6]配额0227!$A:$B,2,0)</f>
        <v>变频外电脑板-FR-4</v>
      </c>
      <c r="D197" s="1" t="str">
        <f>VLOOKUP(B:B,'[7]厂家配额 (新)'!$A$1:$C$65536,3,0)</f>
        <v>中家智康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650</v>
      </c>
      <c r="M197" s="1">
        <v>962</v>
      </c>
      <c r="N197" s="1">
        <v>0</v>
      </c>
      <c r="O197" s="1">
        <v>0</v>
      </c>
      <c r="P197" s="1">
        <v>0</v>
      </c>
      <c r="Q197" s="1">
        <v>0</v>
      </c>
    </row>
    <row r="198" spans="1:17" x14ac:dyDescent="0.3">
      <c r="A198" s="1" t="s">
        <v>38</v>
      </c>
      <c r="B198" s="1" t="s">
        <v>349</v>
      </c>
      <c r="C198" s="1" t="str">
        <f>VLOOKUP(B:B,[6]配额0227!$A:$B,2,0)</f>
        <v>变频外电脑板-FR-4</v>
      </c>
      <c r="D198" s="1" t="str">
        <f>VLOOKUP(B:B,'[7]厂家配额 (新)'!$A$1:$C$65536,3,0)</f>
        <v>中家智康</v>
      </c>
      <c r="E198" s="1">
        <v>0</v>
      </c>
      <c r="F198" s="1">
        <v>0</v>
      </c>
      <c r="G198" s="1">
        <v>0</v>
      </c>
      <c r="H198" s="1">
        <v>40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</row>
    <row r="199" spans="1:17" x14ac:dyDescent="0.3">
      <c r="A199" s="1" t="s">
        <v>38</v>
      </c>
      <c r="B199" s="1" t="s">
        <v>350</v>
      </c>
      <c r="C199" s="1" t="str">
        <f>VLOOKUP(B:B,[6]配额0227!$A:$B,2,0)</f>
        <v>变频外电脑板-FR-4</v>
      </c>
      <c r="D199" s="1" t="str">
        <f>VLOOKUP(B:B,'[7]厂家配额 (新)'!$A$1:$C$65536,3,0)</f>
        <v>中家智康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1190</v>
      </c>
      <c r="M199" s="1">
        <v>439</v>
      </c>
      <c r="N199" s="1">
        <v>0</v>
      </c>
      <c r="O199" s="1">
        <v>855</v>
      </c>
      <c r="P199" s="1">
        <v>0</v>
      </c>
      <c r="Q199" s="1">
        <v>0</v>
      </c>
    </row>
    <row r="200" spans="1:17" x14ac:dyDescent="0.3">
      <c r="A200" s="1" t="s">
        <v>38</v>
      </c>
      <c r="B200" s="1" t="s">
        <v>351</v>
      </c>
      <c r="C200" s="1" t="str">
        <f>VLOOKUP(B:B,[6]配额0227!$A:$B,2,0)</f>
        <v>变频外电脑板-FR-4/</v>
      </c>
      <c r="D200" s="1" t="str">
        <f>VLOOKUP(B:B,'[7]厂家配额 (新)'!$A$1:$C$65536,3,0)</f>
        <v>中家智康</v>
      </c>
      <c r="E200" s="1">
        <v>250</v>
      </c>
      <c r="F200" s="1">
        <v>0</v>
      </c>
      <c r="G200" s="1">
        <v>2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</row>
    <row r="201" spans="1:17" x14ac:dyDescent="0.3">
      <c r="A201" s="1" t="s">
        <v>38</v>
      </c>
      <c r="B201" s="1" t="s">
        <v>352</v>
      </c>
      <c r="C201" s="1" t="str">
        <f>VLOOKUP(B:B,[6]配额0227!$A:$B,2,0)</f>
        <v>变频外电脑板-FR-4/</v>
      </c>
      <c r="D201" s="1" t="str">
        <f>VLOOKUP(B:B,'[7]厂家配额 (新)'!$A$1:$C$65536,3,0)</f>
        <v>中家智康</v>
      </c>
      <c r="E201" s="1">
        <v>0</v>
      </c>
      <c r="F201" s="1">
        <v>0</v>
      </c>
      <c r="G201" s="1">
        <v>0</v>
      </c>
      <c r="H201" s="1">
        <v>48</v>
      </c>
      <c r="I201" s="1">
        <v>112</v>
      </c>
      <c r="J201" s="1">
        <v>0</v>
      </c>
      <c r="K201" s="1">
        <v>0</v>
      </c>
      <c r="L201" s="1">
        <v>0</v>
      </c>
      <c r="M201" s="1">
        <v>0</v>
      </c>
      <c r="N201" s="1">
        <v>1480</v>
      </c>
      <c r="O201" s="1">
        <v>0</v>
      </c>
      <c r="P201" s="1">
        <v>0</v>
      </c>
      <c r="Q201" s="1">
        <v>0</v>
      </c>
    </row>
    <row r="202" spans="1:17" x14ac:dyDescent="0.3">
      <c r="A202" s="1" t="s">
        <v>38</v>
      </c>
      <c r="B202" s="1" t="s">
        <v>353</v>
      </c>
      <c r="C202" s="1" t="str">
        <f>VLOOKUP(B:B,[6]配额0227!$A:$B,2,0)</f>
        <v>变频外电脑板-FR-4/</v>
      </c>
      <c r="D202" s="1" t="str">
        <f>VLOOKUP(B:B,'[7]厂家配额 (新)'!$A$1:$C$65536,3,0)</f>
        <v>中家智康</v>
      </c>
      <c r="E202" s="1">
        <v>0</v>
      </c>
      <c r="F202" s="1">
        <v>0</v>
      </c>
      <c r="G202" s="1">
        <v>0</v>
      </c>
      <c r="H202" s="1">
        <v>99</v>
      </c>
      <c r="I202" s="1">
        <v>0</v>
      </c>
      <c r="J202" s="1">
        <v>0</v>
      </c>
      <c r="K202" s="1">
        <v>0</v>
      </c>
      <c r="L202" s="1">
        <v>1230</v>
      </c>
      <c r="M202" s="1">
        <v>0</v>
      </c>
      <c r="N202" s="1">
        <v>580</v>
      </c>
      <c r="O202" s="1">
        <v>0</v>
      </c>
      <c r="P202" s="1">
        <v>0</v>
      </c>
      <c r="Q202" s="1">
        <v>0</v>
      </c>
    </row>
    <row r="203" spans="1:17" x14ac:dyDescent="0.3">
      <c r="A203" s="1" t="s">
        <v>38</v>
      </c>
      <c r="B203" s="1" t="s">
        <v>354</v>
      </c>
      <c r="C203" s="1" t="str">
        <f>VLOOKUP(B:B,[6]配额0227!$A:$B,2,0)</f>
        <v>变频外电脑板-FR-4/</v>
      </c>
      <c r="D203" s="1" t="str">
        <f>VLOOKUP(B:B,'[7]厂家配额 (新)'!$A$1:$C$65536,3,0)</f>
        <v>中家智康</v>
      </c>
      <c r="E203" s="1">
        <v>1</v>
      </c>
      <c r="F203" s="1">
        <v>474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</row>
    <row r="204" spans="1:17" x14ac:dyDescent="0.3">
      <c r="A204" s="1" t="s">
        <v>38</v>
      </c>
      <c r="B204" s="1" t="s">
        <v>355</v>
      </c>
      <c r="C204" s="1" t="str">
        <f>VLOOKUP(B:B,[6]配额0227!$A:$B,2,0)</f>
        <v>变频外电脑板-FR-4/</v>
      </c>
      <c r="D204" s="1" t="str">
        <f>VLOOKUP(B:B,'[7]厂家配额 (新)'!$A$1:$C$65536,3,0)</f>
        <v>中家智康</v>
      </c>
      <c r="E204" s="1">
        <v>0</v>
      </c>
      <c r="F204" s="1">
        <v>0</v>
      </c>
      <c r="G204" s="1">
        <v>0</v>
      </c>
      <c r="H204" s="1">
        <v>0</v>
      </c>
      <c r="I204" s="1">
        <v>810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</row>
    <row r="205" spans="1:17" x14ac:dyDescent="0.3">
      <c r="A205" s="1" t="s">
        <v>38</v>
      </c>
      <c r="B205" s="1" t="s">
        <v>356</v>
      </c>
      <c r="C205" s="1" t="str">
        <f>VLOOKUP(B:B,[6]配额0227!$A:$B,2,0)</f>
        <v>变频外电脑板-FR-4/</v>
      </c>
      <c r="D205" s="1" t="str">
        <f>VLOOKUP(B:B,'[7]厂家配额 (新)'!$A$1:$C$65536,3,0)</f>
        <v>中家智康</v>
      </c>
      <c r="E205" s="1">
        <v>0</v>
      </c>
      <c r="F205" s="1">
        <v>0</v>
      </c>
      <c r="G205" s="1">
        <v>0</v>
      </c>
      <c r="H205" s="1">
        <v>805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</row>
    <row r="206" spans="1:17" x14ac:dyDescent="0.3">
      <c r="A206" s="1" t="s">
        <v>38</v>
      </c>
      <c r="B206" s="1" t="s">
        <v>357</v>
      </c>
      <c r="C206" s="1" t="str">
        <f>VLOOKUP(B:B,[6]配额0227!$A:$B,2,0)</f>
        <v>变频外电脑板</v>
      </c>
      <c r="D206" s="1" t="str">
        <f>VLOOKUP(B:B,'[7]厂家配额 (新)'!$A$1:$C$65536,3,0)</f>
        <v>康美特/尚研//</v>
      </c>
      <c r="E206" s="1">
        <v>0</v>
      </c>
      <c r="F206" s="1">
        <v>0</v>
      </c>
      <c r="G206" s="1">
        <v>0</v>
      </c>
      <c r="H206" s="1">
        <v>2</v>
      </c>
      <c r="I206" s="1">
        <v>20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</row>
    <row r="207" spans="1:17" x14ac:dyDescent="0.3">
      <c r="A207" s="1" t="s">
        <v>38</v>
      </c>
      <c r="B207" s="1" t="s">
        <v>163</v>
      </c>
      <c r="C207" s="1" t="str">
        <f>VLOOKUP(B:B,[6]配额0227!$A:$B,2,0)</f>
        <v>显示板-LED</v>
      </c>
      <c r="D207" s="1" t="str">
        <f>VLOOKUP(B:B,'[7]厂家配额 (新)'!$A$1:$C$65536,3,0)</f>
        <v>和而泰/领智</v>
      </c>
      <c r="E207" s="1">
        <v>0</v>
      </c>
      <c r="F207" s="1">
        <v>0</v>
      </c>
      <c r="G207" s="1">
        <v>656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</row>
    <row r="208" spans="1:17" x14ac:dyDescent="0.3">
      <c r="A208" s="1" t="s">
        <v>38</v>
      </c>
      <c r="B208" s="1" t="s">
        <v>358</v>
      </c>
      <c r="C208" s="1" t="str">
        <f>VLOOKUP(B:B,[6]配额0227!$A:$B,2,0)</f>
        <v>变频外电脑板-FR-4</v>
      </c>
      <c r="D208" s="1" t="str">
        <f>VLOOKUP(B:B,'[7]厂家配额 (新)'!$A$1:$C$65536,3,0)</f>
        <v>领智/航嘉//</v>
      </c>
      <c r="E208" s="1">
        <v>0</v>
      </c>
      <c r="F208" s="1">
        <v>0</v>
      </c>
      <c r="G208" s="1">
        <v>2582</v>
      </c>
      <c r="H208" s="1">
        <v>20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</row>
    <row r="209" spans="1:17" x14ac:dyDescent="0.3">
      <c r="A209" s="1" t="s">
        <v>38</v>
      </c>
      <c r="B209" s="1" t="s">
        <v>359</v>
      </c>
      <c r="C209" s="1" t="str">
        <f>VLOOKUP(B:B,[6]配额0227!$A:$B,2,0)</f>
        <v>变频外电脑板-FR-4</v>
      </c>
      <c r="D209" s="1" t="str">
        <f>VLOOKUP(B:B,'[7]厂家配额 (新)'!$A$1:$C$65536,3,0)</f>
        <v>中家智康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490</v>
      </c>
      <c r="P209" s="1">
        <v>0</v>
      </c>
      <c r="Q209" s="1">
        <v>0</v>
      </c>
    </row>
    <row r="210" spans="1:17" x14ac:dyDescent="0.3">
      <c r="A210" s="1" t="s">
        <v>38</v>
      </c>
      <c r="B210" s="1" t="s">
        <v>360</v>
      </c>
      <c r="C210" s="1" t="str">
        <f>VLOOKUP(B:B,[6]配额0227!$A:$B,2,0)</f>
        <v>室内电脑板-CEM-3</v>
      </c>
      <c r="D210" s="1" t="str">
        <f>VLOOKUP(B:B,'[7]厂家配额 (新)'!$A$1:$C$65536,3,0)</f>
        <v>领智/航嘉//</v>
      </c>
      <c r="E210" s="1">
        <v>0</v>
      </c>
      <c r="F210" s="1">
        <v>2</v>
      </c>
      <c r="G210" s="1">
        <v>2580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</row>
    <row r="211" spans="1:17" x14ac:dyDescent="0.3">
      <c r="A211" s="1" t="s">
        <v>38</v>
      </c>
      <c r="B211" s="1" t="s">
        <v>361</v>
      </c>
      <c r="C211" s="1" t="str">
        <f>VLOOKUP(B:B,[6]配额0227!$A:$B,2,0)</f>
        <v>变频外电脑板-FR-4</v>
      </c>
      <c r="D211" s="1" t="str">
        <f>VLOOKUP(B:B,'[7]厂家配额 (新)'!$A$1:$C$65536,3,0)</f>
        <v>航嘉/领智//</v>
      </c>
      <c r="E211" s="1">
        <v>4050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1350</v>
      </c>
      <c r="P211" s="1">
        <v>0</v>
      </c>
      <c r="Q211" s="1">
        <v>0</v>
      </c>
    </row>
    <row r="212" spans="1:17" x14ac:dyDescent="0.3">
      <c r="A212" s="1" t="s">
        <v>38</v>
      </c>
      <c r="B212" s="1" t="s">
        <v>362</v>
      </c>
      <c r="C212" s="1" t="str">
        <f>VLOOKUP(B:B,[6]配额0227!$A:$B,2,0)</f>
        <v>变频外电脑板-FR-4</v>
      </c>
      <c r="D212" s="1" t="str">
        <f>VLOOKUP(B:B,'[7]厂家配额 (新)'!$A$1:$C$65536,3,0)</f>
        <v>领智</v>
      </c>
      <c r="E212" s="1">
        <v>0</v>
      </c>
      <c r="F212" s="1">
        <v>0</v>
      </c>
      <c r="G212" s="1">
        <v>0</v>
      </c>
      <c r="H212" s="1">
        <v>8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</row>
    <row r="213" spans="1:17" x14ac:dyDescent="0.3">
      <c r="A213" s="1" t="s">
        <v>38</v>
      </c>
      <c r="B213" s="1" t="s">
        <v>168</v>
      </c>
      <c r="C213" s="1" t="str">
        <f>VLOOKUP(B:B,[6]配额0227!$A:$B,2,0)</f>
        <v>变频外电脑板-FR-4</v>
      </c>
      <c r="D213" s="1" t="str">
        <f>VLOOKUP(B:B,'[7]厂家配额 (新)'!$A$1:$C$65536,3,0)</f>
        <v>领智/和而泰//</v>
      </c>
      <c r="E213" s="1">
        <v>0</v>
      </c>
      <c r="F213" s="1">
        <v>0</v>
      </c>
      <c r="G213" s="1">
        <v>0</v>
      </c>
      <c r="H213" s="1">
        <v>20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</row>
    <row r="214" spans="1:17" x14ac:dyDescent="0.3">
      <c r="A214" s="1" t="s">
        <v>38</v>
      </c>
      <c r="B214" s="1" t="s">
        <v>170</v>
      </c>
      <c r="C214" s="1" t="str">
        <f>VLOOKUP(B:B,[6]配额0227!$A:$B,2,0)</f>
        <v>变频外电脑板-FR-4</v>
      </c>
      <c r="D214" s="1" t="str">
        <f>VLOOKUP(B:B,'[7]厂家配额 (新)'!$A$1:$C$65536,3,0)</f>
        <v>领智/和而泰//</v>
      </c>
      <c r="E214" s="1">
        <v>0</v>
      </c>
      <c r="F214" s="1">
        <v>0</v>
      </c>
      <c r="G214" s="1">
        <v>0</v>
      </c>
      <c r="H214" s="1">
        <v>0</v>
      </c>
      <c r="I214" s="1">
        <v>580</v>
      </c>
      <c r="J214" s="1">
        <v>0</v>
      </c>
      <c r="K214" s="1">
        <v>120</v>
      </c>
      <c r="L214" s="1">
        <v>0</v>
      </c>
      <c r="M214" s="1">
        <v>0</v>
      </c>
      <c r="N214" s="1">
        <v>0</v>
      </c>
      <c r="O214" s="1">
        <v>436</v>
      </c>
      <c r="P214" s="1">
        <v>0</v>
      </c>
      <c r="Q214" s="1">
        <v>0</v>
      </c>
    </row>
    <row r="215" spans="1:17" x14ac:dyDescent="0.3">
      <c r="A215" s="1" t="s">
        <v>38</v>
      </c>
      <c r="B215" s="1" t="s">
        <v>171</v>
      </c>
      <c r="C215" s="1" t="str">
        <f>VLOOKUP(B:B,[6]配额0227!$A:$B,2,0)</f>
        <v>室内电脑板</v>
      </c>
      <c r="D215" s="1" t="str">
        <f>VLOOKUP(B:B,'[7]厂家配额 (新)'!$A$1:$C$65536,3,0)</f>
        <v>和而泰/领智</v>
      </c>
      <c r="E215" s="1">
        <v>0</v>
      </c>
      <c r="F215" s="1">
        <v>0</v>
      </c>
      <c r="G215" s="1">
        <v>22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</row>
    <row r="216" spans="1:17" x14ac:dyDescent="0.3">
      <c r="A216" s="1" t="s">
        <v>38</v>
      </c>
      <c r="B216" s="1" t="s">
        <v>173</v>
      </c>
      <c r="C216" s="1" t="str">
        <f>VLOOKUP(B:B,[6]配额0227!$A:$B,2,0)</f>
        <v>室内电脑板-FR-4</v>
      </c>
      <c r="D216" s="1" t="str">
        <f>VLOOKUP(B:B,'[7]厂家配额 (新)'!$A$1:$C$65536,3,0)</f>
        <v>和而泰/领智//</v>
      </c>
      <c r="E216" s="1">
        <v>0</v>
      </c>
      <c r="F216" s="1">
        <v>0</v>
      </c>
      <c r="G216" s="1">
        <v>64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</row>
    <row r="217" spans="1:17" x14ac:dyDescent="0.3">
      <c r="A217" s="1" t="s">
        <v>38</v>
      </c>
      <c r="B217" s="1" t="s">
        <v>175</v>
      </c>
      <c r="C217" s="1" t="str">
        <f>VLOOKUP(B:B,[6]配额0227!$A:$B,2,0)</f>
        <v>室内电脑板-FR-4</v>
      </c>
      <c r="D217" s="1" t="str">
        <f>VLOOKUP(B:B,'[7]厂家配额 (新)'!$A$1:$C$65536,3,0)</f>
        <v>和而泰/领智//</v>
      </c>
      <c r="E217" s="1">
        <v>0</v>
      </c>
      <c r="F217" s="1">
        <v>0</v>
      </c>
      <c r="G217" s="1">
        <v>592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</row>
    <row r="218" spans="1:17" x14ac:dyDescent="0.3">
      <c r="A218" s="1" t="s">
        <v>38</v>
      </c>
      <c r="B218" s="1" t="s">
        <v>363</v>
      </c>
      <c r="C218" s="1" t="str">
        <f>VLOOKUP(B:B,[6]配额0227!$A:$B,2,0)</f>
        <v>变频外电脑板-FR-4/</v>
      </c>
      <c r="D218" s="1" t="str">
        <f>VLOOKUP(B:B,'[7]厂家配额 (新)'!$A$1:$C$65536,3,0)</f>
        <v>中家智康</v>
      </c>
      <c r="E218" s="1">
        <v>0</v>
      </c>
      <c r="F218" s="1">
        <v>0</v>
      </c>
      <c r="G218" s="1">
        <v>2</v>
      </c>
      <c r="H218" s="1">
        <v>5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</row>
    <row r="219" spans="1:17" x14ac:dyDescent="0.3">
      <c r="A219" s="1" t="s">
        <v>38</v>
      </c>
      <c r="B219" s="1" t="s">
        <v>364</v>
      </c>
      <c r="C219" s="1" t="str">
        <f>VLOOKUP(B:B,[6]配额0227!$A:$B,2,0)</f>
        <v>变频外电脑板-FR-4/</v>
      </c>
      <c r="D219" s="1" t="str">
        <f>VLOOKUP(B:B,'[7]厂家配额 (新)'!$A$1:$C$65536,3,0)</f>
        <v>中家智康</v>
      </c>
      <c r="E219" s="1">
        <v>1</v>
      </c>
      <c r="F219" s="1">
        <v>214</v>
      </c>
      <c r="G219" s="1">
        <v>0</v>
      </c>
      <c r="H219" s="1">
        <v>67</v>
      </c>
      <c r="I219" s="1">
        <v>0</v>
      </c>
      <c r="J219" s="1">
        <v>615</v>
      </c>
      <c r="K219" s="1">
        <v>0</v>
      </c>
      <c r="L219" s="1">
        <v>0</v>
      </c>
      <c r="M219" s="1">
        <v>4085</v>
      </c>
      <c r="N219" s="1">
        <v>1720</v>
      </c>
      <c r="O219" s="1">
        <v>0</v>
      </c>
      <c r="P219" s="1">
        <v>0</v>
      </c>
      <c r="Q219" s="1">
        <v>0</v>
      </c>
    </row>
    <row r="220" spans="1:17" x14ac:dyDescent="0.3">
      <c r="A220" s="1" t="s">
        <v>38</v>
      </c>
      <c r="B220" s="1" t="s">
        <v>365</v>
      </c>
      <c r="C220" s="1" t="str">
        <f>VLOOKUP(B:B,[6]配额0227!$A:$B,2,0)</f>
        <v>变频外电脑板-FR-4240mm*180mm</v>
      </c>
      <c r="D220" s="1" t="str">
        <f>VLOOKUP(B:B,'[7]厂家配额 (新)'!$A$1:$C$65536,3,0)</f>
        <v>中家智康</v>
      </c>
      <c r="E220" s="1">
        <v>0</v>
      </c>
      <c r="F220" s="1">
        <v>0</v>
      </c>
      <c r="G220" s="1">
        <v>0</v>
      </c>
      <c r="H220" s="1">
        <v>10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</row>
    <row r="221" spans="1:17" x14ac:dyDescent="0.3">
      <c r="A221" s="1" t="s">
        <v>38</v>
      </c>
      <c r="B221" s="1" t="s">
        <v>366</v>
      </c>
      <c r="C221" s="1" t="str">
        <f>VLOOKUP(B:B,[6]配额0227!$A:$B,2,0)</f>
        <v>变频外电脑板</v>
      </c>
      <c r="D221" s="1" t="str">
        <f>VLOOKUP(B:B,'[7]厂家配额 (新)'!$A$1:$C$65536,3,0)</f>
        <v>中家智康</v>
      </c>
      <c r="E221" s="1">
        <v>0</v>
      </c>
      <c r="F221" s="1">
        <v>0</v>
      </c>
      <c r="G221" s="1">
        <v>0</v>
      </c>
      <c r="H221" s="1">
        <v>25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</row>
    <row r="222" spans="1:17" x14ac:dyDescent="0.3">
      <c r="A222" s="1" t="s">
        <v>38</v>
      </c>
      <c r="B222" s="1" t="s">
        <v>367</v>
      </c>
      <c r="C222" s="1" t="str">
        <f>VLOOKUP(B:B,[6]配额0227!$A:$B,2,0)</f>
        <v>变频外电脑板-FR-4</v>
      </c>
      <c r="D222" s="1" t="str">
        <f>VLOOKUP(B:B,'[7]厂家配额 (新)'!$A$1:$C$65536,3,0)</f>
        <v>中家智康</v>
      </c>
      <c r="E222" s="1">
        <v>0</v>
      </c>
      <c r="F222" s="1">
        <v>0</v>
      </c>
      <c r="G222" s="1">
        <v>0</v>
      </c>
      <c r="H222" s="1">
        <v>0</v>
      </c>
      <c r="I222" s="1">
        <v>500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</row>
    <row r="223" spans="1:17" x14ac:dyDescent="0.3">
      <c r="A223" s="1" t="s">
        <v>38</v>
      </c>
      <c r="B223" s="1" t="s">
        <v>368</v>
      </c>
      <c r="C223" s="1" t="str">
        <f>VLOOKUP(B:B,[6]配额0227!$A:$B,2,0)</f>
        <v>变频外电脑板-FR-4</v>
      </c>
      <c r="D223" s="1" t="str">
        <f>VLOOKUP(B:B,'[7]厂家配额 (新)'!$A$1:$C$65536,3,0)</f>
        <v>中家智康</v>
      </c>
      <c r="E223" s="1">
        <v>0</v>
      </c>
      <c r="F223" s="1">
        <v>0</v>
      </c>
      <c r="G223" s="1">
        <v>0</v>
      </c>
      <c r="H223" s="1">
        <v>0</v>
      </c>
      <c r="I223" s="1">
        <v>1400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</row>
    <row r="224" spans="1:17" x14ac:dyDescent="0.3">
      <c r="A224" s="1" t="s">
        <v>38</v>
      </c>
      <c r="B224" s="1" t="s">
        <v>369</v>
      </c>
      <c r="C224" s="1" t="str">
        <f>VLOOKUP(B:B,[6]配额0227!$A:$B,2,0)</f>
        <v>变频外电脑板-FR-4</v>
      </c>
      <c r="D224" s="1" t="str">
        <f>VLOOKUP(B:B,'[7]厂家配额 (新)'!$A$1:$C$65536,3,0)</f>
        <v>中家智康</v>
      </c>
      <c r="E224" s="1">
        <v>0</v>
      </c>
      <c r="F224" s="1">
        <v>0</v>
      </c>
      <c r="G224" s="1">
        <v>0</v>
      </c>
      <c r="H224" s="1">
        <v>3</v>
      </c>
      <c r="I224" s="1">
        <v>360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</row>
    <row r="225" spans="1:17" x14ac:dyDescent="0.3">
      <c r="A225" s="1" t="s">
        <v>38</v>
      </c>
      <c r="B225" s="1" t="s">
        <v>370</v>
      </c>
      <c r="C225" s="1" t="str">
        <f>VLOOKUP(B:B,[6]配额0227!$A:$B,2,0)</f>
        <v>变频外电脑板-FR-4</v>
      </c>
      <c r="D225" s="1" t="str">
        <f>VLOOKUP(B:B,'[7]厂家配额 (新)'!$A$1:$C$65536,3,0)</f>
        <v>中家智康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752</v>
      </c>
      <c r="P225" s="1">
        <v>0</v>
      </c>
      <c r="Q225" s="1">
        <v>0</v>
      </c>
    </row>
    <row r="226" spans="1:17" x14ac:dyDescent="0.3">
      <c r="A226" s="1" t="s">
        <v>38</v>
      </c>
      <c r="B226" s="1" t="s">
        <v>371</v>
      </c>
      <c r="C226" s="1" t="str">
        <f>VLOOKUP(B:B,[6]配额0227!$A:$B,2,0)</f>
        <v>变频外电脑板-FR-4</v>
      </c>
      <c r="D226" s="1" t="str">
        <f>VLOOKUP(B:B,'[7]厂家配额 (新)'!$A$1:$C$65536,3,0)</f>
        <v>中家智康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3510</v>
      </c>
      <c r="P226" s="1">
        <v>0</v>
      </c>
      <c r="Q226" s="1">
        <v>0</v>
      </c>
    </row>
    <row r="227" spans="1:17" x14ac:dyDescent="0.3">
      <c r="A227" s="1" t="s">
        <v>38</v>
      </c>
      <c r="B227" s="1" t="s">
        <v>372</v>
      </c>
      <c r="C227" s="1" t="str">
        <f>VLOOKUP(B:B,[6]配额0227!$A:$B,2,0)</f>
        <v>变频外电脑板-FR-4</v>
      </c>
      <c r="D227" s="1" t="str">
        <f>VLOOKUP(B:B,'[7]厂家配额 (新)'!$A$1:$C$65536,3,0)</f>
        <v>中家智康</v>
      </c>
      <c r="E227" s="1">
        <v>0</v>
      </c>
      <c r="F227" s="1">
        <v>20</v>
      </c>
      <c r="G227" s="1">
        <v>0</v>
      </c>
      <c r="H227" s="1">
        <v>57</v>
      </c>
      <c r="I227" s="1">
        <v>1</v>
      </c>
      <c r="J227" s="1">
        <v>0</v>
      </c>
      <c r="K227" s="1">
        <v>59</v>
      </c>
      <c r="L227" s="1">
        <v>0</v>
      </c>
      <c r="M227" s="1">
        <v>0</v>
      </c>
      <c r="N227" s="1">
        <v>16</v>
      </c>
      <c r="O227" s="1">
        <v>0</v>
      </c>
      <c r="P227" s="1">
        <v>0</v>
      </c>
      <c r="Q227" s="1">
        <v>0</v>
      </c>
    </row>
    <row r="228" spans="1:17" x14ac:dyDescent="0.3">
      <c r="A228" s="1" t="s">
        <v>38</v>
      </c>
      <c r="B228" s="1" t="s">
        <v>373</v>
      </c>
      <c r="C228" s="1" t="str">
        <f>VLOOKUP(B:B,[6]配额0227!$A:$B,2,0)</f>
        <v>变频外电脑板-FR-4</v>
      </c>
      <c r="D228" s="1" t="str">
        <f>VLOOKUP(B:B,'[7]厂家配额 (新)'!$A$1:$C$65536,3,0)</f>
        <v>中家智康</v>
      </c>
      <c r="E228" s="1">
        <v>0</v>
      </c>
      <c r="F228" s="1">
        <v>0</v>
      </c>
      <c r="G228" s="1">
        <v>2</v>
      </c>
      <c r="H228" s="1">
        <v>2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</row>
    <row r="229" spans="1:17" x14ac:dyDescent="0.3">
      <c r="A229" s="1" t="s">
        <v>38</v>
      </c>
      <c r="B229" s="1" t="s">
        <v>177</v>
      </c>
      <c r="C229" s="1" t="str">
        <f>VLOOKUP(B:B,[6]配额0227!$A:$B,2,0)</f>
        <v>室内电脑板-CEM-1</v>
      </c>
      <c r="D229" s="1" t="str">
        <f>VLOOKUP(B:B,'[7]厂家配额 (新)'!$A$1:$C$65536,3,0)</f>
        <v>和而泰/领智//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50</v>
      </c>
      <c r="M229" s="1">
        <v>0</v>
      </c>
      <c r="N229" s="1">
        <v>0</v>
      </c>
      <c r="O229" s="1">
        <v>140</v>
      </c>
      <c r="P229" s="1">
        <v>0</v>
      </c>
      <c r="Q229" s="1">
        <v>0</v>
      </c>
    </row>
    <row r="230" spans="1:17" x14ac:dyDescent="0.3">
      <c r="A230" s="1" t="s">
        <v>38</v>
      </c>
      <c r="B230" s="1" t="s">
        <v>374</v>
      </c>
      <c r="C230" s="1" t="str">
        <f>VLOOKUP(B:B,[6]配额0227!$A:$B,2,0)</f>
        <v>室内电脑板</v>
      </c>
      <c r="D230" s="1" t="str">
        <f>VLOOKUP(B:B,'[7]厂家配额 (新)'!$A$1:$C$65536,3,0)</f>
        <v>麦格米特/领智//</v>
      </c>
      <c r="E230" s="1">
        <v>70</v>
      </c>
      <c r="F230" s="1">
        <v>0</v>
      </c>
      <c r="G230" s="1">
        <v>370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</row>
    <row r="231" spans="1:17" x14ac:dyDescent="0.3">
      <c r="A231" s="1" t="s">
        <v>38</v>
      </c>
      <c r="B231" s="1" t="s">
        <v>182</v>
      </c>
      <c r="C231" s="1" t="str">
        <f>VLOOKUP(B:B,[6]配额0227!$A:$B,2,0)</f>
        <v>室内电脑板-CEM-1</v>
      </c>
      <c r="D231" s="1" t="str">
        <f>VLOOKUP(B:B,'[7]厂家配额 (新)'!$A$1:$C$65536,3,0)</f>
        <v>麦格米特/和而泰//</v>
      </c>
      <c r="E231" s="1">
        <v>0</v>
      </c>
      <c r="F231" s="1">
        <v>0</v>
      </c>
      <c r="G231" s="1">
        <v>1200</v>
      </c>
      <c r="H231" s="1">
        <v>0</v>
      </c>
      <c r="I231" s="1">
        <v>0</v>
      </c>
      <c r="J231" s="1">
        <v>40</v>
      </c>
      <c r="K231" s="1">
        <v>150</v>
      </c>
      <c r="L231" s="1">
        <v>315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</row>
    <row r="232" spans="1:17" x14ac:dyDescent="0.3">
      <c r="A232" s="1" t="s">
        <v>38</v>
      </c>
      <c r="B232" s="1" t="s">
        <v>375</v>
      </c>
      <c r="C232" s="1" t="str">
        <f>VLOOKUP(B:B,[6]配额0227!$A:$B,2,0)</f>
        <v>室内电脑板-CEM-1</v>
      </c>
      <c r="D232" s="1" t="str">
        <f>VLOOKUP(B:B,'[7]厂家配额 (新)'!$A$1:$C$65536,3,0)</f>
        <v>麦格米特/领智//</v>
      </c>
      <c r="E232" s="1">
        <v>1302</v>
      </c>
      <c r="F232" s="1">
        <v>598</v>
      </c>
      <c r="G232" s="1">
        <v>2173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</row>
    <row r="233" spans="1:17" x14ac:dyDescent="0.3">
      <c r="A233" s="1" t="s">
        <v>38</v>
      </c>
      <c r="B233" s="1" t="s">
        <v>376</v>
      </c>
      <c r="C233" s="1" t="str">
        <f>VLOOKUP(B:B,[6]配额0227!$A:$B,2,0)</f>
        <v>室内电脑板-CEM-1</v>
      </c>
      <c r="D233" s="1" t="str">
        <f>VLOOKUP(B:B,'[7]厂家配额 (新)'!$A$1:$C$65536,3,0)</f>
        <v>麦格米特/领智//</v>
      </c>
      <c r="E233" s="1">
        <v>4050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1350</v>
      </c>
      <c r="P233" s="1">
        <v>0</v>
      </c>
      <c r="Q233" s="1">
        <v>0</v>
      </c>
    </row>
    <row r="234" spans="1:17" x14ac:dyDescent="0.3">
      <c r="A234" s="1" t="s">
        <v>38</v>
      </c>
      <c r="B234" s="1" t="s">
        <v>377</v>
      </c>
      <c r="C234" s="1" t="str">
        <f>VLOOKUP(B:B,[6]配额0227!$A:$B,2,0)</f>
        <v>显示板-LED</v>
      </c>
      <c r="D234" s="1" t="str">
        <f>VLOOKUP(B:B,'[7]厂家配额 (新)'!$A$1:$C$65536,3,0)</f>
        <v>领智</v>
      </c>
      <c r="E234" s="1">
        <v>198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190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</row>
    <row r="235" spans="1:17" x14ac:dyDescent="0.3">
      <c r="A235" s="1" t="s">
        <v>38</v>
      </c>
      <c r="B235" s="1" t="s">
        <v>378</v>
      </c>
      <c r="C235" s="1" t="str">
        <f>VLOOKUP(B:B,[6]配额0227!$A:$B,2,0)</f>
        <v>室内电脑板-CEM-1</v>
      </c>
      <c r="D235" s="1" t="str">
        <f>VLOOKUP(B:B,'[7]厂家配额 (新)'!$A$1:$C$65536,3,0)</f>
        <v>领智/康美特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285</v>
      </c>
      <c r="N235" s="1">
        <v>0</v>
      </c>
      <c r="O235" s="1">
        <v>0</v>
      </c>
      <c r="P235" s="1">
        <v>0</v>
      </c>
      <c r="Q235" s="1">
        <v>0</v>
      </c>
    </row>
    <row r="236" spans="1:17" x14ac:dyDescent="0.3">
      <c r="A236" s="1" t="s">
        <v>38</v>
      </c>
      <c r="B236" s="1" t="s">
        <v>187</v>
      </c>
      <c r="C236" s="1" t="str">
        <f>VLOOKUP(B:B,[6]配额0227!$A:$B,2,0)</f>
        <v>室内电脑板-165mm*136mm</v>
      </c>
      <c r="D236" s="1" t="str">
        <f>VLOOKUP(B:B,'[7]厂家配额 (新)'!$A$1:$C$65536,3,0)</f>
        <v>领智/和而泰//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1170</v>
      </c>
      <c r="P236" s="1">
        <v>0</v>
      </c>
      <c r="Q236" s="1">
        <v>0</v>
      </c>
    </row>
    <row r="237" spans="1:17" x14ac:dyDescent="0.3">
      <c r="A237" s="1" t="s">
        <v>38</v>
      </c>
      <c r="B237" s="1" t="s">
        <v>379</v>
      </c>
      <c r="C237" s="1" t="str">
        <f>VLOOKUP(B:B,[6]配额0227!$A:$B,2,0)</f>
        <v>变频外电脑板-FR-4</v>
      </c>
      <c r="D237" s="1" t="str">
        <f>VLOOKUP(B:B,'[7]厂家配额 (新)'!$A$1:$C$65536,3,0)</f>
        <v>麦格米特</v>
      </c>
      <c r="E237" s="1">
        <v>0</v>
      </c>
      <c r="F237" s="1">
        <v>0</v>
      </c>
      <c r="G237" s="1">
        <v>0</v>
      </c>
      <c r="H237" s="1">
        <v>45</v>
      </c>
      <c r="I237" s="1">
        <v>320</v>
      </c>
      <c r="J237" s="1">
        <v>0</v>
      </c>
      <c r="K237" s="1">
        <v>1020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</row>
    <row r="238" spans="1:17" x14ac:dyDescent="0.3">
      <c r="A238" s="1" t="s">
        <v>38</v>
      </c>
      <c r="B238" s="1" t="s">
        <v>380</v>
      </c>
      <c r="C238" s="1" t="str">
        <f>VLOOKUP(B:B,[6]配额0227!$A:$B,2,0)</f>
        <v>变频外电脑板-FR-4</v>
      </c>
      <c r="D238" s="1" t="str">
        <f>VLOOKUP(B:B,'[7]厂家配额 (新)'!$A$1:$C$65536,3,0)</f>
        <v>麦格米特</v>
      </c>
      <c r="E238" s="1">
        <v>0</v>
      </c>
      <c r="F238" s="1">
        <v>0</v>
      </c>
      <c r="G238" s="1">
        <v>0</v>
      </c>
      <c r="H238" s="1">
        <v>20</v>
      </c>
      <c r="I238" s="1">
        <v>0</v>
      </c>
      <c r="J238" s="1">
        <v>0</v>
      </c>
      <c r="K238" s="1">
        <v>690</v>
      </c>
      <c r="L238" s="1">
        <v>3450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</row>
    <row r="239" spans="1:17" x14ac:dyDescent="0.3">
      <c r="A239" s="1" t="s">
        <v>38</v>
      </c>
      <c r="B239" s="1" t="s">
        <v>381</v>
      </c>
      <c r="C239" s="1" t="str">
        <f>VLOOKUP(B:B,[6]配额0227!$A:$B,2,0)</f>
        <v>变频外电脑板-FR-4</v>
      </c>
      <c r="D239" s="1" t="str">
        <f>VLOOKUP(B:B,'[7]厂家配额 (新)'!$A$1:$C$65536,3,0)</f>
        <v>麦格米特</v>
      </c>
      <c r="E239" s="1">
        <v>0</v>
      </c>
      <c r="F239" s="1">
        <v>0</v>
      </c>
      <c r="G239" s="1">
        <v>1200</v>
      </c>
      <c r="H239" s="1">
        <v>76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</row>
    <row r="240" spans="1:17" x14ac:dyDescent="0.3">
      <c r="A240" s="1" t="s">
        <v>38</v>
      </c>
      <c r="B240" s="1" t="s">
        <v>194</v>
      </c>
      <c r="C240" s="1" t="str">
        <f>VLOOKUP(B:B,[6]配额0227!$A:$B,2,0)</f>
        <v>室内电脑板-CEM-1</v>
      </c>
      <c r="D240" s="1" t="str">
        <f>VLOOKUP(B:B,'[7]厂家配额 (新)'!$A$1:$C$65536,3,0)</f>
        <v>和而泰/康美特//</v>
      </c>
      <c r="E240" s="1">
        <v>0</v>
      </c>
      <c r="F240" s="1">
        <v>0</v>
      </c>
      <c r="G240" s="1">
        <v>320</v>
      </c>
      <c r="H240" s="1">
        <v>0</v>
      </c>
      <c r="I240" s="1">
        <v>0</v>
      </c>
      <c r="J240" s="1">
        <v>0</v>
      </c>
      <c r="K240" s="1">
        <v>810</v>
      </c>
      <c r="L240" s="1">
        <v>210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</row>
    <row r="241" spans="1:17" x14ac:dyDescent="0.3">
      <c r="A241" s="1" t="s">
        <v>38</v>
      </c>
      <c r="B241" s="1" t="s">
        <v>382</v>
      </c>
      <c r="C241" s="1" t="str">
        <f>VLOOKUP(B:B,[6]配额0227!$A:$B,2,0)</f>
        <v>室内电脑板-CEM-1</v>
      </c>
      <c r="D241" s="1" t="str">
        <f>VLOOKUP(B:B,'[7]厂家配额 (新)'!$A$1:$C$65536,3,0)</f>
        <v>麦格米特/领智//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335</v>
      </c>
      <c r="K241" s="1">
        <v>0</v>
      </c>
      <c r="L241" s="1">
        <v>2290</v>
      </c>
      <c r="M241" s="1">
        <v>5039</v>
      </c>
      <c r="N241" s="1">
        <v>5880</v>
      </c>
      <c r="O241" s="1">
        <v>6261</v>
      </c>
      <c r="P241" s="1">
        <v>0</v>
      </c>
      <c r="Q241" s="1">
        <v>0</v>
      </c>
    </row>
    <row r="242" spans="1:17" x14ac:dyDescent="0.3">
      <c r="A242" s="1" t="s">
        <v>38</v>
      </c>
      <c r="B242" s="1" t="s">
        <v>383</v>
      </c>
      <c r="C242" s="1" t="str">
        <f>VLOOKUP(B:B,[6]配额0227!$A:$B,2,0)</f>
        <v>端子排-/</v>
      </c>
      <c r="D242" s="1" t="str">
        <f>VLOOKUP(B:B,'[7]厂家配额 (新)'!$A$1:$C$65536,3,0)</f>
        <v>凯都/华冠//</v>
      </c>
      <c r="E242" s="1">
        <v>0</v>
      </c>
      <c r="F242" s="1">
        <v>1200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</row>
    <row r="243" spans="1:17" x14ac:dyDescent="0.3">
      <c r="A243" s="1" t="s">
        <v>38</v>
      </c>
      <c r="B243" s="1" t="s">
        <v>384</v>
      </c>
      <c r="C243" s="1" t="str">
        <f>VLOOKUP(B:B,[6]配额0227!$A:$B,2,0)</f>
        <v>ROHS-端子排(JXW-7-H 600V 30A 4MM2)-N/A</v>
      </c>
      <c r="D243" s="1" t="str">
        <f>VLOOKUP(B:B,'[7]厂家配额 (新)'!$A$1:$C$65536,3,0)</f>
        <v>华冠</v>
      </c>
      <c r="E243" s="1">
        <v>0</v>
      </c>
      <c r="F243" s="1">
        <v>1200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</row>
    <row r="244" spans="1:17" x14ac:dyDescent="0.3">
      <c r="A244" s="1" t="s">
        <v>38</v>
      </c>
      <c r="B244" s="1" t="s">
        <v>385</v>
      </c>
      <c r="C244" s="1" t="str">
        <f>VLOOKUP(B:B,[6]配额0227!$A:$B,2,0)</f>
        <v>磁敏开关-N/A</v>
      </c>
      <c r="D244" s="1" t="str">
        <f>VLOOKUP(B:B,'[7]厂家配额 (新)'!$A$1:$C$65536,3,0)</f>
        <v>部品</v>
      </c>
      <c r="E244" s="1">
        <v>5317</v>
      </c>
      <c r="F244" s="1">
        <v>4</v>
      </c>
      <c r="G244" s="1">
        <v>0</v>
      </c>
      <c r="H244" s="1">
        <v>2214</v>
      </c>
      <c r="I244" s="1">
        <v>610</v>
      </c>
      <c r="J244" s="1">
        <v>0</v>
      </c>
      <c r="K244" s="1">
        <v>1488</v>
      </c>
      <c r="L244" s="1">
        <v>671</v>
      </c>
      <c r="M244" s="1">
        <v>500</v>
      </c>
      <c r="N244" s="1">
        <v>0</v>
      </c>
      <c r="O244" s="1">
        <v>7665</v>
      </c>
      <c r="P244" s="1">
        <v>0</v>
      </c>
      <c r="Q244" s="1">
        <v>0</v>
      </c>
    </row>
    <row r="245" spans="1:17" x14ac:dyDescent="0.3">
      <c r="A245" s="1" t="s">
        <v>386</v>
      </c>
      <c r="B245" s="1" t="s">
        <v>198</v>
      </c>
      <c r="C245" s="1" t="str">
        <f>VLOOKUP(B:B,[6]配额0227!$A:$B,2,0)</f>
        <v>2.93塑料/</v>
      </c>
      <c r="D245" s="1" t="str">
        <f>VLOOKUP(B:B,'[7]厂家配额 (新)'!$A$1:$C$65536,3,0)</f>
        <v>凯都</v>
      </c>
      <c r="E245" s="1">
        <v>3150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265</v>
      </c>
      <c r="L245" s="1">
        <v>0</v>
      </c>
      <c r="M245" s="1">
        <v>0</v>
      </c>
      <c r="N245" s="1">
        <v>600</v>
      </c>
      <c r="O245" s="1">
        <v>0</v>
      </c>
      <c r="P245" s="1">
        <v>0</v>
      </c>
      <c r="Q245" s="1">
        <v>0</v>
      </c>
    </row>
    <row r="246" spans="1:17" x14ac:dyDescent="0.3">
      <c r="A246" s="1" t="s">
        <v>386</v>
      </c>
      <c r="B246" s="1" t="s">
        <v>214</v>
      </c>
      <c r="C246" s="1" t="str">
        <f>VLOOKUP(B:B,[6]配额0227!$A:$B,2,0)</f>
        <v>ROHS-室内端子排(JXW-5-B 600V 30A 4MM2)-/---</v>
      </c>
      <c r="D246" s="1" t="str">
        <f>VLOOKUP(B:B,'[7]厂家配额 (新)'!$A$1:$C$65536,3,0)</f>
        <v>凯都/华冠//</v>
      </c>
      <c r="E246" s="1">
        <v>0</v>
      </c>
      <c r="F246" s="1">
        <v>0</v>
      </c>
      <c r="G246" s="1">
        <v>1150</v>
      </c>
      <c r="H246" s="1">
        <v>600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</row>
    <row r="247" spans="1:17" x14ac:dyDescent="0.3">
      <c r="A247" s="1" t="s">
        <v>386</v>
      </c>
      <c r="B247" s="1" t="s">
        <v>215</v>
      </c>
      <c r="C247" s="1" t="str">
        <f>VLOOKUP(B:B,[6]配额0227!$A:$B,2,0)</f>
        <v>端子排-//</v>
      </c>
      <c r="D247" s="1" t="str">
        <f>VLOOKUP(B:B,'[7]厂家配额 (新)'!$A$1:$C$65536,3,0)</f>
        <v>源峰</v>
      </c>
      <c r="E247" s="1">
        <v>0</v>
      </c>
      <c r="F247" s="1">
        <v>0</v>
      </c>
      <c r="G247" s="1">
        <v>1250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</row>
    <row r="248" spans="1:17" x14ac:dyDescent="0.3">
      <c r="A248" s="1" t="s">
        <v>386</v>
      </c>
      <c r="B248" s="1" t="s">
        <v>217</v>
      </c>
      <c r="C248" s="1" t="str">
        <f>VLOOKUP(B:B,[6]配额0227!$A:$B,2,0)</f>
        <v>端子排-/</v>
      </c>
      <c r="D248" s="1" t="str">
        <f>VLOOKUP(B:B,'[7]厂家配额 (新)'!$A$1:$C$65536,3,0)</f>
        <v>凯都/源峰/华冠/</v>
      </c>
      <c r="E248" s="1">
        <v>0</v>
      </c>
      <c r="F248" s="1">
        <v>0</v>
      </c>
      <c r="G248" s="1">
        <v>0</v>
      </c>
      <c r="H248" s="1">
        <v>4000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4000</v>
      </c>
      <c r="Q248" s="1">
        <v>0</v>
      </c>
    </row>
    <row r="249" spans="1:17" x14ac:dyDescent="0.3">
      <c r="A249" s="1" t="s">
        <v>386</v>
      </c>
      <c r="B249" s="1" t="s">
        <v>218</v>
      </c>
      <c r="C249" s="1" t="str">
        <f>VLOOKUP(B:B,[6]配额0227!$A:$B,2,0)</f>
        <v>端子排-/---</v>
      </c>
      <c r="D249" s="1" t="str">
        <f>VLOOKUP(B:B,'[7]厂家配额 (新)'!$A$1:$C$65536,3,0)</f>
        <v>凯都/源峰/华冠/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5200</v>
      </c>
      <c r="K249" s="1">
        <v>0</v>
      </c>
      <c r="L249" s="1">
        <v>10000</v>
      </c>
      <c r="M249" s="1">
        <v>17440</v>
      </c>
      <c r="N249" s="1">
        <v>0</v>
      </c>
      <c r="O249" s="1">
        <v>0</v>
      </c>
      <c r="P249" s="1">
        <v>0</v>
      </c>
      <c r="Q249" s="1">
        <v>0</v>
      </c>
    </row>
    <row r="250" spans="1:17" x14ac:dyDescent="0.3">
      <c r="A250" s="1" t="s">
        <v>386</v>
      </c>
      <c r="B250" s="1" t="s">
        <v>219</v>
      </c>
      <c r="C250" s="1" t="str">
        <f>VLOOKUP(B:B,[6]配额0227!$A:$B,2,0)</f>
        <v>端子排</v>
      </c>
      <c r="D250" s="1" t="str">
        <f>VLOOKUP(B:B,'[7]厂家配额 (新)'!$A$1:$C$65536,3,0)</f>
        <v>源峰/华冠//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920</v>
      </c>
      <c r="L250" s="1">
        <v>0</v>
      </c>
      <c r="M250" s="1">
        <v>0</v>
      </c>
      <c r="N250" s="1">
        <v>2060</v>
      </c>
      <c r="O250" s="1">
        <v>0</v>
      </c>
      <c r="P250" s="1">
        <v>0</v>
      </c>
      <c r="Q250" s="1">
        <v>0</v>
      </c>
    </row>
    <row r="251" spans="1:17" x14ac:dyDescent="0.3">
      <c r="A251" s="1" t="s">
        <v>386</v>
      </c>
      <c r="B251" s="1" t="s">
        <v>221</v>
      </c>
      <c r="C251" s="1" t="str">
        <f>VLOOKUP(B:B,[6]配额0227!$A:$B,2,0)</f>
        <v>ROHS-室外端子排(JXW-4 600V 30A 4MM2)-/</v>
      </c>
      <c r="D251" s="1" t="str">
        <f>VLOOKUP(B:B,'[7]厂家配额 (新)'!$A$1:$C$65536,3,0)</f>
        <v>凯都</v>
      </c>
      <c r="E251" s="1">
        <v>0</v>
      </c>
      <c r="F251" s="1">
        <v>0</v>
      </c>
      <c r="G251" s="1">
        <v>1150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</row>
    <row r="252" spans="1:17" x14ac:dyDescent="0.3">
      <c r="A252" s="1" t="s">
        <v>386</v>
      </c>
      <c r="B252" s="1" t="s">
        <v>223</v>
      </c>
      <c r="C252" s="1" t="str">
        <f>VLOOKUP(B:B,[6]配额0227!$A:$B,2,0)</f>
        <v>端子排-/</v>
      </c>
      <c r="D252" s="1" t="str">
        <f>VLOOKUP(B:B,'[7]厂家配额 (新)'!$A$1:$C$65536,3,0)</f>
        <v>凯都/华冠//</v>
      </c>
      <c r="E252" s="1">
        <v>0</v>
      </c>
      <c r="F252" s="1">
        <v>0</v>
      </c>
      <c r="G252" s="1">
        <v>1250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</row>
    <row r="253" spans="1:17" x14ac:dyDescent="0.3">
      <c r="A253" s="1" t="s">
        <v>386</v>
      </c>
      <c r="B253" s="1" t="s">
        <v>227</v>
      </c>
      <c r="C253" s="1" t="str">
        <f>VLOOKUP(B:B,[6]配额0227!$A:$B,2,0)</f>
        <v>端子排-N/A</v>
      </c>
      <c r="D253" s="1" t="str">
        <f>VLOOKUP(B:B,'[7]厂家配额 (新)'!$A$1:$C$65536,3,0)</f>
        <v>凯都/源峰/华冠//</v>
      </c>
      <c r="E253" s="1">
        <v>3150</v>
      </c>
      <c r="F253" s="1">
        <v>0</v>
      </c>
      <c r="G253" s="1">
        <v>0</v>
      </c>
      <c r="H253" s="1">
        <v>4000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8704.85</v>
      </c>
      <c r="O253" s="1">
        <v>4029.9</v>
      </c>
      <c r="P253" s="1">
        <v>4490</v>
      </c>
      <c r="Q253" s="1">
        <v>0</v>
      </c>
    </row>
    <row r="254" spans="1:17" x14ac:dyDescent="0.3">
      <c r="A254" s="1" t="s">
        <v>386</v>
      </c>
      <c r="B254" s="1" t="s">
        <v>228</v>
      </c>
      <c r="C254" s="1" t="str">
        <f>VLOOKUP(B:B,[6]配额0227!$A:$B,2,0)</f>
        <v>端子排-//</v>
      </c>
      <c r="D254" s="1" t="str">
        <f>VLOOKUP(B:B,'[7]厂家配额 (新)'!$A$1:$C$65536,3,0)</f>
        <v>华冠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9520</v>
      </c>
      <c r="K254" s="1">
        <v>0</v>
      </c>
      <c r="L254" s="1">
        <v>10000</v>
      </c>
      <c r="M254" s="1">
        <v>17440</v>
      </c>
      <c r="N254" s="1">
        <v>0</v>
      </c>
      <c r="O254" s="1">
        <v>0</v>
      </c>
      <c r="P254" s="1">
        <v>0</v>
      </c>
      <c r="Q254" s="1">
        <v>0</v>
      </c>
    </row>
    <row r="255" spans="1:17" x14ac:dyDescent="0.3">
      <c r="A255" s="1" t="s">
        <v>386</v>
      </c>
      <c r="B255" s="1" t="s">
        <v>387</v>
      </c>
      <c r="C255" s="1" t="str">
        <f>VLOOKUP(B:B,[6]配额0227!$A:$B,2,0)</f>
        <v>遥控器-塑料冰雪白 HBWH-1404</v>
      </c>
      <c r="D255" s="1" t="str">
        <f>VLOOKUP(B:B,'[7]厂家配额 (新)'!$A$1:$C$65536,3,0)</f>
        <v>长虹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84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</row>
    <row r="256" spans="1:17" x14ac:dyDescent="0.3">
      <c r="A256" s="1" t="s">
        <v>386</v>
      </c>
      <c r="B256" s="1" t="s">
        <v>28</v>
      </c>
      <c r="C256" s="1" t="str">
        <f>VLOOKUP(B:B,[6]配额0227!$A:$B,2,0)</f>
        <v>显示面板-FR-4</v>
      </c>
      <c r="D256" s="1" t="str">
        <f>VLOOKUP(B:B,'[7]厂家配额 (新)'!$A$1:$C$65536,3,0)</f>
        <v>恒青/和而泰/领智/</v>
      </c>
      <c r="E256" s="1">
        <v>0</v>
      </c>
      <c r="F256" s="1">
        <v>0</v>
      </c>
      <c r="G256" s="1">
        <v>2400</v>
      </c>
      <c r="H256" s="1">
        <v>600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2660</v>
      </c>
      <c r="O256" s="1">
        <v>0</v>
      </c>
      <c r="P256" s="1">
        <v>490</v>
      </c>
      <c r="Q256" s="1">
        <v>0</v>
      </c>
    </row>
    <row r="257" spans="1:17" x14ac:dyDescent="0.3">
      <c r="A257" s="1" t="s">
        <v>386</v>
      </c>
      <c r="B257" s="1" t="s">
        <v>357</v>
      </c>
      <c r="C257" s="1" t="str">
        <f>VLOOKUP(B:B,[6]配额0227!$A:$B,2,0)</f>
        <v>变频外电脑板</v>
      </c>
      <c r="D257" s="1" t="str">
        <f>VLOOKUP(B:B,'[7]厂家配额 (新)'!$A$1:$C$65536,3,0)</f>
        <v>康美特/尚研//</v>
      </c>
      <c r="E257" s="1">
        <v>0</v>
      </c>
      <c r="F257" s="1">
        <v>0</v>
      </c>
      <c r="G257" s="1">
        <v>0</v>
      </c>
      <c r="H257" s="1">
        <v>2580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</row>
    <row r="258" spans="1:17" x14ac:dyDescent="0.3">
      <c r="A258" s="1" t="s">
        <v>386</v>
      </c>
      <c r="B258" s="1" t="s">
        <v>388</v>
      </c>
      <c r="C258" s="1" t="str">
        <f>VLOOKUP(B:B,[6]配额0227!$A:$B,2,0)</f>
        <v>端子排-N/A</v>
      </c>
      <c r="D258" s="1" t="str">
        <f>VLOOKUP(B:B,'[7]厂家配额 (新)'!$A$1:$C$65536,3,0)</f>
        <v>凯都/华冠//</v>
      </c>
      <c r="E258" s="1">
        <v>0</v>
      </c>
      <c r="F258" s="1">
        <v>0</v>
      </c>
      <c r="G258" s="1">
        <v>0</v>
      </c>
      <c r="H258" s="1">
        <v>600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</row>
    <row r="259" spans="1:17" x14ac:dyDescent="0.3">
      <c r="A259" s="1" t="s">
        <v>27</v>
      </c>
      <c r="B259" s="1" t="s">
        <v>389</v>
      </c>
      <c r="C259" s="1" t="str">
        <f>VLOOKUP(B:B,[6]配额0227!$A:$B,2,0)</f>
        <v>室外端子排-N/A</v>
      </c>
      <c r="D259" s="1" t="str">
        <f>VLOOKUP(B:B,'[7]厂家配额 (新)'!$A$1:$C$65536,3,0)</f>
        <v>华冠</v>
      </c>
      <c r="E259" s="1">
        <v>0</v>
      </c>
      <c r="F259" s="1">
        <v>0</v>
      </c>
      <c r="G259" s="1">
        <v>0</v>
      </c>
      <c r="H259" s="1">
        <v>1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</row>
    <row r="260" spans="1:17" x14ac:dyDescent="0.3">
      <c r="A260" s="1" t="s">
        <v>27</v>
      </c>
      <c r="B260" s="1" t="s">
        <v>390</v>
      </c>
      <c r="C260" s="1" t="str">
        <f>VLOOKUP(B:B,[6]配额0227!$A:$B,2,0)</f>
        <v>端子排-塑料</v>
      </c>
      <c r="D260" s="1" t="str">
        <f>VLOOKUP(B:B,'[7]厂家配额 (新)'!$A$1:$C$65536,3,0)</f>
        <v>宏联</v>
      </c>
      <c r="E260" s="1">
        <v>0</v>
      </c>
      <c r="F260" s="1">
        <v>714</v>
      </c>
      <c r="G260" s="1">
        <v>1291</v>
      </c>
      <c r="H260" s="1">
        <v>0</v>
      </c>
      <c r="I260" s="1">
        <v>0</v>
      </c>
      <c r="J260" s="1">
        <v>0</v>
      </c>
      <c r="K260" s="1">
        <v>0</v>
      </c>
      <c r="L260" s="1">
        <v>35</v>
      </c>
      <c r="M260" s="1">
        <v>170</v>
      </c>
      <c r="N260" s="1">
        <v>305</v>
      </c>
      <c r="O260" s="1">
        <v>0</v>
      </c>
      <c r="P260" s="1">
        <v>0</v>
      </c>
      <c r="Q260" s="1">
        <v>435</v>
      </c>
    </row>
    <row r="261" spans="1:17" x14ac:dyDescent="0.3">
      <c r="A261" s="1" t="s">
        <v>27</v>
      </c>
      <c r="B261" s="1" t="s">
        <v>197</v>
      </c>
      <c r="C261" s="1" t="str">
        <f>VLOOKUP(B:B,[6]配额0227!$A:$B,2,0)</f>
        <v>端子排-塑料/</v>
      </c>
      <c r="D261" s="1" t="str">
        <f>VLOOKUP(B:B,'[7]厂家配额 (新)'!$A$1:$C$65536,3,0)</f>
        <v>凯都/源峰/华冠//</v>
      </c>
      <c r="E261" s="1">
        <v>1356</v>
      </c>
      <c r="F261" s="1">
        <v>321</v>
      </c>
      <c r="G261" s="1">
        <v>3491</v>
      </c>
      <c r="H261" s="1">
        <v>2226</v>
      </c>
      <c r="I261" s="1">
        <v>545</v>
      </c>
      <c r="J261" s="1">
        <v>3468</v>
      </c>
      <c r="K261" s="1">
        <v>4101</v>
      </c>
      <c r="L261" s="1">
        <v>6210</v>
      </c>
      <c r="M261" s="1">
        <v>2105</v>
      </c>
      <c r="N261" s="1">
        <v>2739</v>
      </c>
      <c r="O261" s="1">
        <v>4066</v>
      </c>
      <c r="P261" s="1">
        <v>0</v>
      </c>
      <c r="Q261" s="1">
        <v>6246</v>
      </c>
    </row>
    <row r="262" spans="1:17" x14ac:dyDescent="0.3">
      <c r="A262" s="1" t="s">
        <v>27</v>
      </c>
      <c r="B262" s="1" t="s">
        <v>198</v>
      </c>
      <c r="C262" s="1" t="str">
        <f>VLOOKUP(B:B,[6]配额0227!$A:$B,2,0)</f>
        <v>2.93塑料/</v>
      </c>
      <c r="D262" s="1" t="str">
        <f>VLOOKUP(B:B,'[7]厂家配额 (新)'!$A$1:$C$65536,3,0)</f>
        <v>凯都</v>
      </c>
      <c r="E262" s="1">
        <v>0</v>
      </c>
      <c r="F262" s="1">
        <v>1139</v>
      </c>
      <c r="G262" s="1">
        <v>996</v>
      </c>
      <c r="H262" s="1">
        <v>749</v>
      </c>
      <c r="I262" s="1">
        <v>1573</v>
      </c>
      <c r="J262" s="1">
        <v>769</v>
      </c>
      <c r="K262" s="1">
        <v>79</v>
      </c>
      <c r="L262" s="1">
        <v>0</v>
      </c>
      <c r="M262" s="1">
        <v>112</v>
      </c>
      <c r="N262" s="1">
        <v>370</v>
      </c>
      <c r="O262" s="1">
        <v>0</v>
      </c>
      <c r="P262" s="1">
        <v>0</v>
      </c>
      <c r="Q262" s="1">
        <v>2769</v>
      </c>
    </row>
    <row r="263" spans="1:17" x14ac:dyDescent="0.3">
      <c r="A263" s="1" t="s">
        <v>27</v>
      </c>
      <c r="B263" s="1" t="s">
        <v>199</v>
      </c>
      <c r="C263" s="1" t="str">
        <f>VLOOKUP(B:B,[6]配额0227!$A:$B,2,0)</f>
        <v>端子排-/</v>
      </c>
      <c r="D263" s="1" t="str">
        <f>VLOOKUP(B:B,'[7]厂家配额 (新)'!$A$1:$C$65536,3,0)</f>
        <v>源峰</v>
      </c>
      <c r="E263" s="1">
        <v>0</v>
      </c>
      <c r="F263" s="1">
        <v>0</v>
      </c>
      <c r="G263" s="1">
        <v>0</v>
      </c>
      <c r="H263" s="1">
        <v>0</v>
      </c>
      <c r="I263" s="1">
        <v>2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2580</v>
      </c>
    </row>
    <row r="264" spans="1:17" x14ac:dyDescent="0.3">
      <c r="A264" s="1" t="s">
        <v>27</v>
      </c>
      <c r="B264" s="1" t="s">
        <v>391</v>
      </c>
      <c r="C264" s="1" t="str">
        <f>VLOOKUP(B:B,[6]配额0227!$A:$B,2,0)</f>
        <v>端子排-塑料</v>
      </c>
      <c r="D264" s="1" t="str">
        <f>VLOOKUP(B:B,'[7]厂家配额 (新)'!$A$1:$C$65536,3,0)</f>
        <v>源峰</v>
      </c>
      <c r="E264" s="1">
        <v>600</v>
      </c>
      <c r="F264" s="1">
        <v>0</v>
      </c>
      <c r="G264" s="1">
        <v>0</v>
      </c>
      <c r="H264" s="1">
        <v>0</v>
      </c>
      <c r="I264" s="1">
        <v>0</v>
      </c>
      <c r="J264" s="1">
        <v>4340</v>
      </c>
      <c r="K264" s="1">
        <v>4265</v>
      </c>
      <c r="L264" s="1">
        <v>1</v>
      </c>
      <c r="M264" s="1">
        <v>0</v>
      </c>
      <c r="N264" s="1">
        <v>0</v>
      </c>
      <c r="O264" s="1">
        <v>0</v>
      </c>
      <c r="P264" s="1">
        <v>0</v>
      </c>
      <c r="Q264" s="1">
        <v>1530</v>
      </c>
    </row>
    <row r="265" spans="1:17" x14ac:dyDescent="0.3">
      <c r="A265" s="1" t="s">
        <v>27</v>
      </c>
      <c r="B265" s="1" t="s">
        <v>392</v>
      </c>
      <c r="C265" s="1" t="str">
        <f>VLOOKUP(B:B,[6]配额0227!$A:$B,2,0)</f>
        <v>遥控器-塑料1715B基础上英文按键改为俄文按</v>
      </c>
      <c r="D265" s="1" t="str">
        <f>VLOOKUP(B:B,'[7]厂家配额 (新)'!$A$1:$C$65536,3,0)</f>
        <v>合晶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250</v>
      </c>
    </row>
    <row r="266" spans="1:17" x14ac:dyDescent="0.3">
      <c r="A266" s="1" t="s">
        <v>27</v>
      </c>
      <c r="B266" s="1" t="s">
        <v>200</v>
      </c>
      <c r="C266" s="1" t="str">
        <f>VLOOKUP(B:B,[6]配额0227!$A:$B,2,0)</f>
        <v>遥控器-塑料</v>
      </c>
      <c r="D266" s="1" t="str">
        <f>VLOOKUP(B:B,'[7]厂家配额 (新)'!$A$1:$C$65536,3,0)</f>
        <v>合晶</v>
      </c>
      <c r="E266" s="1">
        <v>2418</v>
      </c>
      <c r="F266" s="1">
        <v>1695</v>
      </c>
      <c r="G266" s="1">
        <v>0</v>
      </c>
      <c r="H266" s="1">
        <v>0</v>
      </c>
      <c r="I266" s="1">
        <v>699</v>
      </c>
      <c r="J266" s="1">
        <v>370</v>
      </c>
      <c r="K266" s="1">
        <v>0</v>
      </c>
      <c r="L266" s="1">
        <v>846</v>
      </c>
      <c r="M266" s="1">
        <v>0</v>
      </c>
      <c r="N266" s="1">
        <v>0</v>
      </c>
      <c r="O266" s="1">
        <v>0</v>
      </c>
      <c r="P266" s="1">
        <v>0</v>
      </c>
      <c r="Q266" s="1">
        <v>6883</v>
      </c>
    </row>
    <row r="267" spans="1:17" x14ac:dyDescent="0.3">
      <c r="A267" s="1" t="s">
        <v>27</v>
      </c>
      <c r="B267" s="1" t="s">
        <v>201</v>
      </c>
      <c r="C267" s="1" t="str">
        <f>VLOOKUP(B:B,[6]配额0227!$A:$B,2,0)</f>
        <v>遥控器-塑料</v>
      </c>
      <c r="D267" s="1" t="str">
        <f>VLOOKUP(B:B,'[7]厂家配额 (新)'!$A$1:$C$65536,3,0)</f>
        <v>合晶</v>
      </c>
      <c r="E267" s="1">
        <v>418</v>
      </c>
      <c r="F267" s="1">
        <v>2768</v>
      </c>
      <c r="G267" s="1">
        <v>0</v>
      </c>
      <c r="H267" s="1">
        <v>289</v>
      </c>
      <c r="I267" s="1">
        <v>40</v>
      </c>
      <c r="J267" s="1">
        <v>533</v>
      </c>
      <c r="K267" s="1">
        <v>1</v>
      </c>
      <c r="L267" s="1">
        <v>1379</v>
      </c>
      <c r="M267" s="1">
        <v>55</v>
      </c>
      <c r="N267" s="1">
        <v>100</v>
      </c>
      <c r="O267" s="1">
        <v>10</v>
      </c>
      <c r="P267" s="1">
        <v>0</v>
      </c>
      <c r="Q267" s="1">
        <v>0</v>
      </c>
    </row>
    <row r="268" spans="1:17" x14ac:dyDescent="0.3">
      <c r="A268" s="1" t="s">
        <v>27</v>
      </c>
      <c r="B268" s="1" t="s">
        <v>393</v>
      </c>
      <c r="C268" s="1" t="str">
        <f>VLOOKUP(B:B,[6]配额0227!$A:$B,2,0)</f>
        <v>遥控器-塑料</v>
      </c>
      <c r="D268" s="1" t="str">
        <f>VLOOKUP(B:B,'[7]厂家配额 (新)'!$A$1:$C$65536,3,0)</f>
        <v>合晶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630</v>
      </c>
      <c r="P268" s="1">
        <v>0</v>
      </c>
      <c r="Q268" s="1">
        <v>0</v>
      </c>
    </row>
    <row r="269" spans="1:17" x14ac:dyDescent="0.3">
      <c r="A269" s="1" t="s">
        <v>27</v>
      </c>
      <c r="B269" s="1" t="s">
        <v>202</v>
      </c>
      <c r="C269" s="1" t="str">
        <f>VLOOKUP(B:B,[6]配额0227!$A:$B,2,0)</f>
        <v>遥控器-/</v>
      </c>
      <c r="D269" s="1" t="str">
        <f>VLOOKUP(B:B,'[7]厂家配额 (新)'!$A$1:$C$65536,3,0)</f>
        <v>合晶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4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</row>
    <row r="270" spans="1:17" x14ac:dyDescent="0.3">
      <c r="A270" s="1" t="s">
        <v>27</v>
      </c>
      <c r="B270" s="1" t="s">
        <v>394</v>
      </c>
      <c r="C270" s="1" t="str">
        <f>VLOOKUP(B:B,[6]配额0227!$A:$B,2,0)</f>
        <v>遥控器-塑料</v>
      </c>
      <c r="D270" s="1" t="str">
        <f>VLOOKUP(B:B,'[7]厂家配额 (新)'!$A$1:$C$65536,3,0)</f>
        <v>合晶</v>
      </c>
      <c r="E270" s="1">
        <v>0</v>
      </c>
      <c r="F270" s="1">
        <v>320</v>
      </c>
      <c r="G270" s="1">
        <v>0</v>
      </c>
      <c r="H270" s="1">
        <v>50</v>
      </c>
      <c r="I270" s="1">
        <v>0</v>
      </c>
      <c r="J270" s="1">
        <v>65</v>
      </c>
      <c r="K270" s="1">
        <v>0</v>
      </c>
      <c r="L270" s="1">
        <v>0</v>
      </c>
      <c r="M270" s="1">
        <v>0</v>
      </c>
      <c r="N270" s="1">
        <v>0</v>
      </c>
      <c r="O270" s="1">
        <v>360</v>
      </c>
      <c r="P270" s="1">
        <v>0</v>
      </c>
      <c r="Q270" s="1">
        <v>100</v>
      </c>
    </row>
    <row r="271" spans="1:17" x14ac:dyDescent="0.3">
      <c r="A271" s="1" t="s">
        <v>27</v>
      </c>
      <c r="B271" s="1" t="s">
        <v>395</v>
      </c>
      <c r="C271" s="1" t="str">
        <f>VLOOKUP(B:B,[6]配额0227!$A:$B,2,0)</f>
        <v>遥控器-塑料</v>
      </c>
      <c r="D271" s="1" t="str">
        <f>VLOOKUP(B:B,'[7]厂家配额 (新)'!$A$1:$C$65536,3,0)</f>
        <v>合晶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62</v>
      </c>
      <c r="N271" s="1">
        <v>0</v>
      </c>
      <c r="O271" s="1">
        <v>0</v>
      </c>
      <c r="P271" s="1">
        <v>0</v>
      </c>
      <c r="Q271" s="1">
        <v>1000</v>
      </c>
    </row>
    <row r="272" spans="1:17" x14ac:dyDescent="0.3">
      <c r="A272" s="1" t="s">
        <v>27</v>
      </c>
      <c r="B272" s="1" t="s">
        <v>203</v>
      </c>
      <c r="C272" s="1" t="str">
        <f>VLOOKUP(B:B,[6]配额0227!$A:$B,2,0)</f>
        <v>遥控器-塑料HE</v>
      </c>
      <c r="D272" s="1" t="str">
        <f>VLOOKUP(B:B,'[7]厂家配额 (新)'!$A$1:$C$65536,3,0)</f>
        <v>合晶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2000</v>
      </c>
      <c r="O272" s="1">
        <v>0</v>
      </c>
      <c r="P272" s="1">
        <v>0</v>
      </c>
      <c r="Q272" s="1">
        <v>0</v>
      </c>
    </row>
    <row r="273" spans="1:17" x14ac:dyDescent="0.3">
      <c r="A273" s="1" t="s">
        <v>27</v>
      </c>
      <c r="B273" s="1" t="s">
        <v>204</v>
      </c>
      <c r="C273" s="1" t="str">
        <f>VLOOKUP(B:B,[6]配额0227!$A:$B,2,0)</f>
        <v>遥控器-塑料/</v>
      </c>
      <c r="D273" s="1" t="str">
        <f>VLOOKUP(B:B,'[7]厂家配额 (新)'!$A$1:$C$65536,3,0)</f>
        <v>合晶</v>
      </c>
      <c r="E273" s="1">
        <v>600</v>
      </c>
      <c r="F273" s="1">
        <v>0</v>
      </c>
      <c r="G273" s="1">
        <v>0</v>
      </c>
      <c r="H273" s="1">
        <v>700</v>
      </c>
      <c r="I273" s="1">
        <v>1160</v>
      </c>
      <c r="J273" s="1">
        <v>4310</v>
      </c>
      <c r="K273" s="1">
        <v>2220</v>
      </c>
      <c r="L273" s="1">
        <v>1552</v>
      </c>
      <c r="M273" s="1">
        <v>0</v>
      </c>
      <c r="N273" s="1">
        <v>630</v>
      </c>
      <c r="O273" s="1">
        <v>20</v>
      </c>
      <c r="P273" s="1">
        <v>0</v>
      </c>
      <c r="Q273" s="1">
        <v>4250</v>
      </c>
    </row>
    <row r="274" spans="1:17" x14ac:dyDescent="0.3">
      <c r="A274" s="1" t="s">
        <v>27</v>
      </c>
      <c r="B274" s="1" t="s">
        <v>205</v>
      </c>
      <c r="C274" s="1" t="str">
        <f>VLOOKUP(B:B,[6]配额0227!$A:$B,2,0)</f>
        <v>遥控器-塑料</v>
      </c>
      <c r="D274" s="1" t="str">
        <f>VLOOKUP(B:B,'[7]厂家配额 (新)'!$A$1:$C$65536,3,0)</f>
        <v>合晶</v>
      </c>
      <c r="E274" s="1">
        <v>0</v>
      </c>
      <c r="F274" s="1">
        <v>200</v>
      </c>
      <c r="G274" s="1">
        <v>4526</v>
      </c>
      <c r="H274" s="1">
        <v>2439</v>
      </c>
      <c r="I274" s="1">
        <v>0</v>
      </c>
      <c r="J274" s="1">
        <v>0</v>
      </c>
      <c r="K274" s="1">
        <v>1785</v>
      </c>
      <c r="L274" s="1">
        <v>582</v>
      </c>
      <c r="M274" s="1">
        <v>700</v>
      </c>
      <c r="N274" s="1">
        <v>0</v>
      </c>
      <c r="O274" s="1">
        <v>90</v>
      </c>
      <c r="P274" s="1">
        <v>0</v>
      </c>
      <c r="Q274" s="1">
        <v>18859</v>
      </c>
    </row>
    <row r="275" spans="1:17" x14ac:dyDescent="0.3">
      <c r="A275" s="1" t="s">
        <v>27</v>
      </c>
      <c r="B275" s="1" t="s">
        <v>206</v>
      </c>
      <c r="C275" s="1" t="str">
        <f>VLOOKUP(B:B,[6]配额0227!$A:$B,2,0)</f>
        <v>遥控器-塑料</v>
      </c>
      <c r="D275" s="1" t="str">
        <f>VLOOKUP(B:B,'[7]厂家配额 (新)'!$A$1:$C$65536,3,0)</f>
        <v>合晶</v>
      </c>
      <c r="E275" s="1">
        <v>915</v>
      </c>
      <c r="F275" s="1">
        <v>70</v>
      </c>
      <c r="G275" s="1">
        <v>1177</v>
      </c>
      <c r="H275" s="1">
        <v>3562</v>
      </c>
      <c r="I275" s="1">
        <v>3356</v>
      </c>
      <c r="J275" s="1">
        <v>1585</v>
      </c>
      <c r="K275" s="1">
        <v>0</v>
      </c>
      <c r="L275" s="1">
        <v>1475</v>
      </c>
      <c r="M275" s="1">
        <v>2232</v>
      </c>
      <c r="N275" s="1">
        <v>1250</v>
      </c>
      <c r="O275" s="1">
        <v>1040</v>
      </c>
      <c r="P275" s="1">
        <v>0</v>
      </c>
      <c r="Q275" s="1">
        <v>4683</v>
      </c>
    </row>
    <row r="276" spans="1:17" x14ac:dyDescent="0.3">
      <c r="A276" s="1" t="s">
        <v>27</v>
      </c>
      <c r="B276" s="1" t="s">
        <v>208</v>
      </c>
      <c r="C276" s="1" t="str">
        <f>VLOOKUP(B:B,[6]配额0227!$A:$B,2,0)</f>
        <v>遥控器-塑料</v>
      </c>
      <c r="D276" s="1" t="str">
        <f>VLOOKUP(B:B,'[7]厂家配额 (新)'!$A$1:$C$65536,3,0)</f>
        <v>合晶</v>
      </c>
      <c r="E276" s="1">
        <v>0</v>
      </c>
      <c r="F276" s="1">
        <v>0</v>
      </c>
      <c r="G276" s="1">
        <v>12</v>
      </c>
      <c r="H276" s="1">
        <v>0</v>
      </c>
      <c r="I276" s="1">
        <v>0</v>
      </c>
      <c r="J276" s="1">
        <v>0</v>
      </c>
      <c r="K276" s="1">
        <v>0</v>
      </c>
      <c r="L276" s="1">
        <v>360</v>
      </c>
      <c r="M276" s="1">
        <v>0</v>
      </c>
      <c r="N276" s="1">
        <v>0</v>
      </c>
      <c r="O276" s="1">
        <v>0</v>
      </c>
      <c r="P276" s="1">
        <v>0</v>
      </c>
      <c r="Q276" s="1">
        <v>12110</v>
      </c>
    </row>
    <row r="277" spans="1:17" x14ac:dyDescent="0.3">
      <c r="A277" s="1" t="s">
        <v>27</v>
      </c>
      <c r="B277" s="1" t="s">
        <v>209</v>
      </c>
      <c r="C277" s="1" t="str">
        <f>VLOOKUP(B:B,[6]配额0227!$A:$B,2,0)</f>
        <v>遥控器-塑料</v>
      </c>
      <c r="D277" s="1" t="str">
        <f>VLOOKUP(B:B,'[7]厂家配额 (新)'!$A$1:$C$65536,3,0)</f>
        <v>合晶</v>
      </c>
      <c r="E277" s="1">
        <v>0</v>
      </c>
      <c r="F277" s="1">
        <v>0</v>
      </c>
      <c r="G277" s="1">
        <v>1063</v>
      </c>
      <c r="H277" s="1">
        <v>1098</v>
      </c>
      <c r="I277" s="1">
        <v>3743</v>
      </c>
      <c r="J277" s="1">
        <v>572</v>
      </c>
      <c r="K277" s="1">
        <v>0</v>
      </c>
      <c r="L277" s="1">
        <v>0</v>
      </c>
      <c r="M277" s="1">
        <v>236</v>
      </c>
      <c r="N277" s="1">
        <v>15</v>
      </c>
      <c r="O277" s="1">
        <v>0</v>
      </c>
      <c r="P277" s="1">
        <v>0</v>
      </c>
      <c r="Q277" s="1">
        <v>10610</v>
      </c>
    </row>
    <row r="278" spans="1:17" x14ac:dyDescent="0.3">
      <c r="A278" s="1" t="s">
        <v>27</v>
      </c>
      <c r="B278" s="1" t="s">
        <v>396</v>
      </c>
      <c r="C278" s="1" t="str">
        <f>VLOOKUP(B:B,[6]配额0227!$A:$B,2,0)</f>
        <v>遥控器-塑料</v>
      </c>
      <c r="D278" s="1" t="str">
        <f>VLOOKUP(B:B,'[7]厂家配额 (新)'!$A$1:$C$65536,3,0)</f>
        <v>合晶</v>
      </c>
      <c r="E278" s="1">
        <v>0</v>
      </c>
      <c r="F278" s="1">
        <v>0</v>
      </c>
      <c r="G278" s="1">
        <v>0</v>
      </c>
      <c r="H278" s="1">
        <v>20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</row>
    <row r="279" spans="1:17" x14ac:dyDescent="0.3">
      <c r="A279" s="1" t="s">
        <v>27</v>
      </c>
      <c r="B279" s="1" t="s">
        <v>211</v>
      </c>
      <c r="C279" s="1" t="str">
        <f>VLOOKUP(B:B,[6]配额0227!$A:$B,2,0)</f>
        <v>遥控器-塑料冰雪白 HBWH-1404</v>
      </c>
      <c r="D279" s="1" t="str">
        <f>VLOOKUP(B:B,'[7]厂家配额 (新)'!$A$1:$C$65536,3,0)</f>
        <v>合晶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480</v>
      </c>
      <c r="N279" s="1">
        <v>0</v>
      </c>
      <c r="O279" s="1">
        <v>0</v>
      </c>
      <c r="P279" s="1">
        <v>0</v>
      </c>
      <c r="Q279" s="1">
        <v>0</v>
      </c>
    </row>
    <row r="280" spans="1:17" x14ac:dyDescent="0.3">
      <c r="A280" s="1" t="s">
        <v>27</v>
      </c>
      <c r="B280" s="1" t="s">
        <v>397</v>
      </c>
      <c r="C280" s="1" t="str">
        <f>VLOOKUP(B:B,[6]配额0227!$A:$B,2,0)</f>
        <v>遥控器-/</v>
      </c>
      <c r="D280" s="1" t="str">
        <f>VLOOKUP(B:B,'[7]厂家配额 (新)'!$A$1:$C$65536,3,0)</f>
        <v>合晶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860</v>
      </c>
    </row>
    <row r="281" spans="1:17" x14ac:dyDescent="0.3">
      <c r="A281" s="1" t="s">
        <v>27</v>
      </c>
      <c r="B281" s="1" t="s">
        <v>398</v>
      </c>
      <c r="C281" s="1" t="str">
        <f>VLOOKUP(B:B,[6]配额0227!$A:$B,2,0)</f>
        <v>遥控器</v>
      </c>
      <c r="D281" s="1" t="str">
        <f>VLOOKUP(B:B,'[7]厂家配额 (新)'!$A$1:$C$65536,3,0)</f>
        <v>合晶</v>
      </c>
      <c r="E281" s="1">
        <v>0</v>
      </c>
      <c r="F281" s="1">
        <v>0</v>
      </c>
      <c r="G281" s="1">
        <v>2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</row>
    <row r="282" spans="1:17" x14ac:dyDescent="0.3">
      <c r="A282" s="1" t="s">
        <v>27</v>
      </c>
      <c r="B282" s="1" t="s">
        <v>399</v>
      </c>
      <c r="C282" s="1" t="str">
        <f>VLOOKUP(B:B,[6]配额0227!$A:$B,2,0)</f>
        <v>遥控器-塑料</v>
      </c>
      <c r="D282" s="1" t="str">
        <f>VLOOKUP(B:B,'[7]厂家配额 (新)'!$A$1:$C$65536,3,0)</f>
        <v>合晶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750</v>
      </c>
    </row>
    <row r="283" spans="1:17" x14ac:dyDescent="0.3">
      <c r="A283" s="1" t="s">
        <v>27</v>
      </c>
      <c r="B283" s="1" t="s">
        <v>213</v>
      </c>
      <c r="C283" s="1" t="str">
        <f>VLOOKUP(B:B,[6]配额0227!$A:$B,2,0)</f>
        <v>遥控器-塑料</v>
      </c>
      <c r="D283" s="1" t="str">
        <f>VLOOKUP(B:B,'[7]厂家配额 (新)'!$A$1:$C$65536,3,0)</f>
        <v>合晶</v>
      </c>
      <c r="E283" s="1">
        <v>2400</v>
      </c>
      <c r="F283" s="1">
        <v>0</v>
      </c>
      <c r="G283" s="1">
        <v>1749</v>
      </c>
      <c r="H283" s="1">
        <v>77</v>
      </c>
      <c r="I283" s="1">
        <v>0</v>
      </c>
      <c r="J283" s="1">
        <v>0</v>
      </c>
      <c r="K283" s="1">
        <v>0</v>
      </c>
      <c r="L283" s="1">
        <v>360</v>
      </c>
      <c r="M283" s="1">
        <v>1600</v>
      </c>
      <c r="N283" s="1">
        <v>0</v>
      </c>
      <c r="O283" s="1">
        <v>0</v>
      </c>
      <c r="P283" s="1">
        <v>0</v>
      </c>
      <c r="Q283" s="1">
        <v>11330</v>
      </c>
    </row>
    <row r="284" spans="1:17" x14ac:dyDescent="0.3">
      <c r="A284" s="1" t="s">
        <v>27</v>
      </c>
      <c r="B284" s="1" t="s">
        <v>400</v>
      </c>
      <c r="C284" s="1" t="str">
        <f>VLOOKUP(B:B,[6]配额0227!$A:$B,2,0)</f>
        <v>遥控器-塑料</v>
      </c>
      <c r="D284" s="1" t="str">
        <f>VLOOKUP(B:B,'[7]厂家配额 (新)'!$A$1:$C$65536,3,0)</f>
        <v>合晶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400</v>
      </c>
    </row>
    <row r="285" spans="1:17" x14ac:dyDescent="0.3">
      <c r="A285" s="1" t="s">
        <v>27</v>
      </c>
      <c r="B285" s="1" t="s">
        <v>401</v>
      </c>
      <c r="C285" s="1" t="str">
        <f>VLOOKUP(B:B,[6]配额0227!$A:$B,2,0)</f>
        <v>遥控器-塑料</v>
      </c>
      <c r="D285" s="1" t="str">
        <f>VLOOKUP(B:B,'[7]厂家配额 (新)'!$A$1:$C$65536,3,0)</f>
        <v>合晶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1</v>
      </c>
      <c r="L285" s="1">
        <v>0</v>
      </c>
      <c r="M285" s="1">
        <v>0</v>
      </c>
      <c r="N285" s="1">
        <v>149</v>
      </c>
      <c r="O285" s="1">
        <v>0</v>
      </c>
      <c r="P285" s="1">
        <v>0</v>
      </c>
      <c r="Q285" s="1">
        <v>0</v>
      </c>
    </row>
    <row r="286" spans="1:17" x14ac:dyDescent="0.3">
      <c r="A286" s="1" t="s">
        <v>27</v>
      </c>
      <c r="B286" s="1" t="s">
        <v>402</v>
      </c>
      <c r="C286" s="1" t="str">
        <f>VLOOKUP(B:B,[6]配额0227!$A:$B,2,0)</f>
        <v>遥控器-塑料</v>
      </c>
      <c r="D286" s="1" t="str">
        <f>VLOOKUP(B:B,'[7]厂家配额 (新)'!$A$1:$C$65536,3,0)</f>
        <v>合晶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2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</row>
    <row r="287" spans="1:17" x14ac:dyDescent="0.3">
      <c r="A287" s="1" t="s">
        <v>27</v>
      </c>
      <c r="B287" s="1" t="s">
        <v>214</v>
      </c>
      <c r="C287" s="1" t="str">
        <f>VLOOKUP(B:B,[6]配额0227!$A:$B,2,0)</f>
        <v>ROHS-室内端子排(JXW-5-B 600V 30A 4MM2)-/---</v>
      </c>
      <c r="D287" s="1" t="str">
        <f>VLOOKUP(B:B,'[7]厂家配额 (新)'!$A$1:$C$65536,3,0)</f>
        <v>凯都/华冠//</v>
      </c>
      <c r="E287" s="1">
        <v>615</v>
      </c>
      <c r="F287" s="1">
        <v>2077</v>
      </c>
      <c r="G287" s="1">
        <v>807</v>
      </c>
      <c r="H287" s="1">
        <v>0</v>
      </c>
      <c r="I287" s="1">
        <v>4442</v>
      </c>
      <c r="J287" s="1">
        <v>1072</v>
      </c>
      <c r="K287" s="1">
        <v>1</v>
      </c>
      <c r="L287" s="1">
        <v>2168</v>
      </c>
      <c r="M287" s="1">
        <v>1799</v>
      </c>
      <c r="N287" s="1">
        <v>180</v>
      </c>
      <c r="O287" s="1">
        <v>1459</v>
      </c>
      <c r="P287" s="1">
        <v>0</v>
      </c>
      <c r="Q287" s="1">
        <v>25210</v>
      </c>
    </row>
    <row r="288" spans="1:17" x14ac:dyDescent="0.3">
      <c r="A288" s="1" t="s">
        <v>27</v>
      </c>
      <c r="B288" s="1" t="s">
        <v>215</v>
      </c>
      <c r="C288" s="1" t="str">
        <f>VLOOKUP(B:B,[6]配额0227!$A:$B,2,0)</f>
        <v>端子排-//</v>
      </c>
      <c r="D288" s="1" t="str">
        <f>VLOOKUP(B:B,'[7]厂家配额 (新)'!$A$1:$C$65536,3,0)</f>
        <v>源峰</v>
      </c>
      <c r="E288" s="1">
        <v>2400</v>
      </c>
      <c r="F288" s="1">
        <v>0</v>
      </c>
      <c r="G288" s="1">
        <v>2249</v>
      </c>
      <c r="H288" s="1">
        <v>1821</v>
      </c>
      <c r="I288" s="1">
        <v>170</v>
      </c>
      <c r="J288" s="1">
        <v>0</v>
      </c>
      <c r="K288" s="1">
        <v>0</v>
      </c>
      <c r="L288" s="1">
        <v>2730</v>
      </c>
      <c r="M288" s="1">
        <v>1740</v>
      </c>
      <c r="N288" s="1">
        <v>0</v>
      </c>
      <c r="O288" s="1">
        <v>0</v>
      </c>
      <c r="P288" s="1">
        <v>0</v>
      </c>
      <c r="Q288" s="1">
        <v>17639</v>
      </c>
    </row>
    <row r="289" spans="1:17" x14ac:dyDescent="0.3">
      <c r="A289" s="1" t="s">
        <v>27</v>
      </c>
      <c r="B289" s="1" t="s">
        <v>216</v>
      </c>
      <c r="C289" s="1" t="str">
        <f>VLOOKUP(B:B,[6]配额0227!$A:$B,2,0)</f>
        <v>端子排-/</v>
      </c>
      <c r="D289" s="1" t="str">
        <f>VLOOKUP(B:B,'[7]厂家配额 (新)'!$A$1:$C$65536,3,0)</f>
        <v>源峰/凯都//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20</v>
      </c>
      <c r="P289" s="1">
        <v>0</v>
      </c>
      <c r="Q289" s="1">
        <v>2580</v>
      </c>
    </row>
    <row r="290" spans="1:17" x14ac:dyDescent="0.3">
      <c r="A290" s="1" t="s">
        <v>27</v>
      </c>
      <c r="B290" s="1" t="s">
        <v>403</v>
      </c>
      <c r="C290" s="1" t="str">
        <f>VLOOKUP(B:B,[6]配额0227!$A:$B,2,0)</f>
        <v>遥控器-塑料HG遥控器</v>
      </c>
      <c r="D290" s="1" t="str">
        <f>VLOOKUP(B:B,'[7]厂家配额 (新)'!$A$1:$C$65536,3,0)</f>
        <v>长虹/合晶//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1350</v>
      </c>
      <c r="N290" s="1">
        <v>660</v>
      </c>
      <c r="O290" s="1">
        <v>0</v>
      </c>
      <c r="P290" s="1">
        <v>0</v>
      </c>
      <c r="Q290" s="1">
        <v>80</v>
      </c>
    </row>
    <row r="291" spans="1:17" x14ac:dyDescent="0.3">
      <c r="A291" s="1" t="s">
        <v>27</v>
      </c>
      <c r="B291" s="1" t="s">
        <v>404</v>
      </c>
      <c r="C291" s="1" t="str">
        <f>VLOOKUP(B:B,[6]配额0227!$A:$B,2,0)</f>
        <v>遥控器-塑料</v>
      </c>
      <c r="D291" s="1" t="str">
        <f>VLOOKUP(B:B,'[7]厂家配额 (新)'!$A$1:$C$65536,3,0)</f>
        <v>长虹</v>
      </c>
      <c r="E291" s="1">
        <v>0</v>
      </c>
      <c r="F291" s="1">
        <v>0</v>
      </c>
      <c r="G291" s="1">
        <v>1</v>
      </c>
      <c r="H291" s="1">
        <v>0</v>
      </c>
      <c r="I291" s="1">
        <v>0</v>
      </c>
      <c r="J291" s="1">
        <v>0</v>
      </c>
      <c r="K291" s="1">
        <v>0</v>
      </c>
      <c r="L291" s="1">
        <v>210</v>
      </c>
      <c r="M291" s="1">
        <v>760</v>
      </c>
      <c r="N291" s="1">
        <v>260</v>
      </c>
      <c r="O291" s="1">
        <v>0</v>
      </c>
      <c r="P291" s="1">
        <v>0</v>
      </c>
      <c r="Q291" s="1">
        <v>0</v>
      </c>
    </row>
    <row r="292" spans="1:17" x14ac:dyDescent="0.3">
      <c r="A292" s="1" t="s">
        <v>27</v>
      </c>
      <c r="B292" s="1" t="s">
        <v>405</v>
      </c>
      <c r="C292" s="1" t="str">
        <f>VLOOKUP(B:B,[6]配额0227!$A:$B,2,0)</f>
        <v>选择开关(HWS18VHA)-/</v>
      </c>
      <c r="D292" s="1" t="str">
        <f>VLOOKUP(B:B,'[7]厂家配额 (新)'!$A$1:$C$65536,3,0)</f>
        <v>宏联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284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</row>
    <row r="293" spans="1:17" x14ac:dyDescent="0.3">
      <c r="A293" s="1" t="s">
        <v>27</v>
      </c>
      <c r="B293" s="1" t="s">
        <v>217</v>
      </c>
      <c r="C293" s="1" t="str">
        <f>VLOOKUP(B:B,[6]配额0227!$A:$B,2,0)</f>
        <v>端子排-/</v>
      </c>
      <c r="D293" s="1" t="str">
        <f>VLOOKUP(B:B,'[7]厂家配额 (新)'!$A$1:$C$65536,3,0)</f>
        <v>凯都/源峰/华冠/</v>
      </c>
      <c r="E293" s="1">
        <v>2379</v>
      </c>
      <c r="F293" s="1">
        <v>3132</v>
      </c>
      <c r="G293" s="1">
        <v>763</v>
      </c>
      <c r="H293" s="1">
        <v>896</v>
      </c>
      <c r="I293" s="1">
        <v>692</v>
      </c>
      <c r="J293" s="1">
        <v>1354</v>
      </c>
      <c r="K293" s="1">
        <v>530</v>
      </c>
      <c r="L293" s="1">
        <v>0</v>
      </c>
      <c r="M293" s="1">
        <v>0</v>
      </c>
      <c r="N293" s="1">
        <v>693</v>
      </c>
      <c r="O293" s="1">
        <v>0</v>
      </c>
      <c r="P293" s="1">
        <v>0</v>
      </c>
      <c r="Q293" s="1">
        <v>8180</v>
      </c>
    </row>
    <row r="294" spans="1:17" x14ac:dyDescent="0.3">
      <c r="A294" s="1" t="s">
        <v>27</v>
      </c>
      <c r="B294" s="1" t="s">
        <v>218</v>
      </c>
      <c r="C294" s="1" t="str">
        <f>VLOOKUP(B:B,[6]配额0227!$A:$B,2,0)</f>
        <v>端子排-/---</v>
      </c>
      <c r="D294" s="1" t="str">
        <f>VLOOKUP(B:B,'[7]厂家配额 (新)'!$A$1:$C$65536,3,0)</f>
        <v>凯都/源峰/华冠/</v>
      </c>
      <c r="E294" s="1">
        <v>580</v>
      </c>
      <c r="F294" s="1">
        <v>1180</v>
      </c>
      <c r="G294" s="1">
        <v>1435</v>
      </c>
      <c r="H294" s="1">
        <v>4340</v>
      </c>
      <c r="I294" s="1">
        <v>3975</v>
      </c>
      <c r="J294" s="1">
        <v>1506</v>
      </c>
      <c r="K294" s="1">
        <v>504</v>
      </c>
      <c r="L294" s="1">
        <v>580</v>
      </c>
      <c r="M294" s="1">
        <v>0</v>
      </c>
      <c r="N294" s="1">
        <v>0</v>
      </c>
      <c r="O294" s="1">
        <v>0</v>
      </c>
      <c r="P294" s="1">
        <v>0</v>
      </c>
      <c r="Q294" s="1">
        <v>12260</v>
      </c>
    </row>
    <row r="295" spans="1:17" x14ac:dyDescent="0.3">
      <c r="A295" s="1" t="s">
        <v>27</v>
      </c>
      <c r="B295" s="1" t="s">
        <v>406</v>
      </c>
      <c r="C295" s="1" t="str">
        <f>VLOOKUP(B:B,[6]配额0227!$A:$B,2,0)</f>
        <v>端子排-/端子排</v>
      </c>
      <c r="D295" s="1" t="str">
        <f>VLOOKUP(B:B,'[7]厂家配额 (新)'!$A$1:$C$65536,3,0)</f>
        <v>凯都/华冠//</v>
      </c>
      <c r="E295" s="1">
        <v>2600</v>
      </c>
      <c r="F295" s="1">
        <v>0</v>
      </c>
      <c r="G295" s="1">
        <v>0</v>
      </c>
      <c r="H295" s="1">
        <v>0</v>
      </c>
      <c r="I295" s="1">
        <v>1935</v>
      </c>
      <c r="J295" s="1">
        <v>472</v>
      </c>
      <c r="K295" s="1">
        <v>2408</v>
      </c>
      <c r="L295" s="1">
        <v>325</v>
      </c>
      <c r="M295" s="1">
        <v>1155</v>
      </c>
      <c r="N295" s="1">
        <v>0</v>
      </c>
      <c r="O295" s="1">
        <v>260</v>
      </c>
      <c r="P295" s="1">
        <v>0</v>
      </c>
      <c r="Q295" s="1">
        <v>0</v>
      </c>
    </row>
    <row r="296" spans="1:17" x14ac:dyDescent="0.3">
      <c r="A296" s="1" t="s">
        <v>27</v>
      </c>
      <c r="B296" s="1" t="s">
        <v>219</v>
      </c>
      <c r="C296" s="1" t="str">
        <f>VLOOKUP(B:B,[6]配额0227!$A:$B,2,0)</f>
        <v>端子排</v>
      </c>
      <c r="D296" s="1" t="str">
        <f>VLOOKUP(B:B,'[7]厂家配额 (新)'!$A$1:$C$65536,3,0)</f>
        <v>源峰/华冠//</v>
      </c>
      <c r="E296" s="1">
        <v>1180</v>
      </c>
      <c r="F296" s="1">
        <v>2026</v>
      </c>
      <c r="G296" s="1">
        <v>2244</v>
      </c>
      <c r="H296" s="1">
        <v>3549</v>
      </c>
      <c r="I296" s="1">
        <v>1949</v>
      </c>
      <c r="J296" s="1">
        <v>65</v>
      </c>
      <c r="K296" s="1">
        <v>0</v>
      </c>
      <c r="L296" s="1">
        <v>0</v>
      </c>
      <c r="M296" s="1">
        <v>4065</v>
      </c>
      <c r="N296" s="1">
        <v>1560</v>
      </c>
      <c r="O296" s="1">
        <v>3113</v>
      </c>
      <c r="P296" s="1">
        <v>0</v>
      </c>
      <c r="Q296" s="1">
        <v>1160</v>
      </c>
    </row>
    <row r="297" spans="1:17" x14ac:dyDescent="0.3">
      <c r="A297" s="1" t="s">
        <v>27</v>
      </c>
      <c r="B297" s="1" t="s">
        <v>221</v>
      </c>
      <c r="C297" s="1" t="str">
        <f>VLOOKUP(B:B,[6]配额0227!$A:$B,2,0)</f>
        <v>ROHS-室外端子排(JXW-4 600V 30A 4MM2)-/</v>
      </c>
      <c r="D297" s="1" t="str">
        <f>VLOOKUP(B:B,'[7]厂家配额 (新)'!$A$1:$C$65536,3,0)</f>
        <v>凯都</v>
      </c>
      <c r="E297" s="1">
        <v>633</v>
      </c>
      <c r="F297" s="1">
        <v>0</v>
      </c>
      <c r="G297" s="1">
        <v>251</v>
      </c>
      <c r="H297" s="1">
        <v>80</v>
      </c>
      <c r="I297" s="1">
        <v>909</v>
      </c>
      <c r="J297" s="1">
        <v>0</v>
      </c>
      <c r="K297" s="1">
        <v>301</v>
      </c>
      <c r="L297" s="1">
        <v>2</v>
      </c>
      <c r="M297" s="1">
        <v>165</v>
      </c>
      <c r="N297" s="1">
        <v>2578</v>
      </c>
      <c r="O297" s="1">
        <v>0</v>
      </c>
      <c r="P297" s="1">
        <v>0</v>
      </c>
      <c r="Q297" s="1">
        <v>1481</v>
      </c>
    </row>
    <row r="298" spans="1:17" x14ac:dyDescent="0.3">
      <c r="A298" s="1" t="s">
        <v>27</v>
      </c>
      <c r="B298" s="1" t="s">
        <v>407</v>
      </c>
      <c r="C298" s="1" t="str">
        <f>VLOOKUP(B:B,[6]配额0227!$A:$B,2,0)</f>
        <v>遥控器-塑料</v>
      </c>
      <c r="D298" s="1" t="str">
        <f>VLOOKUP(B:B,'[7]厂家配额 (新)'!$A$1:$C$65536,3,0)</f>
        <v>长虹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220</v>
      </c>
      <c r="O298" s="1">
        <v>0</v>
      </c>
      <c r="P298" s="1">
        <v>0</v>
      </c>
      <c r="Q298" s="1">
        <v>50</v>
      </c>
    </row>
    <row r="299" spans="1:17" x14ac:dyDescent="0.3">
      <c r="A299" s="1" t="s">
        <v>27</v>
      </c>
      <c r="B299" s="1" t="s">
        <v>222</v>
      </c>
      <c r="C299" s="1" t="str">
        <f>VLOOKUP(B:B,[6]配额0227!$A:$B,2,0)</f>
        <v>遥控器-塑料冰雪白 HBWH-1404</v>
      </c>
      <c r="D299" s="1" t="str">
        <f>VLOOKUP(B:B,'[7]厂家配额 (新)'!$A$1:$C$65536,3,0)</f>
        <v>长虹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198</v>
      </c>
    </row>
    <row r="300" spans="1:17" x14ac:dyDescent="0.3">
      <c r="A300" s="1" t="s">
        <v>27</v>
      </c>
      <c r="B300" s="1" t="s">
        <v>408</v>
      </c>
      <c r="C300" s="1" t="str">
        <f>VLOOKUP(B:B,[6]配额0227!$A:$B,2,0)</f>
        <v>遥控器-/</v>
      </c>
      <c r="D300" s="1" t="str">
        <f>VLOOKUP(B:B,'[7]厂家配额 (新)'!$A$1:$C$65536,3,0)</f>
        <v>长虹</v>
      </c>
      <c r="E300" s="1">
        <v>0</v>
      </c>
      <c r="F300" s="1">
        <v>0</v>
      </c>
      <c r="G300" s="1">
        <v>4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</row>
    <row r="301" spans="1:17" x14ac:dyDescent="0.3">
      <c r="A301" s="1" t="s">
        <v>27</v>
      </c>
      <c r="B301" s="1" t="s">
        <v>223</v>
      </c>
      <c r="C301" s="1" t="str">
        <f>VLOOKUP(B:B,[6]配额0227!$A:$B,2,0)</f>
        <v>端子排-/</v>
      </c>
      <c r="D301" s="1" t="str">
        <f>VLOOKUP(B:B,'[7]厂家配额 (新)'!$A$1:$C$65536,3,0)</f>
        <v>凯都/华冠//</v>
      </c>
      <c r="E301" s="1">
        <v>0</v>
      </c>
      <c r="F301" s="1">
        <v>170</v>
      </c>
      <c r="G301" s="1">
        <v>420</v>
      </c>
      <c r="H301" s="1">
        <v>140</v>
      </c>
      <c r="I301" s="1">
        <v>0</v>
      </c>
      <c r="J301" s="1">
        <v>81</v>
      </c>
      <c r="K301" s="1">
        <v>0</v>
      </c>
      <c r="L301" s="1">
        <v>2676</v>
      </c>
      <c r="M301" s="1">
        <v>470</v>
      </c>
      <c r="N301" s="1">
        <v>0</v>
      </c>
      <c r="O301" s="1">
        <v>0</v>
      </c>
      <c r="P301" s="1">
        <v>0</v>
      </c>
      <c r="Q301" s="1">
        <v>4164</v>
      </c>
    </row>
    <row r="302" spans="1:17" x14ac:dyDescent="0.3">
      <c r="A302" s="1" t="s">
        <v>27</v>
      </c>
      <c r="B302" s="1" t="s">
        <v>224</v>
      </c>
      <c r="C302" s="1" t="str">
        <f>VLOOKUP(B:B,[6]配额0227!$A:$B,2,0)</f>
        <v>端子排-//</v>
      </c>
      <c r="D302" s="1" t="str">
        <f>VLOOKUP(B:B,'[7]厂家配额 (新)'!$A$1:$C$65536,3,0)</f>
        <v>源峰</v>
      </c>
      <c r="E302" s="1">
        <v>3930</v>
      </c>
      <c r="F302" s="1">
        <v>2189</v>
      </c>
      <c r="G302" s="1">
        <v>2</v>
      </c>
      <c r="H302" s="1">
        <v>0</v>
      </c>
      <c r="I302" s="1">
        <v>2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10380</v>
      </c>
    </row>
    <row r="303" spans="1:17" x14ac:dyDescent="0.3">
      <c r="A303" s="1" t="s">
        <v>27</v>
      </c>
      <c r="B303" s="1" t="s">
        <v>409</v>
      </c>
      <c r="C303" s="1" t="str">
        <f>VLOOKUP(B:B,[6]配额0227!$A:$B,2,0)</f>
        <v>选择开关(HW-07CK03)-N/A</v>
      </c>
      <c r="D303" s="1" t="str">
        <f>VLOOKUP(B:B,'[7]厂家配额 (新)'!$A$1:$C$65536,3,0)</f>
        <v>宏联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576</v>
      </c>
      <c r="M303" s="1">
        <v>0</v>
      </c>
      <c r="N303" s="1">
        <v>0</v>
      </c>
      <c r="O303" s="1">
        <v>0</v>
      </c>
      <c r="P303" s="1">
        <v>0</v>
      </c>
      <c r="Q303" s="1">
        <v>864</v>
      </c>
    </row>
    <row r="304" spans="1:17" x14ac:dyDescent="0.3">
      <c r="A304" s="1" t="s">
        <v>27</v>
      </c>
      <c r="B304" s="1" t="s">
        <v>410</v>
      </c>
      <c r="C304" s="1" t="str">
        <f>VLOOKUP(B:B,[6]配额0227!$A:$B,2,0)</f>
        <v>ROHS-电脑板(JA-18D)-塑料</v>
      </c>
      <c r="D304" s="1" t="str">
        <f>VLOOKUP(B:B,'[7]厂家配额 (新)'!$A$1:$C$65536,3,0)</f>
        <v>领智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282</v>
      </c>
      <c r="N304" s="1">
        <v>554</v>
      </c>
      <c r="O304" s="1">
        <v>860</v>
      </c>
      <c r="P304" s="1">
        <v>0</v>
      </c>
      <c r="Q304" s="1">
        <v>5120</v>
      </c>
    </row>
    <row r="305" spans="1:17" x14ac:dyDescent="0.3">
      <c r="A305" s="1" t="s">
        <v>27</v>
      </c>
      <c r="B305" s="1" t="s">
        <v>411</v>
      </c>
      <c r="C305" s="1" t="str">
        <f>VLOOKUP(B:B,[6]配额0227!$A:$B,2,0)</f>
        <v>遥控器-塑料/</v>
      </c>
      <c r="D305" s="1" t="str">
        <f>VLOOKUP(B:B,'[7]厂家配额 (新)'!$A$1:$C$65536,3,0)</f>
        <v>长虹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383</v>
      </c>
      <c r="N305" s="1">
        <v>282</v>
      </c>
      <c r="O305" s="1">
        <v>554</v>
      </c>
      <c r="P305" s="1">
        <v>860</v>
      </c>
      <c r="Q305" s="1">
        <v>5120</v>
      </c>
    </row>
    <row r="306" spans="1:17" x14ac:dyDescent="0.3">
      <c r="A306" s="1" t="s">
        <v>27</v>
      </c>
      <c r="B306" s="1" t="s">
        <v>226</v>
      </c>
      <c r="C306" s="1" t="str">
        <f>VLOOKUP(B:B,[6]配额0227!$A:$B,2,0)</f>
        <v>ROHS-室内端子排(6位KFR-60GW/V(ZXF))</v>
      </c>
      <c r="D306" s="1" t="str">
        <f>VLOOKUP(B:B,'[7]厂家配额 (新)'!$A$1:$C$65536,3,0)</f>
        <v>华冠</v>
      </c>
      <c r="E306" s="1">
        <v>0</v>
      </c>
      <c r="F306" s="1">
        <v>0</v>
      </c>
      <c r="G306" s="1">
        <v>21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602</v>
      </c>
    </row>
    <row r="307" spans="1:17" x14ac:dyDescent="0.3">
      <c r="A307" s="1" t="s">
        <v>27</v>
      </c>
      <c r="B307" s="1" t="s">
        <v>227</v>
      </c>
      <c r="C307" s="1" t="str">
        <f>VLOOKUP(B:B,[6]配额0227!$A:$B,2,0)</f>
        <v>端子排-N/A</v>
      </c>
      <c r="D307" s="1" t="str">
        <f>VLOOKUP(B:B,'[7]厂家配额 (新)'!$A$1:$C$65536,3,0)</f>
        <v>凯都/源峰/华冠//</v>
      </c>
      <c r="E307" s="1">
        <v>9782</v>
      </c>
      <c r="F307" s="1">
        <v>9746</v>
      </c>
      <c r="G307" s="1">
        <v>9728</v>
      </c>
      <c r="H307" s="1">
        <v>10783</v>
      </c>
      <c r="I307" s="1">
        <v>7160</v>
      </c>
      <c r="J307" s="1">
        <v>8077</v>
      </c>
      <c r="K307" s="1">
        <v>6576</v>
      </c>
      <c r="L307" s="1">
        <v>5270</v>
      </c>
      <c r="M307" s="1">
        <v>5959</v>
      </c>
      <c r="N307" s="1">
        <v>7318</v>
      </c>
      <c r="O307" s="1">
        <v>10718</v>
      </c>
      <c r="P307" s="1">
        <v>0</v>
      </c>
      <c r="Q307" s="1">
        <v>76090</v>
      </c>
    </row>
    <row r="308" spans="1:17" x14ac:dyDescent="0.3">
      <c r="A308" s="1" t="s">
        <v>27</v>
      </c>
      <c r="B308" s="1" t="s">
        <v>228</v>
      </c>
      <c r="C308" s="1" t="str">
        <f>VLOOKUP(B:B,[6]配额0227!$A:$B,2,0)</f>
        <v>端子排-//</v>
      </c>
      <c r="D308" s="1" t="str">
        <f>VLOOKUP(B:B,'[7]厂家配额 (新)'!$A$1:$C$65536,3,0)</f>
        <v>华冠</v>
      </c>
      <c r="E308" s="1">
        <v>0</v>
      </c>
      <c r="F308" s="1">
        <v>0</v>
      </c>
      <c r="G308" s="1">
        <v>1</v>
      </c>
      <c r="H308" s="1">
        <v>0</v>
      </c>
      <c r="I308" s="1">
        <v>2</v>
      </c>
      <c r="J308" s="1">
        <v>4</v>
      </c>
      <c r="K308" s="1">
        <v>0</v>
      </c>
      <c r="L308" s="1">
        <v>0</v>
      </c>
      <c r="M308" s="1">
        <v>2</v>
      </c>
      <c r="N308" s="1">
        <v>2000</v>
      </c>
      <c r="O308" s="1">
        <v>0</v>
      </c>
      <c r="P308" s="1">
        <v>0</v>
      </c>
      <c r="Q308" s="1">
        <v>9070</v>
      </c>
    </row>
    <row r="309" spans="1:17" x14ac:dyDescent="0.3">
      <c r="A309" s="1" t="s">
        <v>27</v>
      </c>
      <c r="B309" s="1" t="s">
        <v>412</v>
      </c>
      <c r="C309" s="1" t="str">
        <f>VLOOKUP(B:B,[6]配额0227!$A:$B,2,0)</f>
        <v>遥控器-塑料/</v>
      </c>
      <c r="D309" s="1" t="str">
        <f>VLOOKUP(B:B,'[7]厂家配额 (新)'!$A$1:$C$65536,3,0)</f>
        <v>合晶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106</v>
      </c>
    </row>
    <row r="310" spans="1:17" x14ac:dyDescent="0.3">
      <c r="A310" s="1" t="s">
        <v>27</v>
      </c>
      <c r="B310" s="1" t="s">
        <v>413</v>
      </c>
      <c r="C310" s="1" t="str">
        <f>VLOOKUP(B:B,[6]配额0227!$A:$B,2,0)</f>
        <v>遥控器-塑料</v>
      </c>
      <c r="D310" s="1" t="str">
        <f>VLOOKUP(B:B,'[7]厂家配额 (新)'!$A$1:$C$65536,3,0)</f>
        <v>合晶</v>
      </c>
      <c r="E310" s="1">
        <v>0</v>
      </c>
      <c r="F310" s="1">
        <v>0</v>
      </c>
      <c r="G310" s="1">
        <v>0</v>
      </c>
      <c r="H310" s="1">
        <v>5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</row>
    <row r="311" spans="1:17" x14ac:dyDescent="0.3">
      <c r="A311" s="1" t="s">
        <v>27</v>
      </c>
      <c r="B311" s="1" t="s">
        <v>230</v>
      </c>
      <c r="C311" s="1" t="str">
        <f>VLOOKUP(B:B,[6]配额0227!$A:$B,2,0)</f>
        <v>遥控器</v>
      </c>
      <c r="D311" s="1" t="str">
        <f>VLOOKUP(B:B,'[7]厂家配额 (新)'!$A$1:$C$65536,3,0)</f>
        <v>长虹</v>
      </c>
      <c r="E311" s="1">
        <v>0</v>
      </c>
      <c r="F311" s="1">
        <v>0</v>
      </c>
      <c r="G311" s="1">
        <v>0</v>
      </c>
      <c r="H311" s="1">
        <v>0</v>
      </c>
      <c r="I311" s="1">
        <v>170</v>
      </c>
      <c r="J311" s="1">
        <v>1</v>
      </c>
      <c r="K311" s="1">
        <v>0</v>
      </c>
      <c r="L311" s="1">
        <v>271</v>
      </c>
      <c r="M311" s="1">
        <v>1299</v>
      </c>
      <c r="N311" s="1">
        <v>0</v>
      </c>
      <c r="O311" s="1">
        <v>1279</v>
      </c>
      <c r="P311" s="1">
        <v>0</v>
      </c>
      <c r="Q311" s="1">
        <v>501</v>
      </c>
    </row>
    <row r="312" spans="1:17" x14ac:dyDescent="0.3">
      <c r="A312" s="1" t="s">
        <v>27</v>
      </c>
      <c r="B312" s="1" t="s">
        <v>231</v>
      </c>
      <c r="C312" s="1" t="str">
        <f>VLOOKUP(B:B,[6]配额0227!$A:$B,2,0)</f>
        <v>遥控器-塑料</v>
      </c>
      <c r="D312" s="1" t="str">
        <f>VLOOKUP(B:B,'[7]厂家配额 (新)'!$A$1:$C$65536,3,0)</f>
        <v>思恩泰克</v>
      </c>
      <c r="E312" s="1">
        <v>0</v>
      </c>
      <c r="F312" s="1">
        <v>0</v>
      </c>
      <c r="G312" s="1">
        <v>3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</row>
    <row r="313" spans="1:17" x14ac:dyDescent="0.3">
      <c r="A313" s="1" t="s">
        <v>27</v>
      </c>
      <c r="B313" s="1" t="s">
        <v>232</v>
      </c>
      <c r="C313" s="1" t="str">
        <f>VLOOKUP(B:B,[6]配额0227!$A:$B,2,0)</f>
        <v>遥控器-塑料</v>
      </c>
      <c r="D313" s="1" t="str">
        <f>VLOOKUP(B:B,'[7]厂家配额 (新)'!$A$1:$C$65536,3,0)</f>
        <v>思恩泰克</v>
      </c>
      <c r="E313" s="1">
        <v>0</v>
      </c>
      <c r="F313" s="1">
        <v>0</v>
      </c>
      <c r="G313" s="1">
        <v>51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127</v>
      </c>
      <c r="N313" s="1">
        <v>0</v>
      </c>
      <c r="O313" s="1">
        <v>0</v>
      </c>
      <c r="P313" s="1">
        <v>0</v>
      </c>
      <c r="Q313" s="1">
        <v>249</v>
      </c>
    </row>
    <row r="314" spans="1:17" x14ac:dyDescent="0.3">
      <c r="A314" s="1" t="s">
        <v>27</v>
      </c>
      <c r="B314" s="1" t="s">
        <v>414</v>
      </c>
      <c r="C314" s="1" t="str">
        <f>VLOOKUP(B:B,[6]配额0227!$A:$B,2,0)</f>
        <v>遥控器-塑料</v>
      </c>
      <c r="D314" s="1" t="str">
        <f>VLOOKUP(B:B,'[7]厂家配额 (新)'!$A$1:$C$65536,3,0)</f>
        <v>思恩泰克</v>
      </c>
      <c r="E314" s="1">
        <v>0</v>
      </c>
      <c r="F314" s="1">
        <v>0</v>
      </c>
      <c r="G314" s="1">
        <v>0</v>
      </c>
      <c r="H314" s="1">
        <v>30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450</v>
      </c>
    </row>
    <row r="315" spans="1:17" x14ac:dyDescent="0.3">
      <c r="A315" s="1" t="s">
        <v>27</v>
      </c>
      <c r="B315" s="1" t="s">
        <v>235</v>
      </c>
      <c r="C315" s="1" t="str">
        <f>VLOOKUP(B:B,[6]配额0227!$A:$B,2,0)</f>
        <v>遥控器-塑料</v>
      </c>
      <c r="D315" s="1" t="str">
        <f>VLOOKUP(B:B,'[7]厂家配额 (新)'!$A$1:$C$65536,3,0)</f>
        <v>长虹/思恩泰克</v>
      </c>
      <c r="E315" s="1">
        <v>0</v>
      </c>
      <c r="F315" s="1">
        <v>0</v>
      </c>
      <c r="G315" s="1">
        <v>0</v>
      </c>
      <c r="H315" s="1">
        <v>70</v>
      </c>
      <c r="I315" s="1">
        <v>0</v>
      </c>
      <c r="J315" s="1">
        <v>30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</row>
    <row r="316" spans="1:17" x14ac:dyDescent="0.3">
      <c r="A316" s="1" t="s">
        <v>27</v>
      </c>
      <c r="B316" s="1" t="s">
        <v>415</v>
      </c>
      <c r="C316" s="1" t="str">
        <f>VLOOKUP(B:B,[6]配额0227!$A:$B,2,0)</f>
        <v>遥控器-塑料</v>
      </c>
      <c r="D316" s="1" t="str">
        <f>VLOOKUP(B:B,'[7]厂家配额 (新)'!$A$1:$C$65536,3,0)</f>
        <v>长虹/思恩泰克//</v>
      </c>
      <c r="E316" s="1">
        <v>0</v>
      </c>
      <c r="F316" s="1">
        <v>0</v>
      </c>
      <c r="G316" s="1">
        <v>0</v>
      </c>
      <c r="H316" s="1">
        <v>10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</row>
    <row r="317" spans="1:17" x14ac:dyDescent="0.3">
      <c r="A317" s="1" t="s">
        <v>27</v>
      </c>
      <c r="B317" s="1" t="s">
        <v>236</v>
      </c>
      <c r="C317" s="1" t="str">
        <f>VLOOKUP(B:B,[6]配额0227!$A:$B,2,0)</f>
        <v>遥控器-塑料</v>
      </c>
      <c r="D317" s="1" t="str">
        <f>VLOOKUP(B:B,'[7]厂家配额 (新)'!$A$1:$C$65536,3,0)</f>
        <v>思恩泰克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100</v>
      </c>
    </row>
    <row r="318" spans="1:17" x14ac:dyDescent="0.3">
      <c r="A318" s="1" t="s">
        <v>27</v>
      </c>
      <c r="B318" s="1" t="s">
        <v>416</v>
      </c>
      <c r="C318" s="1" t="str">
        <f>VLOOKUP(B:B,[6]配额0227!$A:$B,2,0)</f>
        <v>遥控器-塑料</v>
      </c>
      <c r="D318" s="1" t="str">
        <f>VLOOKUP(B:B,'[7]厂家配额 (新)'!$A$1:$C$65536,3,0)</f>
        <v>思恩泰克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637</v>
      </c>
    </row>
    <row r="319" spans="1:17" x14ac:dyDescent="0.3">
      <c r="A319" s="1" t="s">
        <v>27</v>
      </c>
      <c r="B319" s="1" t="s">
        <v>237</v>
      </c>
      <c r="C319" s="1" t="str">
        <f>VLOOKUP(B:B,[6]配额0227!$A:$B,2,0)</f>
        <v>遥控器-塑料</v>
      </c>
      <c r="D319" s="1" t="str">
        <f>VLOOKUP(B:B,'[7]厂家配额 (新)'!$A$1:$C$65536,3,0)</f>
        <v>思恩泰克</v>
      </c>
      <c r="E319" s="1">
        <v>120</v>
      </c>
      <c r="F319" s="1">
        <v>0</v>
      </c>
      <c r="G319" s="1">
        <v>100</v>
      </c>
      <c r="H319" s="1">
        <v>64</v>
      </c>
      <c r="I319" s="1">
        <v>0</v>
      </c>
      <c r="J319" s="1">
        <v>1730</v>
      </c>
      <c r="K319" s="1">
        <v>0</v>
      </c>
      <c r="L319" s="1">
        <v>2075</v>
      </c>
      <c r="M319" s="1">
        <v>0</v>
      </c>
      <c r="N319" s="1">
        <v>90</v>
      </c>
      <c r="O319" s="1">
        <v>0</v>
      </c>
      <c r="P319" s="1">
        <v>0</v>
      </c>
      <c r="Q319" s="1">
        <v>3478</v>
      </c>
    </row>
    <row r="320" spans="1:17" x14ac:dyDescent="0.3">
      <c r="A320" s="1" t="s">
        <v>27</v>
      </c>
      <c r="B320" s="1" t="s">
        <v>417</v>
      </c>
      <c r="C320" s="1" t="str">
        <f>VLOOKUP(B:B,[6]配额0227!$A:$B,2,0)</f>
        <v>遥控器-塑料冰雪白 HBWH-1404</v>
      </c>
      <c r="D320" s="1" t="str">
        <f>VLOOKUP(B:B,'[7]厂家配额 (新)'!$A$1:$C$65536,3,0)</f>
        <v>思恩泰克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4</v>
      </c>
      <c r="N320" s="1">
        <v>0</v>
      </c>
      <c r="O320" s="1">
        <v>0</v>
      </c>
      <c r="P320" s="1">
        <v>0</v>
      </c>
      <c r="Q320" s="1">
        <v>0</v>
      </c>
    </row>
    <row r="321" spans="1:17" x14ac:dyDescent="0.3">
      <c r="A321" s="1" t="s">
        <v>27</v>
      </c>
      <c r="B321" s="1" t="s">
        <v>238</v>
      </c>
      <c r="C321" s="1" t="str">
        <f>VLOOKUP(B:B,[6]配额0227!$A:$B,2,0)</f>
        <v>遥控器-塑料冰雪白 HBWH-1404</v>
      </c>
      <c r="D321" s="1" t="str">
        <f>VLOOKUP(B:B,'[7]厂家配额 (新)'!$A$1:$C$65536,3,0)</f>
        <v>合晶/思恩泰克//</v>
      </c>
      <c r="E321" s="1">
        <v>0</v>
      </c>
      <c r="F321" s="1">
        <v>0</v>
      </c>
      <c r="G321" s="1">
        <v>0</v>
      </c>
      <c r="H321" s="1">
        <v>10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7730</v>
      </c>
    </row>
    <row r="322" spans="1:17" x14ac:dyDescent="0.3">
      <c r="A322" s="1" t="s">
        <v>27</v>
      </c>
      <c r="B322" s="1" t="s">
        <v>239</v>
      </c>
      <c r="C322" s="1" t="str">
        <f>VLOOKUP(B:B,[6]配额0227!$A:$B,2,0)</f>
        <v>遥控器-冰雪白 WH-0114</v>
      </c>
      <c r="D322" s="1" t="str">
        <f>VLOOKUP(B:B,'[7]厂家配额 (新)'!$A$1:$C$65536,3,0)</f>
        <v>合晶/思恩泰克//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1371</v>
      </c>
    </row>
    <row r="323" spans="1:17" x14ac:dyDescent="0.3">
      <c r="A323" s="1" t="s">
        <v>27</v>
      </c>
      <c r="B323" s="1" t="s">
        <v>418</v>
      </c>
      <c r="C323" s="1" t="str">
        <f>VLOOKUP(B:B,[6]配额0227!$A:$B,2,0)</f>
        <v>遥控器-塑料</v>
      </c>
      <c r="D323" s="1" t="str">
        <f>VLOOKUP(B:B,'[7]厂家配额 (新)'!$A$1:$C$65536,3,0)</f>
        <v>思恩泰克</v>
      </c>
      <c r="E323" s="1">
        <v>0</v>
      </c>
      <c r="F323" s="1">
        <v>0</v>
      </c>
      <c r="G323" s="1">
        <v>0</v>
      </c>
      <c r="H323" s="1">
        <v>0</v>
      </c>
      <c r="I323" s="1">
        <v>2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692</v>
      </c>
    </row>
    <row r="324" spans="1:17" x14ac:dyDescent="0.3">
      <c r="A324" s="1" t="s">
        <v>27</v>
      </c>
      <c r="B324" s="1" t="s">
        <v>419</v>
      </c>
      <c r="C324" s="1" t="str">
        <f>VLOOKUP(B:B,[6]配额0227!$A:$B,2,0)</f>
        <v>遥控器-塑料</v>
      </c>
      <c r="D324" s="1" t="str">
        <f>VLOOKUP(B:B,'[7]厂家配额 (新)'!$A$1:$C$65536,3,0)</f>
        <v>思恩泰克</v>
      </c>
      <c r="E324" s="1">
        <v>0</v>
      </c>
      <c r="F324" s="1">
        <v>1105</v>
      </c>
      <c r="G324" s="1">
        <v>100</v>
      </c>
      <c r="H324" s="1">
        <v>994</v>
      </c>
      <c r="I324" s="1">
        <v>0</v>
      </c>
      <c r="J324" s="1">
        <v>40</v>
      </c>
      <c r="K324" s="1">
        <v>0</v>
      </c>
      <c r="L324" s="1">
        <v>100</v>
      </c>
      <c r="M324" s="1">
        <v>50</v>
      </c>
      <c r="N324" s="1">
        <v>760</v>
      </c>
      <c r="O324" s="1">
        <v>230</v>
      </c>
      <c r="P324" s="1">
        <v>0</v>
      </c>
      <c r="Q324" s="1">
        <v>1499</v>
      </c>
    </row>
    <row r="325" spans="1:17" x14ac:dyDescent="0.3">
      <c r="A325" s="1" t="s">
        <v>27</v>
      </c>
      <c r="B325" s="1" t="s">
        <v>420</v>
      </c>
      <c r="C325" s="1" t="str">
        <f>VLOOKUP(B:B,[6]配额0227!$A:$B,2,0)</f>
        <v>遥控器-塑料</v>
      </c>
      <c r="D325" s="1" t="str">
        <f>VLOOKUP(B:B,'[7]厂家配额 (新)'!$A$1:$C$65536,3,0)</f>
        <v>思恩泰克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50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</row>
    <row r="326" spans="1:17" x14ac:dyDescent="0.3">
      <c r="A326" s="1" t="s">
        <v>27</v>
      </c>
      <c r="B326" s="1" t="s">
        <v>421</v>
      </c>
      <c r="C326" s="1" t="str">
        <f>VLOOKUP(B:B,[6]配额0227!$A:$B,2,0)</f>
        <v>遥控器-塑料</v>
      </c>
      <c r="D326" s="1" t="str">
        <f>VLOOKUP(B:B,'[7]厂家配额 (新)'!$A$1:$C$65536,3,0)</f>
        <v>长虹</v>
      </c>
      <c r="E326" s="1">
        <v>0</v>
      </c>
      <c r="F326" s="1">
        <v>0</v>
      </c>
      <c r="G326" s="1">
        <v>0</v>
      </c>
      <c r="H326" s="1">
        <v>622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</row>
    <row r="327" spans="1:17" x14ac:dyDescent="0.3">
      <c r="A327" s="1" t="s">
        <v>27</v>
      </c>
      <c r="B327" s="1" t="s">
        <v>241</v>
      </c>
      <c r="C327" s="1" t="str">
        <f>VLOOKUP(B:B,[6]配额0227!$A:$B,2,0)</f>
        <v>遥控器-塑料</v>
      </c>
      <c r="D327" s="1" t="str">
        <f>VLOOKUP(B:B,'[7]厂家配额 (新)'!$A$1:$C$65536,3,0)</f>
        <v>思恩泰克</v>
      </c>
      <c r="E327" s="1">
        <v>0</v>
      </c>
      <c r="F327" s="1">
        <v>0</v>
      </c>
      <c r="G327" s="1">
        <v>133</v>
      </c>
      <c r="H327" s="1">
        <v>70</v>
      </c>
      <c r="I327" s="1">
        <v>305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</row>
    <row r="328" spans="1:17" x14ac:dyDescent="0.3">
      <c r="A328" s="1" t="s">
        <v>27</v>
      </c>
      <c r="B328" s="1" t="s">
        <v>242</v>
      </c>
      <c r="C328" s="1" t="str">
        <f>VLOOKUP(B:B,[6]配额0227!$A:$B,2,0)</f>
        <v>遥控器-塑料</v>
      </c>
      <c r="D328" s="1" t="str">
        <f>VLOOKUP(B:B,'[7]厂家配额 (新)'!$A$1:$C$65536,3,0)</f>
        <v>思恩泰克</v>
      </c>
      <c r="E328" s="1">
        <v>0</v>
      </c>
      <c r="F328" s="1">
        <v>0</v>
      </c>
      <c r="G328" s="1">
        <v>195</v>
      </c>
      <c r="H328" s="1">
        <v>0</v>
      </c>
      <c r="I328" s="1">
        <v>135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270</v>
      </c>
      <c r="P328" s="1">
        <v>0</v>
      </c>
      <c r="Q328" s="1">
        <v>1125</v>
      </c>
    </row>
    <row r="329" spans="1:17" x14ac:dyDescent="0.3">
      <c r="A329" s="1" t="s">
        <v>27</v>
      </c>
      <c r="B329" s="1" t="s">
        <v>243</v>
      </c>
      <c r="C329" s="1" t="str">
        <f>VLOOKUP(B:B,[6]配额0227!$A:$B,2,0)</f>
        <v>遥控器-塑料</v>
      </c>
      <c r="D329" s="1" t="str">
        <f>VLOOKUP(B:B,'[7]厂家配额 (新)'!$A$1:$C$65536,3,0)</f>
        <v>合晶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2580</v>
      </c>
    </row>
    <row r="330" spans="1:17" x14ac:dyDescent="0.3">
      <c r="A330" s="1" t="s">
        <v>27</v>
      </c>
      <c r="B330" s="1" t="s">
        <v>422</v>
      </c>
      <c r="C330" s="1" t="str">
        <f>VLOOKUP(B:B,[6]配额0227!$A:$B,2,0)</f>
        <v>遥控器-塑料</v>
      </c>
      <c r="D330" s="1" t="str">
        <f>VLOOKUP(B:B,'[7]厂家配额 (新)'!$A$1:$C$65536,3,0)</f>
        <v>思恩泰克/合晶//</v>
      </c>
      <c r="E330" s="1">
        <v>0</v>
      </c>
      <c r="F330" s="1">
        <v>539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450</v>
      </c>
      <c r="N330" s="1">
        <v>0</v>
      </c>
      <c r="O330" s="1">
        <v>0</v>
      </c>
      <c r="P330" s="1">
        <v>0</v>
      </c>
      <c r="Q330" s="1">
        <v>0</v>
      </c>
    </row>
    <row r="331" spans="1:17" x14ac:dyDescent="0.3">
      <c r="A331" s="1" t="s">
        <v>27</v>
      </c>
      <c r="B331" s="1" t="s">
        <v>423</v>
      </c>
      <c r="C331" s="1" t="str">
        <f>VLOOKUP(B:B,[6]配额0227!$A:$B,2,0)</f>
        <v>遥控器-塑料</v>
      </c>
      <c r="D331" s="1" t="str">
        <f>VLOOKUP(B:B,'[7]厂家配额 (新)'!$A$1:$C$65536,3,0)</f>
        <v>思恩泰克</v>
      </c>
      <c r="E331" s="1">
        <v>0</v>
      </c>
      <c r="F331" s="1">
        <v>0</v>
      </c>
      <c r="G331" s="1">
        <v>1256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</row>
    <row r="332" spans="1:17" x14ac:dyDescent="0.3">
      <c r="A332" s="1" t="s">
        <v>27</v>
      </c>
      <c r="B332" s="1" t="s">
        <v>424</v>
      </c>
      <c r="C332" s="1" t="str">
        <f>VLOOKUP(B:B,[6]配额0227!$A:$B,2,0)</f>
        <v>遥控器-塑料HE</v>
      </c>
      <c r="D332" s="1" t="str">
        <f>VLOOKUP(B:B,'[7]厂家配额 (新)'!$A$1:$C$65536,3,0)</f>
        <v>福尼特</v>
      </c>
      <c r="E332" s="1">
        <v>250</v>
      </c>
      <c r="F332" s="1">
        <v>0</v>
      </c>
      <c r="G332" s="1">
        <v>0</v>
      </c>
      <c r="H332" s="1">
        <v>250</v>
      </c>
      <c r="I332" s="1">
        <v>0</v>
      </c>
      <c r="J332" s="1">
        <v>0</v>
      </c>
      <c r="K332" s="1">
        <v>830</v>
      </c>
      <c r="L332" s="1">
        <v>1</v>
      </c>
      <c r="M332" s="1">
        <v>0</v>
      </c>
      <c r="N332" s="1">
        <v>0</v>
      </c>
      <c r="O332" s="1">
        <v>470</v>
      </c>
      <c r="P332" s="1">
        <v>0</v>
      </c>
      <c r="Q332" s="1">
        <v>0</v>
      </c>
    </row>
    <row r="333" spans="1:17" x14ac:dyDescent="0.3">
      <c r="A333" s="1" t="s">
        <v>27</v>
      </c>
      <c r="B333" s="1" t="s">
        <v>244</v>
      </c>
      <c r="C333" s="1" t="str">
        <f>VLOOKUP(B:B,[6]配额0227!$A:$B,2,0)</f>
        <v>遥控器-塑料HE</v>
      </c>
      <c r="D333" s="1" t="str">
        <f>VLOOKUP(B:B,'[7]厂家配额 (新)'!$A$1:$C$65536,3,0)</f>
        <v>福尼特/合晶//</v>
      </c>
      <c r="E333" s="1">
        <v>1100</v>
      </c>
      <c r="F333" s="1">
        <v>0</v>
      </c>
      <c r="G333" s="1">
        <v>0</v>
      </c>
      <c r="H333" s="1">
        <v>1000</v>
      </c>
      <c r="I333" s="1">
        <v>20</v>
      </c>
      <c r="J333" s="1">
        <v>0</v>
      </c>
      <c r="K333" s="1">
        <v>1580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</row>
    <row r="334" spans="1:17" x14ac:dyDescent="0.3">
      <c r="A334" s="1" t="s">
        <v>27</v>
      </c>
      <c r="B334" s="1" t="s">
        <v>425</v>
      </c>
      <c r="C334" s="1" t="str">
        <f>VLOOKUP(B:B,[6]配额0227!$A:$B,2,0)</f>
        <v>遥控器-塑料</v>
      </c>
      <c r="D334" s="1" t="str">
        <f>VLOOKUP(B:B,'[7]厂家配额 (新)'!$A$1:$C$65536,3,0)</f>
        <v>合晶/福尼特//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20</v>
      </c>
    </row>
    <row r="335" spans="1:17" x14ac:dyDescent="0.3">
      <c r="A335" s="1" t="s">
        <v>27</v>
      </c>
      <c r="B335" s="1" t="s">
        <v>426</v>
      </c>
      <c r="C335" s="1" t="str">
        <f>VLOOKUP(B:B,[6]配额0227!$A:$B,2,0)</f>
        <v>遥控器-塑料</v>
      </c>
      <c r="D335" s="1" t="str">
        <f>VLOOKUP(B:B,'[7]厂家配额 (新)'!$A$1:$C$65536,3,0)</f>
        <v>长虹</v>
      </c>
      <c r="E335" s="1">
        <v>0</v>
      </c>
      <c r="F335" s="1">
        <v>0</v>
      </c>
      <c r="G335" s="1">
        <v>0</v>
      </c>
      <c r="H335" s="1">
        <v>3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</row>
    <row r="336" spans="1:17" x14ac:dyDescent="0.3">
      <c r="A336" s="1" t="s">
        <v>27</v>
      </c>
      <c r="B336" s="1" t="s">
        <v>427</v>
      </c>
      <c r="C336" s="1" t="str">
        <f>VLOOKUP(B:B,[6]配额0227!$A:$B,2,0)</f>
        <v>遥控器-塑料</v>
      </c>
      <c r="D336" s="1" t="str">
        <f>VLOOKUP(B:B,'[7]厂家配额 (新)'!$A$1:$C$65536,3,0)</f>
        <v>长虹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1185</v>
      </c>
    </row>
    <row r="337" spans="1:17" x14ac:dyDescent="0.3">
      <c r="A337" s="1" t="s">
        <v>27</v>
      </c>
      <c r="B337" s="1" t="s">
        <v>428</v>
      </c>
      <c r="C337" s="1" t="str">
        <f>VLOOKUP(B:B,[6]配额0227!$A:$B,2,0)</f>
        <v>遥控器</v>
      </c>
      <c r="D337" s="1" t="str">
        <f>VLOOKUP(B:B,'[7]厂家配额 (新)'!$A$1:$C$65536,3,0)</f>
        <v>长虹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2100</v>
      </c>
      <c r="M337" s="1">
        <v>640</v>
      </c>
      <c r="N337" s="1">
        <v>0</v>
      </c>
      <c r="O337" s="1">
        <v>0</v>
      </c>
      <c r="P337" s="1">
        <v>0</v>
      </c>
      <c r="Q337" s="1">
        <v>0</v>
      </c>
    </row>
    <row r="338" spans="1:17" x14ac:dyDescent="0.3">
      <c r="A338" s="1" t="s">
        <v>27</v>
      </c>
      <c r="B338" s="1" t="s">
        <v>429</v>
      </c>
      <c r="C338" s="1" t="str">
        <f>VLOOKUP(B:B,[6]配额0227!$A:$B,2,0)</f>
        <v>遥控器</v>
      </c>
      <c r="D338" s="1" t="str">
        <f>VLOOKUP(B:B,'[7]厂家配额 (新)'!$A$1:$C$65536,3,0)</f>
        <v>长虹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510</v>
      </c>
      <c r="K338" s="1">
        <v>3576</v>
      </c>
      <c r="L338" s="1">
        <v>0</v>
      </c>
      <c r="M338" s="1">
        <v>0</v>
      </c>
      <c r="N338" s="1">
        <v>3</v>
      </c>
      <c r="O338" s="1">
        <v>0</v>
      </c>
      <c r="P338" s="1">
        <v>0</v>
      </c>
      <c r="Q338" s="1">
        <v>0</v>
      </c>
    </row>
    <row r="339" spans="1:17" x14ac:dyDescent="0.3">
      <c r="A339" s="1" t="s">
        <v>27</v>
      </c>
      <c r="B339" s="1" t="s">
        <v>430</v>
      </c>
      <c r="C339" s="1" t="str">
        <f>VLOOKUP(B:B,[6]配额0227!$A:$B,2,0)</f>
        <v>遥控器-塑料冰雪白 HBWH-1404</v>
      </c>
      <c r="D339" s="1" t="str">
        <f>VLOOKUP(B:B,'[7]厂家配额 (新)'!$A$1:$C$65536,3,0)</f>
        <v>福尼特/长虹//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1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</row>
    <row r="340" spans="1:17" x14ac:dyDescent="0.3">
      <c r="A340" s="1" t="s">
        <v>27</v>
      </c>
      <c r="B340" s="1" t="s">
        <v>431</v>
      </c>
      <c r="C340" s="1" t="str">
        <f>VLOOKUP(B:B,[6]配额0227!$A:$B,2,0)</f>
        <v>遥控器-塑料</v>
      </c>
      <c r="D340" s="1" t="str">
        <f>VLOOKUP(B:B,'[7]厂家配额 (新)'!$A$1:$C$65536,3,0)</f>
        <v>长虹</v>
      </c>
      <c r="E340" s="1">
        <v>63</v>
      </c>
      <c r="F340" s="1">
        <v>0</v>
      </c>
      <c r="G340" s="1">
        <v>204</v>
      </c>
      <c r="H340" s="1">
        <v>0</v>
      </c>
      <c r="I340" s="1">
        <v>0</v>
      </c>
      <c r="J340" s="1">
        <v>62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1427</v>
      </c>
    </row>
    <row r="341" spans="1:17" x14ac:dyDescent="0.3">
      <c r="A341" s="1" t="s">
        <v>27</v>
      </c>
      <c r="B341" s="1" t="s">
        <v>432</v>
      </c>
      <c r="C341" s="1" t="str">
        <f>VLOOKUP(B:B,[6]配额0227!$A:$B,2,0)</f>
        <v>遥控器-塑料</v>
      </c>
      <c r="D341" s="1" t="str">
        <f>VLOOKUP(B:B,'[7]厂家配额 (新)'!$A$1:$C$65536,3,0)</f>
        <v>长虹</v>
      </c>
      <c r="E341" s="1">
        <v>0</v>
      </c>
      <c r="F341" s="1">
        <v>0</v>
      </c>
      <c r="G341" s="1">
        <v>64</v>
      </c>
      <c r="H341" s="1">
        <v>0</v>
      </c>
      <c r="I341" s="1">
        <v>0</v>
      </c>
      <c r="J341" s="1">
        <v>58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288</v>
      </c>
    </row>
    <row r="342" spans="1:17" x14ac:dyDescent="0.3">
      <c r="A342" s="1" t="s">
        <v>27</v>
      </c>
      <c r="B342" s="1" t="s">
        <v>245</v>
      </c>
      <c r="C342" s="1" t="str">
        <f>VLOOKUP(B:B,[6]配额0227!$A:$B,2,0)</f>
        <v>遥控器-塑料</v>
      </c>
      <c r="D342" s="1" t="str">
        <f>VLOOKUP(B:B,'[7]厂家配额 (新)'!$A$1:$C$65536,3,0)</f>
        <v>长虹</v>
      </c>
      <c r="E342" s="1">
        <v>98</v>
      </c>
      <c r="F342" s="1">
        <v>180</v>
      </c>
      <c r="G342" s="1">
        <v>0</v>
      </c>
      <c r="H342" s="1">
        <v>15</v>
      </c>
      <c r="I342" s="1">
        <v>0</v>
      </c>
      <c r="J342" s="1">
        <v>1240</v>
      </c>
      <c r="K342" s="1">
        <v>0</v>
      </c>
      <c r="L342" s="1">
        <v>250</v>
      </c>
      <c r="M342" s="1">
        <v>0</v>
      </c>
      <c r="N342" s="1">
        <v>0</v>
      </c>
      <c r="O342" s="1">
        <v>0</v>
      </c>
      <c r="P342" s="1">
        <v>0</v>
      </c>
      <c r="Q342" s="1">
        <v>1500</v>
      </c>
    </row>
    <row r="343" spans="1:17" x14ac:dyDescent="0.3">
      <c r="A343" s="1" t="s">
        <v>27</v>
      </c>
      <c r="B343" s="1" t="s">
        <v>246</v>
      </c>
      <c r="C343" s="1" t="str">
        <f>VLOOKUP(B:B,[6]配额0227!$A:$B,2,0)</f>
        <v>遥控器-塑料</v>
      </c>
      <c r="D343" s="1" t="str">
        <f>VLOOKUP(B:B,'[7]厂家配额 (新)'!$A$1:$C$65536,3,0)</f>
        <v>长虹</v>
      </c>
      <c r="E343" s="1">
        <v>886</v>
      </c>
      <c r="F343" s="1">
        <v>79</v>
      </c>
      <c r="G343" s="1">
        <v>250</v>
      </c>
      <c r="H343" s="1">
        <v>20</v>
      </c>
      <c r="I343" s="1">
        <v>0</v>
      </c>
      <c r="J343" s="1">
        <v>0</v>
      </c>
      <c r="K343" s="1">
        <v>165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1410</v>
      </c>
    </row>
    <row r="344" spans="1:17" x14ac:dyDescent="0.3">
      <c r="A344" s="1" t="s">
        <v>27</v>
      </c>
      <c r="B344" s="1" t="s">
        <v>247</v>
      </c>
      <c r="C344" s="1" t="str">
        <f>VLOOKUP(B:B,[6]配额0227!$A:$B,2,0)</f>
        <v>遥控器-塑料</v>
      </c>
      <c r="D344" s="1" t="str">
        <f>VLOOKUP(B:B,'[7]厂家配额 (新)'!$A$1:$C$65536,3,0)</f>
        <v>长虹</v>
      </c>
      <c r="E344" s="1">
        <v>0</v>
      </c>
      <c r="F344" s="1">
        <v>0</v>
      </c>
      <c r="G344" s="1">
        <v>0</v>
      </c>
      <c r="H344" s="1">
        <v>30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</row>
    <row r="345" spans="1:17" x14ac:dyDescent="0.3">
      <c r="A345" s="1" t="s">
        <v>27</v>
      </c>
      <c r="B345" s="1" t="s">
        <v>387</v>
      </c>
      <c r="C345" s="1" t="str">
        <f>VLOOKUP(B:B,[6]配额0227!$A:$B,2,0)</f>
        <v>遥控器-塑料冰雪白 HBWH-1404</v>
      </c>
      <c r="D345" s="1" t="str">
        <f>VLOOKUP(B:B,'[7]厂家配额 (新)'!$A$1:$C$65536,3,0)</f>
        <v>长虹</v>
      </c>
      <c r="E345" s="1">
        <v>0</v>
      </c>
      <c r="F345" s="1">
        <v>0</v>
      </c>
      <c r="G345" s="1">
        <v>0</v>
      </c>
      <c r="H345" s="1">
        <v>50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</row>
    <row r="346" spans="1:17" x14ac:dyDescent="0.3">
      <c r="A346" s="1" t="s">
        <v>27</v>
      </c>
      <c r="B346" s="1" t="s">
        <v>433</v>
      </c>
      <c r="C346" s="1" t="str">
        <f>VLOOKUP(B:B,[6]配额0227!$A:$B,2,0)</f>
        <v>遥控器-塑料</v>
      </c>
      <c r="D346" s="1" t="str">
        <f>VLOOKUP(B:B,'[7]厂家配额 (新)'!$A$1:$C$65536,3,0)</f>
        <v>长虹</v>
      </c>
      <c r="E346" s="1">
        <v>0</v>
      </c>
      <c r="F346" s="1">
        <v>0</v>
      </c>
      <c r="G346" s="1">
        <v>78</v>
      </c>
      <c r="H346" s="1">
        <v>0</v>
      </c>
      <c r="I346" s="1">
        <v>0</v>
      </c>
      <c r="J346" s="1">
        <v>18</v>
      </c>
      <c r="K346" s="1">
        <v>60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1381</v>
      </c>
    </row>
    <row r="347" spans="1:17" x14ac:dyDescent="0.3">
      <c r="A347" s="1" t="s">
        <v>27</v>
      </c>
      <c r="B347" s="1" t="s">
        <v>434</v>
      </c>
      <c r="C347" s="1" t="str">
        <f>VLOOKUP(B:B,[6]配额0227!$A:$B,2,0)</f>
        <v>遥控器-塑料</v>
      </c>
      <c r="D347" s="1" t="str">
        <f>VLOOKUP(B:B,'[7]厂家配额 (新)'!$A$1:$C$65536,3,0)</f>
        <v>长虹</v>
      </c>
      <c r="E347" s="1">
        <v>0</v>
      </c>
      <c r="F347" s="1">
        <v>0</v>
      </c>
      <c r="G347" s="1">
        <v>78</v>
      </c>
      <c r="H347" s="1">
        <v>0</v>
      </c>
      <c r="I347" s="1">
        <v>0</v>
      </c>
      <c r="J347" s="1">
        <v>71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174</v>
      </c>
    </row>
    <row r="348" spans="1:17" x14ac:dyDescent="0.3">
      <c r="A348" s="1" t="s">
        <v>27</v>
      </c>
      <c r="B348" s="1" t="s">
        <v>249</v>
      </c>
      <c r="C348" s="1" t="str">
        <f>VLOOKUP(B:B,[6]配额0227!$A:$B,2,0)</f>
        <v>遥控器-塑料</v>
      </c>
      <c r="D348" s="1" t="str">
        <f>VLOOKUP(B:B,'[7]厂家配额 (新)'!$A$1:$C$65536,3,0)</f>
        <v>合晶</v>
      </c>
      <c r="E348" s="1">
        <v>0</v>
      </c>
      <c r="F348" s="1">
        <v>0</v>
      </c>
      <c r="G348" s="1">
        <v>0</v>
      </c>
      <c r="H348" s="1">
        <v>1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</row>
    <row r="349" spans="1:17" x14ac:dyDescent="0.3">
      <c r="A349" s="1" t="s">
        <v>27</v>
      </c>
      <c r="B349" s="1" t="s">
        <v>250</v>
      </c>
      <c r="C349" s="1" t="str">
        <f>VLOOKUP(B:B,[6]配额0227!$A:$B,2,0)</f>
        <v>遥控器-塑料</v>
      </c>
      <c r="D349" s="1" t="str">
        <f>VLOOKUP(B:B,'[7]厂家配额 (新)'!$A$1:$C$65536,3,0)</f>
        <v>合晶</v>
      </c>
      <c r="E349" s="1">
        <v>0</v>
      </c>
      <c r="F349" s="1">
        <v>0</v>
      </c>
      <c r="G349" s="1">
        <v>93</v>
      </c>
      <c r="H349" s="1">
        <v>0</v>
      </c>
      <c r="I349" s="1">
        <v>0</v>
      </c>
      <c r="J349" s="1">
        <v>0</v>
      </c>
      <c r="K349" s="1">
        <v>5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2165</v>
      </c>
    </row>
    <row r="350" spans="1:17" x14ac:dyDescent="0.3">
      <c r="A350" s="1" t="s">
        <v>27</v>
      </c>
      <c r="B350" s="1" t="s">
        <v>435</v>
      </c>
      <c r="C350" s="1" t="str">
        <f>VLOOKUP(B:B,[6]配额0227!$A:$B,2,0)</f>
        <v>遥控器</v>
      </c>
      <c r="D350" s="1" t="str">
        <f>VLOOKUP(B:B,'[7]厂家配额 (新)'!$A$1:$C$65536,3,0)</f>
        <v>合晶</v>
      </c>
      <c r="E350" s="1">
        <v>0</v>
      </c>
      <c r="F350" s="1">
        <v>0</v>
      </c>
      <c r="G350" s="1">
        <v>0</v>
      </c>
      <c r="H350" s="1">
        <v>13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</row>
    <row r="351" spans="1:17" x14ac:dyDescent="0.3">
      <c r="A351" s="1" t="s">
        <v>27</v>
      </c>
      <c r="B351" s="1" t="s">
        <v>251</v>
      </c>
      <c r="C351" s="1" t="str">
        <f>VLOOKUP(B:B,[6]配额0227!$A:$B,2,0)</f>
        <v>遥控器-塑料</v>
      </c>
      <c r="D351" s="1" t="str">
        <f>VLOOKUP(B:B,'[7]厂家配额 (新)'!$A$1:$C$65536,3,0)</f>
        <v>合晶</v>
      </c>
      <c r="E351" s="1">
        <v>0</v>
      </c>
      <c r="F351" s="1">
        <v>382</v>
      </c>
      <c r="G351" s="1">
        <v>574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11207</v>
      </c>
    </row>
    <row r="352" spans="1:17" x14ac:dyDescent="0.3">
      <c r="A352" s="1" t="s">
        <v>27</v>
      </c>
      <c r="B352" s="1" t="s">
        <v>436</v>
      </c>
      <c r="C352" s="1" t="str">
        <f>VLOOKUP(B:B,[6]配额0227!$A:$B,2,0)</f>
        <v>遥控器-塑料</v>
      </c>
      <c r="D352" s="1" t="str">
        <f>VLOOKUP(B:B,'[7]厂家配额 (新)'!$A$1:$C$65536,3,0)</f>
        <v>合晶</v>
      </c>
      <c r="E352" s="1">
        <v>3298</v>
      </c>
      <c r="F352" s="1">
        <v>990</v>
      </c>
      <c r="G352" s="1">
        <v>0</v>
      </c>
      <c r="H352" s="1">
        <v>24</v>
      </c>
      <c r="I352" s="1">
        <v>0</v>
      </c>
      <c r="J352" s="1">
        <v>378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527</v>
      </c>
    </row>
    <row r="353" spans="1:17" x14ac:dyDescent="0.3">
      <c r="A353" s="1" t="s">
        <v>27</v>
      </c>
      <c r="B353" s="1" t="s">
        <v>252</v>
      </c>
      <c r="C353" s="1" t="str">
        <f>VLOOKUP(B:B,[6]配额0227!$A:$B,2,0)</f>
        <v>遥控器-塑料</v>
      </c>
      <c r="D353" s="1" t="str">
        <f>VLOOKUP(B:B,'[7]厂家配额 (新)'!$A$1:$C$65536,3,0)</f>
        <v>合晶</v>
      </c>
      <c r="E353" s="1">
        <v>831</v>
      </c>
      <c r="F353" s="1">
        <v>3215</v>
      </c>
      <c r="G353" s="1">
        <v>290</v>
      </c>
      <c r="H353" s="1">
        <v>292</v>
      </c>
      <c r="I353" s="1">
        <v>1830</v>
      </c>
      <c r="J353" s="1">
        <v>935</v>
      </c>
      <c r="K353" s="1">
        <v>0</v>
      </c>
      <c r="L353" s="1">
        <v>370</v>
      </c>
      <c r="M353" s="1">
        <v>1627</v>
      </c>
      <c r="N353" s="1">
        <v>4050</v>
      </c>
      <c r="O353" s="1">
        <v>1250</v>
      </c>
      <c r="P353" s="1">
        <v>0</v>
      </c>
      <c r="Q353" s="1">
        <v>5855</v>
      </c>
    </row>
    <row r="354" spans="1:17" x14ac:dyDescent="0.3">
      <c r="A354" s="1" t="s">
        <v>27</v>
      </c>
      <c r="B354" s="1" t="s">
        <v>253</v>
      </c>
      <c r="C354" s="1" t="str">
        <f>VLOOKUP(B:B,[6]配额0227!$A:$B,2,0)</f>
        <v>遥控器-塑料</v>
      </c>
      <c r="D354" s="1" t="str">
        <f>VLOOKUP(B:B,'[7]厂家配额 (新)'!$A$1:$C$65536,3,0)</f>
        <v>合晶</v>
      </c>
      <c r="E354" s="1">
        <v>0</v>
      </c>
      <c r="F354" s="1">
        <v>0</v>
      </c>
      <c r="G354" s="1">
        <v>607</v>
      </c>
      <c r="H354" s="1">
        <v>1821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2768</v>
      </c>
    </row>
    <row r="355" spans="1:17" x14ac:dyDescent="0.3">
      <c r="A355" s="1" t="s">
        <v>27</v>
      </c>
      <c r="B355" s="1" t="s">
        <v>437</v>
      </c>
      <c r="C355" s="1" t="str">
        <f>VLOOKUP(B:B,[6]配额0227!$A:$B,2,0)</f>
        <v>遥控器-塑料</v>
      </c>
      <c r="D355" s="1" t="str">
        <f>VLOOKUP(B:B,'[7]厂家配额 (新)'!$A$1:$C$65536,3,0)</f>
        <v>合晶</v>
      </c>
      <c r="E355" s="1">
        <v>0</v>
      </c>
      <c r="F355" s="1">
        <v>0</v>
      </c>
      <c r="G355" s="1">
        <v>196</v>
      </c>
      <c r="H355" s="1">
        <v>0</v>
      </c>
      <c r="I355" s="1">
        <v>330</v>
      </c>
      <c r="J355" s="1">
        <v>0</v>
      </c>
      <c r="K355" s="1">
        <v>0</v>
      </c>
      <c r="L355" s="1">
        <v>0</v>
      </c>
      <c r="M355" s="1">
        <v>0</v>
      </c>
      <c r="N355" s="1">
        <v>600</v>
      </c>
      <c r="O355" s="1">
        <v>6548</v>
      </c>
      <c r="P355" s="1">
        <v>0</v>
      </c>
      <c r="Q355" s="1">
        <v>2596</v>
      </c>
    </row>
    <row r="356" spans="1:17" x14ac:dyDescent="0.3">
      <c r="A356" s="1" t="s">
        <v>27</v>
      </c>
      <c r="B356" s="1" t="s">
        <v>438</v>
      </c>
      <c r="C356" s="1" t="str">
        <f>VLOOKUP(B:B,[6]配额0227!$A:$B,2,0)</f>
        <v>遥控器</v>
      </c>
      <c r="D356" s="1" t="str">
        <f>VLOOKUP(B:B,'[7]厂家配额 (新)'!$A$1:$C$65536,3,0)</f>
        <v>合晶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745</v>
      </c>
    </row>
    <row r="357" spans="1:17" x14ac:dyDescent="0.3">
      <c r="A357" s="1" t="s">
        <v>27</v>
      </c>
      <c r="B357" s="1" t="s">
        <v>254</v>
      </c>
      <c r="C357" s="1" t="str">
        <f>VLOOKUP(B:B,[6]配额0227!$A:$B,2,0)</f>
        <v>端子排-/</v>
      </c>
      <c r="D357" s="1" t="str">
        <f>VLOOKUP(B:B,'[7]厂家配额 (新)'!$A$1:$C$65536,3,0)</f>
        <v>乐清金龙电子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1569</v>
      </c>
    </row>
    <row r="358" spans="1:17" x14ac:dyDescent="0.3">
      <c r="A358" s="1" t="s">
        <v>27</v>
      </c>
      <c r="B358" s="1" t="s">
        <v>255</v>
      </c>
      <c r="C358" s="1" t="str">
        <f>VLOOKUP(B:B,[6]配额0227!$A:$B,2,0)</f>
        <v>端子排-/</v>
      </c>
      <c r="D358" s="1" t="str">
        <f>VLOOKUP(B:B,'[7]厂家配额 (新)'!$A$1:$C$65536,3,0)</f>
        <v>乐清金龙电子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1569</v>
      </c>
    </row>
    <row r="359" spans="1:17" x14ac:dyDescent="0.3">
      <c r="A359" s="1" t="s">
        <v>27</v>
      </c>
      <c r="B359" s="1" t="s">
        <v>256</v>
      </c>
      <c r="C359" s="1" t="str">
        <f>VLOOKUP(B:B,[6]配额0227!$A:$B,2,0)</f>
        <v>端子排-塑料</v>
      </c>
      <c r="D359" s="1" t="str">
        <f>VLOOKUP(B:B,'[7]厂家配额 (新)'!$A$1:$C$65536,3,0)</f>
        <v>源峰</v>
      </c>
      <c r="E359" s="1">
        <v>600</v>
      </c>
      <c r="F359" s="1">
        <v>0</v>
      </c>
      <c r="G359" s="1">
        <v>0</v>
      </c>
      <c r="H359" s="1">
        <v>0</v>
      </c>
      <c r="I359" s="1">
        <v>0</v>
      </c>
      <c r="J359" s="1">
        <v>3410</v>
      </c>
      <c r="K359" s="1">
        <v>3645</v>
      </c>
      <c r="L359" s="1">
        <v>1554</v>
      </c>
      <c r="M359" s="1">
        <v>0</v>
      </c>
      <c r="N359" s="1">
        <v>0</v>
      </c>
      <c r="O359" s="1">
        <v>0</v>
      </c>
      <c r="P359" s="1">
        <v>0</v>
      </c>
      <c r="Q359" s="1">
        <v>1530</v>
      </c>
    </row>
    <row r="360" spans="1:17" x14ac:dyDescent="0.3">
      <c r="A360" s="1" t="s">
        <v>27</v>
      </c>
      <c r="B360" s="1" t="s">
        <v>439</v>
      </c>
      <c r="C360" s="1" t="str">
        <f>VLOOKUP(B:B,[6]配额0227!$A:$B,2,0)</f>
        <v>端子排-/</v>
      </c>
      <c r="D360" s="1" t="str">
        <f>VLOOKUP(B:B,'[7]厂家配额 (新)'!$A$1:$C$65536,3,0)</f>
        <v>凯都</v>
      </c>
      <c r="E360" s="1">
        <v>0</v>
      </c>
      <c r="F360" s="1">
        <v>135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238</v>
      </c>
      <c r="N360" s="1">
        <v>0</v>
      </c>
      <c r="O360" s="1">
        <v>0</v>
      </c>
      <c r="P360" s="1">
        <v>0</v>
      </c>
      <c r="Q360" s="1">
        <v>615</v>
      </c>
    </row>
    <row r="361" spans="1:17" x14ac:dyDescent="0.3">
      <c r="A361" s="1" t="s">
        <v>27</v>
      </c>
      <c r="B361" s="1" t="s">
        <v>440</v>
      </c>
      <c r="C361" s="1" t="str">
        <f>VLOOKUP(B:B,[6]配额0227!$A:$B,2,0)</f>
        <v>端子排-PBT</v>
      </c>
      <c r="D361" s="1" t="str">
        <f>VLOOKUP(B:B,'[7]厂家配额 (新)'!$A$1:$C$65536,3,0)</f>
        <v>凯都</v>
      </c>
      <c r="E361" s="1">
        <v>0</v>
      </c>
      <c r="F361" s="1">
        <v>15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120</v>
      </c>
    </row>
    <row r="362" spans="1:17" x14ac:dyDescent="0.3">
      <c r="A362" s="1" t="s">
        <v>27</v>
      </c>
      <c r="B362" s="1" t="s">
        <v>441</v>
      </c>
      <c r="C362" s="1" t="str">
        <f>VLOOKUP(B:B,[6]配额0227!$A:$B,2,0)</f>
        <v>端子排-/</v>
      </c>
      <c r="D362" s="1" t="str">
        <f>VLOOKUP(B:B,'[7]厂家配额 (新)'!$A$1:$C$65536,3,0)</f>
        <v>华冠</v>
      </c>
      <c r="E362" s="1">
        <v>0</v>
      </c>
      <c r="F362" s="1">
        <v>0</v>
      </c>
      <c r="G362" s="1">
        <v>5</v>
      </c>
      <c r="H362" s="1">
        <v>0</v>
      </c>
      <c r="I362" s="1">
        <v>0</v>
      </c>
      <c r="J362" s="1">
        <v>0</v>
      </c>
      <c r="K362" s="1">
        <v>0</v>
      </c>
      <c r="L362" s="1">
        <v>210</v>
      </c>
      <c r="M362" s="1">
        <v>2110</v>
      </c>
      <c r="N362" s="1">
        <v>1140</v>
      </c>
      <c r="O362" s="1">
        <v>0</v>
      </c>
      <c r="P362" s="1">
        <v>0</v>
      </c>
      <c r="Q362" s="1">
        <v>130</v>
      </c>
    </row>
    <row r="363" spans="1:17" x14ac:dyDescent="0.3">
      <c r="A363" s="1" t="s">
        <v>27</v>
      </c>
      <c r="B363" s="1" t="s">
        <v>257</v>
      </c>
      <c r="C363" s="1" t="str">
        <f>VLOOKUP(B:B,[6]配额0227!$A:$B,2,0)</f>
        <v>遥控器-塑料</v>
      </c>
      <c r="D363" s="1" t="str">
        <f>VLOOKUP(B:B,'[7]厂家配额 (新)'!$A$1:$C$65536,3,0)</f>
        <v>合晶/长虹//</v>
      </c>
      <c r="E363" s="1">
        <v>0</v>
      </c>
      <c r="F363" s="1">
        <v>280</v>
      </c>
      <c r="G363" s="1">
        <v>0</v>
      </c>
      <c r="H363" s="1">
        <v>400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6101</v>
      </c>
    </row>
    <row r="364" spans="1:17" x14ac:dyDescent="0.3">
      <c r="A364" s="1" t="s">
        <v>27</v>
      </c>
      <c r="B364" s="1" t="s">
        <v>442</v>
      </c>
      <c r="C364" s="1" t="str">
        <f>VLOOKUP(B:B,[6]配额0227!$A:$B,2,0)</f>
        <v>端子排-/JXW-3-B30A端子排-3-3C-30A-</v>
      </c>
      <c r="D364" s="1" t="str">
        <f>VLOOKUP(B:B,'[7]厂家配额 (新)'!$A$1:$C$65536,3,0)</f>
        <v>华冠</v>
      </c>
      <c r="E364" s="1">
        <v>0</v>
      </c>
      <c r="F364" s="1">
        <v>3126</v>
      </c>
      <c r="G364" s="1">
        <v>0</v>
      </c>
      <c r="H364" s="1">
        <v>0</v>
      </c>
      <c r="I364" s="1">
        <v>16</v>
      </c>
      <c r="J364" s="1">
        <v>4527</v>
      </c>
      <c r="K364" s="1">
        <v>3047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7185</v>
      </c>
    </row>
    <row r="365" spans="1:17" x14ac:dyDescent="0.3">
      <c r="A365" s="1" t="s">
        <v>27</v>
      </c>
      <c r="B365" s="1" t="s">
        <v>443</v>
      </c>
      <c r="C365" s="1" t="str">
        <f>VLOOKUP(B:B,[6]配额0227!$A:$B,2,0)</f>
        <v>显示面板-FR-4---</v>
      </c>
      <c r="D365" s="1" t="str">
        <f>VLOOKUP(B:B,'[7]厂家配额 (新)'!$A$1:$C$65536,3,0)</f>
        <v>领智</v>
      </c>
      <c r="E365" s="1">
        <v>0</v>
      </c>
      <c r="F365" s="1">
        <v>0</v>
      </c>
      <c r="G365" s="1">
        <v>142</v>
      </c>
      <c r="H365" s="1">
        <v>0</v>
      </c>
      <c r="I365" s="1">
        <v>0</v>
      </c>
      <c r="J365" s="1">
        <v>129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462</v>
      </c>
    </row>
    <row r="366" spans="1:17" x14ac:dyDescent="0.3">
      <c r="A366" s="1" t="s">
        <v>27</v>
      </c>
      <c r="B366" s="1" t="s">
        <v>444</v>
      </c>
      <c r="C366" s="1" t="str">
        <f>VLOOKUP(B:B,[6]配额0227!$A:$B,2,0)</f>
        <v>室外模块驱动板-FR-4---</v>
      </c>
      <c r="D366" s="1" t="str">
        <f>VLOOKUP(B:B,'[7]厂家配额 (新)'!$A$1:$C$65536,3,0)</f>
        <v>航嘉/领智//</v>
      </c>
      <c r="E366" s="1">
        <v>0</v>
      </c>
      <c r="F366" s="1">
        <v>0</v>
      </c>
      <c r="G366" s="1">
        <v>0</v>
      </c>
      <c r="H366" s="1">
        <v>1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</row>
    <row r="367" spans="1:17" x14ac:dyDescent="0.3">
      <c r="A367" s="1" t="s">
        <v>27</v>
      </c>
      <c r="B367" s="1" t="s">
        <v>445</v>
      </c>
      <c r="C367" s="1" t="str">
        <f>VLOOKUP(B:B,[6]配额0227!$A:$B,2,0)</f>
        <v>室外模块驱动板-FR-4---</v>
      </c>
      <c r="D367" s="1" t="str">
        <f>VLOOKUP(B:B,'[7]厂家配额 (新)'!$A$1:$C$65536,3,0)</f>
        <v>领智</v>
      </c>
      <c r="E367" s="1">
        <v>0</v>
      </c>
      <c r="F367" s="1">
        <v>200</v>
      </c>
      <c r="G367" s="1">
        <v>0</v>
      </c>
      <c r="H367" s="1">
        <v>0</v>
      </c>
      <c r="I367" s="1">
        <v>0</v>
      </c>
      <c r="J367" s="1">
        <v>300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</row>
    <row r="368" spans="1:17" x14ac:dyDescent="0.3">
      <c r="A368" s="1" t="s">
        <v>27</v>
      </c>
      <c r="B368" s="1" t="s">
        <v>446</v>
      </c>
      <c r="C368" s="1" t="str">
        <f>VLOOKUP(B:B,[6]配额0227!$A:$B,2,0)</f>
        <v>一体机电脑板-CEM-1</v>
      </c>
      <c r="D368" s="1" t="str">
        <f>VLOOKUP(B:B,'[7]厂家配额 (新)'!$A$1:$C$65536,3,0)</f>
        <v>领智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282</v>
      </c>
      <c r="N368" s="1">
        <v>554</v>
      </c>
      <c r="O368" s="1">
        <v>860</v>
      </c>
      <c r="P368" s="1">
        <v>0</v>
      </c>
      <c r="Q368" s="1">
        <v>5120</v>
      </c>
    </row>
    <row r="369" spans="1:17" x14ac:dyDescent="0.3">
      <c r="A369" s="1" t="s">
        <v>27</v>
      </c>
      <c r="B369" s="1" t="s">
        <v>447</v>
      </c>
      <c r="C369" s="1" t="str">
        <f>VLOOKUP(B:B,[6]配额0227!$A:$B,2,0)</f>
        <v>功率驱动板-/</v>
      </c>
      <c r="D369" s="1" t="str">
        <f>VLOOKUP(B:B,'[7]厂家配额 (新)'!$A$1:$C$65536,3,0)</f>
        <v>航嘉</v>
      </c>
      <c r="E369" s="1">
        <v>0</v>
      </c>
      <c r="F369" s="1">
        <v>0</v>
      </c>
      <c r="G369" s="1">
        <v>0</v>
      </c>
      <c r="H369" s="1">
        <v>20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</row>
    <row r="370" spans="1:17" x14ac:dyDescent="0.3">
      <c r="A370" s="1" t="s">
        <v>27</v>
      </c>
      <c r="B370" s="1" t="s">
        <v>28</v>
      </c>
      <c r="C370" s="1" t="str">
        <f>VLOOKUP(B:B,[6]配额0227!$A:$B,2,0)</f>
        <v>显示面板-FR-4</v>
      </c>
      <c r="D370" s="1" t="str">
        <f>VLOOKUP(B:B,'[7]厂家配额 (新)'!$A$1:$C$65536,3,0)</f>
        <v>恒青/和而泰/领智/</v>
      </c>
      <c r="E370" s="1">
        <v>2265</v>
      </c>
      <c r="F370" s="1">
        <v>1724</v>
      </c>
      <c r="G370" s="1">
        <v>4446</v>
      </c>
      <c r="H370" s="1">
        <v>5439</v>
      </c>
      <c r="I370" s="1">
        <v>3222</v>
      </c>
      <c r="J370" s="1">
        <v>6949</v>
      </c>
      <c r="K370" s="1">
        <v>9857</v>
      </c>
      <c r="L370" s="1">
        <v>3112</v>
      </c>
      <c r="M370" s="1">
        <v>4345</v>
      </c>
      <c r="N370" s="1">
        <v>2223</v>
      </c>
      <c r="O370" s="1">
        <v>1450</v>
      </c>
      <c r="P370" s="1">
        <v>0</v>
      </c>
      <c r="Q370" s="1">
        <v>26976</v>
      </c>
    </row>
    <row r="371" spans="1:17" x14ac:dyDescent="0.3">
      <c r="A371" s="1" t="s">
        <v>27</v>
      </c>
      <c r="B371" s="1" t="s">
        <v>448</v>
      </c>
      <c r="C371" s="1" t="str">
        <f>VLOOKUP(B:B,[6]配额0227!$A:$B,2,0)</f>
        <v>室外电脑板-CEM-1</v>
      </c>
      <c r="D371" s="1" t="str">
        <f>VLOOKUP(B:B,'[7]厂家配额 (新)'!$A$1:$C$65536,3,0)</f>
        <v>领智</v>
      </c>
      <c r="E371" s="1">
        <v>0</v>
      </c>
      <c r="F371" s="1">
        <v>0</v>
      </c>
      <c r="G371" s="1">
        <v>0</v>
      </c>
      <c r="H371" s="1">
        <v>42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</row>
    <row r="372" spans="1:17" x14ac:dyDescent="0.3">
      <c r="A372" s="1" t="s">
        <v>27</v>
      </c>
      <c r="B372" s="1" t="s">
        <v>449</v>
      </c>
      <c r="C372" s="1" t="str">
        <f>VLOOKUP(B:B,[6]配额0227!$A:$B,2,0)</f>
        <v>室外电脑板-CEM-3</v>
      </c>
      <c r="D372" s="1" t="str">
        <f>VLOOKUP(B:B,'[7]厂家配额 (新)'!$A$1:$C$65536,3,0)</f>
        <v>领智</v>
      </c>
      <c r="E372" s="1">
        <v>0</v>
      </c>
      <c r="F372" s="1">
        <v>0</v>
      </c>
      <c r="G372" s="1">
        <v>0</v>
      </c>
      <c r="H372" s="1">
        <v>2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</row>
    <row r="373" spans="1:17" x14ac:dyDescent="0.3">
      <c r="A373" s="1" t="s">
        <v>27</v>
      </c>
      <c r="B373" s="1" t="s">
        <v>450</v>
      </c>
      <c r="C373" s="1" t="str">
        <f>VLOOKUP(B:B,[6]配额0227!$A:$B,2,0)</f>
        <v>显示面板-CEM-1</v>
      </c>
      <c r="D373" s="1" t="str">
        <f>VLOOKUP(B:B,'[7]厂家配额 (新)'!$A$1:$C$65536,3,0)</f>
        <v>领智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250</v>
      </c>
    </row>
    <row r="374" spans="1:17" x14ac:dyDescent="0.3">
      <c r="A374" s="1" t="s">
        <v>27</v>
      </c>
      <c r="B374" s="1" t="s">
        <v>451</v>
      </c>
      <c r="C374" s="1" t="str">
        <f>VLOOKUP(B:B,[6]配额0227!$A:$B,2,0)</f>
        <v>室外电脑板-CEM-3</v>
      </c>
      <c r="D374" s="1" t="str">
        <f>VLOOKUP(B:B,'[7]厂家配额 (新)'!$A$1:$C$65536,3,0)</f>
        <v>领智</v>
      </c>
      <c r="E374" s="1">
        <v>0</v>
      </c>
      <c r="F374" s="1">
        <v>0</v>
      </c>
      <c r="G374" s="1">
        <v>0</v>
      </c>
      <c r="H374" s="1">
        <v>1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</row>
    <row r="375" spans="1:17" x14ac:dyDescent="0.3">
      <c r="A375" s="1" t="s">
        <v>27</v>
      </c>
      <c r="B375" s="1" t="s">
        <v>30</v>
      </c>
      <c r="C375" s="1" t="str">
        <f>VLOOKUP(B:B,[6]配额0227!$A:$B,2,0)</f>
        <v>室内电脑板-CEM-1</v>
      </c>
      <c r="D375" s="1" t="str">
        <f>VLOOKUP(B:B,'[7]厂家配额 (新)'!$A$1:$C$65536,3,0)</f>
        <v>和而泰/领智//</v>
      </c>
      <c r="E375" s="1">
        <v>2400</v>
      </c>
      <c r="F375" s="1">
        <v>1357</v>
      </c>
      <c r="G375" s="1">
        <v>1130</v>
      </c>
      <c r="H375" s="1">
        <v>0</v>
      </c>
      <c r="I375" s="1">
        <v>3337</v>
      </c>
      <c r="J375" s="1">
        <v>942</v>
      </c>
      <c r="K375" s="1">
        <v>0</v>
      </c>
      <c r="L375" s="1">
        <v>1</v>
      </c>
      <c r="M375" s="1">
        <v>1600</v>
      </c>
      <c r="N375" s="1">
        <v>0</v>
      </c>
      <c r="O375" s="1">
        <v>1279</v>
      </c>
      <c r="P375" s="1">
        <v>0</v>
      </c>
      <c r="Q375" s="1">
        <v>18347</v>
      </c>
    </row>
    <row r="376" spans="1:17" x14ac:dyDescent="0.3">
      <c r="A376" s="1" t="s">
        <v>27</v>
      </c>
      <c r="B376" s="1" t="s">
        <v>452</v>
      </c>
      <c r="C376" s="1" t="str">
        <f>VLOOKUP(B:B,[6]配额0227!$A:$B,2,0)</f>
        <v>室内电脑板-CEM-1</v>
      </c>
      <c r="D376" s="1" t="str">
        <f>VLOOKUP(B:B,'[7]厂家配额 (新)'!$A$1:$C$65536,3,0)</f>
        <v>领智/尚研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1</v>
      </c>
      <c r="L376" s="1">
        <v>959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</row>
    <row r="377" spans="1:17" x14ac:dyDescent="0.3">
      <c r="A377" s="1" t="s">
        <v>27</v>
      </c>
      <c r="B377" s="1" t="s">
        <v>453</v>
      </c>
      <c r="C377" s="1" t="str">
        <f>VLOOKUP(B:B,[6]配额0227!$A:$B,2,0)</f>
        <v>室内电脑板-CEM-3F系列新开海外项目室内电脑板</v>
      </c>
      <c r="D377" s="1" t="str">
        <f>VLOOKUP(B:B,'[7]厂家配额 (新)'!$A$1:$C$65536,3,0)</f>
        <v>领智</v>
      </c>
      <c r="E377" s="1">
        <v>0</v>
      </c>
      <c r="F377" s="1">
        <v>0</v>
      </c>
      <c r="G377" s="1">
        <v>5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</row>
    <row r="378" spans="1:17" x14ac:dyDescent="0.3">
      <c r="A378" s="1" t="s">
        <v>27</v>
      </c>
      <c r="B378" s="1" t="s">
        <v>454</v>
      </c>
      <c r="C378" s="1" t="str">
        <f>VLOOKUP(B:B,[6]配额0227!$A:$B,2,0)</f>
        <v>室内电脑板-FR-4165*136</v>
      </c>
      <c r="D378" s="1" t="str">
        <f>VLOOKUP(B:B,'[7]厂家配额 (新)'!$A$1:$C$65536,3,0)</f>
        <v>领智</v>
      </c>
      <c r="E378" s="1">
        <v>0</v>
      </c>
      <c r="F378" s="1">
        <v>1965</v>
      </c>
      <c r="G378" s="1">
        <v>0</v>
      </c>
      <c r="H378" s="1">
        <v>0</v>
      </c>
      <c r="I378" s="1">
        <v>1730</v>
      </c>
      <c r="J378" s="1">
        <v>868</v>
      </c>
      <c r="K378" s="1">
        <v>5</v>
      </c>
      <c r="L378" s="1">
        <v>360</v>
      </c>
      <c r="M378" s="1">
        <v>2197</v>
      </c>
      <c r="N378" s="1">
        <v>3245</v>
      </c>
      <c r="O378" s="1">
        <v>405</v>
      </c>
      <c r="P378" s="1">
        <v>0</v>
      </c>
      <c r="Q378" s="1">
        <v>1780</v>
      </c>
    </row>
    <row r="379" spans="1:17" x14ac:dyDescent="0.3">
      <c r="A379" s="1" t="s">
        <v>27</v>
      </c>
      <c r="B379" s="1" t="s">
        <v>455</v>
      </c>
      <c r="C379" s="1" t="str">
        <f>VLOOKUP(B:B,[6]配额0227!$A:$B,2,0)</f>
        <v>室内电脑板-FR-4</v>
      </c>
      <c r="D379" s="1" t="str">
        <f>VLOOKUP(B:B,'[7]厂家配额 (新)'!$A$1:$C$65536,3,0)</f>
        <v>领智/康美特//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710</v>
      </c>
    </row>
    <row r="380" spans="1:17" x14ac:dyDescent="0.3">
      <c r="A380" s="1" t="s">
        <v>27</v>
      </c>
      <c r="B380" s="1" t="s">
        <v>32</v>
      </c>
      <c r="C380" s="1" t="str">
        <f>VLOOKUP(B:B,[6]配额0227!$A:$B,2,0)</f>
        <v>室内电脑板-CEM-1室内电脑板俄罗斯07/09/12P系列室内电脑板</v>
      </c>
      <c r="D380" s="1" t="str">
        <f>VLOOKUP(B:B,'[7]厂家配额 (新)'!$A$1:$C$65536,3,0)</f>
        <v>和而泰/领智//</v>
      </c>
      <c r="E380" s="1">
        <v>0</v>
      </c>
      <c r="F380" s="1">
        <v>0</v>
      </c>
      <c r="G380" s="1">
        <v>579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5046</v>
      </c>
    </row>
    <row r="381" spans="1:17" x14ac:dyDescent="0.3">
      <c r="A381" s="1" t="s">
        <v>27</v>
      </c>
      <c r="B381" s="1" t="s">
        <v>33</v>
      </c>
      <c r="C381" s="1" t="str">
        <f>VLOOKUP(B:B,[6]配额0227!$A:$B,2,0)</f>
        <v>室内电脑板-CEM-1室内电脑板</v>
      </c>
      <c r="D381" s="1" t="str">
        <f>VLOOKUP(B:B,'[7]厂家配额 (新)'!$A$1:$C$65536,3,0)</f>
        <v>和而泰/领智//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750</v>
      </c>
    </row>
    <row r="382" spans="1:17" x14ac:dyDescent="0.3">
      <c r="A382" s="1" t="s">
        <v>27</v>
      </c>
      <c r="B382" s="1" t="s">
        <v>34</v>
      </c>
      <c r="C382" s="1" t="str">
        <f>VLOOKUP(B:B,[6]配额0227!$A:$B,2,0)</f>
        <v>室内电脑板-CEM-1室内电脑板泰国09/12P系列定频室内电脑板</v>
      </c>
      <c r="D382" s="1" t="str">
        <f>VLOOKUP(B:B,'[7]厂家配额 (新)'!$A$1:$C$65536,3,0)</f>
        <v>和而泰/领智//</v>
      </c>
      <c r="E382" s="1">
        <v>0</v>
      </c>
      <c r="F382" s="1">
        <v>0</v>
      </c>
      <c r="G382" s="1">
        <v>0</v>
      </c>
      <c r="H382" s="1">
        <v>1821</v>
      </c>
      <c r="I382" s="1">
        <v>0</v>
      </c>
      <c r="J382" s="1">
        <v>0</v>
      </c>
      <c r="K382" s="1">
        <v>0</v>
      </c>
      <c r="L382" s="1">
        <v>270</v>
      </c>
      <c r="M382" s="1">
        <v>0</v>
      </c>
      <c r="N382" s="1">
        <v>0</v>
      </c>
      <c r="O382" s="1">
        <v>0</v>
      </c>
      <c r="P382" s="1">
        <v>0</v>
      </c>
      <c r="Q382" s="1">
        <v>2854</v>
      </c>
    </row>
    <row r="383" spans="1:17" x14ac:dyDescent="0.3">
      <c r="A383" s="1" t="s">
        <v>27</v>
      </c>
      <c r="B383" s="1" t="s">
        <v>36</v>
      </c>
      <c r="C383" s="1" t="str">
        <f>VLOOKUP(B:B,[6]配额0227!$A:$B,2,0)</f>
        <v>室内电脑板-CEM-1室内电脑板俄罗斯07/09/12P系列室内电脑板</v>
      </c>
      <c r="D383" s="1" t="str">
        <f>VLOOKUP(B:B,'[7]厂家配额 (新)'!$A$1:$C$65536,3,0)</f>
        <v>和而泰/领智//</v>
      </c>
      <c r="E383" s="1">
        <v>0</v>
      </c>
      <c r="F383" s="1">
        <v>382</v>
      </c>
      <c r="G383" s="1">
        <v>0</v>
      </c>
      <c r="H383" s="1">
        <v>0</v>
      </c>
      <c r="I383" s="1">
        <v>115</v>
      </c>
      <c r="J383" s="1">
        <v>0</v>
      </c>
      <c r="K383" s="1">
        <v>0</v>
      </c>
      <c r="L383" s="1">
        <v>848</v>
      </c>
      <c r="M383" s="1">
        <v>0</v>
      </c>
      <c r="N383" s="1">
        <v>0</v>
      </c>
      <c r="O383" s="1">
        <v>0</v>
      </c>
      <c r="P383" s="1">
        <v>0</v>
      </c>
      <c r="Q383" s="1">
        <v>5025</v>
      </c>
    </row>
    <row r="384" spans="1:17" x14ac:dyDescent="0.3">
      <c r="A384" s="1" t="s">
        <v>27</v>
      </c>
      <c r="B384" s="1" t="s">
        <v>265</v>
      </c>
      <c r="C384" s="1" t="str">
        <f>VLOOKUP(B:B,[6]配额0227!$A:$B,2,0)</f>
        <v>室内电脑板-CEM-1室内电脑板俄罗斯07/09/12P系列室内电脑板</v>
      </c>
      <c r="D384" s="1" t="str">
        <f>VLOOKUP(B:B,'[7]厂家配额 (新)'!$A$1:$C$65536,3,0)</f>
        <v>领智</v>
      </c>
      <c r="E384" s="1">
        <v>0</v>
      </c>
      <c r="F384" s="1">
        <v>338</v>
      </c>
      <c r="G384" s="1">
        <v>0</v>
      </c>
      <c r="H384" s="1">
        <v>0</v>
      </c>
      <c r="I384" s="1">
        <v>990</v>
      </c>
      <c r="J384" s="1">
        <v>1</v>
      </c>
      <c r="K384" s="1">
        <v>0</v>
      </c>
      <c r="L384" s="1">
        <v>0</v>
      </c>
      <c r="M384" s="1">
        <v>1299</v>
      </c>
      <c r="N384" s="1">
        <v>0</v>
      </c>
      <c r="O384" s="1">
        <v>0</v>
      </c>
      <c r="P384" s="1">
        <v>0</v>
      </c>
      <c r="Q384" s="1">
        <v>1690</v>
      </c>
    </row>
    <row r="385" spans="1:17" x14ac:dyDescent="0.3">
      <c r="A385" s="1" t="s">
        <v>27</v>
      </c>
      <c r="B385" s="1" t="s">
        <v>41</v>
      </c>
      <c r="C385" s="1" t="str">
        <f>VLOOKUP(B:B,[6]配额0227!$A:$B,2,0)</f>
        <v>室内电脑板-FR-4</v>
      </c>
      <c r="D385" s="1" t="str">
        <f>VLOOKUP(B:B,'[7]厂家配额 (新)'!$A$1:$C$65536,3,0)</f>
        <v>和而泰/领智//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30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</row>
    <row r="386" spans="1:17" x14ac:dyDescent="0.3">
      <c r="A386" s="1" t="s">
        <v>27</v>
      </c>
      <c r="B386" s="1" t="s">
        <v>42</v>
      </c>
      <c r="C386" s="1" t="str">
        <f>VLOOKUP(B:B,[6]配额0227!$A:$B,2,0)</f>
        <v>室内电脑板-FR-4---</v>
      </c>
      <c r="D386" s="1" t="str">
        <f>VLOOKUP(B:B,'[7]厂家配额 (新)'!$A$1:$C$65536,3,0)</f>
        <v>和而泰/领智//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10</v>
      </c>
      <c r="P386" s="1">
        <v>0</v>
      </c>
      <c r="Q386" s="1">
        <v>0</v>
      </c>
    </row>
    <row r="387" spans="1:17" x14ac:dyDescent="0.3">
      <c r="A387" s="1" t="s">
        <v>27</v>
      </c>
      <c r="B387" s="1" t="s">
        <v>44</v>
      </c>
      <c r="C387" s="1" t="str">
        <f>VLOOKUP(B:B,[6]配额0227!$A:$B,2,0)</f>
        <v>室内电脑板-FR-4/</v>
      </c>
      <c r="D387" s="1" t="str">
        <f>VLOOKUP(B:B,'[7]厂家配额 (新)'!$A$1:$C$65536,3,0)</f>
        <v>和而泰/领智//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5</v>
      </c>
      <c r="N387" s="1">
        <v>0</v>
      </c>
      <c r="O387" s="1">
        <v>0</v>
      </c>
      <c r="P387" s="1">
        <v>0</v>
      </c>
      <c r="Q387" s="1">
        <v>100</v>
      </c>
    </row>
    <row r="388" spans="1:17" x14ac:dyDescent="0.3">
      <c r="A388" s="1" t="s">
        <v>27</v>
      </c>
      <c r="B388" s="1" t="s">
        <v>456</v>
      </c>
      <c r="C388" s="1" t="str">
        <f>VLOOKUP(B:B,[6]配额0227!$A:$B,2,0)</f>
        <v>室外电脑板-FR-1---</v>
      </c>
      <c r="D388" s="1" t="str">
        <f>VLOOKUP(B:B,'[7]厂家配额 (新)'!$A$1:$C$65536,3,0)</f>
        <v>领智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100</v>
      </c>
      <c r="N388" s="1">
        <v>0</v>
      </c>
      <c r="O388" s="1">
        <v>0</v>
      </c>
      <c r="P388" s="1">
        <v>0</v>
      </c>
      <c r="Q388" s="1">
        <v>0</v>
      </c>
    </row>
    <row r="389" spans="1:17" x14ac:dyDescent="0.3">
      <c r="A389" s="1" t="s">
        <v>27</v>
      </c>
      <c r="B389" s="1" t="s">
        <v>457</v>
      </c>
      <c r="C389" s="1" t="str">
        <f>VLOOKUP(B:B,[6]配额0227!$A:$B,2,0)</f>
        <v>室内电脑板-CEM-1165*136</v>
      </c>
      <c r="D389" s="1" t="str">
        <f>VLOOKUP(B:B,'[7]厂家配额 (新)'!$A$1:$C$65536,3,0)</f>
        <v>尚研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160</v>
      </c>
    </row>
    <row r="390" spans="1:17" x14ac:dyDescent="0.3">
      <c r="A390" s="1" t="s">
        <v>27</v>
      </c>
      <c r="B390" s="1" t="s">
        <v>458</v>
      </c>
      <c r="C390" s="1" t="str">
        <f>VLOOKUP(B:B,[6]配额0227!$A:$B,2,0)</f>
        <v>室内电脑板-CEM-1165*136</v>
      </c>
      <c r="D390" s="1" t="str">
        <f>VLOOKUP(B:B,'[7]厂家配额 (新)'!$A$1:$C$65536,3,0)</f>
        <v>领智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378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197</v>
      </c>
    </row>
    <row r="391" spans="1:17" x14ac:dyDescent="0.3">
      <c r="A391" s="1" t="s">
        <v>27</v>
      </c>
      <c r="B391" s="1" t="s">
        <v>459</v>
      </c>
      <c r="C391" s="1" t="str">
        <f>VLOOKUP(B:B,[6]配额0227!$A:$B,2,0)</f>
        <v>室内电脑板-CEM-1165*136</v>
      </c>
      <c r="D391" s="1" t="str">
        <f>VLOOKUP(B:B,'[7]厂家配额 (新)'!$A$1:$C$65536,3,0)</f>
        <v>尚研</v>
      </c>
      <c r="E391" s="1">
        <v>0</v>
      </c>
      <c r="F391" s="1">
        <v>0</v>
      </c>
      <c r="G391" s="1">
        <v>1</v>
      </c>
      <c r="H391" s="1">
        <v>250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</row>
    <row r="392" spans="1:17" x14ac:dyDescent="0.3">
      <c r="A392" s="1" t="s">
        <v>27</v>
      </c>
      <c r="B392" s="1" t="s">
        <v>460</v>
      </c>
      <c r="C392" s="1" t="str">
        <f>VLOOKUP(B:B,[6]配额0227!$A:$B,2,0)</f>
        <v>室内电脑板-CEM-1165*136</v>
      </c>
      <c r="D392" s="1" t="str">
        <f>VLOOKUP(B:B,'[7]厂家配额 (新)'!$A$1:$C$65536,3,0)</f>
        <v>尚研</v>
      </c>
      <c r="E392" s="1">
        <v>0</v>
      </c>
      <c r="F392" s="1">
        <v>0</v>
      </c>
      <c r="G392" s="1">
        <v>1</v>
      </c>
      <c r="H392" s="1">
        <v>65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</row>
    <row r="393" spans="1:17" x14ac:dyDescent="0.3">
      <c r="A393" s="1" t="s">
        <v>27</v>
      </c>
      <c r="B393" s="1" t="s">
        <v>461</v>
      </c>
      <c r="C393" s="1" t="str">
        <f>VLOOKUP(B:B,[6]配额0227!$A:$B,2,0)</f>
        <v>室内电脑板-CEM-1165*136</v>
      </c>
      <c r="D393" s="1" t="str">
        <f>VLOOKUP(B:B,'[7]厂家配额 (新)'!$A$1:$C$65536,3,0)</f>
        <v>领智</v>
      </c>
      <c r="E393" s="1">
        <v>0</v>
      </c>
      <c r="F393" s="1">
        <v>0</v>
      </c>
      <c r="G393" s="1">
        <v>0</v>
      </c>
      <c r="H393" s="1">
        <v>0</v>
      </c>
      <c r="I393" s="1">
        <v>1435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</row>
    <row r="394" spans="1:17" x14ac:dyDescent="0.3">
      <c r="A394" s="1" t="s">
        <v>27</v>
      </c>
      <c r="B394" s="1" t="s">
        <v>462</v>
      </c>
      <c r="C394" s="1" t="str">
        <f>VLOOKUP(B:B,[6]配额0227!$A:$B,2,0)</f>
        <v>室内电脑板-CEM-1165*136</v>
      </c>
      <c r="D394" s="1" t="str">
        <f>VLOOKUP(B:B,'[7]厂家配额 (新)'!$A$1:$C$65536,3,0)</f>
        <v>航嘉</v>
      </c>
      <c r="E394" s="1">
        <v>0</v>
      </c>
      <c r="F394" s="1">
        <v>0</v>
      </c>
      <c r="G394" s="1">
        <v>1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2</v>
      </c>
      <c r="N394" s="1">
        <v>0</v>
      </c>
      <c r="O394" s="1">
        <v>0</v>
      </c>
      <c r="P394" s="1">
        <v>0</v>
      </c>
      <c r="Q394" s="1">
        <v>1800</v>
      </c>
    </row>
    <row r="395" spans="1:17" x14ac:dyDescent="0.3">
      <c r="A395" s="1" t="s">
        <v>27</v>
      </c>
      <c r="B395" s="1" t="s">
        <v>463</v>
      </c>
      <c r="C395" s="1" t="str">
        <f>VLOOKUP(B:B,[6]配额0227!$A:$B,2,0)</f>
        <v>室内电脑板-CEM-1室内电脑板50P平台18K室内电脑板</v>
      </c>
      <c r="D395" s="1" t="str">
        <f>VLOOKUP(B:B,'[7]厂家配额 (新)'!$A$1:$C$65536,3,0)</f>
        <v>尚研/康美特//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330</v>
      </c>
    </row>
    <row r="396" spans="1:17" x14ac:dyDescent="0.3">
      <c r="A396" s="1" t="s">
        <v>27</v>
      </c>
      <c r="B396" s="1" t="s">
        <v>46</v>
      </c>
      <c r="C396" s="1" t="str">
        <f>VLOOKUP(B:B,[6]配额0227!$A:$B,2,0)</f>
        <v>室内电脑板-CEM-1</v>
      </c>
      <c r="D396" s="1" t="str">
        <f>VLOOKUP(B:B,'[7]厂家配额 (新)'!$A$1:$C$65536,3,0)</f>
        <v>领智/和而泰//</v>
      </c>
      <c r="E396" s="1">
        <v>0</v>
      </c>
      <c r="F396" s="1">
        <v>0</v>
      </c>
      <c r="G396" s="1">
        <v>3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</row>
    <row r="397" spans="1:17" x14ac:dyDescent="0.3">
      <c r="A397" s="1" t="s">
        <v>27</v>
      </c>
      <c r="B397" s="1" t="s">
        <v>464</v>
      </c>
      <c r="C397" s="1" t="str">
        <f>VLOOKUP(B:B,[6]配额0227!$A:$B,2,0)</f>
        <v>室内电脑板-CEM-1室内电脑板泰国凤凰P平台18k室内电脑板</v>
      </c>
      <c r="D397" s="1" t="str">
        <f>VLOOKUP(B:B,'[7]厂家配额 (新)'!$A$1:$C$65536,3,0)</f>
        <v>领智</v>
      </c>
      <c r="E397" s="1">
        <v>0</v>
      </c>
      <c r="F397" s="1">
        <v>0</v>
      </c>
      <c r="G397" s="1">
        <v>1116</v>
      </c>
      <c r="H397" s="1">
        <v>0</v>
      </c>
      <c r="I397" s="1">
        <v>0</v>
      </c>
      <c r="J397" s="1">
        <v>0</v>
      </c>
      <c r="K397" s="1">
        <v>0</v>
      </c>
      <c r="L397" s="1">
        <v>360</v>
      </c>
      <c r="M397" s="1">
        <v>0</v>
      </c>
      <c r="N397" s="1">
        <v>0</v>
      </c>
      <c r="O397" s="1">
        <v>0</v>
      </c>
      <c r="P397" s="1">
        <v>0</v>
      </c>
      <c r="Q397" s="1">
        <v>2874</v>
      </c>
    </row>
    <row r="398" spans="1:17" x14ac:dyDescent="0.3">
      <c r="A398" s="1" t="s">
        <v>27</v>
      </c>
      <c r="B398" s="1" t="s">
        <v>465</v>
      </c>
      <c r="C398" s="1" t="str">
        <f>VLOOKUP(B:B,[6]配额0227!$A:$B,2,0)</f>
        <v>室内电脑板-CEM-1室内电脑板马来24k室内电脑板</v>
      </c>
      <c r="D398" s="1" t="str">
        <f>VLOOKUP(B:B,'[7]厂家配额 (新)'!$A$1:$C$65536,3,0)</f>
        <v>领智</v>
      </c>
      <c r="E398" s="1">
        <v>0</v>
      </c>
      <c r="F398" s="1">
        <v>0</v>
      </c>
      <c r="G398" s="1">
        <v>108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540</v>
      </c>
    </row>
    <row r="399" spans="1:17" x14ac:dyDescent="0.3">
      <c r="A399" s="1" t="s">
        <v>27</v>
      </c>
      <c r="B399" s="1" t="s">
        <v>271</v>
      </c>
      <c r="C399" s="1" t="str">
        <f>VLOOKUP(B:B,[6]配额0227!$A:$B,2,0)</f>
        <v>室内电脑板-CEM-1室内电脑板50P平台18/24k室内电脑板</v>
      </c>
      <c r="D399" s="1" t="str">
        <f>VLOOKUP(B:B,'[7]厂家配额 (新)'!$A$1:$C$65536,3,0)</f>
        <v>领智</v>
      </c>
      <c r="E399" s="1">
        <v>615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2331</v>
      </c>
    </row>
    <row r="400" spans="1:17" x14ac:dyDescent="0.3">
      <c r="A400" s="1" t="s">
        <v>27</v>
      </c>
      <c r="B400" s="1" t="s">
        <v>273</v>
      </c>
      <c r="C400" s="1" t="str">
        <f>VLOOKUP(B:B,[6]配额0227!$A:$B,2,0)</f>
        <v>室内电脑板-CEM-1室内电脑板70P/50P平台18/24k室内电脑板</v>
      </c>
      <c r="D400" s="1" t="str">
        <f>VLOOKUP(B:B,'[7]厂家配额 (新)'!$A$1:$C$65536,3,0)</f>
        <v>领智</v>
      </c>
      <c r="E400" s="1">
        <v>0</v>
      </c>
      <c r="F400" s="1">
        <v>0</v>
      </c>
      <c r="G400" s="1">
        <v>1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500</v>
      </c>
      <c r="N400" s="1">
        <v>0</v>
      </c>
      <c r="O400" s="1">
        <v>0</v>
      </c>
      <c r="P400" s="1">
        <v>0</v>
      </c>
      <c r="Q400" s="1">
        <v>250</v>
      </c>
    </row>
    <row r="401" spans="1:17" x14ac:dyDescent="0.3">
      <c r="A401" s="1" t="s">
        <v>27</v>
      </c>
      <c r="B401" s="1" t="s">
        <v>274</v>
      </c>
      <c r="C401" s="1" t="str">
        <f>VLOOKUP(B:B,[6]配额0227!$A:$B,2,0)</f>
        <v>室内电脑板-CEM-1室内电脑板70P/50P平台18/24k室内电脑板</v>
      </c>
      <c r="D401" s="1" t="str">
        <f>VLOOKUP(B:B,'[7]厂家配额 (新)'!$A$1:$C$65536,3,0)</f>
        <v>康美特/领智//</v>
      </c>
      <c r="E401" s="1">
        <v>0</v>
      </c>
      <c r="F401" s="1">
        <v>0</v>
      </c>
      <c r="G401" s="1">
        <v>3</v>
      </c>
      <c r="H401" s="1">
        <v>0</v>
      </c>
      <c r="I401" s="1">
        <v>0</v>
      </c>
      <c r="J401" s="1">
        <v>0</v>
      </c>
      <c r="K401" s="1">
        <v>0</v>
      </c>
      <c r="L401" s="1">
        <v>2100</v>
      </c>
      <c r="M401" s="1">
        <v>140</v>
      </c>
      <c r="N401" s="1">
        <v>0</v>
      </c>
      <c r="O401" s="1">
        <v>0</v>
      </c>
      <c r="P401" s="1">
        <v>0</v>
      </c>
      <c r="Q401" s="1">
        <v>0</v>
      </c>
    </row>
    <row r="402" spans="1:17" x14ac:dyDescent="0.3">
      <c r="A402" s="1" t="s">
        <v>27</v>
      </c>
      <c r="B402" s="1" t="s">
        <v>466</v>
      </c>
      <c r="C402" s="1" t="str">
        <f>VLOOKUP(B:B,[6]配额0227!$A:$B,2,0)</f>
        <v>室内电脑板-CEM-1室内电脑板35P平台09/12k室内电脑板</v>
      </c>
      <c r="D402" s="1" t="str">
        <f>VLOOKUP(B:B,'[7]厂家配额 (新)'!$A$1:$C$65536,3,0)</f>
        <v>领智</v>
      </c>
      <c r="E402" s="1">
        <v>0</v>
      </c>
      <c r="F402" s="1">
        <v>0</v>
      </c>
      <c r="G402" s="1">
        <v>0</v>
      </c>
      <c r="H402" s="1">
        <v>0</v>
      </c>
      <c r="I402" s="1">
        <v>170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181</v>
      </c>
    </row>
    <row r="403" spans="1:17" x14ac:dyDescent="0.3">
      <c r="A403" s="1" t="s">
        <v>27</v>
      </c>
      <c r="B403" s="1" t="s">
        <v>467</v>
      </c>
      <c r="C403" s="1" t="str">
        <f>VLOOKUP(B:B,[6]配额0227!$A:$B,2,0)</f>
        <v>室内电脑板-CEM-1室内电脑板</v>
      </c>
      <c r="D403" s="1" t="str">
        <f>VLOOKUP(B:B,'[7]厂家配额 (新)'!$A$1:$C$65536,3,0)</f>
        <v>尚研/康美特//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165</v>
      </c>
    </row>
    <row r="404" spans="1:17" x14ac:dyDescent="0.3">
      <c r="A404" s="1" t="s">
        <v>27</v>
      </c>
      <c r="B404" s="1" t="s">
        <v>276</v>
      </c>
      <c r="C404" s="1" t="str">
        <f>VLOOKUP(B:B,[6]配额0227!$A:$B,2,0)</f>
        <v>室内电脑板-CEM-1\</v>
      </c>
      <c r="D404" s="1" t="str">
        <f>VLOOKUP(B:B,'[7]厂家配额 (新)'!$A$1:$C$65536,3,0)</f>
        <v>领智</v>
      </c>
      <c r="E404" s="1">
        <v>0</v>
      </c>
      <c r="F404" s="1">
        <v>0</v>
      </c>
      <c r="G404" s="1">
        <v>788</v>
      </c>
      <c r="H404" s="1">
        <v>899</v>
      </c>
      <c r="I404" s="1">
        <v>0</v>
      </c>
      <c r="J404" s="1">
        <v>0</v>
      </c>
      <c r="K404" s="1">
        <v>0</v>
      </c>
      <c r="L404" s="1">
        <v>0</v>
      </c>
      <c r="M404" s="1">
        <v>144</v>
      </c>
      <c r="N404" s="1">
        <v>15</v>
      </c>
      <c r="O404" s="1">
        <v>0</v>
      </c>
      <c r="P404" s="1">
        <v>0</v>
      </c>
      <c r="Q404" s="1">
        <v>2131</v>
      </c>
    </row>
    <row r="405" spans="1:17" x14ac:dyDescent="0.3">
      <c r="A405" s="1" t="s">
        <v>27</v>
      </c>
      <c r="B405" s="1" t="s">
        <v>47</v>
      </c>
      <c r="C405" s="1" t="str">
        <f>VLOOKUP(B:B,[6]配额0227!$A:$B,2,0)</f>
        <v>室内电脑板-CEM-1</v>
      </c>
      <c r="D405" s="1" t="str">
        <f>VLOOKUP(B:B,'[7]厂家配额 (新)'!$A$1:$C$65536,3,0)</f>
        <v>和而泰/康美特//</v>
      </c>
      <c r="E405" s="1">
        <v>1319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</row>
    <row r="406" spans="1:17" x14ac:dyDescent="0.3">
      <c r="A406" s="1" t="s">
        <v>27</v>
      </c>
      <c r="B406" s="1" t="s">
        <v>49</v>
      </c>
      <c r="C406" s="1" t="str">
        <f>VLOOKUP(B:B,[6]配额0227!$A:$B,2,0)</f>
        <v>室内电脑板-CEM-1</v>
      </c>
      <c r="D406" s="1" t="str">
        <f>VLOOKUP(B:B,'[7]厂家配额 (新)'!$A$1:$C$65536,3,0)</f>
        <v>和而泰/康美特//</v>
      </c>
      <c r="E406" s="1">
        <v>1979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</row>
    <row r="407" spans="1:17" x14ac:dyDescent="0.3">
      <c r="A407" s="1" t="s">
        <v>27</v>
      </c>
      <c r="B407" s="1" t="s">
        <v>468</v>
      </c>
      <c r="C407" s="1" t="str">
        <f>VLOOKUP(B:B,[6]配额0227!$A:$B,2,0)</f>
        <v>室内电脑板-CEM-1\</v>
      </c>
      <c r="D407" s="1" t="str">
        <f>VLOOKUP(B:B,'[7]厂家配额 (新)'!$A$1:$C$65536,3,0)</f>
        <v>领智/康美特</v>
      </c>
      <c r="E407" s="1">
        <v>0</v>
      </c>
      <c r="F407" s="1">
        <v>0</v>
      </c>
      <c r="G407" s="1">
        <v>0</v>
      </c>
      <c r="H407" s="1">
        <v>0</v>
      </c>
      <c r="I407" s="1">
        <v>330</v>
      </c>
      <c r="J407" s="1">
        <v>0</v>
      </c>
      <c r="K407" s="1">
        <v>0</v>
      </c>
      <c r="L407" s="1">
        <v>0</v>
      </c>
      <c r="M407" s="1">
        <v>0</v>
      </c>
      <c r="N407" s="1">
        <v>600</v>
      </c>
      <c r="O407" s="1">
        <v>2600</v>
      </c>
      <c r="P407" s="1">
        <v>0</v>
      </c>
      <c r="Q407" s="1">
        <v>2400</v>
      </c>
    </row>
    <row r="408" spans="1:17" x14ac:dyDescent="0.3">
      <c r="A408" s="1" t="s">
        <v>27</v>
      </c>
      <c r="B408" s="1" t="s">
        <v>469</v>
      </c>
      <c r="C408" s="1" t="str">
        <f>VLOOKUP(B:B,[6]配额0227!$A:$B,2,0)</f>
        <v>室内电脑板-CEM-1\</v>
      </c>
      <c r="D408" s="1" t="str">
        <f>VLOOKUP(B:B,'[7]厂家配额 (新)'!$A$1:$C$65536,3,0)</f>
        <v>领智/康美特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3850</v>
      </c>
      <c r="P408" s="1">
        <v>0</v>
      </c>
      <c r="Q408" s="1">
        <v>0</v>
      </c>
    </row>
    <row r="409" spans="1:17" x14ac:dyDescent="0.3">
      <c r="A409" s="1" t="s">
        <v>27</v>
      </c>
      <c r="B409" s="1" t="s">
        <v>470</v>
      </c>
      <c r="C409" s="1" t="str">
        <f>VLOOKUP(B:B,[6]配额0227!$A:$B,2,0)</f>
        <v>显示面板-CEM-1</v>
      </c>
      <c r="D409" s="1" t="str">
        <f>VLOOKUP(B:B,'[7]厂家配额 (新)'!$A$1:$C$65536,3,0)</f>
        <v>领智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50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</row>
    <row r="410" spans="1:17" x14ac:dyDescent="0.3">
      <c r="A410" s="1" t="s">
        <v>27</v>
      </c>
      <c r="B410" s="1" t="s">
        <v>50</v>
      </c>
      <c r="C410" s="1" t="str">
        <f>VLOOKUP(B:B,[6]配额0227!$A:$B,2,0)</f>
        <v>室内电脑板-FR-4</v>
      </c>
      <c r="D410" s="1" t="str">
        <f>VLOOKUP(B:B,'[7]厂家配额 (新)'!$A$1:$C$65536,3,0)</f>
        <v>和而泰/领智//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30</v>
      </c>
      <c r="M410" s="1">
        <v>0</v>
      </c>
      <c r="N410" s="1">
        <v>0</v>
      </c>
      <c r="O410" s="1">
        <v>0</v>
      </c>
      <c r="P410" s="1">
        <v>0</v>
      </c>
      <c r="Q410" s="1">
        <v>150</v>
      </c>
    </row>
    <row r="411" spans="1:17" x14ac:dyDescent="0.3">
      <c r="A411" s="1" t="s">
        <v>27</v>
      </c>
      <c r="B411" s="1" t="s">
        <v>280</v>
      </c>
      <c r="C411" s="1" t="str">
        <f>VLOOKUP(B:B,[6]配额0227!$A:$B,2,0)</f>
        <v>室内电脑板-/室内电脑板</v>
      </c>
      <c r="D411" s="1" t="str">
        <f>VLOOKUP(B:B,'[7]厂家配额 (新)'!$A$1:$C$65536,3,0)</f>
        <v>领智</v>
      </c>
      <c r="E411" s="1">
        <v>1350</v>
      </c>
      <c r="F411" s="1">
        <v>0</v>
      </c>
      <c r="G411" s="1">
        <v>0</v>
      </c>
      <c r="H411" s="1">
        <v>1250</v>
      </c>
      <c r="I411" s="1">
        <v>20</v>
      </c>
      <c r="J411" s="1">
        <v>0</v>
      </c>
      <c r="K411" s="1">
        <v>2411</v>
      </c>
      <c r="L411" s="1">
        <v>0</v>
      </c>
      <c r="M411" s="1">
        <v>0</v>
      </c>
      <c r="N411" s="1">
        <v>0</v>
      </c>
      <c r="O411" s="1">
        <v>470</v>
      </c>
      <c r="P411" s="1">
        <v>0</v>
      </c>
      <c r="Q411" s="1">
        <v>0</v>
      </c>
    </row>
    <row r="412" spans="1:17" x14ac:dyDescent="0.3">
      <c r="A412" s="1" t="s">
        <v>27</v>
      </c>
      <c r="B412" s="1" t="s">
        <v>471</v>
      </c>
      <c r="C412" s="1" t="str">
        <f>VLOOKUP(B:B,[6]配额0227!$A:$B,2,0)</f>
        <v>功率驱动板-FR-4/</v>
      </c>
      <c r="D412" s="1" t="str">
        <f>VLOOKUP(B:B,'[7]厂家配额 (新)'!$A$1:$C$65536,3,0)</f>
        <v>领智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130</v>
      </c>
      <c r="K412" s="1">
        <v>265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90</v>
      </c>
    </row>
    <row r="413" spans="1:17" x14ac:dyDescent="0.3">
      <c r="A413" s="1" t="s">
        <v>27</v>
      </c>
      <c r="B413" s="1" t="s">
        <v>472</v>
      </c>
      <c r="C413" s="1" t="str">
        <f>VLOOKUP(B:B,[6]配额0227!$A:$B,2,0)</f>
        <v>室外电脑板-FR-4室外电脑板</v>
      </c>
      <c r="D413" s="1" t="str">
        <f>VLOOKUP(B:B,'[7]厂家配额 (新)'!$A$1:$C$65536,3,0)</f>
        <v>领智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30</v>
      </c>
    </row>
    <row r="414" spans="1:17" x14ac:dyDescent="0.3">
      <c r="A414" s="1" t="s">
        <v>27</v>
      </c>
      <c r="B414" s="1" t="s">
        <v>473</v>
      </c>
      <c r="C414" s="1" t="str">
        <f>VLOOKUP(B:B,[6]配额0227!$A:$B,2,0)</f>
        <v>室内电脑板-CEM-1电脑板尺寸为105*208</v>
      </c>
      <c r="D414" s="1" t="str">
        <f>VLOOKUP(B:B,'[7]厂家配额 (新)'!$A$1:$C$65536,3,0)</f>
        <v>领智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360</v>
      </c>
      <c r="M414" s="1">
        <v>0</v>
      </c>
      <c r="N414" s="1">
        <v>180</v>
      </c>
      <c r="O414" s="1">
        <v>180</v>
      </c>
      <c r="P414" s="1">
        <v>0</v>
      </c>
      <c r="Q414" s="1">
        <v>0</v>
      </c>
    </row>
    <row r="415" spans="1:17" x14ac:dyDescent="0.3">
      <c r="A415" s="1" t="s">
        <v>27</v>
      </c>
      <c r="B415" s="1" t="s">
        <v>474</v>
      </c>
      <c r="C415" s="1" t="str">
        <f>VLOOKUP(B:B,[6]配额0227!$A:$B,2,0)</f>
        <v>室内电脑板-CEM-1电脑板尺寸为105*208</v>
      </c>
      <c r="D415" s="1" t="str">
        <f>VLOOKUP(B:B,'[7]厂家配额 (新)'!$A$1:$C$65536,3,0)</f>
        <v>领智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106</v>
      </c>
    </row>
    <row r="416" spans="1:17" x14ac:dyDescent="0.3">
      <c r="A416" s="1" t="s">
        <v>27</v>
      </c>
      <c r="B416" s="1" t="s">
        <v>475</v>
      </c>
      <c r="C416" s="1" t="str">
        <f>VLOOKUP(B:B,[6]配额0227!$A:$B,2,0)</f>
        <v>显示板-CEM-1</v>
      </c>
      <c r="D416" s="1" t="str">
        <f>VLOOKUP(B:B,'[7]厂家配额 (新)'!$A$1:$C$65536,3,0)</f>
        <v>尚研/国冶星//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2412</v>
      </c>
    </row>
    <row r="417" spans="1:17" x14ac:dyDescent="0.3">
      <c r="A417" s="1" t="s">
        <v>27</v>
      </c>
      <c r="B417" s="1" t="s">
        <v>476</v>
      </c>
      <c r="C417" s="1" t="str">
        <f>VLOOKUP(B:B,[6]配额0227!$A:$B,2,0)</f>
        <v>室内电脑板-FR-4/</v>
      </c>
      <c r="D417" s="1" t="str">
        <f>VLOOKUP(B:B,'[7]厂家配额 (新)'!$A$1:$C$65536,3,0)</f>
        <v>领智</v>
      </c>
      <c r="E417" s="1">
        <v>0</v>
      </c>
      <c r="F417" s="1">
        <v>150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238</v>
      </c>
      <c r="N417" s="1">
        <v>0</v>
      </c>
      <c r="O417" s="1">
        <v>0</v>
      </c>
      <c r="P417" s="1">
        <v>0</v>
      </c>
      <c r="Q417" s="1">
        <v>735</v>
      </c>
    </row>
    <row r="418" spans="1:17" x14ac:dyDescent="0.3">
      <c r="A418" s="1" t="s">
        <v>27</v>
      </c>
      <c r="B418" s="1" t="s">
        <v>281</v>
      </c>
      <c r="C418" s="1" t="str">
        <f>VLOOKUP(B:B,[6]配额0227!$A:$B,2,0)</f>
        <v>室内电脑板-CEM-1/</v>
      </c>
      <c r="D418" s="1" t="str">
        <f>VLOOKUP(B:B,'[7]厂家配额 (新)'!$A$1:$C$65536,3,0)</f>
        <v>领智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2000</v>
      </c>
      <c r="O418" s="1">
        <v>0</v>
      </c>
      <c r="P418" s="1">
        <v>0</v>
      </c>
      <c r="Q418" s="1">
        <v>0</v>
      </c>
    </row>
    <row r="419" spans="1:17" x14ac:dyDescent="0.3">
      <c r="A419" s="1" t="s">
        <v>27</v>
      </c>
      <c r="B419" s="1" t="s">
        <v>53</v>
      </c>
      <c r="C419" s="1" t="str">
        <f>VLOOKUP(B:B,[6]配额0227!$A:$B,2,0)</f>
        <v>室内电脑板-CEM-1/</v>
      </c>
      <c r="D419" s="1" t="str">
        <f>VLOOKUP(B:B,'[7]厂家配额 (新)'!$A$1:$C$65536,3,0)</f>
        <v>和而泰</v>
      </c>
      <c r="E419" s="1">
        <v>0</v>
      </c>
      <c r="F419" s="1">
        <v>0</v>
      </c>
      <c r="G419" s="1">
        <v>36</v>
      </c>
      <c r="H419" s="1">
        <v>0</v>
      </c>
      <c r="I419" s="1">
        <v>0</v>
      </c>
      <c r="J419" s="1">
        <v>2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535</v>
      </c>
    </row>
    <row r="420" spans="1:17" x14ac:dyDescent="0.3">
      <c r="A420" s="1" t="s">
        <v>27</v>
      </c>
      <c r="B420" s="1" t="s">
        <v>54</v>
      </c>
      <c r="C420" s="1" t="str">
        <f>VLOOKUP(B:B,[6]配额0227!$A:$B,2,0)</f>
        <v>室内电脑板-CEM-1/</v>
      </c>
      <c r="D420" s="1" t="str">
        <f>VLOOKUP(B:B,'[7]厂家配额 (新)'!$A$1:$C$65536,3,0)</f>
        <v>和而泰</v>
      </c>
      <c r="E420" s="1">
        <v>0</v>
      </c>
      <c r="F420" s="1">
        <v>990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330</v>
      </c>
    </row>
    <row r="421" spans="1:17" x14ac:dyDescent="0.3">
      <c r="A421" s="1" t="s">
        <v>27</v>
      </c>
      <c r="B421" s="1" t="s">
        <v>55</v>
      </c>
      <c r="C421" s="1" t="str">
        <f>VLOOKUP(B:B,[6]配额0227!$A:$B,2,0)</f>
        <v>室内电脑板-CEM-1/</v>
      </c>
      <c r="D421" s="1" t="str">
        <f>VLOOKUP(B:B,'[7]厂家配额 (新)'!$A$1:$C$65536,3,0)</f>
        <v>和而泰</v>
      </c>
      <c r="E421" s="1">
        <v>108</v>
      </c>
      <c r="F421" s="1">
        <v>0</v>
      </c>
      <c r="G421" s="1">
        <v>30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2068</v>
      </c>
    </row>
    <row r="422" spans="1:17" x14ac:dyDescent="0.3">
      <c r="A422" s="1" t="s">
        <v>27</v>
      </c>
      <c r="B422" s="1" t="s">
        <v>477</v>
      </c>
      <c r="C422" s="1" t="str">
        <f>VLOOKUP(B:B,[6]配额0227!$A:$B,2,0)</f>
        <v>室内电脑板-CEM-1/</v>
      </c>
      <c r="D422" s="1" t="str">
        <f>VLOOKUP(B:B,'[7]厂家配额 (新)'!$A$1:$C$65536,3,0)</f>
        <v>领智/麦格米特//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530</v>
      </c>
    </row>
    <row r="423" spans="1:17" x14ac:dyDescent="0.3">
      <c r="A423" s="1" t="s">
        <v>27</v>
      </c>
      <c r="B423" s="1" t="s">
        <v>478</v>
      </c>
      <c r="C423" s="1" t="str">
        <f>VLOOKUP(B:B,[6]配额0227!$A:$B,2,0)</f>
        <v>室内电脑板-CEM-1/</v>
      </c>
      <c r="D423" s="1" t="str">
        <f>VLOOKUP(B:B,'[7]厂家配额 (新)'!$A$1:$C$65536,3,0)</f>
        <v>领智/麦格米特//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330</v>
      </c>
    </row>
    <row r="424" spans="1:17" x14ac:dyDescent="0.3">
      <c r="A424" s="1" t="s">
        <v>27</v>
      </c>
      <c r="B424" s="1" t="s">
        <v>56</v>
      </c>
      <c r="C424" s="1" t="str">
        <f>VLOOKUP(B:B,[6]配额0227!$A:$B,2,0)</f>
        <v>室内电脑板-FR-4P平台内机板</v>
      </c>
      <c r="D424" s="1" t="str">
        <f>VLOOKUP(B:B,'[7]厂家配额 (新)'!$A$1:$C$65536,3,0)</f>
        <v>领智/和而泰//</v>
      </c>
      <c r="E424" s="1">
        <v>0</v>
      </c>
      <c r="F424" s="1">
        <v>0</v>
      </c>
      <c r="G424" s="1">
        <v>51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112</v>
      </c>
    </row>
    <row r="425" spans="1:17" x14ac:dyDescent="0.3">
      <c r="A425" s="1" t="s">
        <v>27</v>
      </c>
      <c r="B425" s="1" t="s">
        <v>57</v>
      </c>
      <c r="C425" s="1" t="str">
        <f>VLOOKUP(B:B,[6]配额0227!$A:$B,2,0)</f>
        <v>室内电脑板-FR-4P平台内机板</v>
      </c>
      <c r="D425" s="1" t="str">
        <f>VLOOKUP(B:B,'[7]厂家配额 (新)'!$A$1:$C$65536,3,0)</f>
        <v>领智/和而泰//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127</v>
      </c>
      <c r="N425" s="1">
        <v>0</v>
      </c>
      <c r="O425" s="1">
        <v>0</v>
      </c>
      <c r="P425" s="1">
        <v>0</v>
      </c>
      <c r="Q425" s="1">
        <v>187</v>
      </c>
    </row>
    <row r="426" spans="1:17" x14ac:dyDescent="0.3">
      <c r="A426" s="1" t="s">
        <v>27</v>
      </c>
      <c r="B426" s="1" t="s">
        <v>58</v>
      </c>
      <c r="C426" s="1" t="str">
        <f>VLOOKUP(B:B,[6]配额0227!$A:$B,2,0)</f>
        <v>室内电脑板-FR-4P平台内机板</v>
      </c>
      <c r="D426" s="1" t="str">
        <f>VLOOKUP(B:B,'[7]厂家配额 (新)'!$A$1:$C$65536,3,0)</f>
        <v>和而泰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50</v>
      </c>
      <c r="N426" s="1">
        <v>50</v>
      </c>
      <c r="O426" s="1">
        <v>720</v>
      </c>
      <c r="P426" s="1">
        <v>0</v>
      </c>
      <c r="Q426" s="1">
        <v>50</v>
      </c>
    </row>
    <row r="427" spans="1:17" x14ac:dyDescent="0.3">
      <c r="A427" s="1" t="s">
        <v>27</v>
      </c>
      <c r="B427" s="1" t="s">
        <v>59</v>
      </c>
      <c r="C427" s="1" t="str">
        <f>VLOOKUP(B:B,[6]配额0227!$A:$B,2,0)</f>
        <v>室内电脑板-FR-4P平台内机板</v>
      </c>
      <c r="D427" s="1" t="str">
        <f>VLOOKUP(B:B,'[7]厂家配额 (新)'!$A$1:$C$65536,3,0)</f>
        <v>和而泰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522</v>
      </c>
      <c r="N427" s="1">
        <v>0</v>
      </c>
      <c r="O427" s="1">
        <v>0</v>
      </c>
      <c r="P427" s="1">
        <v>0</v>
      </c>
      <c r="Q427" s="1">
        <v>418</v>
      </c>
    </row>
    <row r="428" spans="1:17" x14ac:dyDescent="0.3">
      <c r="A428" s="1" t="s">
        <v>27</v>
      </c>
      <c r="B428" s="1" t="s">
        <v>479</v>
      </c>
      <c r="C428" s="1" t="str">
        <f>VLOOKUP(B:B,[6]配额0227!$A:$B,2,0)</f>
        <v>室内电脑板-FR-4P平台内机板</v>
      </c>
      <c r="D428" s="1" t="str">
        <f>VLOOKUP(B:B,'[7]厂家配额 (新)'!$A$1:$C$65536,3,0)</f>
        <v>尚研/领智//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85</v>
      </c>
    </row>
    <row r="429" spans="1:17" x14ac:dyDescent="0.3">
      <c r="A429" s="1" t="s">
        <v>27</v>
      </c>
      <c r="B429" s="1" t="s">
        <v>480</v>
      </c>
      <c r="C429" s="1" t="str">
        <f>VLOOKUP(B:B,[6]配额0227!$A:$B,2,0)</f>
        <v>室内电脑板-FR-4P平台内机板</v>
      </c>
      <c r="D429" s="1" t="str">
        <f>VLOOKUP(B:B,'[7]厂家配额 (新)'!$A$1:$C$65536,3,0)</f>
        <v>尚研/领智//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70</v>
      </c>
    </row>
    <row r="430" spans="1:17" x14ac:dyDescent="0.3">
      <c r="A430" s="1" t="s">
        <v>27</v>
      </c>
      <c r="B430" s="1" t="s">
        <v>282</v>
      </c>
      <c r="C430" s="1" t="str">
        <f>VLOOKUP(B:B,[6]配额0227!$A:$B,2,0)</f>
        <v>显示板-FR-456*100--</v>
      </c>
      <c r="D430" s="1" t="str">
        <f>VLOOKUP(B:B,'[7]厂家配额 (新)'!$A$1:$C$65536,3,0)</f>
        <v>领智/恒青/国冶星/</v>
      </c>
      <c r="E430" s="1">
        <v>1164</v>
      </c>
      <c r="F430" s="1">
        <v>2895</v>
      </c>
      <c r="G430" s="1">
        <v>2218</v>
      </c>
      <c r="H430" s="1">
        <v>2714</v>
      </c>
      <c r="I430" s="1">
        <v>4577</v>
      </c>
      <c r="J430" s="1">
        <v>1537</v>
      </c>
      <c r="K430" s="1">
        <v>5</v>
      </c>
      <c r="L430" s="1">
        <v>1635</v>
      </c>
      <c r="M430" s="1">
        <v>1465</v>
      </c>
      <c r="N430" s="1">
        <v>65</v>
      </c>
      <c r="O430" s="1">
        <v>270</v>
      </c>
      <c r="P430" s="1">
        <v>0</v>
      </c>
      <c r="Q430" s="1">
        <v>44234</v>
      </c>
    </row>
    <row r="431" spans="1:17" x14ac:dyDescent="0.3">
      <c r="A431" s="1" t="s">
        <v>27</v>
      </c>
      <c r="B431" s="1" t="s">
        <v>283</v>
      </c>
      <c r="C431" s="1" t="str">
        <f>VLOOKUP(B:B,[6]配额0227!$A:$B,2,0)</f>
        <v>显示板-FR-4</v>
      </c>
      <c r="D431" s="1" t="str">
        <f>VLOOKUP(B:B,'[7]厂家配额 (新)'!$A$1:$C$65536,3,0)</f>
        <v>领智/国冶星//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20</v>
      </c>
      <c r="P431" s="1">
        <v>0</v>
      </c>
      <c r="Q431" s="1">
        <v>2580</v>
      </c>
    </row>
    <row r="432" spans="1:17" x14ac:dyDescent="0.3">
      <c r="A432" s="1" t="s">
        <v>27</v>
      </c>
      <c r="B432" s="1" t="s">
        <v>481</v>
      </c>
      <c r="C432" s="1" t="str">
        <f>VLOOKUP(B:B,[6]配额0227!$A:$B,2,0)</f>
        <v>变频外电脑板-CEM-3272.5*181mm</v>
      </c>
      <c r="D432" s="1" t="str">
        <f>VLOOKUP(B:B,'[7]厂家配额 (新)'!$A$1:$C$65536,3,0)</f>
        <v>领智</v>
      </c>
      <c r="E432" s="1">
        <v>0</v>
      </c>
      <c r="F432" s="1">
        <v>200</v>
      </c>
      <c r="G432" s="1">
        <v>0</v>
      </c>
      <c r="H432" s="1">
        <v>0</v>
      </c>
      <c r="I432" s="1">
        <v>0</v>
      </c>
      <c r="J432" s="1">
        <v>430</v>
      </c>
      <c r="K432" s="1">
        <v>265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90</v>
      </c>
    </row>
    <row r="433" spans="1:17" x14ac:dyDescent="0.3">
      <c r="A433" s="1" t="s">
        <v>27</v>
      </c>
      <c r="B433" s="1" t="s">
        <v>284</v>
      </c>
      <c r="C433" s="1" t="str">
        <f>VLOOKUP(B:B,[6]配额0227!$A:$B,2,0)</f>
        <v>变频外电脑板-FR-4/</v>
      </c>
      <c r="D433" s="1" t="str">
        <f>VLOOKUP(B:B,'[7]厂家配额 (新)'!$A$1:$C$65536,3,0)</f>
        <v>中家智康</v>
      </c>
      <c r="E433" s="1">
        <v>10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90</v>
      </c>
      <c r="L433" s="1">
        <v>0</v>
      </c>
      <c r="M433" s="1">
        <v>10</v>
      </c>
      <c r="N433" s="1">
        <v>0</v>
      </c>
      <c r="O433" s="1">
        <v>0</v>
      </c>
      <c r="P433" s="1">
        <v>0</v>
      </c>
      <c r="Q433" s="1">
        <v>0</v>
      </c>
    </row>
    <row r="434" spans="1:17" x14ac:dyDescent="0.3">
      <c r="A434" s="1" t="s">
        <v>27</v>
      </c>
      <c r="B434" s="1" t="s">
        <v>285</v>
      </c>
      <c r="C434" s="1" t="str">
        <f>VLOOKUP(B:B,[6]配额0227!$A:$B,2,0)</f>
        <v>变频外电脑板-FR-4/</v>
      </c>
      <c r="D434" s="1" t="str">
        <f>VLOOKUP(B:B,'[7]厂家配额 (新)'!$A$1:$C$65536,3,0)</f>
        <v>中家智康</v>
      </c>
      <c r="E434" s="1">
        <v>0</v>
      </c>
      <c r="F434" s="1">
        <v>0</v>
      </c>
      <c r="G434" s="1">
        <v>680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1">
        <v>90</v>
      </c>
    </row>
    <row r="435" spans="1:17" x14ac:dyDescent="0.3">
      <c r="A435" s="1" t="s">
        <v>27</v>
      </c>
      <c r="B435" s="1" t="s">
        <v>482</v>
      </c>
      <c r="C435" s="1" t="str">
        <f>VLOOKUP(B:B,[6]配额0227!$A:$B,2,0)</f>
        <v>变频外电脑板-FR-4/</v>
      </c>
      <c r="D435" s="1" t="str">
        <f>VLOOKUP(B:B,'[7]厂家配额 (新)'!$A$1:$C$65536,3,0)</f>
        <v>中家智康</v>
      </c>
      <c r="E435" s="1">
        <v>0</v>
      </c>
      <c r="F435" s="1">
        <v>187</v>
      </c>
      <c r="G435" s="1">
        <v>0</v>
      </c>
      <c r="H435" s="1">
        <v>0</v>
      </c>
      <c r="I435" s="1">
        <v>0</v>
      </c>
      <c r="J435" s="1">
        <v>12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</row>
    <row r="436" spans="1:17" x14ac:dyDescent="0.3">
      <c r="A436" s="1" t="s">
        <v>27</v>
      </c>
      <c r="B436" s="1" t="s">
        <v>483</v>
      </c>
      <c r="C436" s="1" t="str">
        <f>VLOOKUP(B:B,[6]配额0227!$A:$B,2,0)</f>
        <v>变频外电脑板-FR-4/</v>
      </c>
      <c r="D436" s="1" t="str">
        <f>VLOOKUP(B:B,'[7]厂家配额 (新)'!$A$1:$C$65536,3,0)</f>
        <v>中家智康</v>
      </c>
      <c r="E436" s="1">
        <v>0</v>
      </c>
      <c r="F436" s="1">
        <v>187</v>
      </c>
      <c r="G436" s="1">
        <v>0</v>
      </c>
      <c r="H436" s="1">
        <v>0</v>
      </c>
      <c r="I436" s="1">
        <v>0</v>
      </c>
      <c r="J436" s="1">
        <v>212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</row>
    <row r="437" spans="1:17" x14ac:dyDescent="0.3">
      <c r="A437" s="1" t="s">
        <v>27</v>
      </c>
      <c r="B437" s="1" t="s">
        <v>484</v>
      </c>
      <c r="C437" s="1" t="str">
        <f>VLOOKUP(B:B,[6]配额0227!$A:$B,2,0)</f>
        <v>变频外电脑板-FR-4/</v>
      </c>
      <c r="D437" s="1" t="str">
        <f>VLOOKUP(B:B,'[7]厂家配额 (新)'!$A$1:$C$65536,3,0)</f>
        <v>中家智康</v>
      </c>
      <c r="E437" s="1">
        <v>0</v>
      </c>
      <c r="F437" s="1">
        <v>0</v>
      </c>
      <c r="G437" s="1">
        <v>0</v>
      </c>
      <c r="H437" s="1">
        <v>0</v>
      </c>
      <c r="I437" s="1">
        <v>1</v>
      </c>
      <c r="J437" s="1">
        <v>0</v>
      </c>
      <c r="K437" s="1">
        <v>79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</row>
    <row r="438" spans="1:17" x14ac:dyDescent="0.3">
      <c r="A438" s="1" t="s">
        <v>27</v>
      </c>
      <c r="B438" s="1" t="s">
        <v>286</v>
      </c>
      <c r="C438" s="1" t="str">
        <f>VLOOKUP(B:B,[6]配额0227!$A:$B,2,0)</f>
        <v>变频外电脑板-FR-4/</v>
      </c>
      <c r="D438" s="1" t="str">
        <f>VLOOKUP(B:B,'[7]厂家配额 (新)'!$A$1:$C$65536,3,0)</f>
        <v>中家智康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62</v>
      </c>
      <c r="N438" s="1">
        <v>0</v>
      </c>
      <c r="O438" s="1">
        <v>0</v>
      </c>
      <c r="P438" s="1">
        <v>0</v>
      </c>
      <c r="Q438" s="1">
        <v>0</v>
      </c>
    </row>
    <row r="439" spans="1:17" x14ac:dyDescent="0.3">
      <c r="A439" s="1" t="s">
        <v>27</v>
      </c>
      <c r="B439" s="1" t="s">
        <v>485</v>
      </c>
      <c r="C439" s="1" t="str">
        <f>VLOOKUP(B:B,[6]配额0227!$A:$B,2,0)</f>
        <v>变频外电脑板-FR-4/</v>
      </c>
      <c r="D439" s="1" t="str">
        <f>VLOOKUP(B:B,'[7]厂家配额 (新)'!$A$1:$C$65536,3,0)</f>
        <v>中家智康/领智//</v>
      </c>
      <c r="E439" s="1">
        <v>0</v>
      </c>
      <c r="F439" s="1">
        <v>0</v>
      </c>
      <c r="G439" s="1">
        <v>0</v>
      </c>
      <c r="H439" s="1">
        <v>0</v>
      </c>
      <c r="I439" s="1">
        <v>294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</row>
    <row r="440" spans="1:17" x14ac:dyDescent="0.3">
      <c r="A440" s="1" t="s">
        <v>27</v>
      </c>
      <c r="B440" s="1" t="s">
        <v>60</v>
      </c>
      <c r="C440" s="1" t="str">
        <f>VLOOKUP(B:B,[6]配额0227!$A:$B,2,0)</f>
        <v>变频外电脑板-FR-4/</v>
      </c>
      <c r="D440" s="1" t="str">
        <f>VLOOKUP(B:B,'[7]厂家配额 (新)'!$A$1:$C$65536,3,0)</f>
        <v>和而泰/中家智康//</v>
      </c>
      <c r="E440" s="1">
        <v>0</v>
      </c>
      <c r="F440" s="1">
        <v>459</v>
      </c>
      <c r="G440" s="1">
        <v>165</v>
      </c>
      <c r="H440" s="1">
        <v>0</v>
      </c>
      <c r="I440" s="1">
        <v>0</v>
      </c>
      <c r="J440" s="1">
        <v>100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420</v>
      </c>
    </row>
    <row r="441" spans="1:17" x14ac:dyDescent="0.3">
      <c r="A441" s="1" t="s">
        <v>27</v>
      </c>
      <c r="B441" s="1" t="s">
        <v>62</v>
      </c>
      <c r="C441" s="1" t="str">
        <f>VLOOKUP(B:B,[6]配额0227!$A:$B,2,0)</f>
        <v>变频外电脑板-FR-4/</v>
      </c>
      <c r="D441" s="1" t="str">
        <f>VLOOKUP(B:B,'[7]厂家配额 (新)'!$A$1:$C$65536,3,0)</f>
        <v>和而泰/中家智康//</v>
      </c>
      <c r="E441" s="1">
        <v>0</v>
      </c>
      <c r="F441" s="1">
        <v>0</v>
      </c>
      <c r="G441" s="1">
        <v>0</v>
      </c>
      <c r="H441" s="1">
        <v>375</v>
      </c>
      <c r="I441" s="1">
        <v>312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100</v>
      </c>
    </row>
    <row r="442" spans="1:17" x14ac:dyDescent="0.3">
      <c r="A442" s="1" t="s">
        <v>27</v>
      </c>
      <c r="B442" s="1" t="s">
        <v>486</v>
      </c>
      <c r="C442" s="1" t="str">
        <f>VLOOKUP(B:B,[6]配额0227!$A:$B,2,0)</f>
        <v>变频外电脑板-FR-4/</v>
      </c>
      <c r="D442" s="1" t="str">
        <f>VLOOKUP(B:B,'[7]厂家配额 (新)'!$A$1:$C$65536,3,0)</f>
        <v>中家智康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50</v>
      </c>
      <c r="N442" s="1">
        <v>0</v>
      </c>
      <c r="O442" s="1">
        <v>0</v>
      </c>
      <c r="P442" s="1">
        <v>0</v>
      </c>
      <c r="Q442" s="1">
        <v>137</v>
      </c>
    </row>
    <row r="443" spans="1:17" x14ac:dyDescent="0.3">
      <c r="A443" s="1" t="s">
        <v>27</v>
      </c>
      <c r="B443" s="1" t="s">
        <v>287</v>
      </c>
      <c r="C443" s="1" t="str">
        <f>VLOOKUP(B:B,[6]配额0227!$A:$B,2,0)</f>
        <v>变频外电脑板-FR-4/</v>
      </c>
      <c r="D443" s="1" t="str">
        <f>VLOOKUP(B:B,'[7]厂家配额 (新)'!$A$1:$C$65536,3,0)</f>
        <v>中家智康</v>
      </c>
      <c r="E443" s="1">
        <v>0</v>
      </c>
      <c r="F443" s="1">
        <v>140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</row>
    <row r="444" spans="1:17" x14ac:dyDescent="0.3">
      <c r="A444" s="1" t="s">
        <v>27</v>
      </c>
      <c r="B444" s="1" t="s">
        <v>288</v>
      </c>
      <c r="C444" s="1" t="str">
        <f>VLOOKUP(B:B,[6]配额0227!$A:$B,2,0)</f>
        <v>变频外电脑板-FR-4/</v>
      </c>
      <c r="D444" s="1" t="str">
        <f>VLOOKUP(B:B,'[7]厂家配额 (新)'!$A$1:$C$65536,3,0)</f>
        <v>中家智康</v>
      </c>
      <c r="E444" s="1">
        <v>0</v>
      </c>
      <c r="F444" s="1">
        <v>36</v>
      </c>
      <c r="G444" s="1">
        <v>0</v>
      </c>
      <c r="H444" s="1">
        <v>0</v>
      </c>
      <c r="I444" s="1">
        <v>0</v>
      </c>
      <c r="J444" s="1">
        <v>445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412</v>
      </c>
    </row>
    <row r="445" spans="1:17" x14ac:dyDescent="0.3">
      <c r="A445" s="1" t="s">
        <v>27</v>
      </c>
      <c r="B445" s="1" t="s">
        <v>289</v>
      </c>
      <c r="C445" s="1" t="str">
        <f>VLOOKUP(B:B,[6]配额0227!$A:$B,2,0)</f>
        <v>变频外电脑板-FR-4/</v>
      </c>
      <c r="D445" s="1" t="str">
        <f>VLOOKUP(B:B,'[7]厂家配额 (新)'!$A$1:$C$65536,3,0)</f>
        <v>中家智康</v>
      </c>
      <c r="E445" s="1">
        <v>0</v>
      </c>
      <c r="F445" s="1">
        <v>89</v>
      </c>
      <c r="G445" s="1">
        <v>100</v>
      </c>
      <c r="H445" s="1">
        <v>374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</row>
    <row r="446" spans="1:17" x14ac:dyDescent="0.3">
      <c r="A446" s="1" t="s">
        <v>27</v>
      </c>
      <c r="B446" s="1" t="s">
        <v>290</v>
      </c>
      <c r="C446" s="1" t="str">
        <f>VLOOKUP(B:B,[6]配额0227!$A:$B,2,0)</f>
        <v>变频外电脑板-FR-4/</v>
      </c>
      <c r="D446" s="1" t="str">
        <f>VLOOKUP(B:B,'[7]厂家配额 (新)'!$A$1:$C$65536,3,0)</f>
        <v>中家智康</v>
      </c>
      <c r="E446" s="1">
        <v>0</v>
      </c>
      <c r="F446" s="1">
        <v>40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</row>
    <row r="447" spans="1:17" x14ac:dyDescent="0.3">
      <c r="A447" s="1" t="s">
        <v>27</v>
      </c>
      <c r="B447" s="1" t="s">
        <v>487</v>
      </c>
      <c r="C447" s="1" t="str">
        <f>VLOOKUP(B:B,[6]配额0227!$A:$B,2,0)</f>
        <v>变频外电脑板-FR-4/</v>
      </c>
      <c r="D447" s="1" t="str">
        <f>VLOOKUP(B:B,'[7]厂家配额 (新)'!$A$1:$C$65536,3,0)</f>
        <v>中家智康</v>
      </c>
      <c r="E447" s="1">
        <v>0</v>
      </c>
      <c r="F447" s="1">
        <v>0</v>
      </c>
      <c r="G447" s="1">
        <v>69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1">
        <v>35</v>
      </c>
      <c r="N447" s="1">
        <v>305</v>
      </c>
      <c r="O447" s="1">
        <v>0</v>
      </c>
      <c r="P447" s="1">
        <v>0</v>
      </c>
      <c r="Q447" s="1">
        <v>0</v>
      </c>
    </row>
    <row r="448" spans="1:17" x14ac:dyDescent="0.3">
      <c r="A448" s="1" t="s">
        <v>27</v>
      </c>
      <c r="B448" s="1" t="s">
        <v>488</v>
      </c>
      <c r="C448" s="1" t="str">
        <f>VLOOKUP(B:B,[6]配额0227!$A:$B,2,0)</f>
        <v>变频外电脑板-FR-4/</v>
      </c>
      <c r="D448" s="1" t="str">
        <f>VLOOKUP(B:B,'[7]厂家配额 (新)'!$A$1:$C$65536,3,0)</f>
        <v>中家智康</v>
      </c>
      <c r="E448" s="1">
        <v>0</v>
      </c>
      <c r="F448" s="1">
        <v>0</v>
      </c>
      <c r="G448" s="1">
        <v>54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35</v>
      </c>
      <c r="N448" s="1">
        <v>0</v>
      </c>
      <c r="O448" s="1">
        <v>0</v>
      </c>
      <c r="P448" s="1">
        <v>0</v>
      </c>
      <c r="Q448" s="1">
        <v>0</v>
      </c>
    </row>
    <row r="449" spans="1:17" x14ac:dyDescent="0.3">
      <c r="A449" s="1" t="s">
        <v>27</v>
      </c>
      <c r="B449" s="1" t="s">
        <v>291</v>
      </c>
      <c r="C449" s="1" t="str">
        <f>VLOOKUP(B:B,[6]配额0227!$A:$B,2,0)</f>
        <v>变频外电脑板-FR-4/</v>
      </c>
      <c r="D449" s="1" t="str">
        <f>VLOOKUP(B:B,'[7]厂家配额 (新)'!$A$1:$C$65536,3,0)</f>
        <v>中家智康</v>
      </c>
      <c r="E449" s="1">
        <v>148</v>
      </c>
      <c r="F449" s="1">
        <v>57</v>
      </c>
      <c r="G449" s="1">
        <v>351</v>
      </c>
      <c r="H449" s="1">
        <v>60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57</v>
      </c>
      <c r="O449" s="1">
        <v>0</v>
      </c>
      <c r="P449" s="1">
        <v>0</v>
      </c>
      <c r="Q449" s="1">
        <v>0</v>
      </c>
    </row>
    <row r="450" spans="1:17" x14ac:dyDescent="0.3">
      <c r="A450" s="1" t="s">
        <v>27</v>
      </c>
      <c r="B450" s="1" t="s">
        <v>292</v>
      </c>
      <c r="C450" s="1" t="str">
        <f>VLOOKUP(B:B,[6]配额0227!$A:$B,2,0)</f>
        <v>变频外电脑板-FR-4/</v>
      </c>
      <c r="D450" s="1" t="str">
        <f>VLOOKUP(B:B,'[7]厂家配额 (新)'!$A$1:$C$65536,3,0)</f>
        <v>中家智康</v>
      </c>
      <c r="E450" s="1">
        <v>0</v>
      </c>
      <c r="F450" s="1">
        <v>0</v>
      </c>
      <c r="G450" s="1">
        <v>0</v>
      </c>
      <c r="H450" s="1">
        <v>4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65</v>
      </c>
      <c r="O450" s="1">
        <v>545</v>
      </c>
      <c r="P450" s="1">
        <v>0</v>
      </c>
      <c r="Q450" s="1">
        <v>685</v>
      </c>
    </row>
    <row r="451" spans="1:17" x14ac:dyDescent="0.3">
      <c r="A451" s="1" t="s">
        <v>27</v>
      </c>
      <c r="B451" s="1" t="s">
        <v>293</v>
      </c>
      <c r="C451" s="1" t="str">
        <f>VLOOKUP(B:B,[6]配额0227!$A:$B,2,0)</f>
        <v>变频外电脑板-FR-4/</v>
      </c>
      <c r="D451" s="1" t="str">
        <f>VLOOKUP(B:B,'[7]厂家配额 (新)'!$A$1:$C$65536,3,0)</f>
        <v>中家智康</v>
      </c>
      <c r="E451" s="1">
        <v>0</v>
      </c>
      <c r="F451" s="1">
        <v>0</v>
      </c>
      <c r="G451" s="1">
        <v>40</v>
      </c>
      <c r="H451" s="1">
        <v>4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190</v>
      </c>
      <c r="O451" s="1">
        <v>0</v>
      </c>
      <c r="P451" s="1">
        <v>0</v>
      </c>
      <c r="Q451" s="1">
        <v>60</v>
      </c>
    </row>
    <row r="452" spans="1:17" x14ac:dyDescent="0.3">
      <c r="A452" s="1" t="s">
        <v>27</v>
      </c>
      <c r="B452" s="1" t="s">
        <v>489</v>
      </c>
      <c r="C452" s="1" t="str">
        <f>VLOOKUP(B:B,[6]配额0227!$A:$B,2,0)</f>
        <v>变频外电脑板-FR-4/</v>
      </c>
      <c r="D452" s="1" t="str">
        <f>VLOOKUP(B:B,'[7]厂家配额 (新)'!$A$1:$C$65536,3,0)</f>
        <v>中家智康</v>
      </c>
      <c r="E452" s="1">
        <v>0</v>
      </c>
      <c r="F452" s="1">
        <v>0</v>
      </c>
      <c r="G452" s="1">
        <v>50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50</v>
      </c>
      <c r="O452" s="1">
        <v>0</v>
      </c>
      <c r="P452" s="1">
        <v>0</v>
      </c>
      <c r="Q452" s="1">
        <v>0</v>
      </c>
    </row>
    <row r="453" spans="1:17" x14ac:dyDescent="0.3">
      <c r="A453" s="1" t="s">
        <v>27</v>
      </c>
      <c r="B453" s="1" t="s">
        <v>490</v>
      </c>
      <c r="C453" s="1" t="str">
        <f>VLOOKUP(B:B,[6]配额0227!$A:$B,2,0)</f>
        <v>变频外电脑板-FR-4/</v>
      </c>
      <c r="D453" s="1" t="str">
        <f>VLOOKUP(B:B,'[7]厂家配额 (新)'!$A$1:$C$65536,3,0)</f>
        <v>中家智康</v>
      </c>
      <c r="E453" s="1">
        <v>0</v>
      </c>
      <c r="F453" s="1">
        <v>0</v>
      </c>
      <c r="G453" s="1">
        <v>0</v>
      </c>
      <c r="H453" s="1">
        <v>0</v>
      </c>
      <c r="I453" s="1">
        <v>127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</row>
    <row r="454" spans="1:17" x14ac:dyDescent="0.3">
      <c r="A454" s="1" t="s">
        <v>27</v>
      </c>
      <c r="B454" s="1" t="s">
        <v>294</v>
      </c>
      <c r="C454" s="1" t="str">
        <f>VLOOKUP(B:B,[6]配额0227!$A:$B,2,0)</f>
        <v>显示板-FR-460*50--</v>
      </c>
      <c r="D454" s="1" t="str">
        <f>VLOOKUP(B:B,'[7]厂家配额 (新)'!$A$1:$C$65536,3,0)</f>
        <v>领智/恒青//</v>
      </c>
      <c r="E454" s="1">
        <v>6913</v>
      </c>
      <c r="F454" s="1">
        <v>2536</v>
      </c>
      <c r="G454" s="1">
        <v>5703</v>
      </c>
      <c r="H454" s="1">
        <v>2701</v>
      </c>
      <c r="I454" s="1">
        <v>1662</v>
      </c>
      <c r="J454" s="1">
        <v>1348</v>
      </c>
      <c r="K454" s="1">
        <v>360</v>
      </c>
      <c r="L454" s="1">
        <v>4003</v>
      </c>
      <c r="M454" s="1">
        <v>3543</v>
      </c>
      <c r="N454" s="1">
        <v>3230</v>
      </c>
      <c r="O454" s="1">
        <v>8527</v>
      </c>
      <c r="P454" s="1">
        <v>0</v>
      </c>
      <c r="Q454" s="1">
        <v>33068</v>
      </c>
    </row>
    <row r="455" spans="1:17" x14ac:dyDescent="0.3">
      <c r="A455" s="1" t="s">
        <v>27</v>
      </c>
      <c r="B455" s="1" t="s">
        <v>295</v>
      </c>
      <c r="C455" s="1" t="str">
        <f>VLOOKUP(B:B,[6]配额0227!$A:$B,2,0)</f>
        <v>显示板-LED60*50</v>
      </c>
      <c r="D455" s="1" t="str">
        <f>VLOOKUP(B:B,'[7]厂家配额 (新)'!$A$1:$C$65536,3,0)</f>
        <v>恒青/国冶星</v>
      </c>
      <c r="E455" s="1">
        <v>3055</v>
      </c>
      <c r="F455" s="1">
        <v>4668</v>
      </c>
      <c r="G455" s="1">
        <v>290</v>
      </c>
      <c r="H455" s="1">
        <v>1770</v>
      </c>
      <c r="I455" s="1">
        <v>2329</v>
      </c>
      <c r="J455" s="1">
        <v>2550</v>
      </c>
      <c r="K455" s="1">
        <v>1</v>
      </c>
      <c r="L455" s="1">
        <v>3182</v>
      </c>
      <c r="M455" s="1">
        <v>2257</v>
      </c>
      <c r="N455" s="1">
        <v>5120</v>
      </c>
      <c r="O455" s="1">
        <v>1930</v>
      </c>
      <c r="P455" s="1">
        <v>0</v>
      </c>
      <c r="Q455" s="1">
        <v>23141</v>
      </c>
    </row>
    <row r="456" spans="1:17" x14ac:dyDescent="0.3">
      <c r="A456" s="1" t="s">
        <v>27</v>
      </c>
      <c r="B456" s="1" t="s">
        <v>491</v>
      </c>
      <c r="C456" s="1" t="str">
        <f>VLOOKUP(B:B,[6]配额0227!$A:$B,2,0)</f>
        <v>室外电脑板-FR-4/</v>
      </c>
      <c r="D456" s="1" t="str">
        <f>VLOOKUP(B:B,'[7]厂家配额 (新)'!$A$1:$C$65536,3,0)</f>
        <v>中家智康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20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</row>
    <row r="457" spans="1:17" x14ac:dyDescent="0.3">
      <c r="A457" s="1" t="s">
        <v>27</v>
      </c>
      <c r="B457" s="1" t="s">
        <v>492</v>
      </c>
      <c r="C457" s="1" t="str">
        <f>VLOOKUP(B:B,[6]配额0227!$A:$B,2,0)</f>
        <v>变频外电脑板-FR-4/</v>
      </c>
      <c r="D457" s="1" t="str">
        <f>VLOOKUP(B:B,'[7]厂家配额 (新)'!$A$1:$C$65536,3,0)</f>
        <v>中家智康</v>
      </c>
      <c r="E457" s="1">
        <v>0</v>
      </c>
      <c r="F457" s="1">
        <v>0</v>
      </c>
      <c r="G457" s="1">
        <v>0</v>
      </c>
      <c r="H457" s="1">
        <v>150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</row>
    <row r="458" spans="1:17" x14ac:dyDescent="0.3">
      <c r="A458" s="1" t="s">
        <v>27</v>
      </c>
      <c r="B458" s="1" t="s">
        <v>66</v>
      </c>
      <c r="C458" s="1" t="str">
        <f>VLOOKUP(B:B,[6]配额0227!$A:$B,2,0)</f>
        <v>变频外电脑板-FR-4/</v>
      </c>
      <c r="D458" s="1" t="str">
        <f>VLOOKUP(B:B,'[7]厂家配额 (新)'!$A$1:$C$65536,3,0)</f>
        <v>和而泰/中家智康//</v>
      </c>
      <c r="E458" s="1">
        <v>0</v>
      </c>
      <c r="F458" s="1">
        <v>0</v>
      </c>
      <c r="G458" s="1">
        <v>580</v>
      </c>
      <c r="H458" s="1">
        <v>0</v>
      </c>
      <c r="I458" s="1">
        <v>0</v>
      </c>
      <c r="J458" s="1">
        <v>0</v>
      </c>
      <c r="K458" s="1">
        <v>1517</v>
      </c>
      <c r="L458" s="1">
        <v>293</v>
      </c>
      <c r="M458" s="1">
        <v>0</v>
      </c>
      <c r="N458" s="1">
        <v>0</v>
      </c>
      <c r="O458" s="1">
        <v>0</v>
      </c>
      <c r="P458" s="1">
        <v>0</v>
      </c>
      <c r="Q458" s="1">
        <v>287</v>
      </c>
    </row>
    <row r="459" spans="1:17" x14ac:dyDescent="0.3">
      <c r="A459" s="1" t="s">
        <v>27</v>
      </c>
      <c r="B459" s="1" t="s">
        <v>68</v>
      </c>
      <c r="C459" s="1" t="str">
        <f>VLOOKUP(B:B,[6]配额0227!$A:$B,2,0)</f>
        <v>变频外电脑板-FR-4/</v>
      </c>
      <c r="D459" s="1" t="str">
        <f>VLOOKUP(B:B,'[7]厂家配额 (新)'!$A$1:$C$65536,3,0)</f>
        <v>和而泰/中家智康//</v>
      </c>
      <c r="E459" s="1">
        <v>659</v>
      </c>
      <c r="F459" s="1">
        <v>0</v>
      </c>
      <c r="G459" s="1">
        <v>580</v>
      </c>
      <c r="H459" s="1">
        <v>0</v>
      </c>
      <c r="I459" s="1">
        <v>0</v>
      </c>
      <c r="J459" s="1">
        <v>0</v>
      </c>
      <c r="K459" s="1">
        <v>1015</v>
      </c>
      <c r="L459" s="1">
        <v>320</v>
      </c>
      <c r="M459" s="1">
        <v>0</v>
      </c>
      <c r="N459" s="1">
        <v>0</v>
      </c>
      <c r="O459" s="1">
        <v>0</v>
      </c>
      <c r="P459" s="1">
        <v>0</v>
      </c>
      <c r="Q459" s="1">
        <v>570</v>
      </c>
    </row>
    <row r="460" spans="1:17" x14ac:dyDescent="0.3">
      <c r="A460" s="1" t="s">
        <v>27</v>
      </c>
      <c r="B460" s="1" t="s">
        <v>493</v>
      </c>
      <c r="C460" s="1" t="str">
        <f>VLOOKUP(B:B,[6]配额0227!$A:$B,2,0)</f>
        <v>变频外电脑板-FR-4/</v>
      </c>
      <c r="D460" s="1" t="str">
        <f>VLOOKUP(B:B,'[7]厂家配额 (新)'!$A$1:$C$65536,3,0)</f>
        <v>尚研/中家智康//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35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</row>
    <row r="461" spans="1:17" x14ac:dyDescent="0.3">
      <c r="A461" s="1" t="s">
        <v>27</v>
      </c>
      <c r="B461" s="1" t="s">
        <v>494</v>
      </c>
      <c r="C461" s="1" t="str">
        <f>VLOOKUP(B:B,[6]配额0227!$A:$B,2,0)</f>
        <v>变频外电脑板-FR-4/</v>
      </c>
      <c r="D461" s="1" t="str">
        <f>VLOOKUP(B:B,'[7]厂家配额 (新)'!$A$1:$C$65536,3,0)</f>
        <v>尚研/中家智康//</v>
      </c>
      <c r="E461" s="1">
        <v>0</v>
      </c>
      <c r="F461" s="1">
        <v>0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50</v>
      </c>
    </row>
    <row r="462" spans="1:17" x14ac:dyDescent="0.3">
      <c r="A462" s="1" t="s">
        <v>27</v>
      </c>
      <c r="B462" s="1" t="s">
        <v>296</v>
      </c>
      <c r="C462" s="1" t="str">
        <f>VLOOKUP(B:B,[6]配额0227!$A:$B,2,0)</f>
        <v>变频外电脑板-FR-4/</v>
      </c>
      <c r="D462" s="1" t="str">
        <f>VLOOKUP(B:B,'[7]厂家配额 (新)'!$A$1:$C$65536,3,0)</f>
        <v>中家智康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370</v>
      </c>
      <c r="N462" s="1">
        <v>0</v>
      </c>
      <c r="O462" s="1">
        <v>160</v>
      </c>
      <c r="P462" s="1">
        <v>0</v>
      </c>
      <c r="Q462" s="1">
        <v>155</v>
      </c>
    </row>
    <row r="463" spans="1:17" x14ac:dyDescent="0.3">
      <c r="A463" s="1" t="s">
        <v>27</v>
      </c>
      <c r="B463" s="1" t="s">
        <v>297</v>
      </c>
      <c r="C463" s="1" t="str">
        <f>VLOOKUP(B:B,[6]配额0227!$A:$B,2,0)</f>
        <v>变频外电脑板-FR-4/</v>
      </c>
      <c r="D463" s="1" t="str">
        <f>VLOOKUP(B:B,'[7]厂家配额 (新)'!$A$1:$C$65536,3,0)</f>
        <v>中家智康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580</v>
      </c>
      <c r="N463" s="1">
        <v>550</v>
      </c>
      <c r="O463" s="1">
        <v>250</v>
      </c>
      <c r="P463" s="1">
        <v>0</v>
      </c>
      <c r="Q463" s="1">
        <v>316</v>
      </c>
    </row>
    <row r="464" spans="1:17" x14ac:dyDescent="0.3">
      <c r="A464" s="1" t="s">
        <v>27</v>
      </c>
      <c r="B464" s="1" t="s">
        <v>495</v>
      </c>
      <c r="C464" s="1" t="str">
        <f>VLOOKUP(B:B,[6]配额0227!$A:$B,2,0)</f>
        <v>变频外电脑板-FR-4/</v>
      </c>
      <c r="D464" s="1" t="str">
        <f>VLOOKUP(B:B,'[7]厂家配额 (新)'!$A$1:$C$65536,3,0)</f>
        <v>中家智康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  <c r="J464" s="1">
        <v>170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</row>
    <row r="465" spans="1:17" x14ac:dyDescent="0.3">
      <c r="A465" s="1" t="s">
        <v>27</v>
      </c>
      <c r="B465" s="1" t="s">
        <v>496</v>
      </c>
      <c r="C465" s="1" t="str">
        <f>VLOOKUP(B:B,[6]配额0227!$A:$B,2,0)</f>
        <v>变频外电脑板-FR-4/</v>
      </c>
      <c r="D465" s="1" t="str">
        <f>VLOOKUP(B:B,'[7]厂家配额 (新)'!$A$1:$C$65536,3,0)</f>
        <v>中家智康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20</v>
      </c>
      <c r="P465" s="1">
        <v>0</v>
      </c>
      <c r="Q465" s="1">
        <v>0</v>
      </c>
    </row>
    <row r="466" spans="1:17" x14ac:dyDescent="0.3">
      <c r="A466" s="1" t="s">
        <v>27</v>
      </c>
      <c r="B466" s="1" t="s">
        <v>298</v>
      </c>
      <c r="C466" s="1" t="str">
        <f>VLOOKUP(B:B,[6]配额0227!$A:$B,2,0)</f>
        <v>变频外电脑板-FR-4/</v>
      </c>
      <c r="D466" s="1" t="str">
        <f>VLOOKUP(B:B,'[7]厂家配额 (新)'!$A$1:$C$65536,3,0)</f>
        <v>中家智康</v>
      </c>
      <c r="E466" s="1">
        <v>60</v>
      </c>
      <c r="F466" s="1">
        <v>0</v>
      </c>
      <c r="G466" s="1">
        <v>0</v>
      </c>
      <c r="H466" s="1">
        <v>430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</row>
    <row r="467" spans="1:17" x14ac:dyDescent="0.3">
      <c r="A467" s="1" t="s">
        <v>27</v>
      </c>
      <c r="B467" s="1" t="s">
        <v>299</v>
      </c>
      <c r="C467" s="1" t="str">
        <f>VLOOKUP(B:B,[6]配额0227!$A:$B,2,0)</f>
        <v>变频外电脑板-FR-4/</v>
      </c>
      <c r="D467" s="1" t="str">
        <f>VLOOKUP(B:B,'[7]厂家配额 (新)'!$A$1:$C$65536,3,0)</f>
        <v>中家智康</v>
      </c>
      <c r="E467" s="1">
        <v>60</v>
      </c>
      <c r="F467" s="1">
        <v>0</v>
      </c>
      <c r="G467" s="1">
        <v>0</v>
      </c>
      <c r="H467" s="1">
        <v>391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</row>
    <row r="468" spans="1:17" x14ac:dyDescent="0.3">
      <c r="A468" s="1" t="s">
        <v>27</v>
      </c>
      <c r="B468" s="1" t="s">
        <v>497</v>
      </c>
      <c r="C468" s="1" t="str">
        <f>VLOOKUP(B:B,[6]配额0227!$A:$B,2,0)</f>
        <v>变频外电脑板-FR-4/</v>
      </c>
      <c r="D468" s="1" t="str">
        <f>VLOOKUP(B:B,'[7]厂家配额 (新)'!$A$1:$C$65536,3,0)</f>
        <v>中家智康</v>
      </c>
      <c r="E468" s="1">
        <v>0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113</v>
      </c>
    </row>
    <row r="469" spans="1:17" x14ac:dyDescent="0.3">
      <c r="A469" s="1" t="s">
        <v>27</v>
      </c>
      <c r="B469" s="1" t="s">
        <v>498</v>
      </c>
      <c r="C469" s="1" t="str">
        <f>VLOOKUP(B:B,[6]配额0227!$A:$B,2,0)</f>
        <v>变频外电脑板-FR-4/</v>
      </c>
      <c r="D469" s="1" t="str">
        <f>VLOOKUP(B:B,'[7]厂家配额 (新)'!$A$1:$C$65536,3,0)</f>
        <v>中家智康</v>
      </c>
      <c r="E469" s="1">
        <v>0</v>
      </c>
      <c r="F469" s="1">
        <v>51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</row>
    <row r="470" spans="1:17" x14ac:dyDescent="0.3">
      <c r="A470" s="1" t="s">
        <v>27</v>
      </c>
      <c r="B470" s="1" t="s">
        <v>499</v>
      </c>
      <c r="C470" s="1" t="str">
        <f>VLOOKUP(B:B,[6]配额0227!$A:$B,2,0)</f>
        <v>变频外电脑板-FR-4/</v>
      </c>
      <c r="D470" s="1" t="str">
        <f>VLOOKUP(B:B,'[7]厂家配额 (新)'!$A$1:$C$65536,3,0)</f>
        <v>中家智康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112</v>
      </c>
    </row>
    <row r="471" spans="1:17" x14ac:dyDescent="0.3">
      <c r="A471" s="1" t="s">
        <v>27</v>
      </c>
      <c r="B471" s="1" t="s">
        <v>301</v>
      </c>
      <c r="C471" s="1" t="str">
        <f>VLOOKUP(B:B,[6]配额0227!$A:$B,2,0)</f>
        <v>变频外电脑板-FR-4/</v>
      </c>
      <c r="D471" s="1" t="str">
        <f>VLOOKUP(B:B,'[7]厂家配额 (新)'!$A$1:$C$65536,3,0)</f>
        <v>中家智康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195</v>
      </c>
      <c r="N471" s="1">
        <v>0</v>
      </c>
      <c r="O471" s="1">
        <v>460</v>
      </c>
      <c r="P471" s="1">
        <v>0</v>
      </c>
      <c r="Q471" s="1">
        <v>789</v>
      </c>
    </row>
    <row r="472" spans="1:17" x14ac:dyDescent="0.3">
      <c r="A472" s="1" t="s">
        <v>27</v>
      </c>
      <c r="B472" s="1" t="s">
        <v>500</v>
      </c>
      <c r="C472" s="1" t="str">
        <f>VLOOKUP(B:B,[6]配额0227!$A:$B,2,0)</f>
        <v>变频外电脑板-FR-4240*180</v>
      </c>
      <c r="D472" s="1" t="str">
        <f>VLOOKUP(B:B,'[7]厂家配额 (新)'!$A$1:$C$65536,3,0)</f>
        <v>中家智康</v>
      </c>
      <c r="E472" s="1">
        <v>0</v>
      </c>
      <c r="F472" s="1">
        <v>0</v>
      </c>
      <c r="G472" s="1">
        <v>0</v>
      </c>
      <c r="H472" s="1">
        <v>54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</row>
    <row r="473" spans="1:17" x14ac:dyDescent="0.3">
      <c r="A473" s="1" t="s">
        <v>27</v>
      </c>
      <c r="B473" s="1" t="s">
        <v>501</v>
      </c>
      <c r="C473" s="1" t="str">
        <f>VLOOKUP(B:B,[6]配额0227!$A:$B,2,0)</f>
        <v>变频外电脑板-/</v>
      </c>
      <c r="D473" s="1" t="str">
        <f>VLOOKUP(B:B,'[7]厂家配额 (新)'!$A$1:$C$65536,3,0)</f>
        <v>尚研/领智//</v>
      </c>
      <c r="E473" s="1">
        <v>2600</v>
      </c>
      <c r="F473" s="1">
        <v>0</v>
      </c>
      <c r="G473" s="1">
        <v>0</v>
      </c>
      <c r="H473" s="1">
        <v>0</v>
      </c>
      <c r="I473" s="1">
        <v>0</v>
      </c>
      <c r="J473" s="1">
        <v>472</v>
      </c>
      <c r="K473" s="1">
        <v>2408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</row>
    <row r="474" spans="1:17" x14ac:dyDescent="0.3">
      <c r="A474" s="1" t="s">
        <v>27</v>
      </c>
      <c r="B474" s="1" t="s">
        <v>502</v>
      </c>
      <c r="C474" s="1" t="str">
        <f>VLOOKUP(B:B,[6]配额0227!$A:$B,2,0)</f>
        <v>变频外电脑板-FR-4240*180</v>
      </c>
      <c r="D474" s="1" t="str">
        <f>VLOOKUP(B:B,'[7]厂家配额 (新)'!$A$1:$C$65536,3,0)</f>
        <v>尚研</v>
      </c>
      <c r="E474" s="1">
        <v>0</v>
      </c>
      <c r="F474" s="1">
        <v>197</v>
      </c>
      <c r="G474" s="1">
        <v>0</v>
      </c>
      <c r="H474" s="1">
        <v>35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</row>
    <row r="475" spans="1:17" x14ac:dyDescent="0.3">
      <c r="A475" s="1" t="s">
        <v>27</v>
      </c>
      <c r="B475" s="1" t="s">
        <v>303</v>
      </c>
      <c r="C475" s="1" t="str">
        <f>VLOOKUP(B:B,[6]配额0227!$A:$B,2,0)</f>
        <v>变频外电脑板-FR-4240*180</v>
      </c>
      <c r="D475" s="1" t="str">
        <f>VLOOKUP(B:B,'[7]厂家配额 (新)'!$A$1:$C$65536,3,0)</f>
        <v>尚研</v>
      </c>
      <c r="E475" s="1">
        <v>0</v>
      </c>
      <c r="F475" s="1">
        <v>0</v>
      </c>
      <c r="G475" s="1">
        <v>0</v>
      </c>
      <c r="H475" s="1">
        <v>5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</row>
    <row r="476" spans="1:17" x14ac:dyDescent="0.3">
      <c r="A476" s="1" t="s">
        <v>27</v>
      </c>
      <c r="B476" s="1" t="s">
        <v>503</v>
      </c>
      <c r="C476" s="1" t="str">
        <f>VLOOKUP(B:B,[6]配额0227!$A:$B,2,0)</f>
        <v>变频外电脑板-FR-4</v>
      </c>
      <c r="D476" s="1" t="str">
        <f>VLOOKUP(B:B,'[7]厂家配额 (新)'!$A$1:$C$65536,3,0)</f>
        <v>航嘉</v>
      </c>
      <c r="E476" s="1">
        <v>0</v>
      </c>
      <c r="F476" s="1">
        <v>60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</row>
    <row r="477" spans="1:17" x14ac:dyDescent="0.3">
      <c r="A477" s="1" t="s">
        <v>27</v>
      </c>
      <c r="B477" s="1" t="s">
        <v>504</v>
      </c>
      <c r="C477" s="1" t="str">
        <f>VLOOKUP(B:B,[6]配额0227!$A:$B,2,0)</f>
        <v>变频外电脑板-FR-4240*180</v>
      </c>
      <c r="D477" s="1" t="str">
        <f>VLOOKUP(B:B,'[7]厂家配额 (新)'!$A$1:$C$65536,3,0)</f>
        <v>中家智康</v>
      </c>
      <c r="E477" s="1">
        <v>0</v>
      </c>
      <c r="F477" s="1">
        <v>0</v>
      </c>
      <c r="G477" s="1">
        <v>167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</row>
    <row r="478" spans="1:17" x14ac:dyDescent="0.3">
      <c r="A478" s="1" t="s">
        <v>27</v>
      </c>
      <c r="B478" s="1" t="s">
        <v>304</v>
      </c>
      <c r="C478" s="1" t="str">
        <f>VLOOKUP(B:B,[6]配额0227!$A:$B,2,0)</f>
        <v>变频外电脑板-FR-4240*180</v>
      </c>
      <c r="D478" s="1" t="str">
        <f>VLOOKUP(B:B,'[7]厂家配额 (新)'!$A$1:$C$65536,3,0)</f>
        <v>尚研</v>
      </c>
      <c r="E478" s="1">
        <v>0</v>
      </c>
      <c r="F478" s="1">
        <v>0</v>
      </c>
      <c r="G478" s="1">
        <v>0</v>
      </c>
      <c r="H478" s="1">
        <v>30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</row>
    <row r="479" spans="1:17" x14ac:dyDescent="0.3">
      <c r="A479" s="1" t="s">
        <v>27</v>
      </c>
      <c r="B479" s="1" t="s">
        <v>505</v>
      </c>
      <c r="C479" s="1" t="str">
        <f>VLOOKUP(B:B,[6]配额0227!$A:$B,2,0)</f>
        <v>室内电脑板-FR-4室内电脑板F系列新开海外项目室内电脑板</v>
      </c>
      <c r="D479" s="1" t="str">
        <f>VLOOKUP(B:B,'[7]厂家配额 (新)'!$A$1:$C$65536,3,0)</f>
        <v>领智</v>
      </c>
      <c r="E479" s="1">
        <v>0</v>
      </c>
      <c r="F479" s="1">
        <v>915</v>
      </c>
      <c r="G479" s="1">
        <v>1263</v>
      </c>
      <c r="H479" s="1">
        <v>0</v>
      </c>
      <c r="I479" s="1">
        <v>0</v>
      </c>
      <c r="J479" s="1">
        <v>1500</v>
      </c>
      <c r="K479" s="1">
        <v>60</v>
      </c>
      <c r="L479" s="1">
        <v>250</v>
      </c>
      <c r="M479" s="1">
        <v>0</v>
      </c>
      <c r="N479" s="1">
        <v>760</v>
      </c>
      <c r="O479" s="1">
        <v>270</v>
      </c>
      <c r="P479" s="1">
        <v>0</v>
      </c>
      <c r="Q479" s="1">
        <v>3159</v>
      </c>
    </row>
    <row r="480" spans="1:17" x14ac:dyDescent="0.3">
      <c r="A480" s="1" t="s">
        <v>27</v>
      </c>
      <c r="B480" s="1" t="s">
        <v>305</v>
      </c>
      <c r="C480" s="1" t="str">
        <f>VLOOKUP(B:B,[6]配额0227!$A:$B,2,0)</f>
        <v>室内电脑板-FR-4136*165</v>
      </c>
      <c r="D480" s="1" t="str">
        <f>VLOOKUP(B:B,'[7]厂家配额 (新)'!$A$1:$C$65536,3,0)</f>
        <v>领智</v>
      </c>
      <c r="E480" s="1">
        <v>333</v>
      </c>
      <c r="F480" s="1">
        <v>0</v>
      </c>
      <c r="G480" s="1">
        <v>302</v>
      </c>
      <c r="H480" s="1">
        <v>199</v>
      </c>
      <c r="I480" s="1">
        <v>100</v>
      </c>
      <c r="J480" s="1">
        <v>0</v>
      </c>
      <c r="K480" s="1">
        <v>0</v>
      </c>
      <c r="L480" s="1">
        <v>435</v>
      </c>
      <c r="M480" s="1">
        <v>57</v>
      </c>
      <c r="N480" s="1">
        <v>0</v>
      </c>
      <c r="O480" s="1">
        <v>0</v>
      </c>
      <c r="P480" s="1">
        <v>0</v>
      </c>
      <c r="Q480" s="1">
        <v>2488</v>
      </c>
    </row>
    <row r="481" spans="1:17" x14ac:dyDescent="0.3">
      <c r="A481" s="1" t="s">
        <v>27</v>
      </c>
      <c r="B481" s="1" t="s">
        <v>506</v>
      </c>
      <c r="C481" s="1" t="str">
        <f>VLOOKUP(B:B,[6]配额0227!$A:$B,2,0)</f>
        <v>室内电脑板-FR-4136*165</v>
      </c>
      <c r="D481" s="1" t="str">
        <f>VLOOKUP(B:B,'[7]厂家配额 (新)'!$A$1:$C$65536,3,0)</f>
        <v>领智</v>
      </c>
      <c r="E481" s="1">
        <v>0</v>
      </c>
      <c r="F481" s="1">
        <v>270</v>
      </c>
      <c r="G481" s="1">
        <v>486</v>
      </c>
      <c r="H481" s="1">
        <v>0</v>
      </c>
      <c r="I481" s="1">
        <v>0</v>
      </c>
      <c r="J481" s="1">
        <v>338</v>
      </c>
      <c r="K481" s="1">
        <v>165</v>
      </c>
      <c r="L481" s="1">
        <v>0</v>
      </c>
      <c r="M481" s="1">
        <v>0</v>
      </c>
      <c r="N481" s="1">
        <v>90</v>
      </c>
      <c r="O481" s="1">
        <v>250</v>
      </c>
      <c r="P481" s="1">
        <v>0</v>
      </c>
      <c r="Q481" s="1">
        <v>1136</v>
      </c>
    </row>
    <row r="482" spans="1:17" x14ac:dyDescent="0.3">
      <c r="A482" s="1" t="s">
        <v>27</v>
      </c>
      <c r="B482" s="1" t="s">
        <v>507</v>
      </c>
      <c r="C482" s="1" t="str">
        <f>VLOOKUP(B:B,[6]配额0227!$A:$B,2,0)</f>
        <v>室内电脑板-FR-4136*165</v>
      </c>
      <c r="D482" s="1" t="str">
        <f>VLOOKUP(B:B,'[7]厂家配额 (新)'!$A$1:$C$65536,3,0)</f>
        <v>领智</v>
      </c>
      <c r="E482" s="1">
        <v>0</v>
      </c>
      <c r="F482" s="1">
        <v>240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1270</v>
      </c>
      <c r="M482" s="1">
        <v>0</v>
      </c>
      <c r="N482" s="1">
        <v>0</v>
      </c>
      <c r="O482" s="1">
        <v>70</v>
      </c>
      <c r="P482" s="1">
        <v>0</v>
      </c>
      <c r="Q482" s="1">
        <v>705</v>
      </c>
    </row>
    <row r="483" spans="1:17" x14ac:dyDescent="0.3">
      <c r="A483" s="1" t="s">
        <v>27</v>
      </c>
      <c r="B483" s="1" t="s">
        <v>508</v>
      </c>
      <c r="C483" s="1" t="str">
        <f>VLOOKUP(B:B,[6]配额0227!$A:$B,2,0)</f>
        <v>室内电脑板-FR-4136*155</v>
      </c>
      <c r="D483" s="1" t="str">
        <f>VLOOKUP(B:B,'[7]厂家配额 (新)'!$A$1:$C$65536,3,0)</f>
        <v>领智</v>
      </c>
      <c r="E483" s="1">
        <v>0</v>
      </c>
      <c r="F483" s="1">
        <v>180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</row>
    <row r="484" spans="1:17" x14ac:dyDescent="0.3">
      <c r="A484" s="1" t="s">
        <v>27</v>
      </c>
      <c r="B484" s="1" t="s">
        <v>74</v>
      </c>
      <c r="C484" s="1" t="str">
        <f>VLOOKUP(B:B,[6]配额0227!$A:$B,2,0)</f>
        <v>室内电脑板-FR-4136*165</v>
      </c>
      <c r="D484" s="1" t="str">
        <f>VLOOKUP(B:B,'[7]厂家配额 (新)'!$A$1:$C$65536,3,0)</f>
        <v>和而泰</v>
      </c>
      <c r="E484" s="1">
        <v>0</v>
      </c>
      <c r="F484" s="1">
        <v>910</v>
      </c>
      <c r="G484" s="1">
        <v>0</v>
      </c>
      <c r="H484" s="1">
        <v>70</v>
      </c>
      <c r="I484" s="1">
        <v>0</v>
      </c>
      <c r="J484" s="1">
        <v>665</v>
      </c>
      <c r="K484" s="1">
        <v>0</v>
      </c>
      <c r="L484" s="1">
        <v>0</v>
      </c>
      <c r="M484" s="1">
        <v>60</v>
      </c>
      <c r="N484" s="1">
        <v>855</v>
      </c>
      <c r="O484" s="1">
        <v>925</v>
      </c>
      <c r="P484" s="1">
        <v>0</v>
      </c>
      <c r="Q484" s="1">
        <v>1062</v>
      </c>
    </row>
    <row r="485" spans="1:17" x14ac:dyDescent="0.3">
      <c r="A485" s="1" t="s">
        <v>27</v>
      </c>
      <c r="B485" s="1" t="s">
        <v>76</v>
      </c>
      <c r="C485" s="1" t="str">
        <f>VLOOKUP(B:B,[6]配额0227!$A:$B,2,0)</f>
        <v>室内电脑板-FR-4136*165</v>
      </c>
      <c r="D485" s="1" t="str">
        <f>VLOOKUP(B:B,'[7]厂家配额 (新)'!$A$1:$C$65536,3,0)</f>
        <v>和而泰</v>
      </c>
      <c r="E485" s="1">
        <v>757</v>
      </c>
      <c r="F485" s="1">
        <v>55</v>
      </c>
      <c r="G485" s="1">
        <v>0</v>
      </c>
      <c r="H485" s="1">
        <v>30</v>
      </c>
      <c r="I485" s="1">
        <v>125</v>
      </c>
      <c r="J485" s="1">
        <v>0</v>
      </c>
      <c r="K485" s="1">
        <v>0</v>
      </c>
      <c r="L485" s="1">
        <v>0</v>
      </c>
      <c r="M485" s="1">
        <v>50</v>
      </c>
      <c r="N485" s="1">
        <v>0</v>
      </c>
      <c r="O485" s="1">
        <v>0</v>
      </c>
      <c r="P485" s="1">
        <v>0</v>
      </c>
      <c r="Q485" s="1">
        <v>745</v>
      </c>
    </row>
    <row r="486" spans="1:17" x14ac:dyDescent="0.3">
      <c r="A486" s="1" t="s">
        <v>27</v>
      </c>
      <c r="B486" s="1" t="s">
        <v>306</v>
      </c>
      <c r="C486" s="1" t="str">
        <f>VLOOKUP(B:B,[6]配额0227!$A:$B,2,0)</f>
        <v>室内电脑板-FR-4</v>
      </c>
      <c r="D486" s="1" t="str">
        <f>VLOOKUP(B:B,'[7]厂家配额 (新)'!$A$1:$C$65536,3,0)</f>
        <v>领智/康美特//</v>
      </c>
      <c r="E486" s="1">
        <v>274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290</v>
      </c>
    </row>
    <row r="487" spans="1:17" x14ac:dyDescent="0.3">
      <c r="A487" s="1" t="s">
        <v>27</v>
      </c>
      <c r="B487" s="1" t="s">
        <v>509</v>
      </c>
      <c r="C487" s="1" t="str">
        <f>VLOOKUP(B:B,[6]配额0227!$A:$B,2,0)</f>
        <v>变频外电脑板-FR-4240*180</v>
      </c>
      <c r="D487" s="1" t="str">
        <f>VLOOKUP(B:B,'[7]厂家配额 (新)'!$A$1:$C$65536,3,0)</f>
        <v>中家智康</v>
      </c>
      <c r="E487" s="1">
        <v>0</v>
      </c>
      <c r="F487" s="1">
        <v>1</v>
      </c>
      <c r="G487" s="1">
        <v>0</v>
      </c>
      <c r="H487" s="1">
        <v>0</v>
      </c>
      <c r="I487" s="1">
        <v>839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</row>
    <row r="488" spans="1:17" x14ac:dyDescent="0.3">
      <c r="A488" s="1" t="s">
        <v>27</v>
      </c>
      <c r="B488" s="1" t="s">
        <v>510</v>
      </c>
      <c r="C488" s="1" t="str">
        <f>VLOOKUP(B:B,[6]配额0227!$A:$B,2,0)</f>
        <v>变频外电脑板-FR-4240*180FR-4</v>
      </c>
      <c r="D488" s="1" t="str">
        <f>VLOOKUP(B:B,'[7]厂家配额 (新)'!$A$1:$C$65536,3,0)</f>
        <v>尚研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2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</row>
    <row r="489" spans="1:17" x14ac:dyDescent="0.3">
      <c r="A489" s="1" t="s">
        <v>27</v>
      </c>
      <c r="B489" s="1" t="s">
        <v>511</v>
      </c>
      <c r="C489" s="1" t="str">
        <f>VLOOKUP(B:B,[6]配额0227!$A:$B,2,0)</f>
        <v>变频外电脑板-FR-4240*180</v>
      </c>
      <c r="D489" s="1" t="str">
        <f>VLOOKUP(B:B,'[7]厂家配额 (新)'!$A$1:$C$65536,3,0)</f>
        <v>尚研</v>
      </c>
      <c r="E489" s="1">
        <v>0</v>
      </c>
      <c r="F489" s="1">
        <v>0</v>
      </c>
      <c r="G489" s="1">
        <v>378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160</v>
      </c>
    </row>
    <row r="490" spans="1:17" x14ac:dyDescent="0.3">
      <c r="A490" s="1" t="s">
        <v>27</v>
      </c>
      <c r="B490" s="1" t="s">
        <v>512</v>
      </c>
      <c r="C490" s="1" t="str">
        <f>VLOOKUP(B:B,[6]配额0227!$A:$B,2,0)</f>
        <v>变频外电脑板-FR-4240*180</v>
      </c>
      <c r="D490" s="1" t="str">
        <f>VLOOKUP(B:B,'[7]厂家配额 (新)'!$A$1:$C$65536,3,0)</f>
        <v>中家智康</v>
      </c>
      <c r="E490" s="1">
        <v>0</v>
      </c>
      <c r="F490" s="1">
        <v>20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</row>
    <row r="491" spans="1:17" x14ac:dyDescent="0.3">
      <c r="A491" s="1" t="s">
        <v>27</v>
      </c>
      <c r="B491" s="1" t="s">
        <v>513</v>
      </c>
      <c r="C491" s="1" t="str">
        <f>VLOOKUP(B:B,[6]配额0227!$A:$B,2,0)</f>
        <v>变频外电脑板-FR-4</v>
      </c>
      <c r="D491" s="1" t="str">
        <f>VLOOKUP(B:B,'[7]厂家配额 (新)'!$A$1:$C$65536,3,0)</f>
        <v>尚研/航嘉//</v>
      </c>
      <c r="E491" s="1">
        <v>0</v>
      </c>
      <c r="F491" s="1">
        <v>0</v>
      </c>
      <c r="G491" s="1">
        <v>1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</row>
    <row r="492" spans="1:17" x14ac:dyDescent="0.3">
      <c r="A492" s="1" t="s">
        <v>27</v>
      </c>
      <c r="B492" s="1" t="s">
        <v>514</v>
      </c>
      <c r="C492" s="1" t="str">
        <f>VLOOKUP(B:B,[6]配额0227!$A:$B,2,0)</f>
        <v>变频外电脑板-FR-4240*180</v>
      </c>
      <c r="D492" s="1" t="str">
        <f>VLOOKUP(B:B,'[7]厂家配额 (新)'!$A$1:$C$65536,3,0)</f>
        <v>航嘉/领智//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330</v>
      </c>
    </row>
    <row r="493" spans="1:17" x14ac:dyDescent="0.3">
      <c r="A493" s="1" t="s">
        <v>27</v>
      </c>
      <c r="B493" s="1" t="s">
        <v>81</v>
      </c>
      <c r="C493" s="1" t="str">
        <f>VLOOKUP(B:B,[6]配额0227!$A:$B,2,0)</f>
        <v>变频外电脑板-FR-4</v>
      </c>
      <c r="D493" s="1" t="str">
        <f>VLOOKUP(B:B,'[7]厂家配额 (新)'!$A$1:$C$65536,3,0)</f>
        <v>和而泰/尚研//</v>
      </c>
      <c r="E493" s="1">
        <v>0</v>
      </c>
      <c r="F493" s="1">
        <v>0</v>
      </c>
      <c r="G493" s="1">
        <v>0</v>
      </c>
      <c r="H493" s="1">
        <v>0</v>
      </c>
      <c r="I493" s="1">
        <v>1365</v>
      </c>
      <c r="J493" s="1">
        <v>0</v>
      </c>
      <c r="K493" s="1">
        <v>0</v>
      </c>
      <c r="L493" s="1">
        <v>195</v>
      </c>
      <c r="M493" s="1">
        <v>975</v>
      </c>
      <c r="N493" s="1">
        <v>0</v>
      </c>
      <c r="O493" s="1">
        <v>0</v>
      </c>
      <c r="P493" s="1">
        <v>0</v>
      </c>
      <c r="Q493" s="1">
        <v>0</v>
      </c>
    </row>
    <row r="494" spans="1:17" x14ac:dyDescent="0.3">
      <c r="A494" s="1" t="s">
        <v>27</v>
      </c>
      <c r="B494" s="1" t="s">
        <v>83</v>
      </c>
      <c r="C494" s="1" t="str">
        <f>VLOOKUP(B:B,[6]配额0227!$A:$B,2,0)</f>
        <v>变频外电脑板-FR-4</v>
      </c>
      <c r="D494" s="1" t="str">
        <f>VLOOKUP(B:B,'[7]厂家配额 (新)'!$A$1:$C$65536,3,0)</f>
        <v>和而泰/尚研//</v>
      </c>
      <c r="E494" s="1">
        <v>0</v>
      </c>
      <c r="F494" s="1">
        <v>0</v>
      </c>
      <c r="G494" s="1">
        <v>0</v>
      </c>
      <c r="H494" s="1">
        <v>0</v>
      </c>
      <c r="I494" s="1">
        <v>390</v>
      </c>
      <c r="J494" s="1">
        <v>0</v>
      </c>
      <c r="K494" s="1">
        <v>0</v>
      </c>
      <c r="L494" s="1">
        <v>130</v>
      </c>
      <c r="M494" s="1">
        <v>0</v>
      </c>
      <c r="N494" s="1">
        <v>0</v>
      </c>
      <c r="O494" s="1">
        <v>260</v>
      </c>
      <c r="P494" s="1">
        <v>0</v>
      </c>
      <c r="Q494" s="1">
        <v>0</v>
      </c>
    </row>
    <row r="495" spans="1:17" x14ac:dyDescent="0.3">
      <c r="A495" s="1" t="s">
        <v>27</v>
      </c>
      <c r="B495" s="1" t="s">
        <v>84</v>
      </c>
      <c r="C495" s="1" t="str">
        <f>VLOOKUP(B:B,[6]配额0227!$A:$B,2,0)</f>
        <v>变频外电脑板-FR-4</v>
      </c>
      <c r="D495" s="1" t="str">
        <f>VLOOKUP(B:B,'[7]厂家配额 (新)'!$A$1:$C$65536,3,0)</f>
        <v>和而泰/尚研//</v>
      </c>
      <c r="E495" s="1">
        <v>0</v>
      </c>
      <c r="F495" s="1">
        <v>0</v>
      </c>
      <c r="G495" s="1">
        <v>0</v>
      </c>
      <c r="H495" s="1">
        <v>0</v>
      </c>
      <c r="I495" s="1">
        <v>180</v>
      </c>
      <c r="J495" s="1">
        <v>0</v>
      </c>
      <c r="K495" s="1">
        <v>0</v>
      </c>
      <c r="L495" s="1">
        <v>0</v>
      </c>
      <c r="M495" s="1">
        <v>180</v>
      </c>
      <c r="N495" s="1">
        <v>0</v>
      </c>
      <c r="O495" s="1">
        <v>0</v>
      </c>
      <c r="P495" s="1">
        <v>0</v>
      </c>
      <c r="Q495" s="1">
        <v>0</v>
      </c>
    </row>
    <row r="496" spans="1:17" x14ac:dyDescent="0.3">
      <c r="A496" s="1" t="s">
        <v>27</v>
      </c>
      <c r="B496" s="1" t="s">
        <v>86</v>
      </c>
      <c r="C496" s="1" t="str">
        <f>VLOOKUP(B:B,[6]配额0227!$A:$B,2,0)</f>
        <v>变频外电脑板-FR-4</v>
      </c>
      <c r="D496" s="1" t="str">
        <f>VLOOKUP(B:B,'[7]厂家配额 (新)'!$A$1:$C$65536,3,0)</f>
        <v>中家智康/和而泰</v>
      </c>
      <c r="E496" s="1">
        <v>0</v>
      </c>
      <c r="F496" s="1">
        <v>0</v>
      </c>
      <c r="G496" s="1">
        <v>0</v>
      </c>
      <c r="H496" s="1">
        <v>384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</row>
    <row r="497" spans="1:17" x14ac:dyDescent="0.3">
      <c r="A497" s="1" t="s">
        <v>27</v>
      </c>
      <c r="B497" s="1" t="s">
        <v>515</v>
      </c>
      <c r="C497" s="1" t="str">
        <f>VLOOKUP(B:B,[6]配额0227!$A:$B,2,0)</f>
        <v>变频外电脑板</v>
      </c>
      <c r="D497" s="1" t="str">
        <f>VLOOKUP(B:B,'[7]厂家配额 (新)'!$A$1:$C$65536,3,0)</f>
        <v>领智/航嘉//</v>
      </c>
      <c r="E497" s="1">
        <v>0</v>
      </c>
      <c r="F497" s="1">
        <v>0</v>
      </c>
      <c r="G497" s="1">
        <v>1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</row>
    <row r="498" spans="1:17" x14ac:dyDescent="0.3">
      <c r="A498" s="1" t="s">
        <v>27</v>
      </c>
      <c r="B498" s="1" t="s">
        <v>88</v>
      </c>
      <c r="C498" s="1" t="str">
        <f>VLOOKUP(B:B,[6]配额0227!$A:$B,2,0)</f>
        <v>室内电脑板-CEM-1</v>
      </c>
      <c r="D498" s="1" t="str">
        <f>VLOOKUP(B:B,'[7]厂家配额 (新)'!$A$1:$C$65536,3,0)</f>
        <v>和而泰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2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</row>
    <row r="499" spans="1:17" x14ac:dyDescent="0.3">
      <c r="A499" s="1" t="s">
        <v>27</v>
      </c>
      <c r="B499" s="1" t="s">
        <v>89</v>
      </c>
      <c r="C499" s="1" t="str">
        <f>VLOOKUP(B:B,[6]配额0227!$A:$B,2,0)</f>
        <v>室内电脑板-CEM-1</v>
      </c>
      <c r="D499" s="1" t="str">
        <f>VLOOKUP(B:B,'[7]厂家配额 (新)'!$A$1:$C$65536,3,0)</f>
        <v>和而泰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532</v>
      </c>
    </row>
    <row r="500" spans="1:17" x14ac:dyDescent="0.3">
      <c r="A500" s="1" t="s">
        <v>27</v>
      </c>
      <c r="B500" s="1" t="s">
        <v>90</v>
      </c>
      <c r="C500" s="1" t="str">
        <f>VLOOKUP(B:B,[6]配额0227!$A:$B,2,0)</f>
        <v>室内电脑板-CEM-1</v>
      </c>
      <c r="D500" s="1" t="str">
        <f>VLOOKUP(B:B,'[7]厂家配额 (新)'!$A$1:$C$65536,3,0)</f>
        <v>和而泰</v>
      </c>
      <c r="E500" s="1">
        <v>0</v>
      </c>
      <c r="F500" s="1">
        <v>0</v>
      </c>
      <c r="G500" s="1">
        <v>667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</row>
    <row r="501" spans="1:17" x14ac:dyDescent="0.3">
      <c r="A501" s="1" t="s">
        <v>27</v>
      </c>
      <c r="B501" s="1" t="s">
        <v>91</v>
      </c>
      <c r="C501" s="1" t="str">
        <f>VLOOKUP(B:B,[6]配额0227!$A:$B,2,0)</f>
        <v>室内电脑板-FR-4</v>
      </c>
      <c r="D501" s="1" t="str">
        <f>VLOOKUP(B:B,'[7]厂家配额 (新)'!$A$1:$C$65536,3,0)</f>
        <v>和而泰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20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</row>
    <row r="502" spans="1:17" x14ac:dyDescent="0.3">
      <c r="A502" s="1" t="s">
        <v>27</v>
      </c>
      <c r="B502" s="1" t="s">
        <v>93</v>
      </c>
      <c r="C502" s="1" t="str">
        <f>VLOOKUP(B:B,[6]配额0227!$A:$B,2,0)</f>
        <v>变频外电脑板-FR-4</v>
      </c>
      <c r="D502" s="1" t="str">
        <f>VLOOKUP(B:B,'[7]厂家配额 (新)'!$A$1:$C$65536,3,0)</f>
        <v>和而泰</v>
      </c>
      <c r="E502" s="1">
        <v>0</v>
      </c>
      <c r="F502" s="1">
        <v>0</v>
      </c>
      <c r="G502" s="1">
        <v>360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</row>
    <row r="503" spans="1:17" x14ac:dyDescent="0.3">
      <c r="A503" s="1" t="s">
        <v>27</v>
      </c>
      <c r="B503" s="1" t="s">
        <v>516</v>
      </c>
      <c r="C503" s="1" t="str">
        <f>VLOOKUP(B:B,[6]配额0227!$A:$B,2,0)</f>
        <v>室内电脑板-CEM-1</v>
      </c>
      <c r="D503" s="1" t="str">
        <f>VLOOKUP(B:B,'[7]厂家配额 (新)'!$A$1:$C$65536,3,0)</f>
        <v>领智/康美特</v>
      </c>
      <c r="E503" s="1">
        <v>0</v>
      </c>
      <c r="F503" s="1">
        <v>539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</row>
    <row r="504" spans="1:17" x14ac:dyDescent="0.3">
      <c r="A504" s="1" t="s">
        <v>27</v>
      </c>
      <c r="B504" s="1" t="s">
        <v>318</v>
      </c>
      <c r="C504" s="1" t="str">
        <f>VLOOKUP(B:B,[6]配额0227!$A:$B,2,0)</f>
        <v>室内电脑板-CEM-1</v>
      </c>
      <c r="D504" s="1" t="str">
        <f>VLOOKUP(B:B,'[7]厂家配额 (新)'!$A$1:$C$65536,3,0)</f>
        <v>领智/康美特</v>
      </c>
      <c r="E504" s="1">
        <v>0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896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</row>
    <row r="505" spans="1:17" x14ac:dyDescent="0.3">
      <c r="A505" s="1" t="s">
        <v>27</v>
      </c>
      <c r="B505" s="1" t="s">
        <v>94</v>
      </c>
      <c r="C505" s="1" t="str">
        <f>VLOOKUP(B:B,[6]配额0227!$A:$B,2,0)</f>
        <v>室内电脑板-CEM-1</v>
      </c>
      <c r="D505" s="1" t="str">
        <f>VLOOKUP(B:B,'[7]厂家配额 (新)'!$A$1:$C$65536,3,0)</f>
        <v>领智/和而泰//</v>
      </c>
      <c r="E505" s="1">
        <v>0</v>
      </c>
      <c r="F505" s="1">
        <v>0</v>
      </c>
      <c r="G505" s="1">
        <v>775</v>
      </c>
      <c r="H505" s="1">
        <v>0</v>
      </c>
      <c r="I505" s="1">
        <v>0</v>
      </c>
      <c r="J505" s="1">
        <v>0</v>
      </c>
      <c r="K505" s="1">
        <v>0</v>
      </c>
      <c r="L505" s="1">
        <v>580</v>
      </c>
      <c r="M505" s="1">
        <v>2</v>
      </c>
      <c r="N505" s="1">
        <v>0</v>
      </c>
      <c r="O505" s="1">
        <v>0</v>
      </c>
      <c r="P505" s="1">
        <v>0</v>
      </c>
      <c r="Q505" s="1">
        <v>940</v>
      </c>
    </row>
    <row r="506" spans="1:17" x14ac:dyDescent="0.3">
      <c r="A506" s="1" t="s">
        <v>27</v>
      </c>
      <c r="B506" s="1" t="s">
        <v>95</v>
      </c>
      <c r="C506" s="1" t="str">
        <f>VLOOKUP(B:B,[6]配额0227!$A:$B,2,0)</f>
        <v>室内电脑板-CEM-1</v>
      </c>
      <c r="D506" s="1" t="str">
        <f>VLOOKUP(B:B,'[7]厂家配额 (新)'!$A$1:$C$65536,3,0)</f>
        <v>领智/和而泰//</v>
      </c>
      <c r="E506" s="1">
        <v>345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</row>
    <row r="507" spans="1:17" x14ac:dyDescent="0.3">
      <c r="A507" s="1" t="s">
        <v>27</v>
      </c>
      <c r="B507" s="1" t="s">
        <v>96</v>
      </c>
      <c r="C507" s="1" t="str">
        <f>VLOOKUP(B:B,[6]配额0227!$A:$B,2,0)</f>
        <v>室内电脑板-CEM-1</v>
      </c>
      <c r="D507" s="1" t="str">
        <f>VLOOKUP(B:B,'[7]厂家配额 (新)'!$A$1:$C$65536,3,0)</f>
        <v>领智/和而泰//</v>
      </c>
      <c r="E507" s="1">
        <v>0</v>
      </c>
      <c r="F507" s="1">
        <v>0</v>
      </c>
      <c r="G507" s="1">
        <v>0</v>
      </c>
      <c r="H507" s="1">
        <v>0</v>
      </c>
      <c r="I507" s="1">
        <v>348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</row>
    <row r="508" spans="1:17" x14ac:dyDescent="0.3">
      <c r="A508" s="1" t="s">
        <v>27</v>
      </c>
      <c r="B508" s="1" t="s">
        <v>319</v>
      </c>
      <c r="C508" s="1" t="str">
        <f>VLOOKUP(B:B,[6]配额0227!$A:$B,2,0)</f>
        <v>室内电脑板-CEM-1</v>
      </c>
      <c r="D508" s="1" t="str">
        <f>VLOOKUP(B:B,'[7]厂家配额 (新)'!$A$1:$C$65536,3,0)</f>
        <v>航嘉/尚研//</v>
      </c>
      <c r="E508" s="1">
        <v>0</v>
      </c>
      <c r="F508" s="1">
        <v>0</v>
      </c>
      <c r="G508" s="1">
        <v>1</v>
      </c>
      <c r="H508" s="1">
        <v>0</v>
      </c>
      <c r="I508" s="1">
        <v>459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</row>
    <row r="509" spans="1:17" x14ac:dyDescent="0.3">
      <c r="A509" s="1" t="s">
        <v>27</v>
      </c>
      <c r="B509" s="1" t="s">
        <v>517</v>
      </c>
      <c r="C509" s="1" t="str">
        <f>VLOOKUP(B:B,[6]配额0227!$A:$B,2,0)</f>
        <v>室内电脑板-CEM-1/</v>
      </c>
      <c r="D509" s="1" t="str">
        <f>VLOOKUP(B:B,'[7]厂家配额 (新)'!$A$1:$C$65536,3,0)</f>
        <v>领智</v>
      </c>
      <c r="E509" s="1">
        <v>0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450</v>
      </c>
      <c r="N509" s="1">
        <v>0</v>
      </c>
      <c r="O509" s="1">
        <v>0</v>
      </c>
      <c r="P509" s="1">
        <v>0</v>
      </c>
      <c r="Q509" s="1">
        <v>270</v>
      </c>
    </row>
    <row r="510" spans="1:17" x14ac:dyDescent="0.3">
      <c r="A510" s="1" t="s">
        <v>27</v>
      </c>
      <c r="B510" s="1" t="s">
        <v>321</v>
      </c>
      <c r="C510" s="1" t="str">
        <f>VLOOKUP(B:B,[6]配额0227!$A:$B,2,0)</f>
        <v>室内电脑板-CEM-1</v>
      </c>
      <c r="D510" s="1" t="str">
        <f>VLOOKUP(B:B,'[7]厂家配额 (新)'!$A$1:$C$65536,3,0)</f>
        <v>康美特/领智//</v>
      </c>
      <c r="E510" s="1">
        <v>0</v>
      </c>
      <c r="F510" s="1">
        <v>0</v>
      </c>
      <c r="G510" s="1">
        <v>165</v>
      </c>
      <c r="H510" s="1">
        <v>0</v>
      </c>
      <c r="I510" s="1">
        <v>0</v>
      </c>
      <c r="J510" s="1">
        <v>0</v>
      </c>
      <c r="K510" s="1">
        <v>0</v>
      </c>
      <c r="L510" s="1">
        <v>1</v>
      </c>
      <c r="M510" s="1">
        <v>0</v>
      </c>
      <c r="N510" s="1">
        <v>0</v>
      </c>
      <c r="O510" s="1">
        <v>0</v>
      </c>
      <c r="P510" s="1">
        <v>0</v>
      </c>
      <c r="Q510" s="1">
        <v>2590</v>
      </c>
    </row>
    <row r="511" spans="1:17" x14ac:dyDescent="0.3">
      <c r="A511" s="1" t="s">
        <v>27</v>
      </c>
      <c r="B511" s="1" t="s">
        <v>97</v>
      </c>
      <c r="C511" s="1" t="str">
        <f>VLOOKUP(B:B,[6]配额0227!$A:$B,2,0)</f>
        <v>变频外电脑板-FR-4205mm*157mm</v>
      </c>
      <c r="D511" s="1" t="str">
        <f>VLOOKUP(B:B,'[7]厂家配额 (新)'!$A$1:$C$65536,3,0)</f>
        <v>和而泰</v>
      </c>
      <c r="E511" s="1">
        <v>0</v>
      </c>
      <c r="F511" s="1">
        <v>0</v>
      </c>
      <c r="G511" s="1">
        <v>413</v>
      </c>
      <c r="H511" s="1">
        <v>0</v>
      </c>
      <c r="I511" s="1">
        <v>0</v>
      </c>
      <c r="J511" s="1">
        <v>94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</row>
    <row r="512" spans="1:17" x14ac:dyDescent="0.3">
      <c r="A512" s="1" t="s">
        <v>27</v>
      </c>
      <c r="B512" s="1" t="s">
        <v>102</v>
      </c>
      <c r="C512" s="1" t="str">
        <f>VLOOKUP(B:B,[6]配额0227!$A:$B,2,0)</f>
        <v>变频外电脑板-FR-4205mm*157mm</v>
      </c>
      <c r="D512" s="1" t="str">
        <f>VLOOKUP(B:B,'[7]厂家配额 (新)'!$A$1:$C$65536,3,0)</f>
        <v>和而泰</v>
      </c>
      <c r="E512" s="1">
        <v>0</v>
      </c>
      <c r="F512" s="1">
        <v>0</v>
      </c>
      <c r="G512" s="1">
        <v>0</v>
      </c>
      <c r="H512" s="1">
        <v>75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</row>
    <row r="513" spans="1:17" x14ac:dyDescent="0.3">
      <c r="A513" s="1" t="s">
        <v>27</v>
      </c>
      <c r="B513" s="1" t="s">
        <v>103</v>
      </c>
      <c r="C513" s="1" t="str">
        <f>VLOOKUP(B:B,[6]配额0227!$A:$B,2,0)</f>
        <v>变频外电脑板-FR-4/</v>
      </c>
      <c r="D513" s="1" t="str">
        <f>VLOOKUP(B:B,'[7]厂家配额 (新)'!$A$1:$C$65536,3,0)</f>
        <v>和而泰/尚研//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2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</row>
    <row r="514" spans="1:17" x14ac:dyDescent="0.3">
      <c r="A514" s="1" t="s">
        <v>27</v>
      </c>
      <c r="B514" s="1" t="s">
        <v>104</v>
      </c>
      <c r="C514" s="1" t="str">
        <f>VLOOKUP(B:B,[6]配额0227!$A:$B,2,0)</f>
        <v>变频外电脑板-FR-4/</v>
      </c>
      <c r="D514" s="1" t="str">
        <f>VLOOKUP(B:B,'[7]厂家配额 (新)'!$A$1:$C$65536,3,0)</f>
        <v>和而泰/尚研//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2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</row>
    <row r="515" spans="1:17" x14ac:dyDescent="0.3">
      <c r="A515" s="1" t="s">
        <v>27</v>
      </c>
      <c r="B515" s="1" t="s">
        <v>518</v>
      </c>
      <c r="C515" s="1" t="str">
        <f>VLOOKUP(B:B,[6]配额0227!$A:$B,2,0)</f>
        <v>变频外电脑板-FR-4/</v>
      </c>
      <c r="D515" s="1" t="str">
        <f>VLOOKUP(B:B,'[7]厂家配额 (新)'!$A$1:$C$65536,3,0)</f>
        <v>领智</v>
      </c>
      <c r="E515" s="1">
        <v>0</v>
      </c>
      <c r="F515" s="1">
        <v>0</v>
      </c>
      <c r="G515" s="1">
        <v>0</v>
      </c>
      <c r="H515" s="1">
        <v>20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</row>
    <row r="516" spans="1:17" x14ac:dyDescent="0.3">
      <c r="A516" s="1" t="s">
        <v>27</v>
      </c>
      <c r="B516" s="1" t="s">
        <v>107</v>
      </c>
      <c r="C516" s="1" t="str">
        <f>VLOOKUP(B:B,[6]配额0227!$A:$B,2,0)</f>
        <v>变频外电脑板-FR-4</v>
      </c>
      <c r="D516" s="1" t="str">
        <f>VLOOKUP(B:B,'[7]厂家配额 (新)'!$A$1:$C$65536,3,0)</f>
        <v>领智/和而泰//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>
        <v>2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</row>
    <row r="517" spans="1:17" x14ac:dyDescent="0.3">
      <c r="A517" s="1" t="s">
        <v>27</v>
      </c>
      <c r="B517" s="1" t="s">
        <v>108</v>
      </c>
      <c r="C517" s="1" t="str">
        <f>VLOOKUP(B:B,[6]配额0227!$A:$B,2,0)</f>
        <v>变频外电脑板-FR-4</v>
      </c>
      <c r="D517" s="1" t="str">
        <f>VLOOKUP(B:B,'[7]厂家配额 (新)'!$A$1:$C$65536,3,0)</f>
        <v>领智/和而泰//</v>
      </c>
      <c r="E517" s="1">
        <v>0</v>
      </c>
      <c r="F517" s="1">
        <v>135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</row>
    <row r="518" spans="1:17" x14ac:dyDescent="0.3">
      <c r="A518" s="1" t="s">
        <v>27</v>
      </c>
      <c r="B518" s="1" t="s">
        <v>110</v>
      </c>
      <c r="C518" s="1" t="str">
        <f>VLOOKUP(B:B,[6]配额0227!$A:$B,2,0)</f>
        <v>变频外电脑板-FR-4/</v>
      </c>
      <c r="D518" s="1" t="str">
        <f>VLOOKUP(B:B,'[7]厂家配额 (新)'!$A$1:$C$65536,3,0)</f>
        <v>和而泰</v>
      </c>
      <c r="E518" s="1">
        <v>0</v>
      </c>
      <c r="F518" s="1">
        <v>0</v>
      </c>
      <c r="G518" s="1">
        <v>12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</row>
    <row r="519" spans="1:17" x14ac:dyDescent="0.3">
      <c r="A519" s="1" t="s">
        <v>27</v>
      </c>
      <c r="B519" s="1" t="s">
        <v>112</v>
      </c>
      <c r="C519" s="1" t="str">
        <f>VLOOKUP(B:B,[6]配额0227!$A:$B,2,0)</f>
        <v>变频外电脑板-FR-4/</v>
      </c>
      <c r="D519" s="1" t="str">
        <f>VLOOKUP(B:B,'[7]厂家配额 (新)'!$A$1:$C$65536,3,0)</f>
        <v>和而泰/尚研//</v>
      </c>
      <c r="E519" s="1">
        <v>0</v>
      </c>
      <c r="F519" s="1">
        <v>0</v>
      </c>
      <c r="G519" s="1">
        <v>0</v>
      </c>
      <c r="H519" s="1">
        <v>0</v>
      </c>
      <c r="I519" s="1">
        <v>690</v>
      </c>
      <c r="J519" s="1">
        <v>0</v>
      </c>
      <c r="K519" s="1">
        <v>0</v>
      </c>
      <c r="L519" s="1">
        <v>0</v>
      </c>
      <c r="M519" s="1">
        <v>0</v>
      </c>
      <c r="N519" s="1">
        <v>690</v>
      </c>
      <c r="O519" s="1">
        <v>0</v>
      </c>
      <c r="P519" s="1">
        <v>0</v>
      </c>
      <c r="Q519" s="1">
        <v>0</v>
      </c>
    </row>
    <row r="520" spans="1:17" x14ac:dyDescent="0.3">
      <c r="A520" s="1" t="s">
        <v>27</v>
      </c>
      <c r="B520" s="1" t="s">
        <v>519</v>
      </c>
      <c r="C520" s="1" t="str">
        <f>VLOOKUP(B:B,[6]配额0227!$A:$B,2,0)</f>
        <v>变频外电脑板-FR-4/</v>
      </c>
      <c r="D520" s="1" t="str">
        <f>VLOOKUP(B:B,'[7]厂家配额 (新)'!$A$1:$C$65536,3,0)</f>
        <v>领智/航嘉//</v>
      </c>
      <c r="E520" s="1">
        <v>0</v>
      </c>
      <c r="F520" s="1">
        <v>0</v>
      </c>
      <c r="G520" s="1">
        <v>1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</row>
    <row r="521" spans="1:17" x14ac:dyDescent="0.3">
      <c r="A521" s="1" t="s">
        <v>27</v>
      </c>
      <c r="B521" s="1" t="s">
        <v>114</v>
      </c>
      <c r="C521" s="1" t="str">
        <f>VLOOKUP(B:B,[6]配额0227!$A:$B,2,0)</f>
        <v>变频外电脑板-FR-4/</v>
      </c>
      <c r="D521" s="1" t="str">
        <f>VLOOKUP(B:B,'[7]厂家配额 (新)'!$A$1:$C$65536,3,0)</f>
        <v>和而泰</v>
      </c>
      <c r="E521" s="1">
        <v>1435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</row>
    <row r="522" spans="1:17" x14ac:dyDescent="0.3">
      <c r="A522" s="1" t="s">
        <v>27</v>
      </c>
      <c r="B522" s="1" t="s">
        <v>115</v>
      </c>
      <c r="C522" s="1" t="str">
        <f>VLOOKUP(B:B,[6]配额0227!$A:$B,2,0)</f>
        <v>变频外电脑板-FR-4/</v>
      </c>
      <c r="D522" s="1" t="str">
        <f>VLOOKUP(B:B,'[7]厂家配额 (新)'!$A$1:$C$65536,3,0)</f>
        <v>和而泰</v>
      </c>
      <c r="E522" s="1">
        <v>0</v>
      </c>
      <c r="F522" s="1">
        <v>266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</row>
    <row r="523" spans="1:17" x14ac:dyDescent="0.3">
      <c r="A523" s="1" t="s">
        <v>27</v>
      </c>
      <c r="B523" s="1" t="s">
        <v>116</v>
      </c>
      <c r="C523" s="1" t="str">
        <f>VLOOKUP(B:B,[6]配额0227!$A:$B,2,0)</f>
        <v>变频外电脑板-FR-4</v>
      </c>
      <c r="D523" s="1" t="str">
        <f>VLOOKUP(B:B,'[7]厂家配额 (新)'!$A$1:$C$65536,3,0)</f>
        <v>和而泰/尚研//</v>
      </c>
      <c r="E523" s="1">
        <v>0</v>
      </c>
      <c r="F523" s="1">
        <v>0</v>
      </c>
      <c r="G523" s="1">
        <v>0</v>
      </c>
      <c r="H523" s="1">
        <v>0</v>
      </c>
      <c r="I523" s="1">
        <v>0</v>
      </c>
      <c r="J523" s="1">
        <v>1500</v>
      </c>
      <c r="K523" s="1">
        <v>500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</row>
    <row r="524" spans="1:17" x14ac:dyDescent="0.3">
      <c r="A524" s="1" t="s">
        <v>27</v>
      </c>
      <c r="B524" s="1" t="s">
        <v>520</v>
      </c>
      <c r="C524" s="1" t="str">
        <f>VLOOKUP(B:B,[6]配额0227!$A:$B,2,0)</f>
        <v>变频外电脑板-FR-4</v>
      </c>
      <c r="D524" s="1" t="str">
        <f>VLOOKUP(B:B,'[7]厂家配额 (新)'!$A$1:$C$65536,3,0)</f>
        <v>领智/麦格米特//</v>
      </c>
      <c r="E524" s="1">
        <v>0</v>
      </c>
      <c r="F524" s="1">
        <v>0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530</v>
      </c>
    </row>
    <row r="525" spans="1:17" x14ac:dyDescent="0.3">
      <c r="A525" s="1" t="s">
        <v>27</v>
      </c>
      <c r="B525" s="1" t="s">
        <v>117</v>
      </c>
      <c r="C525" s="1" t="str">
        <f>VLOOKUP(B:B,[6]配额0227!$A:$B,2,0)</f>
        <v>变频外电脑板-FR-4</v>
      </c>
      <c r="D525" s="1" t="str">
        <f>VLOOKUP(B:B,'[7]厂家配额 (新)'!$A$1:$C$65536,3,0)</f>
        <v>和而泰</v>
      </c>
      <c r="E525" s="1">
        <v>0</v>
      </c>
      <c r="F525" s="1">
        <v>200</v>
      </c>
      <c r="G525" s="1">
        <v>790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</row>
    <row r="526" spans="1:17" x14ac:dyDescent="0.3">
      <c r="A526" s="1" t="s">
        <v>27</v>
      </c>
      <c r="B526" s="1" t="s">
        <v>324</v>
      </c>
      <c r="C526" s="1" t="str">
        <f>VLOOKUP(B:B,[6]配额0227!$A:$B,2,0)</f>
        <v>变频外电脑板-FR-4/</v>
      </c>
      <c r="D526" s="1" t="str">
        <f>VLOOKUP(B:B,'[7]厂家配额 (新)'!$A$1:$C$65536,3,0)</f>
        <v>中家智康</v>
      </c>
      <c r="E526" s="1">
        <v>0</v>
      </c>
      <c r="F526" s="1">
        <v>199</v>
      </c>
      <c r="G526" s="1">
        <v>0</v>
      </c>
      <c r="H526" s="1">
        <v>0</v>
      </c>
      <c r="I526" s="1">
        <v>0</v>
      </c>
      <c r="J526" s="1">
        <v>200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</row>
    <row r="527" spans="1:17" x14ac:dyDescent="0.3">
      <c r="A527" s="1" t="s">
        <v>27</v>
      </c>
      <c r="B527" s="1" t="s">
        <v>325</v>
      </c>
      <c r="C527" s="1" t="str">
        <f>VLOOKUP(B:B,[6]配额0227!$A:$B,2,0)</f>
        <v>变频外电脑板-FR-4/</v>
      </c>
      <c r="D527" s="1" t="str">
        <f>VLOOKUP(B:B,'[7]厂家配额 (新)'!$A$1:$C$65536,3,0)</f>
        <v>中家智康</v>
      </c>
      <c r="E527" s="1">
        <v>0</v>
      </c>
      <c r="F527" s="1">
        <v>591</v>
      </c>
      <c r="G527" s="1">
        <v>0</v>
      </c>
      <c r="H527" s="1">
        <v>0</v>
      </c>
      <c r="I527" s="1">
        <v>1</v>
      </c>
      <c r="J527" s="1">
        <v>657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1464</v>
      </c>
    </row>
    <row r="528" spans="1:17" x14ac:dyDescent="0.3">
      <c r="A528" s="1" t="s">
        <v>27</v>
      </c>
      <c r="B528" s="1" t="s">
        <v>326</v>
      </c>
      <c r="C528" s="1" t="str">
        <f>VLOOKUP(B:B,[6]配额0227!$A:$B,2,0)</f>
        <v>变频外电脑板-FR-4</v>
      </c>
      <c r="D528" s="1" t="str">
        <f>VLOOKUP(B:B,'[7]厂家配额 (新)'!$A$1:$C$65536,3,0)</f>
        <v>中家智康</v>
      </c>
      <c r="E528" s="1">
        <v>0</v>
      </c>
      <c r="F528" s="1">
        <v>431</v>
      </c>
      <c r="G528" s="1">
        <v>0</v>
      </c>
      <c r="H528" s="1">
        <v>0</v>
      </c>
      <c r="I528" s="1">
        <v>0</v>
      </c>
      <c r="J528" s="1">
        <v>828</v>
      </c>
      <c r="K528" s="1">
        <v>720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931</v>
      </c>
    </row>
    <row r="529" spans="1:17" x14ac:dyDescent="0.3">
      <c r="A529" s="1" t="s">
        <v>27</v>
      </c>
      <c r="B529" s="1" t="s">
        <v>521</v>
      </c>
      <c r="C529" s="1" t="str">
        <f>VLOOKUP(B:B,[6]配额0227!$A:$B,2,0)</f>
        <v>变频外电脑板-FR-4/</v>
      </c>
      <c r="D529" s="1" t="str">
        <f>VLOOKUP(B:B,'[7]厂家配额 (新)'!$A$1:$C$65536,3,0)</f>
        <v>中家智康</v>
      </c>
      <c r="E529" s="1">
        <v>0</v>
      </c>
      <c r="F529" s="1">
        <v>20</v>
      </c>
      <c r="G529" s="1">
        <v>0</v>
      </c>
      <c r="H529" s="1">
        <v>0</v>
      </c>
      <c r="I529" s="1">
        <v>0</v>
      </c>
      <c r="J529" s="1">
        <v>24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</row>
    <row r="530" spans="1:17" x14ac:dyDescent="0.3">
      <c r="A530" s="1" t="s">
        <v>27</v>
      </c>
      <c r="B530" s="1" t="s">
        <v>119</v>
      </c>
      <c r="C530" s="1" t="str">
        <f>VLOOKUP(B:B,[6]配额0227!$A:$B,2,0)</f>
        <v>室内电脑板-CEM-1</v>
      </c>
      <c r="D530" s="1" t="str">
        <f>VLOOKUP(B:B,'[7]厂家配额 (新)'!$A$1:$C$65536,3,0)</f>
        <v>领智/和而泰//</v>
      </c>
      <c r="E530" s="1">
        <v>570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</row>
    <row r="531" spans="1:17" x14ac:dyDescent="0.3">
      <c r="A531" s="1" t="s">
        <v>27</v>
      </c>
      <c r="B531" s="1" t="s">
        <v>120</v>
      </c>
      <c r="C531" s="1" t="str">
        <f>VLOOKUP(B:B,[6]配额0227!$A:$B,2,0)</f>
        <v>室内电脑板-CEM-1</v>
      </c>
      <c r="D531" s="1" t="str">
        <f>VLOOKUP(B:B,'[7]厂家配额 (新)'!$A$1:$C$65536,3,0)</f>
        <v>和而泰/领智//</v>
      </c>
      <c r="E531" s="1">
        <v>0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1785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5590</v>
      </c>
    </row>
    <row r="532" spans="1:17" x14ac:dyDescent="0.3">
      <c r="A532" s="1" t="s">
        <v>27</v>
      </c>
      <c r="B532" s="1" t="s">
        <v>522</v>
      </c>
      <c r="C532" s="1" t="str">
        <f>VLOOKUP(B:B,[6]配额0227!$A:$B,2,0)</f>
        <v>变频外电脑板-FR-4</v>
      </c>
      <c r="D532" s="1" t="str">
        <f>VLOOKUP(B:B,'[7]厂家配额 (新)'!$A$1:$C$65536,3,0)</f>
        <v>航嘉/领智//</v>
      </c>
      <c r="E532" s="1">
        <v>0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2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</row>
    <row r="533" spans="1:17" x14ac:dyDescent="0.3">
      <c r="A533" s="1" t="s">
        <v>27</v>
      </c>
      <c r="B533" s="1" t="s">
        <v>327</v>
      </c>
      <c r="C533" s="1" t="str">
        <f>VLOOKUP(B:B,[6]配额0227!$A:$B,2,0)</f>
        <v>变频外电脑板-FR-4</v>
      </c>
      <c r="D533" s="1" t="str">
        <f>VLOOKUP(B:B,'[7]厂家配额 (新)'!$A$1:$C$65536,3,0)</f>
        <v>航嘉/领智//</v>
      </c>
      <c r="E533" s="1">
        <v>580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580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</row>
    <row r="534" spans="1:17" x14ac:dyDescent="0.3">
      <c r="A534" s="1" t="s">
        <v>27</v>
      </c>
      <c r="B534" s="1" t="s">
        <v>328</v>
      </c>
      <c r="C534" s="1" t="str">
        <f>VLOOKUP(B:B,[6]配额0227!$A:$B,2,0)</f>
        <v>变频外电脑板-FR-4</v>
      </c>
      <c r="D534" s="1" t="str">
        <f>VLOOKUP(B:B,'[7]厂家配额 (新)'!$A$1:$C$65536,3,0)</f>
        <v>领智/尚研//</v>
      </c>
      <c r="E534" s="1">
        <v>0</v>
      </c>
      <c r="F534" s="1">
        <v>0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4060</v>
      </c>
    </row>
    <row r="535" spans="1:17" x14ac:dyDescent="0.3">
      <c r="A535" s="1" t="s">
        <v>27</v>
      </c>
      <c r="B535" s="1" t="s">
        <v>122</v>
      </c>
      <c r="C535" s="1" t="str">
        <f>VLOOKUP(B:B,[6]配额0227!$A:$B,2,0)</f>
        <v>变频外电脑板-FR-4</v>
      </c>
      <c r="D535" s="1" t="str">
        <f>VLOOKUP(B:B,'[7]厂家配额 (新)'!$A$1:$C$65536,3,0)</f>
        <v>和而泰/领智//</v>
      </c>
      <c r="E535" s="1">
        <v>944</v>
      </c>
      <c r="F535" s="1">
        <v>0</v>
      </c>
      <c r="G535" s="1">
        <v>250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</row>
    <row r="536" spans="1:17" x14ac:dyDescent="0.3">
      <c r="A536" s="1" t="s">
        <v>27</v>
      </c>
      <c r="B536" s="1" t="s">
        <v>123</v>
      </c>
      <c r="C536" s="1" t="str">
        <f>VLOOKUP(B:B,[6]配额0227!$A:$B,2,0)</f>
        <v>变频外电脑板-FR-4</v>
      </c>
      <c r="D536" s="1" t="str">
        <f>VLOOKUP(B:B,'[7]厂家配额 (新)'!$A$1:$C$65536,3,0)</f>
        <v>领智/和而泰//</v>
      </c>
      <c r="E536" s="1">
        <v>0</v>
      </c>
      <c r="F536" s="1">
        <v>1824</v>
      </c>
      <c r="G536" s="1">
        <v>100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</row>
    <row r="537" spans="1:17" x14ac:dyDescent="0.3">
      <c r="A537" s="1" t="s">
        <v>27</v>
      </c>
      <c r="B537" s="1" t="s">
        <v>332</v>
      </c>
      <c r="C537" s="1" t="str">
        <f>VLOOKUP(B:B,[6]配额0227!$A:$B,2,0)</f>
        <v>变频外电脑板</v>
      </c>
      <c r="D537" s="1" t="str">
        <f>VLOOKUP(B:B,'[7]厂家配额 (新)'!$A$1:$C$65536,3,0)</f>
        <v>麦格米特/领智//</v>
      </c>
      <c r="E537" s="1">
        <v>865</v>
      </c>
      <c r="F537" s="1">
        <v>1</v>
      </c>
      <c r="G537" s="1">
        <v>0</v>
      </c>
      <c r="H537" s="1">
        <v>111</v>
      </c>
      <c r="I537" s="1">
        <v>1929</v>
      </c>
      <c r="J537" s="1">
        <v>65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</row>
    <row r="538" spans="1:17" x14ac:dyDescent="0.3">
      <c r="A538" s="1" t="s">
        <v>27</v>
      </c>
      <c r="B538" s="1" t="s">
        <v>523</v>
      </c>
      <c r="C538" s="1" t="str">
        <f>VLOOKUP(B:B,[6]配额0227!$A:$B,2,0)</f>
        <v>变频外电脑板-FR-4</v>
      </c>
      <c r="D538" s="1" t="str">
        <f>VLOOKUP(B:B,'[7]厂家配额 (新)'!$A$1:$C$65536,3,0)</f>
        <v>领智/康美特//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165</v>
      </c>
      <c r="N538" s="1">
        <v>0</v>
      </c>
      <c r="O538" s="1">
        <v>0</v>
      </c>
      <c r="P538" s="1">
        <v>0</v>
      </c>
      <c r="Q538" s="1">
        <v>0</v>
      </c>
    </row>
    <row r="539" spans="1:17" x14ac:dyDescent="0.3">
      <c r="A539" s="1" t="s">
        <v>27</v>
      </c>
      <c r="B539" s="1" t="s">
        <v>334</v>
      </c>
      <c r="C539" s="1" t="str">
        <f>VLOOKUP(B:B,[6]配额0227!$A:$B,2,0)</f>
        <v>变频外电脑板-FR-4</v>
      </c>
      <c r="D539" s="1" t="str">
        <f>VLOOKUP(B:B,'[7]厂家配额 (新)'!$A$1:$C$65536,3,0)</f>
        <v>领智/尚研//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1785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1530</v>
      </c>
    </row>
    <row r="540" spans="1:17" x14ac:dyDescent="0.3">
      <c r="A540" s="1" t="s">
        <v>27</v>
      </c>
      <c r="B540" s="1" t="s">
        <v>524</v>
      </c>
      <c r="C540" s="1" t="str">
        <f>VLOOKUP(B:B,[6]配额0227!$A:$B,2,0)</f>
        <v>变频外电脑板-FR-4</v>
      </c>
      <c r="D540" s="1" t="s">
        <v>336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3</v>
      </c>
      <c r="O540" s="1">
        <v>0</v>
      </c>
      <c r="P540" s="1">
        <v>0</v>
      </c>
      <c r="Q540" s="1">
        <v>0</v>
      </c>
    </row>
    <row r="541" spans="1:17" x14ac:dyDescent="0.3">
      <c r="A541" s="1" t="s">
        <v>27</v>
      </c>
      <c r="B541" s="1" t="s">
        <v>335</v>
      </c>
      <c r="C541" s="1" t="str">
        <f>VLOOKUP(B:B,[6]配额0227!$A:$B,2,0)</f>
        <v>变频外电脑板-FR-4</v>
      </c>
      <c r="D541" s="1" t="s">
        <v>336</v>
      </c>
      <c r="E541" s="1">
        <v>0</v>
      </c>
      <c r="F541" s="1">
        <v>0</v>
      </c>
      <c r="G541" s="1">
        <v>0</v>
      </c>
      <c r="H541" s="1">
        <v>0</v>
      </c>
      <c r="I541" s="1">
        <v>2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</row>
    <row r="542" spans="1:17" x14ac:dyDescent="0.3">
      <c r="A542" s="1" t="s">
        <v>27</v>
      </c>
      <c r="B542" s="1" t="s">
        <v>337</v>
      </c>
      <c r="C542" s="1" t="str">
        <f>VLOOKUP(B:B,[6]配额0227!$A:$B,2,0)</f>
        <v>变频外电脑板-FR-4</v>
      </c>
      <c r="D542" s="1" t="str">
        <f>VLOOKUP(B:B,'[7]厂家配额 (新)'!$A$1:$C$65536,3,0)</f>
        <v>领智/尚研</v>
      </c>
      <c r="E542" s="1">
        <v>0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2160</v>
      </c>
    </row>
    <row r="543" spans="1:17" x14ac:dyDescent="0.3">
      <c r="A543" s="1" t="s">
        <v>27</v>
      </c>
      <c r="B543" s="1" t="s">
        <v>124</v>
      </c>
      <c r="C543" s="1" t="str">
        <f>VLOOKUP(B:B,[6]配额0227!$A:$B,2,0)</f>
        <v>变频外电脑板-FR-4300mm*180mm</v>
      </c>
      <c r="D543" s="1" t="str">
        <f>VLOOKUP(B:B,'[7]厂家配额 (新)'!$A$1:$C$65536,3,0)</f>
        <v>和而泰</v>
      </c>
      <c r="E543" s="1">
        <v>0</v>
      </c>
      <c r="F543" s="1">
        <v>100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120</v>
      </c>
    </row>
    <row r="544" spans="1:17" x14ac:dyDescent="0.3">
      <c r="A544" s="1" t="s">
        <v>27</v>
      </c>
      <c r="B544" s="1" t="s">
        <v>126</v>
      </c>
      <c r="C544" s="1" t="str">
        <f>VLOOKUP(B:B,[6]配额0227!$A:$B,2,0)</f>
        <v>变频外电脑板-FR-4</v>
      </c>
      <c r="D544" s="1" t="str">
        <f>VLOOKUP(B:B,'[7]厂家配额 (新)'!$A$1:$C$65536,3,0)</f>
        <v>领智/和而泰//</v>
      </c>
      <c r="E544" s="1">
        <v>0</v>
      </c>
      <c r="F544" s="1">
        <v>50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200</v>
      </c>
      <c r="N544" s="1">
        <v>0</v>
      </c>
      <c r="O544" s="1">
        <v>0</v>
      </c>
      <c r="P544" s="1">
        <v>0</v>
      </c>
      <c r="Q544" s="1">
        <v>345</v>
      </c>
    </row>
    <row r="545" spans="1:17" x14ac:dyDescent="0.3">
      <c r="A545" s="1" t="s">
        <v>27</v>
      </c>
      <c r="B545" s="1" t="s">
        <v>128</v>
      </c>
      <c r="C545" s="1" t="str">
        <f>VLOOKUP(B:B,[6]配额0227!$A:$B,2,0)</f>
        <v>变频外电脑板-FR-4</v>
      </c>
      <c r="D545" s="1" t="str">
        <f>VLOOKUP(B:B,'[7]厂家配额 (新)'!$A$1:$C$65536,3,0)</f>
        <v>领智/和而泰//</v>
      </c>
      <c r="E545" s="1">
        <v>0</v>
      </c>
      <c r="F545" s="1">
        <v>0</v>
      </c>
      <c r="G545" s="1">
        <v>0</v>
      </c>
      <c r="H545" s="1">
        <v>12</v>
      </c>
      <c r="I545" s="1">
        <v>0</v>
      </c>
      <c r="J545" s="1">
        <v>0</v>
      </c>
      <c r="K545" s="1">
        <v>0</v>
      </c>
      <c r="L545" s="1">
        <v>0</v>
      </c>
      <c r="M545" s="1">
        <v>38</v>
      </c>
      <c r="N545" s="1">
        <v>0</v>
      </c>
      <c r="O545" s="1">
        <v>0</v>
      </c>
      <c r="P545" s="1">
        <v>0</v>
      </c>
      <c r="Q545" s="1">
        <v>270</v>
      </c>
    </row>
    <row r="546" spans="1:17" x14ac:dyDescent="0.3">
      <c r="A546" s="1" t="s">
        <v>27</v>
      </c>
      <c r="B546" s="1" t="s">
        <v>130</v>
      </c>
      <c r="C546" s="1" t="str">
        <f>VLOOKUP(B:B,[6]配额0227!$A:$B,2,0)</f>
        <v>室内电脑板-FR-4136*165</v>
      </c>
      <c r="D546" s="1" t="str">
        <f>VLOOKUP(B:B,'[7]厂家配额 (新)'!$A$1:$C$65536,3,0)</f>
        <v>和而泰</v>
      </c>
      <c r="E546" s="1">
        <v>0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130</v>
      </c>
      <c r="O546" s="1">
        <v>0</v>
      </c>
      <c r="P546" s="1">
        <v>0</v>
      </c>
      <c r="Q546" s="1">
        <v>50</v>
      </c>
    </row>
    <row r="547" spans="1:17" x14ac:dyDescent="0.3">
      <c r="A547" s="1" t="s">
        <v>27</v>
      </c>
      <c r="B547" s="1" t="s">
        <v>132</v>
      </c>
      <c r="C547" s="1" t="str">
        <f>VLOOKUP(B:B,[6]配额0227!$A:$B,2,0)</f>
        <v>室内电脑板-FR-4</v>
      </c>
      <c r="D547" s="1" t="str">
        <f>VLOOKUP(B:B,'[7]厂家配额 (新)'!$A$1:$C$65536,3,0)</f>
        <v>领智/和而泰//</v>
      </c>
      <c r="E547" s="1">
        <v>0</v>
      </c>
      <c r="F547" s="1">
        <v>0</v>
      </c>
      <c r="G547" s="1">
        <v>1</v>
      </c>
      <c r="H547" s="1">
        <v>0</v>
      </c>
      <c r="I547" s="1">
        <v>0</v>
      </c>
      <c r="J547" s="1">
        <v>0</v>
      </c>
      <c r="K547" s="1">
        <v>0</v>
      </c>
      <c r="L547" s="1">
        <v>210</v>
      </c>
      <c r="M547" s="1">
        <v>2080</v>
      </c>
      <c r="N547" s="1">
        <v>730</v>
      </c>
      <c r="O547" s="1">
        <v>0</v>
      </c>
      <c r="P547" s="1">
        <v>0</v>
      </c>
      <c r="Q547" s="1">
        <v>80</v>
      </c>
    </row>
    <row r="548" spans="1:17" x14ac:dyDescent="0.3">
      <c r="A548" s="1" t="s">
        <v>27</v>
      </c>
      <c r="B548" s="1" t="s">
        <v>133</v>
      </c>
      <c r="C548" s="1" t="str">
        <f>VLOOKUP(B:B,[6]配额0227!$A:$B,2,0)</f>
        <v>室内电脑板-FR-4</v>
      </c>
      <c r="D548" s="1" t="str">
        <f>VLOOKUP(B:B,'[7]厂家配额 (新)'!$A$1:$C$65536,3,0)</f>
        <v>领智/和而泰//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30</v>
      </c>
      <c r="N548" s="1">
        <v>0</v>
      </c>
      <c r="O548" s="1">
        <v>0</v>
      </c>
      <c r="P548" s="1">
        <v>0</v>
      </c>
      <c r="Q548" s="1">
        <v>0</v>
      </c>
    </row>
    <row r="549" spans="1:17" x14ac:dyDescent="0.3">
      <c r="A549" s="1" t="s">
        <v>27</v>
      </c>
      <c r="B549" s="1" t="s">
        <v>135</v>
      </c>
      <c r="C549" s="1" t="str">
        <f>VLOOKUP(B:B,[6]配额0227!$A:$B,2,0)</f>
        <v>室内电脑板-FR-4</v>
      </c>
      <c r="D549" s="1" t="str">
        <f>VLOOKUP(B:B,'[7]厂家配额 (新)'!$A$1:$C$65536,3,0)</f>
        <v>领智/和而泰//</v>
      </c>
      <c r="E549" s="1">
        <v>0</v>
      </c>
      <c r="F549" s="1">
        <v>0</v>
      </c>
      <c r="G549" s="1">
        <v>4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280</v>
      </c>
      <c r="O549" s="1">
        <v>0</v>
      </c>
      <c r="P549" s="1">
        <v>0</v>
      </c>
      <c r="Q549" s="1">
        <v>0</v>
      </c>
    </row>
    <row r="550" spans="1:17" x14ac:dyDescent="0.3">
      <c r="A550" s="1" t="s">
        <v>27</v>
      </c>
      <c r="B550" s="1" t="s">
        <v>525</v>
      </c>
      <c r="C550" s="1" t="str">
        <f>VLOOKUP(B:B,[6]配额0227!$A:$B,2,0)</f>
        <v>变频外电脑板-FR-4379mm*230mm</v>
      </c>
      <c r="D550" s="1" t="str">
        <f>VLOOKUP(B:B,'[7]厂家配额 (新)'!$A$1:$C$65536,3,0)</f>
        <v>斑科</v>
      </c>
      <c r="E550" s="1">
        <v>0</v>
      </c>
      <c r="F550" s="1">
        <v>0</v>
      </c>
      <c r="G550" s="1">
        <v>0</v>
      </c>
      <c r="H550" s="1">
        <v>0</v>
      </c>
      <c r="I550" s="1">
        <v>4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</row>
    <row r="551" spans="1:17" x14ac:dyDescent="0.3">
      <c r="A551" s="1" t="s">
        <v>27</v>
      </c>
      <c r="B551" s="1" t="s">
        <v>526</v>
      </c>
      <c r="C551" s="1" t="str">
        <f>VLOOKUP(B:B,[6]配额0227!$A:$B,2,0)</f>
        <v>电源智能检测板-FR-4</v>
      </c>
      <c r="D551" s="1" t="str">
        <f>VLOOKUP(B:B,'[7]厂家配额 (新)'!$A$1:$C$65536,3,0)</f>
        <v>恒青</v>
      </c>
      <c r="E551" s="1">
        <v>0</v>
      </c>
      <c r="F551" s="1">
        <v>539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v>450</v>
      </c>
      <c r="N551" s="1">
        <v>0</v>
      </c>
      <c r="O551" s="1">
        <v>0</v>
      </c>
      <c r="P551" s="1">
        <v>0</v>
      </c>
      <c r="Q551" s="1">
        <v>0</v>
      </c>
    </row>
    <row r="552" spans="1:17" x14ac:dyDescent="0.3">
      <c r="A552" s="1" t="s">
        <v>27</v>
      </c>
      <c r="B552" s="1" t="s">
        <v>137</v>
      </c>
      <c r="C552" s="1" t="str">
        <f>VLOOKUP(B:B,[6]配额0227!$A:$B,2,0)</f>
        <v>室内电脑板-/</v>
      </c>
      <c r="D552" s="1" t="str">
        <f>VLOOKUP(B:B,'[7]厂家配额 (新)'!$A$1:$C$65536,3,0)</f>
        <v>领智/和而泰//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1171</v>
      </c>
    </row>
    <row r="553" spans="1:17" x14ac:dyDescent="0.3">
      <c r="A553" s="1" t="s">
        <v>27</v>
      </c>
      <c r="B553" s="1" t="s">
        <v>139</v>
      </c>
      <c r="C553" s="1" t="str">
        <f>VLOOKUP(B:B,[6]配额0227!$A:$B,2,0)</f>
        <v>室内电脑板-/</v>
      </c>
      <c r="D553" s="1" t="str">
        <f>VLOOKUP(B:B,'[7]厂家配额 (新)'!$A$1:$C$65536,3,0)</f>
        <v>和而泰/领智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200</v>
      </c>
    </row>
    <row r="554" spans="1:17" x14ac:dyDescent="0.3">
      <c r="A554" s="1" t="s">
        <v>27</v>
      </c>
      <c r="B554" s="1" t="s">
        <v>141</v>
      </c>
      <c r="C554" s="1" t="str">
        <f>VLOOKUP(B:B,[6]配额0227!$A:$B,2,0)</f>
        <v>变频外电脑板-/</v>
      </c>
      <c r="D554" s="1" t="str">
        <f>VLOOKUP(B:B,'[7]厂家配额 (新)'!$A$1:$C$65536,3,0)</f>
        <v>领智/和而泰//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1171</v>
      </c>
    </row>
    <row r="555" spans="1:17" x14ac:dyDescent="0.3">
      <c r="A555" s="1" t="s">
        <v>27</v>
      </c>
      <c r="B555" s="1" t="s">
        <v>142</v>
      </c>
      <c r="C555" s="1" t="str">
        <f>VLOOKUP(B:B,[6]配额0227!$A:$B,2,0)</f>
        <v>变频外电脑板</v>
      </c>
      <c r="D555" s="1" t="str">
        <f>VLOOKUP(B:B,'[7]厂家配额 (新)'!$A$1:$C$65536,3,0)</f>
        <v>和而泰/领智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150</v>
      </c>
    </row>
    <row r="556" spans="1:17" x14ac:dyDescent="0.3">
      <c r="A556" s="1" t="s">
        <v>27</v>
      </c>
      <c r="B556" s="1" t="s">
        <v>144</v>
      </c>
      <c r="C556" s="1" t="str">
        <f>VLOOKUP(B:B,[6]配额0227!$A:$B,2,0)</f>
        <v>变频外电脑板-/</v>
      </c>
      <c r="D556" s="1" t="str">
        <f>VLOOKUP(B:B,'[7]厂家配额 (新)'!$A$1:$C$65536,3,0)</f>
        <v>和而泰/领智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200</v>
      </c>
    </row>
    <row r="557" spans="1:17" x14ac:dyDescent="0.3">
      <c r="A557" s="1" t="s">
        <v>27</v>
      </c>
      <c r="B557" s="1" t="s">
        <v>145</v>
      </c>
      <c r="C557" s="1" t="str">
        <f>VLOOKUP(B:B,[6]配额0227!$A:$B,2,0)</f>
        <v>变频外电脑板</v>
      </c>
      <c r="D557" s="1" t="str">
        <f>VLOOKUP(B:B,'[7]厂家配额 (新)'!$A$1:$C$65536,3,0)</f>
        <v>领智/和而泰//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48</v>
      </c>
    </row>
    <row r="558" spans="1:17" x14ac:dyDescent="0.3">
      <c r="A558" s="1" t="s">
        <v>27</v>
      </c>
      <c r="B558" s="1" t="s">
        <v>146</v>
      </c>
      <c r="C558" s="1" t="str">
        <f>VLOOKUP(B:B,[6]配额0227!$A:$B,2,0)</f>
        <v>显示板-LED</v>
      </c>
      <c r="D558" s="1" t="str">
        <f>VLOOKUP(B:B,'[7]厂家配额 (新)'!$A$1:$C$65536,3,0)</f>
        <v>领智/和而泰//</v>
      </c>
      <c r="E558" s="1">
        <v>0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1371</v>
      </c>
    </row>
    <row r="559" spans="1:17" x14ac:dyDescent="0.3">
      <c r="A559" s="1" t="s">
        <v>27</v>
      </c>
      <c r="B559" s="1" t="s">
        <v>148</v>
      </c>
      <c r="C559" s="1" t="str">
        <f>VLOOKUP(B:B,[6]配额0227!$A:$B,2,0)</f>
        <v>室内电脑板-CEM-1165*136</v>
      </c>
      <c r="D559" s="1" t="str">
        <f>VLOOKUP(B:B,'[7]厂家配额 (新)'!$A$1:$C$65536,3,0)</f>
        <v>领智/和而泰//</v>
      </c>
      <c r="E559" s="1">
        <v>419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400</v>
      </c>
      <c r="M559" s="1">
        <v>35</v>
      </c>
      <c r="N559" s="1">
        <v>0</v>
      </c>
      <c r="O559" s="1">
        <v>0</v>
      </c>
      <c r="P559" s="1">
        <v>0</v>
      </c>
      <c r="Q559" s="1">
        <v>7662</v>
      </c>
    </row>
    <row r="560" spans="1:17" x14ac:dyDescent="0.3">
      <c r="A560" s="1" t="s">
        <v>27</v>
      </c>
      <c r="B560" s="1" t="s">
        <v>150</v>
      </c>
      <c r="C560" s="1" t="str">
        <f>VLOOKUP(B:B,[6]配额0227!$A:$B,2,0)</f>
        <v>室内电脑板-CEM-1</v>
      </c>
      <c r="D560" s="1" t="str">
        <f>VLOOKUP(B:B,'[7]厂家配额 (新)'!$A$1:$C$65536,3,0)</f>
        <v>领智/和而泰//</v>
      </c>
      <c r="E560" s="1">
        <v>0</v>
      </c>
      <c r="F560" s="1">
        <v>0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  <c r="L560" s="1">
        <v>1</v>
      </c>
      <c r="M560" s="1">
        <v>700</v>
      </c>
      <c r="N560" s="1">
        <v>0</v>
      </c>
      <c r="O560" s="1">
        <v>0</v>
      </c>
      <c r="P560" s="1">
        <v>0</v>
      </c>
      <c r="Q560" s="1">
        <v>190</v>
      </c>
    </row>
    <row r="561" spans="1:17" x14ac:dyDescent="0.3">
      <c r="A561" s="1" t="s">
        <v>27</v>
      </c>
      <c r="B561" s="1" t="s">
        <v>151</v>
      </c>
      <c r="C561" s="1" t="str">
        <f>VLOOKUP(B:B,[6]配额0227!$A:$B,2,0)</f>
        <v>室内电脑板-CEM-1165*136</v>
      </c>
      <c r="D561" s="1" t="str">
        <f>VLOOKUP(B:B,'[7]厂家配额 (新)'!$A$1:$C$65536,3,0)</f>
        <v>领智/和而泰//</v>
      </c>
      <c r="E561" s="1">
        <v>0</v>
      </c>
      <c r="F561" s="1">
        <v>635</v>
      </c>
      <c r="G561" s="1">
        <v>290</v>
      </c>
      <c r="H561" s="1">
        <v>290</v>
      </c>
      <c r="I561" s="1">
        <v>0</v>
      </c>
      <c r="J561" s="1">
        <v>0</v>
      </c>
      <c r="K561" s="1">
        <v>0</v>
      </c>
      <c r="L561" s="1">
        <v>370</v>
      </c>
      <c r="M561" s="1">
        <v>0</v>
      </c>
      <c r="N561" s="1">
        <v>0</v>
      </c>
      <c r="O561" s="1">
        <v>0</v>
      </c>
      <c r="P561" s="1">
        <v>0</v>
      </c>
      <c r="Q561" s="1">
        <v>2859</v>
      </c>
    </row>
    <row r="562" spans="1:17" x14ac:dyDescent="0.3">
      <c r="A562" s="1" t="s">
        <v>27</v>
      </c>
      <c r="B562" s="1" t="s">
        <v>527</v>
      </c>
      <c r="C562" s="1" t="str">
        <f>VLOOKUP(B:B,[6]配额0227!$A:$B,2,0)</f>
        <v>室内电脑板-155*136</v>
      </c>
      <c r="D562" s="1" t="str">
        <f>VLOOKUP(B:B,'[7]厂家配额 (新)'!$A$1:$C$65536,3,0)</f>
        <v>康美特/领智//</v>
      </c>
      <c r="E562" s="1">
        <v>0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220</v>
      </c>
      <c r="N562" s="1">
        <v>0</v>
      </c>
      <c r="O562" s="1">
        <v>0</v>
      </c>
      <c r="P562" s="1">
        <v>0</v>
      </c>
      <c r="Q562" s="1">
        <v>0</v>
      </c>
    </row>
    <row r="563" spans="1:17" x14ac:dyDescent="0.3">
      <c r="A563" s="1" t="s">
        <v>27</v>
      </c>
      <c r="B563" s="1" t="s">
        <v>339</v>
      </c>
      <c r="C563" s="1" t="str">
        <f>VLOOKUP(B:B,[6]配额0227!$A:$B,2,0)</f>
        <v>室内电脑板-155*136</v>
      </c>
      <c r="D563" s="1" t="str">
        <f>VLOOKUP(B:B,'[7]厂家配额 (新)'!$A$1:$C$65536,3,0)</f>
        <v>领智/康美特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  <c r="J563" s="1">
        <v>1</v>
      </c>
      <c r="K563" s="1">
        <v>0</v>
      </c>
      <c r="L563" s="1">
        <v>0</v>
      </c>
      <c r="M563" s="1">
        <v>260</v>
      </c>
      <c r="N563" s="1">
        <v>0</v>
      </c>
      <c r="O563" s="1">
        <v>0</v>
      </c>
      <c r="P563" s="1">
        <v>0</v>
      </c>
      <c r="Q563" s="1">
        <v>0</v>
      </c>
    </row>
    <row r="564" spans="1:17" x14ac:dyDescent="0.3">
      <c r="A564" s="1" t="s">
        <v>27</v>
      </c>
      <c r="B564" s="1" t="s">
        <v>528</v>
      </c>
      <c r="C564" s="1" t="str">
        <f>VLOOKUP(B:B,[6]配额0227!$A:$B,2,0)</f>
        <v>室内电脑板-FR-4</v>
      </c>
      <c r="D564" s="1" t="str">
        <f>VLOOKUP(B:B,'[7]厂家配额 (新)'!$A$1:$C$65536,3,0)</f>
        <v>领智/康美特//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149</v>
      </c>
    </row>
    <row r="565" spans="1:17" x14ac:dyDescent="0.3">
      <c r="A565" s="1" t="s">
        <v>27</v>
      </c>
      <c r="B565" s="1" t="s">
        <v>153</v>
      </c>
      <c r="C565" s="1" t="str">
        <f>VLOOKUP(B:B,[6]配额0227!$A:$B,2,0)</f>
        <v>室内电脑板-CEM-1155*136</v>
      </c>
      <c r="D565" s="1" t="str">
        <f>VLOOKUP(B:B,'[7]厂家配额 (新)'!$A$1:$C$65536,3,0)</f>
        <v>和而泰/领智//</v>
      </c>
      <c r="E565" s="1">
        <v>1794</v>
      </c>
      <c r="F565" s="1">
        <v>0</v>
      </c>
      <c r="G565" s="1">
        <v>0</v>
      </c>
      <c r="H565" s="1">
        <v>1340</v>
      </c>
      <c r="I565" s="1">
        <v>134</v>
      </c>
      <c r="J565" s="1">
        <v>2825</v>
      </c>
      <c r="K565" s="1">
        <v>0</v>
      </c>
      <c r="L565" s="1">
        <v>1075</v>
      </c>
      <c r="M565" s="1">
        <v>0</v>
      </c>
      <c r="N565" s="1">
        <v>1070</v>
      </c>
      <c r="O565" s="1">
        <v>600</v>
      </c>
      <c r="P565" s="1">
        <v>0</v>
      </c>
      <c r="Q565" s="1">
        <v>4485</v>
      </c>
    </row>
    <row r="566" spans="1:17" x14ac:dyDescent="0.3">
      <c r="A566" s="1" t="s">
        <v>27</v>
      </c>
      <c r="B566" s="1" t="s">
        <v>155</v>
      </c>
      <c r="C566" s="1" t="str">
        <f>VLOOKUP(B:B,[6]配额0227!$A:$B,2,0)</f>
        <v>室内电脑板-CEM-1165*136</v>
      </c>
      <c r="D566" s="1" t="str">
        <f>VLOOKUP(B:B,'[7]厂家配额 (新)'!$A$1:$C$65536,3,0)</f>
        <v>领智/和而泰//</v>
      </c>
      <c r="E566" s="1">
        <v>129</v>
      </c>
      <c r="F566" s="1">
        <v>0</v>
      </c>
      <c r="G566" s="1">
        <v>0</v>
      </c>
      <c r="H566" s="1">
        <v>20</v>
      </c>
      <c r="I566" s="1">
        <v>180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100</v>
      </c>
    </row>
    <row r="567" spans="1:17" x14ac:dyDescent="0.3">
      <c r="A567" s="1" t="s">
        <v>27</v>
      </c>
      <c r="B567" s="1" t="s">
        <v>529</v>
      </c>
      <c r="C567" s="1" t="str">
        <f>VLOOKUP(B:B,[6]配额0227!$A:$B,2,0)</f>
        <v>室内电脑板-CEM-1165*136</v>
      </c>
      <c r="D567" s="1" t="str">
        <f>VLOOKUP(B:B,'[7]厂家配额 (新)'!$A$1:$C$65536,3,0)</f>
        <v>领智</v>
      </c>
      <c r="E567" s="1">
        <v>0</v>
      </c>
      <c r="F567" s="1">
        <v>0</v>
      </c>
      <c r="G567" s="1">
        <v>0</v>
      </c>
      <c r="H567" s="1">
        <v>0</v>
      </c>
      <c r="I567" s="1">
        <v>135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270</v>
      </c>
      <c r="P567" s="1">
        <v>0</v>
      </c>
      <c r="Q567" s="1">
        <v>405</v>
      </c>
    </row>
    <row r="568" spans="1:17" x14ac:dyDescent="0.3">
      <c r="A568" s="1" t="s">
        <v>27</v>
      </c>
      <c r="B568" s="1" t="s">
        <v>340</v>
      </c>
      <c r="C568" s="1" t="str">
        <f>VLOOKUP(B:B,[6]配额0227!$A:$B,2,0)</f>
        <v>室内电脑板-CEM-1165*136</v>
      </c>
      <c r="D568" s="1" t="str">
        <f>VLOOKUP(B:B,'[7]厂家配额 (新)'!$A$1:$C$65536,3,0)</f>
        <v>领智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720</v>
      </c>
    </row>
    <row r="569" spans="1:17" x14ac:dyDescent="0.3">
      <c r="A569" s="1" t="s">
        <v>27</v>
      </c>
      <c r="B569" s="1" t="s">
        <v>157</v>
      </c>
      <c r="C569" s="1" t="str">
        <f>VLOOKUP(B:B,[6]配额0227!$A:$B,2,0)</f>
        <v>室内电脑板-FR-4162mm*130mm</v>
      </c>
      <c r="D569" s="1" t="str">
        <f>VLOOKUP(B:B,'[7]厂家配额 (新)'!$A$1:$C$65536,3,0)</f>
        <v>领智/和而泰//</v>
      </c>
      <c r="E569" s="1">
        <v>0</v>
      </c>
      <c r="F569" s="1">
        <v>0</v>
      </c>
      <c r="G569" s="1">
        <v>0</v>
      </c>
      <c r="H569" s="1">
        <v>0</v>
      </c>
      <c r="I569" s="1">
        <v>0</v>
      </c>
      <c r="J569" s="1">
        <v>900</v>
      </c>
      <c r="K569" s="1">
        <v>360</v>
      </c>
      <c r="L569" s="1">
        <v>0</v>
      </c>
      <c r="M569" s="1">
        <v>0</v>
      </c>
      <c r="N569" s="1">
        <v>630</v>
      </c>
      <c r="O569" s="1">
        <v>0</v>
      </c>
      <c r="P569" s="1">
        <v>0</v>
      </c>
      <c r="Q569" s="1">
        <v>0</v>
      </c>
    </row>
    <row r="570" spans="1:17" x14ac:dyDescent="0.3">
      <c r="A570" s="1" t="s">
        <v>27</v>
      </c>
      <c r="B570" s="1" t="s">
        <v>159</v>
      </c>
      <c r="C570" s="1" t="str">
        <f>VLOOKUP(B:B,[6]配额0227!$A:$B,2,0)</f>
        <v>室内电脑板-FR-4165*136</v>
      </c>
      <c r="D570" s="1" t="str">
        <f>VLOOKUP(B:B,'[7]厂家配额 (新)'!$A$1:$C$65536,3,0)</f>
        <v>和而泰/领智//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100</v>
      </c>
      <c r="M570" s="1">
        <v>0</v>
      </c>
      <c r="N570" s="1">
        <v>0</v>
      </c>
      <c r="O570" s="1">
        <v>0</v>
      </c>
      <c r="P570" s="1">
        <v>0</v>
      </c>
      <c r="Q570" s="1">
        <v>400</v>
      </c>
    </row>
    <row r="571" spans="1:17" x14ac:dyDescent="0.3">
      <c r="A571" s="1" t="s">
        <v>27</v>
      </c>
      <c r="B571" s="1" t="s">
        <v>161</v>
      </c>
      <c r="C571" s="1" t="str">
        <f>VLOOKUP(B:B,[6]配额0227!$A:$B,2,0)</f>
        <v>室内电脑板-FR-4165*136</v>
      </c>
      <c r="D571" s="1" t="str">
        <f>VLOOKUP(B:B,'[7]厂家配额 (新)'!$A$1:$C$65536,3,0)</f>
        <v>领智/和而泰//</v>
      </c>
      <c r="E571" s="1">
        <v>405</v>
      </c>
      <c r="F571" s="1">
        <v>0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2382</v>
      </c>
    </row>
    <row r="572" spans="1:17" x14ac:dyDescent="0.3">
      <c r="A572" s="1" t="s">
        <v>27</v>
      </c>
      <c r="B572" s="1" t="s">
        <v>341</v>
      </c>
      <c r="C572" s="1" t="str">
        <f>VLOOKUP(B:B,[6]配额0227!$A:$B,2,0)</f>
        <v>室内电脑板-CEM-1165*136</v>
      </c>
      <c r="D572" s="1" t="str">
        <f>VLOOKUP(B:B,'[7]厂家配额 (新)'!$A$1:$C$65536,3,0)</f>
        <v>领智</v>
      </c>
      <c r="E572" s="1">
        <v>0</v>
      </c>
      <c r="F572" s="1">
        <v>79</v>
      </c>
      <c r="G572" s="1">
        <v>0</v>
      </c>
      <c r="H572" s="1">
        <v>0</v>
      </c>
      <c r="I572" s="1">
        <v>0</v>
      </c>
      <c r="J572" s="1">
        <v>30</v>
      </c>
      <c r="K572" s="1">
        <v>0</v>
      </c>
      <c r="L572" s="1">
        <v>370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</row>
    <row r="573" spans="1:17" x14ac:dyDescent="0.3">
      <c r="A573" s="1" t="s">
        <v>27</v>
      </c>
      <c r="B573" s="1" t="s">
        <v>530</v>
      </c>
      <c r="C573" s="1" t="str">
        <f>VLOOKUP(B:B,[6]配额0227!$A:$B,2,0)</f>
        <v>室内电脑板-FR-4155*136</v>
      </c>
      <c r="D573" s="1" t="str">
        <f>VLOOKUP(B:B,'[7]厂家配额 (新)'!$A$1:$C$65536,3,0)</f>
        <v>领智/尚研//</v>
      </c>
      <c r="E573" s="1">
        <v>0</v>
      </c>
      <c r="F573" s="1">
        <v>0</v>
      </c>
      <c r="G573" s="1">
        <v>59</v>
      </c>
      <c r="H573" s="1">
        <v>0</v>
      </c>
      <c r="I573" s="1">
        <v>0</v>
      </c>
      <c r="J573" s="1">
        <v>41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130</v>
      </c>
    </row>
    <row r="574" spans="1:17" x14ac:dyDescent="0.3">
      <c r="A574" s="1" t="s">
        <v>27</v>
      </c>
      <c r="B574" s="1" t="s">
        <v>531</v>
      </c>
      <c r="C574" s="1" t="str">
        <f>VLOOKUP(B:B,[6]配额0227!$A:$B,2,0)</f>
        <v>室内电脑板-FR-4165*136</v>
      </c>
      <c r="D574" s="1" t="str">
        <f>VLOOKUP(B:B,'[7]厂家配额 (新)'!$A$1:$C$65536,3,0)</f>
        <v>领智/尚研//</v>
      </c>
      <c r="E574" s="1">
        <v>0</v>
      </c>
      <c r="F574" s="1">
        <v>0</v>
      </c>
      <c r="G574" s="1">
        <v>60</v>
      </c>
      <c r="H574" s="1">
        <v>0</v>
      </c>
      <c r="I574" s="1">
        <v>0</v>
      </c>
      <c r="J574" s="1">
        <v>30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60</v>
      </c>
    </row>
    <row r="575" spans="1:17" x14ac:dyDescent="0.3">
      <c r="A575" s="1" t="s">
        <v>27</v>
      </c>
      <c r="B575" s="1" t="s">
        <v>532</v>
      </c>
      <c r="C575" s="1" t="str">
        <f>VLOOKUP(B:B,[6]配额0227!$A:$B,2,0)</f>
        <v>室内电脑板-FR-4165*136</v>
      </c>
      <c r="D575" s="1" t="str">
        <f>VLOOKUP(B:B,'[7]厂家配额 (新)'!$A$1:$C$65536,3,0)</f>
        <v>领智/尚研//</v>
      </c>
      <c r="E575" s="1">
        <v>0</v>
      </c>
      <c r="F575" s="1">
        <v>0</v>
      </c>
      <c r="G575" s="1">
        <v>18</v>
      </c>
      <c r="H575" s="1">
        <v>0</v>
      </c>
      <c r="I575" s="1">
        <v>0</v>
      </c>
      <c r="J575" s="1">
        <v>58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272</v>
      </c>
    </row>
    <row r="576" spans="1:17" x14ac:dyDescent="0.3">
      <c r="A576" s="1" t="s">
        <v>27</v>
      </c>
      <c r="B576" s="1" t="s">
        <v>348</v>
      </c>
      <c r="C576" s="1" t="str">
        <f>VLOOKUP(B:B,[6]配额0227!$A:$B,2,0)</f>
        <v>变频外电脑板-FR-4</v>
      </c>
      <c r="D576" s="1" t="str">
        <f>VLOOKUP(B:B,'[7]厂家配额 (新)'!$A$1:$C$65536,3,0)</f>
        <v>中家智康</v>
      </c>
      <c r="E576" s="1">
        <v>0</v>
      </c>
      <c r="F576" s="1">
        <v>0</v>
      </c>
      <c r="G576" s="1">
        <v>180</v>
      </c>
      <c r="H576" s="1">
        <v>249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100</v>
      </c>
    </row>
    <row r="577" spans="1:17" x14ac:dyDescent="0.3">
      <c r="A577" s="1" t="s">
        <v>27</v>
      </c>
      <c r="B577" s="1" t="s">
        <v>349</v>
      </c>
      <c r="C577" s="1" t="str">
        <f>VLOOKUP(B:B,[6]配额0227!$A:$B,2,0)</f>
        <v>变频外电脑板-FR-4</v>
      </c>
      <c r="D577" s="1" t="str">
        <f>VLOOKUP(B:B,'[7]厂家配额 (新)'!$A$1:$C$65536,3,0)</f>
        <v>中家智康</v>
      </c>
      <c r="E577" s="1">
        <v>0</v>
      </c>
      <c r="F577" s="1">
        <v>0</v>
      </c>
      <c r="G577" s="1">
        <v>0</v>
      </c>
      <c r="H577" s="1">
        <v>0</v>
      </c>
      <c r="I577" s="1">
        <v>0</v>
      </c>
      <c r="J577" s="1">
        <v>1</v>
      </c>
      <c r="K577" s="1">
        <v>0</v>
      </c>
      <c r="L577" s="1">
        <v>839</v>
      </c>
      <c r="M577" s="1">
        <v>200</v>
      </c>
      <c r="N577" s="1">
        <v>0</v>
      </c>
      <c r="O577" s="1">
        <v>0</v>
      </c>
      <c r="P577" s="1">
        <v>0</v>
      </c>
      <c r="Q577" s="1">
        <v>0</v>
      </c>
    </row>
    <row r="578" spans="1:17" x14ac:dyDescent="0.3">
      <c r="A578" s="1" t="s">
        <v>27</v>
      </c>
      <c r="B578" s="1" t="s">
        <v>350</v>
      </c>
      <c r="C578" s="1" t="str">
        <f>VLOOKUP(B:B,[6]配额0227!$A:$B,2,0)</f>
        <v>变频外电脑板-FR-4</v>
      </c>
      <c r="D578" s="1" t="str">
        <f>VLOOKUP(B:B,'[7]厂家配额 (新)'!$A$1:$C$65536,3,0)</f>
        <v>中家智康</v>
      </c>
      <c r="E578" s="1">
        <v>240</v>
      </c>
      <c r="F578" s="1">
        <v>0</v>
      </c>
      <c r="G578" s="1">
        <v>390</v>
      </c>
      <c r="H578" s="1">
        <v>476</v>
      </c>
      <c r="I578" s="1">
        <v>0</v>
      </c>
      <c r="J578" s="1">
        <v>1</v>
      </c>
      <c r="K578" s="1">
        <v>0</v>
      </c>
      <c r="L578" s="1">
        <v>2515</v>
      </c>
      <c r="M578" s="1">
        <v>0</v>
      </c>
      <c r="N578" s="1">
        <v>0</v>
      </c>
      <c r="O578" s="1">
        <v>1120</v>
      </c>
      <c r="P578" s="1">
        <v>0</v>
      </c>
      <c r="Q578" s="1">
        <v>684</v>
      </c>
    </row>
    <row r="579" spans="1:17" x14ac:dyDescent="0.3">
      <c r="A579" s="1" t="s">
        <v>27</v>
      </c>
      <c r="B579" s="1" t="s">
        <v>533</v>
      </c>
      <c r="C579" s="1" t="str">
        <f>VLOOKUP(B:B,[6]配额0227!$A:$B,2,0)</f>
        <v>变频外电脑板</v>
      </c>
      <c r="D579" s="1" t="str">
        <f>VLOOKUP(B:B,'[7]厂家配额 (新)'!$A$1:$C$65536,3,0)</f>
        <v>中家智康</v>
      </c>
      <c r="E579" s="1">
        <v>0</v>
      </c>
      <c r="F579" s="1">
        <v>0</v>
      </c>
      <c r="G579" s="1">
        <v>0</v>
      </c>
      <c r="H579" s="1">
        <v>0</v>
      </c>
      <c r="I579" s="1">
        <v>120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</row>
    <row r="580" spans="1:17" x14ac:dyDescent="0.3">
      <c r="A580" s="1" t="s">
        <v>27</v>
      </c>
      <c r="B580" s="1" t="s">
        <v>352</v>
      </c>
      <c r="C580" s="1" t="str">
        <f>VLOOKUP(B:B,[6]配额0227!$A:$B,2,0)</f>
        <v>变频外电脑板-FR-4/</v>
      </c>
      <c r="D580" s="1" t="str">
        <f>VLOOKUP(B:B,'[7]厂家配额 (新)'!$A$1:$C$65536,3,0)</f>
        <v>中家智康</v>
      </c>
      <c r="E580" s="1">
        <v>0</v>
      </c>
      <c r="F580" s="1">
        <v>0</v>
      </c>
      <c r="G580" s="1">
        <v>130</v>
      </c>
      <c r="H580" s="1">
        <v>0</v>
      </c>
      <c r="I580" s="1">
        <v>2</v>
      </c>
      <c r="J580" s="1">
        <v>0</v>
      </c>
      <c r="K580" s="1">
        <v>600</v>
      </c>
      <c r="L580" s="1">
        <v>610</v>
      </c>
      <c r="M580" s="1">
        <v>0</v>
      </c>
      <c r="N580" s="1">
        <v>0</v>
      </c>
      <c r="O580" s="1">
        <v>0</v>
      </c>
      <c r="P580" s="1">
        <v>0</v>
      </c>
      <c r="Q580" s="1">
        <v>100</v>
      </c>
    </row>
    <row r="581" spans="1:17" x14ac:dyDescent="0.3">
      <c r="A581" s="1" t="s">
        <v>27</v>
      </c>
      <c r="B581" s="1" t="s">
        <v>353</v>
      </c>
      <c r="C581" s="1" t="str">
        <f>VLOOKUP(B:B,[6]配额0227!$A:$B,2,0)</f>
        <v>变频外电脑板-FR-4/</v>
      </c>
      <c r="D581" s="1" t="str">
        <f>VLOOKUP(B:B,'[7]厂家配额 (新)'!$A$1:$C$65536,3,0)</f>
        <v>中家智康</v>
      </c>
      <c r="E581" s="1">
        <v>0</v>
      </c>
      <c r="F581" s="1">
        <v>0</v>
      </c>
      <c r="G581" s="1">
        <v>100</v>
      </c>
      <c r="H581" s="1">
        <v>69</v>
      </c>
      <c r="I581" s="1">
        <v>0</v>
      </c>
      <c r="J581" s="1">
        <v>2315</v>
      </c>
      <c r="K581" s="1">
        <v>510</v>
      </c>
      <c r="L581" s="1">
        <v>1575</v>
      </c>
      <c r="M581" s="1">
        <v>0</v>
      </c>
      <c r="N581" s="1">
        <v>0</v>
      </c>
      <c r="O581" s="1">
        <v>0</v>
      </c>
      <c r="P581" s="1">
        <v>0</v>
      </c>
      <c r="Q581" s="1">
        <v>310</v>
      </c>
    </row>
    <row r="582" spans="1:17" x14ac:dyDescent="0.3">
      <c r="A582" s="1" t="s">
        <v>27</v>
      </c>
      <c r="B582" s="1" t="s">
        <v>534</v>
      </c>
      <c r="C582" s="1" t="str">
        <f>VLOOKUP(B:B,[6]配额0227!$A:$B,2,0)</f>
        <v>变频外电脑板-FR-4/</v>
      </c>
      <c r="D582" s="1" t="str">
        <f>VLOOKUP(B:B,'[7]厂家配额 (新)'!$A$1:$C$65536,3,0)</f>
        <v>中家智康</v>
      </c>
      <c r="E582" s="1">
        <v>0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2</v>
      </c>
      <c r="M582" s="1">
        <v>0</v>
      </c>
      <c r="N582" s="1">
        <v>0</v>
      </c>
      <c r="O582" s="1">
        <v>0</v>
      </c>
      <c r="P582" s="1">
        <v>0</v>
      </c>
      <c r="Q582" s="1">
        <v>0</v>
      </c>
    </row>
    <row r="583" spans="1:17" x14ac:dyDescent="0.3">
      <c r="A583" s="1" t="s">
        <v>27</v>
      </c>
      <c r="B583" s="1" t="s">
        <v>357</v>
      </c>
      <c r="C583" s="1" t="str">
        <f>VLOOKUP(B:B,[6]配额0227!$A:$B,2,0)</f>
        <v>变频外电脑板</v>
      </c>
      <c r="D583" s="1" t="str">
        <f>VLOOKUP(B:B,'[7]厂家配额 (新)'!$A$1:$C$65536,3,0)</f>
        <v>康美特/尚研//</v>
      </c>
      <c r="E583" s="1">
        <v>0</v>
      </c>
      <c r="F583" s="1">
        <v>0</v>
      </c>
      <c r="G583" s="1">
        <v>0</v>
      </c>
      <c r="H583" s="1">
        <v>0</v>
      </c>
      <c r="I583" s="1">
        <v>0</v>
      </c>
      <c r="J583" s="1">
        <v>2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2580</v>
      </c>
    </row>
    <row r="584" spans="1:17" x14ac:dyDescent="0.3">
      <c r="A584" s="1" t="s">
        <v>27</v>
      </c>
      <c r="B584" s="1" t="s">
        <v>163</v>
      </c>
      <c r="C584" s="1" t="str">
        <f>VLOOKUP(B:B,[6]配额0227!$A:$B,2,0)</f>
        <v>显示板-LED</v>
      </c>
      <c r="D584" s="1" t="str">
        <f>VLOOKUP(B:B,'[7]厂家配额 (新)'!$A$1:$C$65536,3,0)</f>
        <v>和而泰/领智</v>
      </c>
      <c r="E584" s="1">
        <v>0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198</v>
      </c>
    </row>
    <row r="585" spans="1:17" x14ac:dyDescent="0.3">
      <c r="A585" s="1" t="s">
        <v>27</v>
      </c>
      <c r="B585" s="1" t="s">
        <v>358</v>
      </c>
      <c r="C585" s="1" t="str">
        <f>VLOOKUP(B:B,[6]配额0227!$A:$B,2,0)</f>
        <v>变频外电脑板-FR-4</v>
      </c>
      <c r="D585" s="1" t="str">
        <f>VLOOKUP(B:B,'[7]厂家配额 (新)'!$A$1:$C$65536,3,0)</f>
        <v>领智/航嘉//</v>
      </c>
      <c r="E585" s="1">
        <v>0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2580</v>
      </c>
    </row>
    <row r="586" spans="1:17" x14ac:dyDescent="0.3">
      <c r="A586" s="1" t="s">
        <v>27</v>
      </c>
      <c r="B586" s="1" t="s">
        <v>535</v>
      </c>
      <c r="C586" s="1" t="str">
        <f>VLOOKUP(B:B,[6]配额0227!$A:$B,2,0)</f>
        <v>变频外电脑板-FR-4</v>
      </c>
      <c r="D586" s="1" t="str">
        <f>VLOOKUP(B:B,'[7]厂家配额 (新)'!$A$1:$C$65536,3,0)</f>
        <v>航嘉/领智//</v>
      </c>
      <c r="E586" s="1">
        <v>0</v>
      </c>
      <c r="F586" s="1">
        <v>0</v>
      </c>
      <c r="G586" s="1">
        <v>0</v>
      </c>
      <c r="H586" s="1">
        <v>0</v>
      </c>
      <c r="I586" s="1">
        <v>2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</row>
    <row r="587" spans="1:17" x14ac:dyDescent="0.3">
      <c r="A587" s="1" t="s">
        <v>27</v>
      </c>
      <c r="B587" s="1" t="s">
        <v>536</v>
      </c>
      <c r="C587" s="1" t="str">
        <f>VLOOKUP(B:B,[6]配额0227!$A:$B,2,0)</f>
        <v>一体机电脑板-CEM-3</v>
      </c>
      <c r="D587" s="1" t="str">
        <f>VLOOKUP(B:B,'[7]厂家配额 (新)'!$A$1:$C$65536,3,0)</f>
        <v>鼎新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2412</v>
      </c>
    </row>
    <row r="588" spans="1:17" x14ac:dyDescent="0.3">
      <c r="A588" s="1" t="s">
        <v>27</v>
      </c>
      <c r="B588" s="1" t="s">
        <v>537</v>
      </c>
      <c r="C588" s="1" t="str">
        <f>VLOOKUP(B:B,[6]配额0227!$A:$B,2,0)</f>
        <v>变频外电脑板-FR-4</v>
      </c>
      <c r="D588" s="1" t="str">
        <f>VLOOKUP(B:B,'[7]厂家配额 (新)'!$A$1:$C$65536,3,0)</f>
        <v>中家智康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90</v>
      </c>
      <c r="O588" s="1">
        <v>0</v>
      </c>
      <c r="P588" s="1">
        <v>0</v>
      </c>
      <c r="Q588" s="1">
        <v>0</v>
      </c>
    </row>
    <row r="589" spans="1:17" x14ac:dyDescent="0.3">
      <c r="A589" s="1" t="s">
        <v>27</v>
      </c>
      <c r="B589" s="1" t="s">
        <v>538</v>
      </c>
      <c r="C589" s="1" t="str">
        <f>VLOOKUP(B:B,[6]配额0227!$A:$B,2,0)</f>
        <v>变频外电脑板-FR-4</v>
      </c>
      <c r="D589" s="1" t="str">
        <f>VLOOKUP(B:B,'[7]厂家配额 (新)'!$A$1:$C$65536,3,0)</f>
        <v>中家智康</v>
      </c>
      <c r="E589" s="1">
        <v>0</v>
      </c>
      <c r="F589" s="1">
        <v>0</v>
      </c>
      <c r="G589" s="1">
        <v>0</v>
      </c>
      <c r="H589" s="1">
        <v>512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</row>
    <row r="590" spans="1:17" x14ac:dyDescent="0.3">
      <c r="A590" s="1" t="s">
        <v>27</v>
      </c>
      <c r="B590" s="1" t="s">
        <v>539</v>
      </c>
      <c r="C590" s="1" t="str">
        <f>VLOOKUP(B:B,[6]配额0227!$A:$B,2,0)</f>
        <v>变频外电脑板-FR-4</v>
      </c>
      <c r="D590" s="1" t="str">
        <f>VLOOKUP(B:B,'[7]厂家配额 (新)'!$A$1:$C$65536,3,0)</f>
        <v>中家智康</v>
      </c>
      <c r="E590" s="1">
        <v>0</v>
      </c>
      <c r="F590" s="1">
        <v>0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1610</v>
      </c>
    </row>
    <row r="591" spans="1:17" x14ac:dyDescent="0.3">
      <c r="A591" s="1" t="s">
        <v>27</v>
      </c>
      <c r="B591" s="1" t="s">
        <v>540</v>
      </c>
      <c r="C591" s="1" t="str">
        <f>VLOOKUP(B:B,[6]配额0227!$A:$B,2,0)</f>
        <v>变频外电脑板-FR-4</v>
      </c>
      <c r="D591" s="1" t="str">
        <f>VLOOKUP(B:B,'[7]厂家配额 (新)'!$A$1:$C$65536,3,0)</f>
        <v>中家智康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180</v>
      </c>
      <c r="O591" s="1">
        <v>0</v>
      </c>
      <c r="P591" s="1">
        <v>0</v>
      </c>
      <c r="Q591" s="1">
        <v>0</v>
      </c>
    </row>
    <row r="592" spans="1:17" x14ac:dyDescent="0.3">
      <c r="A592" s="1" t="s">
        <v>27</v>
      </c>
      <c r="B592" s="1" t="s">
        <v>360</v>
      </c>
      <c r="C592" s="1" t="str">
        <f>VLOOKUP(B:B,[6]配额0227!$A:$B,2,0)</f>
        <v>室内电脑板-CEM-3</v>
      </c>
      <c r="D592" s="1" t="str">
        <f>VLOOKUP(B:B,'[7]厂家配额 (新)'!$A$1:$C$65536,3,0)</f>
        <v>领智/航嘉//</v>
      </c>
      <c r="E592" s="1">
        <v>0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20</v>
      </c>
      <c r="P592" s="1">
        <v>0</v>
      </c>
      <c r="Q592" s="1">
        <v>2580</v>
      </c>
    </row>
    <row r="593" spans="1:17" x14ac:dyDescent="0.3">
      <c r="A593" s="1" t="s">
        <v>27</v>
      </c>
      <c r="B593" s="1" t="s">
        <v>541</v>
      </c>
      <c r="C593" s="1" t="str">
        <f>VLOOKUP(B:B,[6]配额0227!$A:$B,2,0)</f>
        <v>室内电脑板-FR-4</v>
      </c>
      <c r="D593" s="1" t="str">
        <f>VLOOKUP(B:B,'[7]厂家配额 (新)'!$A$1:$C$65536,3,0)</f>
        <v>领智/康美特//</v>
      </c>
      <c r="E593" s="1">
        <v>0</v>
      </c>
      <c r="F593" s="1">
        <v>0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488</v>
      </c>
    </row>
    <row r="594" spans="1:17" x14ac:dyDescent="0.3">
      <c r="A594" s="1" t="s">
        <v>27</v>
      </c>
      <c r="B594" s="1" t="s">
        <v>164</v>
      </c>
      <c r="C594" s="1" t="str">
        <f>VLOOKUP(B:B,[6]配额0227!$A:$B,2,0)</f>
        <v>室内电脑板-FR-4136*165</v>
      </c>
      <c r="D594" s="1" t="str">
        <f>VLOOKUP(B:B,'[7]厂家配额 (新)'!$A$1:$C$65536,3,0)</f>
        <v>和而泰/领智//</v>
      </c>
      <c r="E594" s="1">
        <v>0</v>
      </c>
      <c r="F594" s="1">
        <v>0</v>
      </c>
      <c r="G594" s="1">
        <v>196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98</v>
      </c>
      <c r="P594" s="1">
        <v>0</v>
      </c>
      <c r="Q594" s="1">
        <v>196</v>
      </c>
    </row>
    <row r="595" spans="1:17" x14ac:dyDescent="0.3">
      <c r="A595" s="1" t="s">
        <v>27</v>
      </c>
      <c r="B595" s="1" t="s">
        <v>542</v>
      </c>
      <c r="C595" s="1" t="str">
        <f>VLOOKUP(B:B,[6]配额0227!$A:$B,2,0)</f>
        <v>变频外电脑板-FR-4</v>
      </c>
      <c r="D595" s="1" t="str">
        <f>VLOOKUP(B:B,'[7]厂家配额 (新)'!$A$1:$C$65536,3,0)</f>
        <v>领智/康美特//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165</v>
      </c>
      <c r="N595" s="1">
        <v>0</v>
      </c>
      <c r="O595" s="1">
        <v>0</v>
      </c>
      <c r="P595" s="1">
        <v>0</v>
      </c>
      <c r="Q595" s="1">
        <v>0</v>
      </c>
    </row>
    <row r="596" spans="1:17" x14ac:dyDescent="0.3">
      <c r="A596" s="1" t="s">
        <v>27</v>
      </c>
      <c r="B596" s="1" t="s">
        <v>543</v>
      </c>
      <c r="C596" s="1" t="str">
        <f>VLOOKUP(B:B,[6]配额0227!$A:$B,2,0)</f>
        <v>变频外电脑板-FR-4</v>
      </c>
      <c r="D596" s="1" t="str">
        <f>VLOOKUP(B:B,'[7]厂家配额 (新)'!$A$1:$C$65536,3,0)</f>
        <v>领智/康美特//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255</v>
      </c>
      <c r="N596" s="1">
        <v>0</v>
      </c>
      <c r="O596" s="1">
        <v>0</v>
      </c>
      <c r="P596" s="1">
        <v>0</v>
      </c>
      <c r="Q596" s="1">
        <v>0</v>
      </c>
    </row>
    <row r="597" spans="1:17" x14ac:dyDescent="0.3">
      <c r="A597" s="1" t="s">
        <v>27</v>
      </c>
      <c r="B597" s="1" t="s">
        <v>166</v>
      </c>
      <c r="C597" s="1" t="str">
        <f>VLOOKUP(B:B,[6]配额0227!$A:$B,2,0)</f>
        <v>变频外电脑板-FR-4</v>
      </c>
      <c r="D597" s="1" t="str">
        <f>VLOOKUP(B:B,'[7]厂家配额 (新)'!$A$1:$C$65536,3,0)</f>
        <v>和而泰/航嘉//</v>
      </c>
      <c r="E597" s="1">
        <v>0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940</v>
      </c>
    </row>
    <row r="598" spans="1:17" x14ac:dyDescent="0.3">
      <c r="A598" s="1" t="s">
        <v>27</v>
      </c>
      <c r="B598" s="1" t="s">
        <v>544</v>
      </c>
      <c r="C598" s="1" t="str">
        <f>VLOOKUP(B:B,[6]配额0227!$A:$B,2,0)</f>
        <v>变频外电脑板-FR-4</v>
      </c>
      <c r="D598" s="1" t="str">
        <f>VLOOKUP(B:B,'[7]厂家配额 (新)'!$A$1:$C$65536,3,0)</f>
        <v>尚研/智能</v>
      </c>
      <c r="E598" s="1">
        <v>0</v>
      </c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20</v>
      </c>
    </row>
    <row r="599" spans="1:17" x14ac:dyDescent="0.3">
      <c r="A599" s="1" t="s">
        <v>27</v>
      </c>
      <c r="B599" s="1" t="s">
        <v>545</v>
      </c>
      <c r="C599" s="1" t="str">
        <f>VLOOKUP(B:B,[6]配额0227!$A:$B,2,0)</f>
        <v>变频外电脑板-FR-4</v>
      </c>
      <c r="D599" s="1" t="s">
        <v>546</v>
      </c>
      <c r="E599" s="1">
        <v>0</v>
      </c>
      <c r="F599" s="1">
        <v>510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</row>
    <row r="600" spans="1:17" x14ac:dyDescent="0.3">
      <c r="A600" s="1" t="s">
        <v>27</v>
      </c>
      <c r="B600" s="1" t="s">
        <v>168</v>
      </c>
      <c r="C600" s="1" t="str">
        <f>VLOOKUP(B:B,[6]配额0227!$A:$B,2,0)</f>
        <v>变频外电脑板-FR-4</v>
      </c>
      <c r="D600" s="1" t="str">
        <f>VLOOKUP(B:B,'[7]厂家配额 (新)'!$A$1:$C$65536,3,0)</f>
        <v>领智/和而泰//</v>
      </c>
      <c r="E600" s="1">
        <v>0</v>
      </c>
      <c r="F600" s="1">
        <v>965</v>
      </c>
      <c r="G600" s="1">
        <v>0</v>
      </c>
      <c r="H600" s="1">
        <v>1800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1">
        <v>1390</v>
      </c>
    </row>
    <row r="601" spans="1:17" x14ac:dyDescent="0.3">
      <c r="A601" s="1" t="s">
        <v>27</v>
      </c>
      <c r="B601" s="1" t="s">
        <v>170</v>
      </c>
      <c r="C601" s="1" t="str">
        <f>VLOOKUP(B:B,[6]配额0227!$A:$B,2,0)</f>
        <v>变频外电脑板-FR-4</v>
      </c>
      <c r="D601" s="1" t="str">
        <f>VLOOKUP(B:B,'[7]厂家配额 (新)'!$A$1:$C$65536,3,0)</f>
        <v>领智/和而泰//</v>
      </c>
      <c r="E601" s="1">
        <v>0</v>
      </c>
      <c r="F601" s="1">
        <v>0</v>
      </c>
      <c r="G601" s="1">
        <v>0</v>
      </c>
      <c r="H601" s="1">
        <v>74</v>
      </c>
      <c r="I601" s="1">
        <v>0</v>
      </c>
      <c r="J601" s="1">
        <v>0</v>
      </c>
      <c r="K601" s="1">
        <v>0</v>
      </c>
      <c r="L601" s="1">
        <v>1</v>
      </c>
      <c r="M601" s="1">
        <v>0</v>
      </c>
      <c r="N601" s="1">
        <v>0</v>
      </c>
      <c r="O601" s="1">
        <v>750</v>
      </c>
      <c r="P601" s="1">
        <v>0</v>
      </c>
      <c r="Q601" s="1">
        <v>0</v>
      </c>
    </row>
    <row r="602" spans="1:17" x14ac:dyDescent="0.3">
      <c r="A602" s="1" t="s">
        <v>27</v>
      </c>
      <c r="B602" s="1" t="s">
        <v>173</v>
      </c>
      <c r="C602" s="1" t="str">
        <f>VLOOKUP(B:B,[6]配额0227!$A:$B,2,0)</f>
        <v>室内电脑板-FR-4</v>
      </c>
      <c r="D602" s="1" t="str">
        <f>VLOOKUP(B:B,'[7]厂家配额 (新)'!$A$1:$C$65536,3,0)</f>
        <v>和而泰/领智//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48</v>
      </c>
    </row>
    <row r="603" spans="1:17" x14ac:dyDescent="0.3">
      <c r="A603" s="1" t="s">
        <v>27</v>
      </c>
      <c r="B603" s="1" t="s">
        <v>175</v>
      </c>
      <c r="C603" s="1" t="str">
        <f>VLOOKUP(B:B,[6]配额0227!$A:$B,2,0)</f>
        <v>室内电脑板-FR-4</v>
      </c>
      <c r="D603" s="1" t="str">
        <f>VLOOKUP(B:B,'[7]厂家配额 (新)'!$A$1:$C$65536,3,0)</f>
        <v>和而泰/领智//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150</v>
      </c>
    </row>
    <row r="604" spans="1:17" x14ac:dyDescent="0.3">
      <c r="A604" s="1" t="s">
        <v>27</v>
      </c>
      <c r="B604" s="1" t="s">
        <v>547</v>
      </c>
      <c r="C604" s="1" t="str">
        <f>VLOOKUP(B:B,[6]配额0227!$A:$B,2,0)</f>
        <v>变频外电脑板-FR-4/</v>
      </c>
      <c r="D604" s="1" t="str">
        <f>VLOOKUP(B:B,'[7]厂家配额 (新)'!$A$1:$C$65536,3,0)</f>
        <v>中家智康</v>
      </c>
      <c r="E604" s="1">
        <v>0</v>
      </c>
      <c r="F604" s="1">
        <v>59</v>
      </c>
      <c r="G604" s="1">
        <v>0</v>
      </c>
      <c r="H604" s="1">
        <v>0</v>
      </c>
      <c r="I604" s="1">
        <v>0</v>
      </c>
      <c r="J604" s="1">
        <v>80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</row>
    <row r="605" spans="1:17" x14ac:dyDescent="0.3">
      <c r="A605" s="1" t="s">
        <v>27</v>
      </c>
      <c r="B605" s="1" t="s">
        <v>548</v>
      </c>
      <c r="C605" s="1" t="str">
        <f>VLOOKUP(B:B,[6]配额0227!$A:$B,2,0)</f>
        <v>变频外电脑板-FR-4240mm*180mm</v>
      </c>
      <c r="D605" s="1" t="str">
        <f>VLOOKUP(B:B,'[7]厂家配额 (新)'!$A$1:$C$65536,3,0)</f>
        <v>中家智康</v>
      </c>
      <c r="E605" s="1">
        <v>0</v>
      </c>
      <c r="F605" s="1">
        <v>0</v>
      </c>
      <c r="G605" s="1">
        <v>0</v>
      </c>
      <c r="H605" s="1">
        <v>0</v>
      </c>
      <c r="I605" s="1">
        <v>1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</row>
    <row r="606" spans="1:17" x14ac:dyDescent="0.3">
      <c r="A606" s="1" t="s">
        <v>27</v>
      </c>
      <c r="B606" s="1" t="s">
        <v>549</v>
      </c>
      <c r="C606" s="1" t="str">
        <f>VLOOKUP(B:B,[6]配额0227!$A:$B,2,0)</f>
        <v>变频外电脑板-FR-4240mm*180mm</v>
      </c>
      <c r="D606" s="1" t="str">
        <f>VLOOKUP(B:B,'[7]厂家配额 (新)'!$A$1:$C$65536,3,0)</f>
        <v>中家智康</v>
      </c>
      <c r="E606" s="1">
        <v>0</v>
      </c>
      <c r="F606" s="1">
        <v>0</v>
      </c>
      <c r="G606" s="1">
        <v>0</v>
      </c>
      <c r="H606" s="1">
        <v>0</v>
      </c>
      <c r="I606" s="1">
        <v>1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</row>
    <row r="607" spans="1:17" x14ac:dyDescent="0.3">
      <c r="A607" s="1" t="s">
        <v>27</v>
      </c>
      <c r="B607" s="1" t="s">
        <v>550</v>
      </c>
      <c r="C607" s="1" t="str">
        <f>VLOOKUP(B:B,[6]配额0227!$A:$B,2,0)</f>
        <v>变频外电脑板-FR-4</v>
      </c>
      <c r="D607" s="1" t="str">
        <f>VLOOKUP(B:B,'[7]厂家配额 (新)'!$A$1:$C$65536,3,0)</f>
        <v>中家智康</v>
      </c>
      <c r="E607" s="1">
        <v>0</v>
      </c>
      <c r="F607" s="1">
        <v>0</v>
      </c>
      <c r="G607" s="1">
        <v>2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</row>
    <row r="608" spans="1:17" x14ac:dyDescent="0.3">
      <c r="A608" s="1" t="s">
        <v>27</v>
      </c>
      <c r="B608" s="1" t="s">
        <v>551</v>
      </c>
      <c r="C608" s="1" t="str">
        <f>VLOOKUP(B:B,[6]配额0227!$A:$B,2,0)</f>
        <v>变频外电脑板-FR-4</v>
      </c>
      <c r="D608" s="1" t="str">
        <f>VLOOKUP(B:B,'[7]厂家配额 (新)'!$A$1:$C$65536,3,0)</f>
        <v>中家智康</v>
      </c>
      <c r="E608" s="1">
        <v>0</v>
      </c>
      <c r="F608" s="1">
        <v>0</v>
      </c>
      <c r="G608" s="1">
        <v>3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</row>
    <row r="609" spans="1:17" x14ac:dyDescent="0.3">
      <c r="A609" s="1" t="s">
        <v>27</v>
      </c>
      <c r="B609" s="1" t="s">
        <v>552</v>
      </c>
      <c r="C609" s="1" t="str">
        <f>VLOOKUP(B:B,[6]配额0227!$A:$B,2,0)</f>
        <v>变频外电脑板-FR-4</v>
      </c>
      <c r="D609" s="1" t="str">
        <f>VLOOKUP(B:B,'[7]厂家配额 (新)'!$A$1:$C$65536,3,0)</f>
        <v>中家智康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s="1">
        <v>165</v>
      </c>
      <c r="N609" s="1">
        <v>0</v>
      </c>
      <c r="O609" s="1">
        <v>0</v>
      </c>
      <c r="P609" s="1">
        <v>0</v>
      </c>
      <c r="Q609" s="1">
        <v>0</v>
      </c>
    </row>
    <row r="610" spans="1:17" x14ac:dyDescent="0.3">
      <c r="A610" s="1" t="s">
        <v>27</v>
      </c>
      <c r="B610" s="1" t="s">
        <v>364</v>
      </c>
      <c r="C610" s="1" t="str">
        <f>VLOOKUP(B:B,[6]配额0227!$A:$B,2,0)</f>
        <v>变频外电脑板-FR-4/</v>
      </c>
      <c r="D610" s="1" t="str">
        <f>VLOOKUP(B:B,'[7]厂家配额 (新)'!$A$1:$C$65536,3,0)</f>
        <v>中家智康</v>
      </c>
      <c r="E610" s="1">
        <v>0</v>
      </c>
      <c r="F610" s="1">
        <v>0</v>
      </c>
      <c r="G610" s="1">
        <v>0</v>
      </c>
      <c r="H610" s="1">
        <v>30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1200</v>
      </c>
    </row>
    <row r="611" spans="1:17" x14ac:dyDescent="0.3">
      <c r="A611" s="1" t="s">
        <v>27</v>
      </c>
      <c r="B611" s="1" t="s">
        <v>365</v>
      </c>
      <c r="C611" s="1" t="str">
        <f>VLOOKUP(B:B,[6]配额0227!$A:$B,2,0)</f>
        <v>变频外电脑板-FR-4240mm*180mm</v>
      </c>
      <c r="D611" s="1" t="str">
        <f>VLOOKUP(B:B,'[7]厂家配额 (新)'!$A$1:$C$65536,3,0)</f>
        <v>中家智康</v>
      </c>
      <c r="E611" s="1">
        <v>0</v>
      </c>
      <c r="F611" s="1">
        <v>0</v>
      </c>
      <c r="G611" s="1">
        <v>0</v>
      </c>
      <c r="H611" s="1">
        <v>0</v>
      </c>
      <c r="I611" s="1">
        <v>0</v>
      </c>
      <c r="J611" s="1">
        <v>900</v>
      </c>
      <c r="K611" s="1">
        <v>0</v>
      </c>
      <c r="L611" s="1">
        <v>0</v>
      </c>
      <c r="M611" s="1">
        <v>0</v>
      </c>
      <c r="N611" s="1">
        <v>990</v>
      </c>
      <c r="O611" s="1">
        <v>0</v>
      </c>
      <c r="P611" s="1">
        <v>0</v>
      </c>
      <c r="Q611" s="1">
        <v>0</v>
      </c>
    </row>
    <row r="612" spans="1:17" x14ac:dyDescent="0.3">
      <c r="A612" s="1" t="s">
        <v>27</v>
      </c>
      <c r="B612" s="1" t="s">
        <v>553</v>
      </c>
      <c r="C612" s="1" t="str">
        <f>VLOOKUP(B:B,[6]配额0227!$A:$B,2,0)</f>
        <v>变频外电脑板-FR-4</v>
      </c>
      <c r="D612" s="1" t="str">
        <f>VLOOKUP(B:B,'[7]厂家配额 (新)'!$A$1:$C$65536,3,0)</f>
        <v>中家智康</v>
      </c>
      <c r="E612" s="1">
        <v>0</v>
      </c>
      <c r="F612" s="1">
        <v>0</v>
      </c>
      <c r="G612" s="1">
        <v>0</v>
      </c>
      <c r="H612" s="1">
        <v>630</v>
      </c>
      <c r="I612" s="1">
        <v>420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</row>
    <row r="613" spans="1:17" x14ac:dyDescent="0.3">
      <c r="A613" s="1" t="s">
        <v>27</v>
      </c>
      <c r="B613" s="1" t="s">
        <v>368</v>
      </c>
      <c r="C613" s="1" t="str">
        <f>VLOOKUP(B:B,[6]配额0227!$A:$B,2,0)</f>
        <v>变频外电脑板-FR-4</v>
      </c>
      <c r="D613" s="1" t="str">
        <f>VLOOKUP(B:B,'[7]厂家配额 (新)'!$A$1:$C$65536,3,0)</f>
        <v>中家智康</v>
      </c>
      <c r="E613" s="1">
        <v>0</v>
      </c>
      <c r="F613" s="1">
        <v>0</v>
      </c>
      <c r="G613" s="1">
        <v>700</v>
      </c>
      <c r="H613" s="1">
        <v>0</v>
      </c>
      <c r="I613" s="1">
        <v>0</v>
      </c>
      <c r="J613" s="1">
        <v>0</v>
      </c>
      <c r="K613" s="1">
        <v>175</v>
      </c>
      <c r="L613" s="1">
        <v>0</v>
      </c>
      <c r="M613" s="1">
        <v>0</v>
      </c>
      <c r="N613" s="1">
        <v>700</v>
      </c>
      <c r="O613" s="1">
        <v>875</v>
      </c>
      <c r="P613" s="1">
        <v>0</v>
      </c>
      <c r="Q613" s="1">
        <v>0</v>
      </c>
    </row>
    <row r="614" spans="1:17" x14ac:dyDescent="0.3">
      <c r="A614" s="1" t="s">
        <v>27</v>
      </c>
      <c r="B614" s="1" t="s">
        <v>369</v>
      </c>
      <c r="C614" s="1" t="str">
        <f>VLOOKUP(B:B,[6]配额0227!$A:$B,2,0)</f>
        <v>变频外电脑板-FR-4</v>
      </c>
      <c r="D614" s="1" t="str">
        <f>VLOOKUP(B:B,'[7]厂家配额 (新)'!$A$1:$C$65536,3,0)</f>
        <v>中家智康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1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</row>
    <row r="615" spans="1:17" x14ac:dyDescent="0.3">
      <c r="A615" s="1" t="s">
        <v>27</v>
      </c>
      <c r="B615" s="1" t="s">
        <v>370</v>
      </c>
      <c r="C615" s="1" t="str">
        <f>VLOOKUP(B:B,[6]配额0227!$A:$B,2,0)</f>
        <v>变频外电脑板-FR-4</v>
      </c>
      <c r="D615" s="1" t="str">
        <f>VLOOKUP(B:B,'[7]厂家配额 (新)'!$A$1:$C$65536,3,0)</f>
        <v>中家智康</v>
      </c>
      <c r="E615" s="1">
        <v>0</v>
      </c>
      <c r="F615" s="1">
        <v>205</v>
      </c>
      <c r="G615" s="1">
        <v>0</v>
      </c>
      <c r="H615" s="1">
        <v>152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536</v>
      </c>
      <c r="P615" s="1">
        <v>0</v>
      </c>
      <c r="Q615" s="1">
        <v>50</v>
      </c>
    </row>
    <row r="616" spans="1:17" x14ac:dyDescent="0.3">
      <c r="A616" s="1" t="s">
        <v>27</v>
      </c>
      <c r="B616" s="1" t="s">
        <v>371</v>
      </c>
      <c r="C616" s="1" t="str">
        <f>VLOOKUP(B:B,[6]配额0227!$A:$B,2,0)</f>
        <v>变频外电脑板-FR-4</v>
      </c>
      <c r="D616" s="1" t="str">
        <f>VLOOKUP(B:B,'[7]厂家配额 (新)'!$A$1:$C$65536,3,0)</f>
        <v>中家智康</v>
      </c>
      <c r="E616" s="1">
        <v>0</v>
      </c>
      <c r="F616" s="1">
        <v>0</v>
      </c>
      <c r="G616" s="1">
        <v>0</v>
      </c>
      <c r="H616" s="1">
        <v>117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100</v>
      </c>
      <c r="P616" s="1">
        <v>0</v>
      </c>
      <c r="Q616" s="1">
        <v>810</v>
      </c>
    </row>
    <row r="617" spans="1:17" x14ac:dyDescent="0.3">
      <c r="A617" s="1" t="s">
        <v>27</v>
      </c>
      <c r="B617" s="1" t="s">
        <v>372</v>
      </c>
      <c r="C617" s="1" t="str">
        <f>VLOOKUP(B:B,[6]配额0227!$A:$B,2,0)</f>
        <v>变频外电脑板-FR-4</v>
      </c>
      <c r="D617" s="1" t="str">
        <f>VLOOKUP(B:B,'[7]厂家配额 (新)'!$A$1:$C$65536,3,0)</f>
        <v>中家智康</v>
      </c>
      <c r="E617" s="1">
        <v>100</v>
      </c>
      <c r="F617" s="1">
        <v>0</v>
      </c>
      <c r="G617" s="1">
        <v>268</v>
      </c>
      <c r="H617" s="1">
        <v>0</v>
      </c>
      <c r="I617" s="1">
        <v>1</v>
      </c>
      <c r="J617" s="1">
        <v>0</v>
      </c>
      <c r="K617" s="1">
        <v>194</v>
      </c>
      <c r="L617" s="1">
        <v>35</v>
      </c>
      <c r="M617" s="1">
        <v>0</v>
      </c>
      <c r="N617" s="1">
        <v>0</v>
      </c>
      <c r="O617" s="1">
        <v>0</v>
      </c>
      <c r="P617" s="1">
        <v>0</v>
      </c>
      <c r="Q617" s="1">
        <v>100</v>
      </c>
    </row>
    <row r="618" spans="1:17" x14ac:dyDescent="0.3">
      <c r="A618" s="1" t="s">
        <v>27</v>
      </c>
      <c r="B618" s="1" t="s">
        <v>373</v>
      </c>
      <c r="C618" s="1" t="str">
        <f>VLOOKUP(B:B,[6]配额0227!$A:$B,2,0)</f>
        <v>变频外电脑板-FR-4</v>
      </c>
      <c r="D618" s="1" t="str">
        <f>VLOOKUP(B:B,'[7]厂家配额 (新)'!$A$1:$C$65536,3,0)</f>
        <v>中家智康</v>
      </c>
      <c r="E618" s="1">
        <v>79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</row>
    <row r="619" spans="1:17" x14ac:dyDescent="0.3">
      <c r="A619" s="1" t="s">
        <v>27</v>
      </c>
      <c r="B619" s="1" t="s">
        <v>554</v>
      </c>
      <c r="C619" s="1" t="str">
        <f>VLOOKUP(B:B,[6]配额0227!$A:$B,2,0)</f>
        <v>变频外电脑板-FR-4/</v>
      </c>
      <c r="D619" s="1" t="str">
        <f>VLOOKUP(B:B,'[7]厂家配额 (新)'!$A$1:$C$65536,3,0)</f>
        <v>中家智康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1</v>
      </c>
      <c r="K619" s="1">
        <v>0</v>
      </c>
      <c r="L619" s="1">
        <v>0</v>
      </c>
      <c r="M619" s="1">
        <v>0</v>
      </c>
      <c r="N619" s="1">
        <v>187</v>
      </c>
      <c r="O619" s="1">
        <v>0</v>
      </c>
      <c r="P619" s="1">
        <v>0</v>
      </c>
      <c r="Q619" s="1">
        <v>0</v>
      </c>
    </row>
    <row r="620" spans="1:17" x14ac:dyDescent="0.3">
      <c r="A620" s="1" t="s">
        <v>27</v>
      </c>
      <c r="B620" s="1" t="s">
        <v>555</v>
      </c>
      <c r="C620" s="1" t="str">
        <f>VLOOKUP(B:B,[6]配额0227!$A:$B,2,0)</f>
        <v>变频外电脑板-FR-4/</v>
      </c>
      <c r="D620" s="1" t="str">
        <f>VLOOKUP(B:B,'[7]厂家配额 (新)'!$A$1:$C$65536,3,0)</f>
        <v>领智</v>
      </c>
      <c r="E620" s="1">
        <v>0</v>
      </c>
      <c r="F620" s="1">
        <v>0</v>
      </c>
      <c r="G620" s="1">
        <v>0</v>
      </c>
      <c r="H620" s="1">
        <v>0</v>
      </c>
      <c r="I620" s="1">
        <v>1</v>
      </c>
      <c r="J620" s="1">
        <v>0</v>
      </c>
      <c r="K620" s="1">
        <v>59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  <c r="Q620" s="1">
        <v>0</v>
      </c>
    </row>
    <row r="621" spans="1:17" x14ac:dyDescent="0.3">
      <c r="A621" s="1" t="s">
        <v>27</v>
      </c>
      <c r="B621" s="1" t="s">
        <v>556</v>
      </c>
      <c r="C621" s="1" t="str">
        <f>VLOOKUP(B:B,[6]配额0227!$A:$B,2,0)</f>
        <v>变频外电脑板-FR-4/</v>
      </c>
      <c r="D621" s="1" t="str">
        <f>VLOOKUP(B:B,'[7]厂家配额 (新)'!$A$1:$C$65536,3,0)</f>
        <v>领智</v>
      </c>
      <c r="E621" s="1">
        <v>0</v>
      </c>
      <c r="F621" s="1">
        <v>0</v>
      </c>
      <c r="G621" s="1">
        <v>0</v>
      </c>
      <c r="H621" s="1">
        <v>0</v>
      </c>
      <c r="I621" s="1">
        <v>2</v>
      </c>
      <c r="J621" s="1">
        <v>0</v>
      </c>
      <c r="K621" s="1">
        <v>148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  <c r="Q621" s="1">
        <v>0</v>
      </c>
    </row>
    <row r="622" spans="1:17" x14ac:dyDescent="0.3">
      <c r="A622" s="1" t="s">
        <v>27</v>
      </c>
      <c r="B622" s="1" t="s">
        <v>177</v>
      </c>
      <c r="C622" s="1" t="str">
        <f>VLOOKUP(B:B,[6]配额0227!$A:$B,2,0)</f>
        <v>室内电脑板-CEM-1</v>
      </c>
      <c r="D622" s="1" t="str">
        <f>VLOOKUP(B:B,'[7]厂家配额 (新)'!$A$1:$C$65536,3,0)</f>
        <v>和而泰/领智//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2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</row>
    <row r="623" spans="1:17" x14ac:dyDescent="0.3">
      <c r="A623" s="1" t="s">
        <v>27</v>
      </c>
      <c r="B623" s="1" t="s">
        <v>178</v>
      </c>
      <c r="C623" s="1" t="str">
        <f>VLOOKUP(B:B,[6]配额0227!$A:$B,2,0)</f>
        <v>室内电脑板-CEM-1</v>
      </c>
      <c r="D623" s="1" t="str">
        <f>VLOOKUP(B:B,'[7]厂家配额 (新)'!$A$1:$C$65536,3,0)</f>
        <v>领智/和而泰//</v>
      </c>
      <c r="E623" s="1">
        <v>0</v>
      </c>
      <c r="F623" s="1">
        <v>0</v>
      </c>
      <c r="G623" s="1">
        <v>139</v>
      </c>
      <c r="H623" s="1">
        <v>0</v>
      </c>
      <c r="I623" s="1">
        <v>0</v>
      </c>
      <c r="J623" s="1">
        <v>62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7545</v>
      </c>
    </row>
    <row r="624" spans="1:17" x14ac:dyDescent="0.3">
      <c r="A624" s="1" t="s">
        <v>27</v>
      </c>
      <c r="B624" s="1" t="s">
        <v>374</v>
      </c>
      <c r="C624" s="1" t="str">
        <f>VLOOKUP(B:B,[6]配额0227!$A:$B,2,0)</f>
        <v>室内电脑板</v>
      </c>
      <c r="D624" s="1" t="str">
        <f>VLOOKUP(B:B,'[7]厂家配额 (新)'!$A$1:$C$65536,3,0)</f>
        <v>麦格米特/领智//</v>
      </c>
      <c r="E624" s="1">
        <v>0</v>
      </c>
      <c r="F624" s="1">
        <v>0</v>
      </c>
      <c r="G624" s="1">
        <v>100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660</v>
      </c>
    </row>
    <row r="625" spans="1:17" x14ac:dyDescent="0.3">
      <c r="A625" s="1" t="s">
        <v>27</v>
      </c>
      <c r="B625" s="1" t="s">
        <v>180</v>
      </c>
      <c r="C625" s="1" t="str">
        <f>VLOOKUP(B:B,[6]配额0227!$A:$B,2,0)</f>
        <v>一体机电脑板-CEM-1</v>
      </c>
      <c r="D625" s="1" t="str">
        <f>VLOOKUP(B:B,'[7]厂家配额 (新)'!$A$1:$C$65536,3,0)</f>
        <v>领智/和而泰//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2412</v>
      </c>
    </row>
    <row r="626" spans="1:17" x14ac:dyDescent="0.3">
      <c r="A626" s="1" t="s">
        <v>27</v>
      </c>
      <c r="B626" s="1" t="s">
        <v>182</v>
      </c>
      <c r="C626" s="1" t="str">
        <f>VLOOKUP(B:B,[6]配额0227!$A:$B,2,0)</f>
        <v>室内电脑板-CEM-1</v>
      </c>
      <c r="D626" s="1" t="str">
        <f>VLOOKUP(B:B,'[7]厂家配额 (新)'!$A$1:$C$65536,3,0)</f>
        <v>麦格米特/和而泰//</v>
      </c>
      <c r="E626" s="1">
        <v>600</v>
      </c>
      <c r="F626" s="1">
        <v>200</v>
      </c>
      <c r="G626" s="1">
        <v>3792</v>
      </c>
      <c r="H626" s="1">
        <v>2149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8155</v>
      </c>
    </row>
    <row r="627" spans="1:17" x14ac:dyDescent="0.3">
      <c r="A627" s="1" t="s">
        <v>27</v>
      </c>
      <c r="B627" s="1" t="s">
        <v>375</v>
      </c>
      <c r="C627" s="1" t="str">
        <f>VLOOKUP(B:B,[6]配额0227!$A:$B,2,0)</f>
        <v>室内电脑板-CEM-1</v>
      </c>
      <c r="D627" s="1" t="str">
        <f>VLOOKUP(B:B,'[7]厂家配额 (新)'!$A$1:$C$65536,3,0)</f>
        <v>麦格米特/领智//</v>
      </c>
      <c r="E627" s="1">
        <v>0</v>
      </c>
      <c r="F627" s="1">
        <v>0</v>
      </c>
      <c r="G627" s="1">
        <v>0</v>
      </c>
      <c r="H627" s="1">
        <v>1616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</row>
    <row r="628" spans="1:17" x14ac:dyDescent="0.3">
      <c r="A628" s="1" t="s">
        <v>27</v>
      </c>
      <c r="B628" s="1" t="s">
        <v>183</v>
      </c>
      <c r="C628" s="1" t="str">
        <f>VLOOKUP(B:B,[6]配额0227!$A:$B,2,0)</f>
        <v>室内电脑板-CEM-1</v>
      </c>
      <c r="D628" s="1" t="str">
        <f>VLOOKUP(B:B,'[7]厂家配额 (新)'!$A$1:$C$65536,3,0)</f>
        <v>和而泰/尚研//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2680</v>
      </c>
      <c r="L628" s="1">
        <v>0</v>
      </c>
      <c r="M628" s="1">
        <v>0</v>
      </c>
      <c r="N628" s="1">
        <v>3</v>
      </c>
      <c r="O628" s="1">
        <v>0</v>
      </c>
      <c r="P628" s="1">
        <v>0</v>
      </c>
      <c r="Q628" s="1">
        <v>0</v>
      </c>
    </row>
    <row r="629" spans="1:17" x14ac:dyDescent="0.3">
      <c r="A629" s="1" t="s">
        <v>27</v>
      </c>
      <c r="B629" s="1" t="s">
        <v>185</v>
      </c>
      <c r="C629" s="1" t="str">
        <f>VLOOKUP(B:B,[6]配额0227!$A:$B,2,0)</f>
        <v>室内电脑板-CEM-1</v>
      </c>
      <c r="D629" s="1" t="str">
        <f>VLOOKUP(B:B,'[7]厂家配额 (新)'!$A$1:$C$65536,3,0)</f>
        <v>和而泰/尚研//</v>
      </c>
      <c r="E629" s="1">
        <v>0</v>
      </c>
      <c r="F629" s="1">
        <v>0</v>
      </c>
      <c r="G629" s="1">
        <v>0</v>
      </c>
      <c r="H629" s="1">
        <v>0</v>
      </c>
      <c r="I629" s="1">
        <v>0</v>
      </c>
      <c r="J629" s="1">
        <v>510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</row>
    <row r="630" spans="1:17" x14ac:dyDescent="0.3">
      <c r="A630" s="1" t="s">
        <v>27</v>
      </c>
      <c r="B630" s="1" t="s">
        <v>557</v>
      </c>
      <c r="C630" s="1" t="str">
        <f>VLOOKUP(B:B,[6]配额0227!$A:$B,2,0)</f>
        <v>显示板-FR-4/</v>
      </c>
      <c r="D630" s="1" t="str">
        <f>VLOOKUP(B:B,'[7]厂家配额 (新)'!$A$1:$C$65536,3,0)</f>
        <v>领智/尚研//</v>
      </c>
      <c r="E630" s="1">
        <v>0</v>
      </c>
      <c r="F630" s="1">
        <v>20</v>
      </c>
      <c r="G630" s="1">
        <v>0</v>
      </c>
      <c r="H630" s="1">
        <v>0</v>
      </c>
      <c r="I630" s="1">
        <v>0</v>
      </c>
      <c r="J630" s="1">
        <v>24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</row>
    <row r="631" spans="1:17" x14ac:dyDescent="0.3">
      <c r="A631" s="1" t="s">
        <v>27</v>
      </c>
      <c r="B631" s="1" t="s">
        <v>378</v>
      </c>
      <c r="C631" s="1" t="str">
        <f>VLOOKUP(B:B,[6]配额0227!$A:$B,2,0)</f>
        <v>室内电脑板-CEM-1</v>
      </c>
      <c r="D631" s="1" t="str">
        <f>VLOOKUP(B:B,'[7]厂家配额 (新)'!$A$1:$C$65536,3,0)</f>
        <v>领智/康美特</v>
      </c>
      <c r="E631" s="1">
        <v>0</v>
      </c>
      <c r="F631" s="1">
        <v>0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  <c r="Q631" s="1">
        <v>855</v>
      </c>
    </row>
    <row r="632" spans="1:17" x14ac:dyDescent="0.3">
      <c r="A632" s="1" t="s">
        <v>27</v>
      </c>
      <c r="B632" s="1" t="s">
        <v>187</v>
      </c>
      <c r="C632" s="1" t="str">
        <f>VLOOKUP(B:B,[6]配额0227!$A:$B,2,0)</f>
        <v>室内电脑板-165mm*136mm</v>
      </c>
      <c r="D632" s="1" t="str">
        <f>VLOOKUP(B:B,'[7]厂家配额 (新)'!$A$1:$C$65536,3,0)</f>
        <v>领智/和而泰//</v>
      </c>
      <c r="E632" s="1">
        <v>0</v>
      </c>
      <c r="F632" s="1">
        <v>0</v>
      </c>
      <c r="G632" s="1">
        <v>0</v>
      </c>
      <c r="H632" s="1">
        <v>1365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</row>
    <row r="633" spans="1:17" x14ac:dyDescent="0.3">
      <c r="A633" s="1" t="s">
        <v>27</v>
      </c>
      <c r="B633" s="1" t="s">
        <v>189</v>
      </c>
      <c r="C633" s="1" t="str">
        <f>VLOOKUP(B:B,[6]配额0227!$A:$B,2,0)</f>
        <v>室内电脑板-165mm*136mm</v>
      </c>
      <c r="D633" s="1" t="str">
        <f>VLOOKUP(B:B,'[7]厂家配额 (新)'!$A$1:$C$65536,3,0)</f>
        <v>领智/和而泰//</v>
      </c>
      <c r="E633" s="1">
        <v>0</v>
      </c>
      <c r="F633" s="1">
        <v>0</v>
      </c>
      <c r="G633" s="1">
        <v>0</v>
      </c>
      <c r="H633" s="1">
        <v>130</v>
      </c>
      <c r="I633" s="1">
        <v>260</v>
      </c>
      <c r="J633" s="1">
        <v>0</v>
      </c>
      <c r="K633" s="1">
        <v>0</v>
      </c>
      <c r="L633" s="1">
        <v>0</v>
      </c>
      <c r="M633" s="1">
        <v>390</v>
      </c>
      <c r="N633" s="1">
        <v>0</v>
      </c>
      <c r="O633" s="1">
        <v>0</v>
      </c>
      <c r="P633" s="1">
        <v>0</v>
      </c>
      <c r="Q633" s="1">
        <v>0</v>
      </c>
    </row>
    <row r="634" spans="1:17" x14ac:dyDescent="0.3">
      <c r="A634" s="1" t="s">
        <v>27</v>
      </c>
      <c r="B634" s="1" t="s">
        <v>190</v>
      </c>
      <c r="C634" s="1" t="str">
        <f>VLOOKUP(B:B,[6]配额0227!$A:$B,2,0)</f>
        <v>室内电脑板-162mm*130mm</v>
      </c>
      <c r="D634" s="1" t="str">
        <f>VLOOKUP(B:B,'[7]厂家配额 (新)'!$A$1:$C$65536,3,0)</f>
        <v>领智/和而泰//</v>
      </c>
      <c r="E634" s="1">
        <v>0</v>
      </c>
      <c r="F634" s="1">
        <v>0</v>
      </c>
      <c r="G634" s="1">
        <v>180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>
        <v>180</v>
      </c>
      <c r="P634" s="1">
        <v>0</v>
      </c>
      <c r="Q634" s="1">
        <v>0</v>
      </c>
    </row>
    <row r="635" spans="1:17" x14ac:dyDescent="0.3">
      <c r="A635" s="1" t="s">
        <v>27</v>
      </c>
      <c r="B635" s="1" t="s">
        <v>192</v>
      </c>
      <c r="C635" s="1" t="str">
        <f>VLOOKUP(B:B,[6]配额0227!$A:$B,2,0)</f>
        <v>室内电脑板-165mm*136mm</v>
      </c>
      <c r="D635" s="1" t="str">
        <f>VLOOKUP(B:B,'[7]厂家配额 (新)'!$A$1:$C$65536,3,0)</f>
        <v>领智/和而泰//</v>
      </c>
      <c r="E635" s="1">
        <v>0</v>
      </c>
      <c r="F635" s="1">
        <v>0</v>
      </c>
      <c r="G635" s="1">
        <v>460</v>
      </c>
      <c r="H635" s="1">
        <v>230</v>
      </c>
      <c r="I635" s="1">
        <v>0</v>
      </c>
      <c r="J635" s="1">
        <v>0</v>
      </c>
      <c r="K635" s="1">
        <v>0</v>
      </c>
      <c r="L635" s="1">
        <v>0</v>
      </c>
      <c r="M635" s="1">
        <v>690</v>
      </c>
      <c r="N635" s="1">
        <v>0</v>
      </c>
      <c r="O635" s="1">
        <v>0</v>
      </c>
      <c r="P635" s="1">
        <v>0</v>
      </c>
      <c r="Q635" s="1">
        <v>0</v>
      </c>
    </row>
    <row r="636" spans="1:17" x14ac:dyDescent="0.3">
      <c r="A636" s="1" t="s">
        <v>27</v>
      </c>
      <c r="B636" s="1" t="s">
        <v>379</v>
      </c>
      <c r="C636" s="1" t="str">
        <f>VLOOKUP(B:B,[6]配额0227!$A:$B,2,0)</f>
        <v>变频外电脑板-FR-4</v>
      </c>
      <c r="D636" s="1" t="str">
        <f>VLOOKUP(B:B,'[7]厂家配额 (新)'!$A$1:$C$65536,3,0)</f>
        <v>麦格米特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>
        <v>0</v>
      </c>
      <c r="M636" s="1">
        <v>0</v>
      </c>
      <c r="N636" s="1">
        <v>300</v>
      </c>
      <c r="O636" s="1">
        <v>1713</v>
      </c>
      <c r="P636" s="1">
        <v>0</v>
      </c>
      <c r="Q636" s="1">
        <v>2850</v>
      </c>
    </row>
    <row r="637" spans="1:17" x14ac:dyDescent="0.3">
      <c r="A637" s="1" t="s">
        <v>27</v>
      </c>
      <c r="B637" s="1" t="s">
        <v>558</v>
      </c>
      <c r="C637" s="1" t="str">
        <f>VLOOKUP(B:B,[6]配额0227!$A:$B,2,0)</f>
        <v>变频外电脑板-FR-4</v>
      </c>
      <c r="D637" s="1" t="str">
        <f>VLOOKUP(B:B,'[7]厂家配额 (新)'!$A$1:$C$65536,3,0)</f>
        <v>麦格米特</v>
      </c>
      <c r="E637" s="1">
        <v>0</v>
      </c>
      <c r="F637" s="1">
        <v>0</v>
      </c>
      <c r="G637" s="1">
        <v>955</v>
      </c>
      <c r="H637" s="1">
        <v>0</v>
      </c>
      <c r="I637" s="1">
        <v>0</v>
      </c>
      <c r="J637" s="1">
        <v>0</v>
      </c>
      <c r="K637" s="1">
        <v>0</v>
      </c>
      <c r="L637" s="1">
        <v>0</v>
      </c>
      <c r="M637" s="1">
        <v>285</v>
      </c>
      <c r="N637" s="1">
        <v>0</v>
      </c>
      <c r="O637" s="1">
        <v>335</v>
      </c>
      <c r="P637" s="1">
        <v>0</v>
      </c>
      <c r="Q637" s="1">
        <v>1140</v>
      </c>
    </row>
    <row r="638" spans="1:17" x14ac:dyDescent="0.3">
      <c r="A638" s="1" t="s">
        <v>27</v>
      </c>
      <c r="B638" s="1" t="s">
        <v>380</v>
      </c>
      <c r="C638" s="1" t="str">
        <f>VLOOKUP(B:B,[6]配额0227!$A:$B,2,0)</f>
        <v>变频外电脑板-FR-4</v>
      </c>
      <c r="D638" s="1" t="str">
        <f>VLOOKUP(B:B,'[7]厂家配额 (新)'!$A$1:$C$65536,3,0)</f>
        <v>麦格米特</v>
      </c>
      <c r="E638" s="1">
        <v>0</v>
      </c>
      <c r="F638" s="1">
        <v>1825</v>
      </c>
      <c r="G638" s="1">
        <v>2710</v>
      </c>
      <c r="H638" s="1">
        <v>5100</v>
      </c>
      <c r="I638" s="1">
        <v>3975</v>
      </c>
      <c r="J638" s="1">
        <v>4340</v>
      </c>
      <c r="K638" s="1">
        <v>2480</v>
      </c>
      <c r="L638" s="1">
        <v>0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</row>
    <row r="639" spans="1:17" x14ac:dyDescent="0.3">
      <c r="A639" s="1" t="s">
        <v>27</v>
      </c>
      <c r="B639" s="1" t="s">
        <v>381</v>
      </c>
      <c r="C639" s="1" t="str">
        <f>VLOOKUP(B:B,[6]配额0227!$A:$B,2,0)</f>
        <v>变频外电脑板-FR-4</v>
      </c>
      <c r="D639" s="1" t="str">
        <f>VLOOKUP(B:B,'[7]厂家配额 (新)'!$A$1:$C$65536,3,0)</f>
        <v>麦格米特</v>
      </c>
      <c r="E639" s="1">
        <v>915</v>
      </c>
      <c r="F639" s="1">
        <v>200</v>
      </c>
      <c r="G639" s="1">
        <v>0</v>
      </c>
      <c r="H639" s="1">
        <v>878</v>
      </c>
      <c r="I639" s="1">
        <v>0</v>
      </c>
      <c r="J639" s="1">
        <v>0</v>
      </c>
      <c r="K639" s="1">
        <v>0</v>
      </c>
      <c r="L639" s="1">
        <v>0</v>
      </c>
      <c r="M639" s="1">
        <v>3780</v>
      </c>
      <c r="N639" s="1">
        <v>1260</v>
      </c>
      <c r="O639" s="1">
        <v>315</v>
      </c>
      <c r="P639" s="1">
        <v>0</v>
      </c>
      <c r="Q639" s="1">
        <v>0</v>
      </c>
    </row>
    <row r="640" spans="1:17" x14ac:dyDescent="0.3">
      <c r="A640" s="1" t="s">
        <v>27</v>
      </c>
      <c r="B640" s="1" t="s">
        <v>559</v>
      </c>
      <c r="C640" s="1" t="str">
        <f>VLOOKUP(B:B,[6]配额0227!$A:$B,2,0)</f>
        <v>室内电脑板-CEM-1</v>
      </c>
      <c r="D640" s="1" t="str">
        <f>VLOOKUP(B:B,'[7]厂家配额 (新)'!$A$1:$C$65536,3,0)</f>
        <v>航嘉/领智//</v>
      </c>
      <c r="E640" s="1">
        <v>0</v>
      </c>
      <c r="F640" s="1">
        <v>0</v>
      </c>
      <c r="G640" s="1">
        <v>0</v>
      </c>
      <c r="H640" s="1">
        <v>0</v>
      </c>
      <c r="I640" s="1">
        <v>700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</row>
    <row r="641" spans="1:17" x14ac:dyDescent="0.3">
      <c r="A641" s="1" t="s">
        <v>27</v>
      </c>
      <c r="B641" s="1" t="s">
        <v>194</v>
      </c>
      <c r="C641" s="1" t="str">
        <f>VLOOKUP(B:B,[6]配额0227!$A:$B,2,0)</f>
        <v>室内电脑板-CEM-1</v>
      </c>
      <c r="D641" s="1" t="str">
        <f>VLOOKUP(B:B,'[7]厂家配额 (新)'!$A$1:$C$65536,3,0)</f>
        <v>和而泰/康美特//</v>
      </c>
      <c r="E641" s="1">
        <v>0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1">
        <v>0</v>
      </c>
      <c r="Q641" s="1">
        <v>1373</v>
      </c>
    </row>
    <row r="642" spans="1:17" x14ac:dyDescent="0.3">
      <c r="A642" s="1" t="s">
        <v>27</v>
      </c>
      <c r="B642" s="1" t="s">
        <v>196</v>
      </c>
      <c r="C642" s="1" t="str">
        <f>VLOOKUP(B:B,[6]配额0227!$A:$B,2,0)</f>
        <v>室内电脑板-CEM-1</v>
      </c>
      <c r="D642" s="1" t="str">
        <f>VLOOKUP(B:B,'[7]厂家配额 (新)'!$A$1:$C$65536,3,0)</f>
        <v>领智/和而泰//</v>
      </c>
      <c r="E642" s="1">
        <v>0</v>
      </c>
      <c r="F642" s="1">
        <v>2768</v>
      </c>
      <c r="G642" s="1">
        <v>0</v>
      </c>
      <c r="H642" s="1">
        <v>0</v>
      </c>
      <c r="I642" s="1">
        <v>40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</row>
    <row r="643" spans="1:17" x14ac:dyDescent="0.3">
      <c r="A643" s="1" t="s">
        <v>27</v>
      </c>
      <c r="B643" s="1" t="s">
        <v>382</v>
      </c>
      <c r="C643" s="1" t="str">
        <f>VLOOKUP(B:B,[6]配额0227!$A:$B,2,0)</f>
        <v>室内电脑板-CEM-1</v>
      </c>
      <c r="D643" s="1" t="str">
        <f>VLOOKUP(B:B,'[7]厂家配额 (新)'!$A$1:$C$65536,3,0)</f>
        <v>麦格米特/领智//</v>
      </c>
      <c r="E643" s="1">
        <v>0</v>
      </c>
      <c r="F643" s="1">
        <v>0</v>
      </c>
      <c r="G643" s="1">
        <v>0</v>
      </c>
      <c r="H643" s="1">
        <v>880</v>
      </c>
      <c r="I643" s="1">
        <v>1162</v>
      </c>
      <c r="J643" s="1">
        <v>3410</v>
      </c>
      <c r="K643" s="1">
        <v>1860</v>
      </c>
      <c r="L643" s="1">
        <v>1550</v>
      </c>
      <c r="M643" s="1">
        <v>0</v>
      </c>
      <c r="N643" s="1">
        <v>0</v>
      </c>
      <c r="O643" s="1">
        <v>0</v>
      </c>
      <c r="P643" s="1">
        <v>0</v>
      </c>
      <c r="Q643" s="1">
        <v>1461</v>
      </c>
    </row>
    <row r="644" spans="1:17" x14ac:dyDescent="0.3">
      <c r="A644" s="1" t="s">
        <v>27</v>
      </c>
      <c r="B644" s="1" t="s">
        <v>560</v>
      </c>
      <c r="C644" s="1" t="str">
        <f>VLOOKUP(B:B,[6]配额0227!$A:$B,2,0)</f>
        <v>室内电脑板-FR-4</v>
      </c>
      <c r="D644" s="1" t="s">
        <v>561</v>
      </c>
      <c r="E644" s="1">
        <v>0</v>
      </c>
      <c r="F644" s="1">
        <v>0</v>
      </c>
      <c r="G644" s="1">
        <v>0</v>
      </c>
      <c r="H644" s="1">
        <v>0</v>
      </c>
      <c r="I644" s="1">
        <v>20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</row>
    <row r="645" spans="1:17" x14ac:dyDescent="0.3">
      <c r="A645" s="1" t="s">
        <v>27</v>
      </c>
      <c r="B645" s="1" t="s">
        <v>562</v>
      </c>
      <c r="C645" s="1" t="str">
        <f>VLOOKUP(B:B,[6]配额0227!$A:$B,2,0)</f>
        <v>变频外电脑板-FR-4</v>
      </c>
      <c r="D645" s="1" t="s">
        <v>336</v>
      </c>
      <c r="E645" s="1">
        <v>0</v>
      </c>
      <c r="F645" s="1">
        <v>0</v>
      </c>
      <c r="G645" s="1">
        <v>0</v>
      </c>
      <c r="H645" s="1">
        <v>0</v>
      </c>
      <c r="I645" s="1">
        <v>20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</row>
    <row r="646" spans="1:17" x14ac:dyDescent="0.3">
      <c r="A646" s="1" t="s">
        <v>27</v>
      </c>
      <c r="B646" s="1" t="s">
        <v>383</v>
      </c>
      <c r="C646" s="1" t="str">
        <f>VLOOKUP(B:B,[6]配额0227!$A:$B,2,0)</f>
        <v>端子排-/</v>
      </c>
      <c r="D646" s="1" t="str">
        <f>VLOOKUP(B:B,'[7]厂家配额 (新)'!$A$1:$C$65536,3,0)</f>
        <v>凯都/华冠//</v>
      </c>
      <c r="E646" s="1">
        <v>0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  <c r="L646" s="1">
        <v>284</v>
      </c>
      <c r="M646" s="1">
        <v>0</v>
      </c>
      <c r="N646" s="1">
        <v>50</v>
      </c>
      <c r="O646" s="1">
        <v>0</v>
      </c>
      <c r="P646" s="1">
        <v>0</v>
      </c>
      <c r="Q646" s="1">
        <v>0</v>
      </c>
    </row>
    <row r="647" spans="1:17" x14ac:dyDescent="0.3">
      <c r="A647" s="1" t="s">
        <v>27</v>
      </c>
      <c r="B647" s="1" t="s">
        <v>563</v>
      </c>
      <c r="C647" s="1" t="str">
        <f>VLOOKUP(B:B,[6]配额0227!$A:$B,2,0)</f>
        <v>端子排-N/A</v>
      </c>
      <c r="D647" s="1" t="str">
        <f>VLOOKUP(B:B,'[7]厂家配额 (新)'!$A$1:$C$65536,3,0)</f>
        <v>华冠</v>
      </c>
      <c r="E647" s="1">
        <v>0</v>
      </c>
      <c r="F647" s="1">
        <v>399</v>
      </c>
      <c r="G647" s="1">
        <v>0</v>
      </c>
      <c r="H647" s="1">
        <v>0</v>
      </c>
      <c r="I647" s="1">
        <v>0</v>
      </c>
      <c r="J647" s="1">
        <v>630</v>
      </c>
      <c r="K647" s="1">
        <v>265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90</v>
      </c>
    </row>
    <row r="648" spans="1:17" x14ac:dyDescent="0.3">
      <c r="A648" s="1" t="s">
        <v>27</v>
      </c>
      <c r="B648" s="1" t="s">
        <v>388</v>
      </c>
      <c r="C648" s="1" t="str">
        <f>VLOOKUP(B:B,[6]配额0227!$A:$B,2,0)</f>
        <v>端子排-N/A</v>
      </c>
      <c r="D648" s="1" t="str">
        <f>VLOOKUP(B:B,'[7]厂家配额 (新)'!$A$1:$C$65536,3,0)</f>
        <v>凯都/华冠//</v>
      </c>
      <c r="E648" s="1">
        <v>0</v>
      </c>
      <c r="F648" s="1">
        <v>108</v>
      </c>
      <c r="G648" s="1">
        <v>1501</v>
      </c>
      <c r="H648" s="1">
        <v>0</v>
      </c>
      <c r="I648" s="1">
        <v>0</v>
      </c>
      <c r="J648" s="1">
        <v>0</v>
      </c>
      <c r="K648" s="1">
        <v>0</v>
      </c>
      <c r="L648" s="1">
        <v>500</v>
      </c>
      <c r="M648" s="1">
        <v>250</v>
      </c>
      <c r="N648" s="1">
        <v>0</v>
      </c>
      <c r="O648" s="1">
        <v>0</v>
      </c>
      <c r="P648" s="1">
        <v>0</v>
      </c>
      <c r="Q648" s="1">
        <v>540</v>
      </c>
    </row>
    <row r="649" spans="1:17" x14ac:dyDescent="0.3">
      <c r="A649" s="1" t="s">
        <v>27</v>
      </c>
      <c r="B649" s="1" t="s">
        <v>564</v>
      </c>
      <c r="C649" s="1" t="str">
        <f>VLOOKUP(B:B,[6]配额0227!$A:$B,2,0)</f>
        <v>端子排-N/A</v>
      </c>
      <c r="D649" s="1" t="str">
        <f>VLOOKUP(B:B,'[7]厂家配额 (新)'!$A$1:$C$65536,3,0)</f>
        <v>凯都</v>
      </c>
      <c r="E649" s="1">
        <v>0</v>
      </c>
      <c r="F649" s="1">
        <v>100</v>
      </c>
      <c r="G649" s="1">
        <v>106</v>
      </c>
      <c r="H649" s="1">
        <v>0</v>
      </c>
      <c r="I649" s="1">
        <v>0</v>
      </c>
      <c r="J649" s="1">
        <v>0</v>
      </c>
      <c r="K649" s="1">
        <v>1</v>
      </c>
      <c r="L649" s="1">
        <v>1</v>
      </c>
      <c r="M649" s="1">
        <v>0</v>
      </c>
      <c r="N649" s="1">
        <v>149</v>
      </c>
      <c r="O649" s="1">
        <v>119</v>
      </c>
      <c r="P649" s="1">
        <v>0</v>
      </c>
      <c r="Q649" s="1">
        <v>450</v>
      </c>
    </row>
    <row r="650" spans="1:17" x14ac:dyDescent="0.3">
      <c r="A650" s="1" t="s">
        <v>27</v>
      </c>
      <c r="B650" s="1" t="s">
        <v>565</v>
      </c>
      <c r="C650" s="1" t="str">
        <f>VLOOKUP(B:B,[6]配额0227!$A:$B,2,0)</f>
        <v>ROHS-电源接线排(JXW-3-R/600V/30A/5.5MM)</v>
      </c>
      <c r="D650" s="1" t="str">
        <f>VLOOKUP(B:B,'[7]厂家配额 (新)'!$A$1:$C$65536,3,0)</f>
        <v>凯都/华冠//</v>
      </c>
      <c r="E650" s="1">
        <v>0</v>
      </c>
      <c r="F650" s="1">
        <v>0</v>
      </c>
      <c r="G650" s="1">
        <v>826</v>
      </c>
      <c r="H650" s="1">
        <v>0</v>
      </c>
      <c r="I650" s="1">
        <v>0</v>
      </c>
      <c r="J650" s="1">
        <v>0</v>
      </c>
      <c r="K650" s="1">
        <v>1</v>
      </c>
      <c r="L650" s="1">
        <v>0</v>
      </c>
      <c r="M650" s="1">
        <v>0</v>
      </c>
      <c r="N650" s="1">
        <v>149</v>
      </c>
      <c r="O650" s="1">
        <v>0</v>
      </c>
      <c r="P650" s="1">
        <v>0</v>
      </c>
      <c r="Q650" s="1">
        <v>0</v>
      </c>
    </row>
    <row r="651" spans="1:17" x14ac:dyDescent="0.3">
      <c r="A651" s="1" t="s">
        <v>27</v>
      </c>
      <c r="B651" s="1" t="s">
        <v>566</v>
      </c>
      <c r="C651" s="1" t="str">
        <f>VLOOKUP(B:B,[6]配额0227!$A:$B,2,0)</f>
        <v>ROHS-端子排-N/A</v>
      </c>
      <c r="D651" s="1" t="str">
        <f>VLOOKUP(B:B,'[7]厂家配额 (新)'!$A$1:$C$65536,3,0)</f>
        <v>凯都</v>
      </c>
      <c r="E651" s="1">
        <v>0</v>
      </c>
      <c r="F651" s="1">
        <v>0</v>
      </c>
      <c r="G651" s="1">
        <v>0</v>
      </c>
      <c r="H651" s="1">
        <v>0</v>
      </c>
      <c r="I651" s="1">
        <v>4</v>
      </c>
      <c r="J651" s="1">
        <v>0</v>
      </c>
      <c r="K651" s="1">
        <v>0</v>
      </c>
      <c r="L651" s="1">
        <v>0</v>
      </c>
      <c r="M651" s="1">
        <v>0</v>
      </c>
      <c r="N651" s="1">
        <v>0</v>
      </c>
      <c r="O651" s="1">
        <v>0</v>
      </c>
      <c r="P651" s="1">
        <v>0</v>
      </c>
      <c r="Q651" s="1">
        <v>0</v>
      </c>
    </row>
    <row r="652" spans="1:17" x14ac:dyDescent="0.3">
      <c r="A652" s="1" t="s">
        <v>27</v>
      </c>
      <c r="B652" s="1" t="s">
        <v>385</v>
      </c>
      <c r="C652" s="1" t="str">
        <f>VLOOKUP(B:B,[6]配额0227!$A:$B,2,0)</f>
        <v>磁敏开关-N/A</v>
      </c>
      <c r="D652" s="1" t="str">
        <f>VLOOKUP(B:B,'[7]厂家配额 (新)'!$A$1:$C$65536,3,0)</f>
        <v>部品</v>
      </c>
      <c r="E652" s="1">
        <v>1565</v>
      </c>
      <c r="F652" s="1">
        <v>2614</v>
      </c>
      <c r="G652" s="1">
        <v>3198</v>
      </c>
      <c r="H652" s="1">
        <v>4214</v>
      </c>
      <c r="I652" s="1">
        <v>1830</v>
      </c>
      <c r="J652" s="1">
        <v>2706</v>
      </c>
      <c r="K652" s="1">
        <v>1950</v>
      </c>
      <c r="L652" s="1">
        <v>2932</v>
      </c>
      <c r="M652" s="1">
        <v>1180</v>
      </c>
      <c r="N652" s="1">
        <v>1935</v>
      </c>
      <c r="O652" s="1">
        <v>1795</v>
      </c>
      <c r="P652" s="1">
        <v>0</v>
      </c>
      <c r="Q652" s="1">
        <v>20957</v>
      </c>
    </row>
  </sheetData>
  <autoFilter ref="A2:Q652" xr:uid="{00000000-0009-0000-0000-000002000000}"/>
  <mergeCells count="1">
    <mergeCell ref="A1:Q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Sheet1 (3)</vt:lpstr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高睿</cp:lastModifiedBy>
  <dcterms:created xsi:type="dcterms:W3CDTF">2015-06-05T18:19:00Z</dcterms:created>
  <dcterms:modified xsi:type="dcterms:W3CDTF">2026-04-30T08:41:41Z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CalculationRule">
    <vt:i4>0</vt:i4>
  </property>
  <property fmtid="{D5CDD505-2E9C-101B-9397-08002B2CF9AE}" pid="4" name="ICV">
    <vt:lpwstr>8BA77209F0A848D78B57C5DB319CF324_13</vt:lpwstr>
  </property>
</Properties>
</file>