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80025590\Desktop\AI表单\"/>
    </mc:Choice>
  </mc:AlternateContent>
  <xr:revisionPtr revIDLastSave="0" documentId="13_ncr:1_{71B68967-71F0-4C8E-8EF7-44E98398E6A6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4.2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" i="1" l="1"/>
  <c r="O5" i="1"/>
  <c r="X5" i="1"/>
  <c r="L6" i="1"/>
  <c r="O6" i="1"/>
  <c r="X6" i="1"/>
  <c r="L7" i="1"/>
  <c r="O7" i="1"/>
  <c r="X7" i="1"/>
  <c r="L8" i="1"/>
  <c r="O8" i="1"/>
  <c r="X8" i="1"/>
  <c r="L9" i="1"/>
  <c r="O9" i="1"/>
  <c r="X9" i="1"/>
  <c r="X4" i="1"/>
  <c r="O4" i="1"/>
  <c r="L4" i="1"/>
  <c r="X3" i="1"/>
  <c r="O3" i="1"/>
  <c r="L3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P7" i="1" l="1"/>
  <c r="R7" i="1" s="1"/>
  <c r="AC7" i="1" s="1" a="1"/>
  <c r="AC7" i="1" s="1"/>
  <c r="P5" i="1"/>
  <c r="R5" i="1" s="1"/>
  <c r="Y7" i="1"/>
  <c r="AB7" i="1" a="1"/>
  <c r="AB7" i="1" s="1"/>
  <c r="P9" i="1"/>
  <c r="R9" i="1" s="1"/>
  <c r="AB9" i="1" s="1" a="1"/>
  <c r="AB9" i="1" s="1"/>
  <c r="P8" i="1"/>
  <c r="R8" i="1" s="1"/>
  <c r="AB8" i="1" s="1" a="1"/>
  <c r="AB8" i="1" s="1"/>
  <c r="P6" i="1"/>
  <c r="R6" i="1" s="1"/>
  <c r="AB6" i="1" s="1" a="1"/>
  <c r="AB6" i="1" s="1"/>
  <c r="Y5" i="1"/>
  <c r="AB5" i="1" a="1"/>
  <c r="AB5" i="1" s="1"/>
  <c r="AC5" i="1" a="1"/>
  <c r="AC5" i="1" s="1"/>
  <c r="Y9" i="1"/>
  <c r="P4" i="1"/>
  <c r="R4" i="1" s="1"/>
  <c r="AC4" i="1" s="1" a="1"/>
  <c r="AC4" i="1" s="1"/>
  <c r="P3" i="1"/>
  <c r="R3" i="1" s="1"/>
  <c r="Y3" i="1" s="1"/>
  <c r="AC9" i="1" l="1" a="1"/>
  <c r="AC9" i="1" s="1"/>
  <c r="Y8" i="1"/>
  <c r="AC8" i="1" a="1"/>
  <c r="AC8" i="1" s="1"/>
  <c r="Y6" i="1"/>
  <c r="AC6" i="1" a="1"/>
  <c r="AC6" i="1" s="1"/>
  <c r="Y4" i="1"/>
  <c r="AB4" i="1" a="1"/>
  <c r="AB4" i="1" s="1"/>
  <c r="AB3" i="1" a="1"/>
  <c r="AB3" i="1" s="1"/>
  <c r="AC3" i="1" a="1"/>
  <c r="AC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<sst xmlns="http://schemas.openxmlformats.org/spreadsheetml/2006/main" count="73" uniqueCount="67">
  <si>
    <t>1088号</t>
    <phoneticPr fontId="1" type="noConversion"/>
  </si>
  <si>
    <t>客户</t>
    <phoneticPr fontId="1" type="noConversion"/>
  </si>
  <si>
    <t>客户号</t>
    <phoneticPr fontId="1" type="noConversion"/>
  </si>
  <si>
    <t>1088号2</t>
  </si>
  <si>
    <t>描述</t>
    <phoneticPr fontId="1" type="noConversion"/>
  </si>
  <si>
    <t>新增日期2</t>
  </si>
  <si>
    <t>新品状态</t>
    <phoneticPr fontId="1" type="noConversion"/>
  </si>
  <si>
    <t>新品安排</t>
    <phoneticPr fontId="1" type="noConversion"/>
  </si>
  <si>
    <t>备注</t>
    <phoneticPr fontId="1" type="noConversion"/>
  </si>
  <si>
    <t>4月27日代理库存</t>
    <phoneticPr fontId="1" type="noConversion"/>
  </si>
  <si>
    <t>4月27日工厂库存</t>
    <phoneticPr fontId="1" type="noConversion"/>
  </si>
  <si>
    <t>库存合计</t>
    <phoneticPr fontId="1" type="noConversion"/>
  </si>
  <si>
    <t>4月计划22日版</t>
    <phoneticPr fontId="1" type="noConversion"/>
  </si>
  <si>
    <t>4月已交</t>
    <phoneticPr fontId="1" type="noConversion"/>
  </si>
  <si>
    <t>4月未交</t>
    <phoneticPr fontId="1" type="noConversion"/>
  </si>
  <si>
    <t>4月结余</t>
    <phoneticPr fontId="1" type="noConversion"/>
  </si>
  <si>
    <t>4.27在制</t>
    <phoneticPr fontId="1" type="noConversion"/>
  </si>
  <si>
    <t>4月26日总结余</t>
    <phoneticPr fontId="1" type="noConversion"/>
  </si>
  <si>
    <t>5月计划4月20日版</t>
    <phoneticPr fontId="1" type="noConversion"/>
  </si>
  <si>
    <t>5月计划4月25日</t>
    <phoneticPr fontId="1" type="noConversion"/>
  </si>
  <si>
    <t>5月计划4月27日</t>
    <phoneticPr fontId="1" type="noConversion"/>
  </si>
  <si>
    <t>迷你图</t>
    <phoneticPr fontId="1" type="noConversion"/>
  </si>
  <si>
    <t>5月已交</t>
    <phoneticPr fontId="1" type="noConversion"/>
  </si>
  <si>
    <t>5月剩余</t>
    <phoneticPr fontId="1" type="noConversion"/>
  </si>
  <si>
    <t>5月差异</t>
    <phoneticPr fontId="1" type="noConversion"/>
  </si>
  <si>
    <t>6月预测</t>
    <phoneticPr fontId="1" type="noConversion"/>
  </si>
  <si>
    <t>7月预测</t>
    <phoneticPr fontId="1" type="noConversion"/>
  </si>
  <si>
    <t>欠料日提示（包括明天发货的）</t>
    <phoneticPr fontId="1" type="noConversion"/>
  </si>
  <si>
    <t>首天欠料数量</t>
    <phoneticPr fontId="1" type="noConversion"/>
  </si>
  <si>
    <t>5月1日</t>
  </si>
  <si>
    <t>5月2日</t>
  </si>
  <si>
    <t>5月3日</t>
  </si>
  <si>
    <t>5月4日</t>
  </si>
  <si>
    <t>5月5日</t>
  </si>
  <si>
    <t>5月6日</t>
  </si>
  <si>
    <t>5月7日</t>
  </si>
  <si>
    <t>5月8日</t>
  </si>
  <si>
    <t>5月9日</t>
  </si>
  <si>
    <t>5月10日</t>
  </si>
  <si>
    <t>5月11日</t>
  </si>
  <si>
    <t>5月12日</t>
  </si>
  <si>
    <t>5月13日</t>
  </si>
  <si>
    <t>5月14日</t>
  </si>
  <si>
    <t>5月15日</t>
  </si>
  <si>
    <t>5月16日</t>
  </si>
  <si>
    <t>5月17日</t>
  </si>
  <si>
    <t>5月18日</t>
  </si>
  <si>
    <t>5月19日</t>
  </si>
  <si>
    <t>5月20日</t>
  </si>
  <si>
    <t>5月21日</t>
  </si>
  <si>
    <t>5月22日</t>
  </si>
  <si>
    <t>5月23日</t>
  </si>
  <si>
    <t>5月24日</t>
  </si>
  <si>
    <t>5月25日</t>
  </si>
  <si>
    <t>5月26日</t>
  </si>
  <si>
    <t>5月27日</t>
  </si>
  <si>
    <t>海信平度</t>
    <phoneticPr fontId="1" type="noConversion"/>
  </si>
  <si>
    <t xml:space="preserve">	2189-B2401N-PC G0020 2417150 </t>
    <phoneticPr fontId="1" type="noConversion"/>
  </si>
  <si>
    <t xml:space="preserve">	2189-B2401S-PC G0020 2416141  </t>
    <phoneticPr fontId="1" type="noConversion"/>
  </si>
  <si>
    <t>2189-B2401A-PC 2389091</t>
    <phoneticPr fontId="1" type="noConversion"/>
  </si>
  <si>
    <t>2189-B2401B-PC 2397243</t>
  </si>
  <si>
    <t>2189-B2401C-PC 2397168</t>
  </si>
  <si>
    <t>2189-B2401D-PC 2397172</t>
    <phoneticPr fontId="1" type="noConversion"/>
  </si>
  <si>
    <t>客户未释放软件，可备原材料</t>
  </si>
  <si>
    <t>SO</t>
    <phoneticPr fontId="1" type="noConversion"/>
  </si>
  <si>
    <t>2189-B2505AD G0020 20126173</t>
    <phoneticPr fontId="1" type="noConversion"/>
  </si>
  <si>
    <t>4/1新增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</si>
</sst>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;@"/>
    <numFmt numFmtId="177" formatCode="0_ "/>
  </numFmts>
  <fonts count="2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7030A0"/>
      <name val="等线"/>
      <family val="2"/>
      <scheme val="minor"/>
    </font>
    <font>
      <sz val="11"/>
      <color rgb="FFFF0000"/>
      <name val="等线"/>
      <family val="2"/>
      <scheme val="minor"/>
    </font>
    <font>
      <b/>
      <sz val="11"/>
      <color rgb="FFFF0000"/>
      <name val="等线"/>
      <family val="2"/>
      <scheme val="minor"/>
    </font>
    <font>
      <b/>
      <sz val="11"/>
      <color rgb="FF0070C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rgb="FF7030A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0070C0"/>
      <name val="等线"/>
      <family val="3"/>
      <charset val="134"/>
      <scheme val="minor"/>
    </font>
    <font>
      <sz val="12"/>
      <color theme="1"/>
      <name val="黑体"/>
      <family val="3"/>
      <charset val="134"/>
    </font>
    <font>
      <sz val="12"/>
      <color indexed="8"/>
      <name val="黑体"/>
      <family val="3"/>
      <charset val="134"/>
    </font>
    <font>
      <sz val="10"/>
      <color theme="1"/>
      <name val="黑体"/>
      <family val="3"/>
      <charset val="134"/>
    </font>
    <font>
      <b/>
      <sz val="12"/>
      <color rgb="FF7030A0"/>
      <name val="黑体"/>
      <family val="3"/>
      <charset val="134"/>
    </font>
    <font>
      <sz val="12"/>
      <color rgb="FFFF0000"/>
      <name val="黑体"/>
      <family val="3"/>
      <charset val="134"/>
    </font>
    <font>
      <b/>
      <sz val="12"/>
      <color rgb="FFFF0000"/>
      <name val="黑体"/>
      <family val="3"/>
      <charset val="134"/>
    </font>
    <font>
      <b/>
      <sz val="12"/>
      <color rgb="FF0070C0"/>
      <name val="黑体"/>
      <family val="3"/>
      <charset val="134"/>
    </font>
    <font>
      <b/>
      <sz val="12"/>
      <color theme="1"/>
      <name val="黑体"/>
      <family val="3"/>
      <charset val="134"/>
    </font>
    <font>
      <b/>
      <sz val="12"/>
      <color indexed="8"/>
      <name val="黑体"/>
      <family val="3"/>
      <charset val="134"/>
    </font>
    <font>
      <b/>
      <sz val="10"/>
      <color theme="1"/>
      <name val="黑体"/>
      <family val="3"/>
      <charset val="134"/>
    </font>
    <font>
      <b/>
      <sz val="11"/>
      <color theme="1"/>
      <name val="等线"/>
      <family val="2"/>
      <scheme val="minor"/>
    </font>
    <font>
      <sz val="10"/>
      <color rgb="FFFF0000"/>
      <name val="黑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4" borderId="0" xfId="0" applyFill="1"/>
    <xf numFmtId="0" fontId="2" fillId="3" borderId="0" xfId="0" applyFont="1" applyFill="1"/>
    <xf numFmtId="0" fontId="4" fillId="4" borderId="0" xfId="0" applyFont="1" applyFill="1"/>
    <xf numFmtId="0" fontId="3" fillId="0" borderId="0" xfId="0" applyFont="1"/>
    <xf numFmtId="0" fontId="5" fillId="0" borderId="0" xfId="0" applyFont="1"/>
    <xf numFmtId="0" fontId="5" fillId="4" borderId="0" xfId="0" applyFont="1" applyFill="1"/>
    <xf numFmtId="0" fontId="6" fillId="0" borderId="0" xfId="0" applyFont="1" applyAlignment="1">
      <alignment wrapText="1"/>
    </xf>
    <xf numFmtId="0" fontId="6" fillId="0" borderId="0" xfId="0" applyFont="1" applyAlignment="1">
      <alignment horizontal="left" wrapText="1"/>
    </xf>
    <xf numFmtId="0" fontId="7" fillId="2" borderId="0" xfId="0" applyFont="1" applyFill="1" applyAlignment="1">
      <alignment wrapText="1"/>
    </xf>
    <xf numFmtId="0" fontId="8" fillId="3" borderId="0" xfId="0" applyFont="1" applyFill="1" applyAlignment="1">
      <alignment wrapText="1"/>
    </xf>
    <xf numFmtId="0" fontId="7" fillId="4" borderId="0" xfId="0" applyFont="1" applyFill="1" applyAlignment="1">
      <alignment wrapText="1"/>
    </xf>
    <xf numFmtId="0" fontId="7" fillId="3" borderId="0" xfId="0" applyFont="1" applyFill="1" applyAlignment="1">
      <alignment wrapText="1"/>
    </xf>
    <xf numFmtId="0" fontId="8" fillId="4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176" fontId="7" fillId="4" borderId="1" xfId="0" applyNumberFormat="1" applyFont="1" applyFill="1" applyBorder="1" applyAlignment="1">
      <alignment horizontal="left" vertical="center" wrapText="1"/>
    </xf>
    <xf numFmtId="58" fontId="6" fillId="0" borderId="1" xfId="0" applyNumberFormat="1" applyFont="1" applyBorder="1" applyAlignment="1">
      <alignment wrapText="1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3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5" fillId="4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0" fillId="0" borderId="0" xfId="0" applyFont="1"/>
    <xf numFmtId="177" fontId="12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</cellXfs>
  <cellStyles count="1">
    <cellStyle name="常规" xfId="0" builtinId="0"/>
  </cellStyles>
  <dxfs count="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黑体"/>
        <family val="3"/>
        <charset val="134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黑体"/>
        <family val="3"/>
        <charset val="134"/>
        <scheme val="none"/>
      </font>
      <numFmt numFmtId="0" formatCode="General"/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黑体"/>
        <family val="3"/>
        <charset val="134"/>
        <scheme val="none"/>
      </font>
      <numFmt numFmtId="0" formatCode="General"/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黑体"/>
        <family val="3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黑体"/>
        <family val="3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黑体"/>
        <family val="3"/>
        <charset val="13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黑体"/>
        <family val="3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11CDA7-5088-491E-9A3F-2FC730B32A3E}" name="表3_23" displayName="表3_23" ref="A2:BD9" totalsRowShown="0" headerRowDxfId="60" dataDxfId="59">
  <autoFilter ref="A2:BD9" xr:uid="{EE11CDA7-5088-491E-9A3F-2FC730B32A3E}"/>
  <tableColumns count="56">
    <tableColumn id="1" xr3:uid="{DB2B7E5E-F79D-4819-ADF0-45677E401747}" name="1088号" dataDxfId="58"/>
    <tableColumn id="11" xr3:uid="{B35E9B21-0F1A-4B9F-B475-F5B6A4E8847F}" name="客户" dataDxfId="57"/>
    <tableColumn id="2" xr3:uid="{46A2248A-AD66-4E15-BBCD-9CC188DA19D9}" name="客户号" dataDxfId="56"/>
    <tableColumn id="3" xr3:uid="{4AF5B713-6D81-443D-A519-2F570F0839C3}" name="1088号2" dataDxfId="55"/>
    <tableColumn id="4" xr3:uid="{4545536F-CFBF-4D42-B382-71BF2FDA7782}" name="描述" dataDxfId="54"/>
    <tableColumn id="8" xr3:uid="{58411651-1EFB-41FE-A227-BA6762586E1D}" name="新增日期2" dataDxfId="53"/>
    <tableColumn id="6" xr3:uid="{8F20BCB3-7A55-4E60-B96D-1C3D2846B333}" name="新品状态" dataDxfId="52"/>
    <tableColumn id="7" xr3:uid="{4B24BDAC-0847-445A-B335-DEA981FC3783}" name="新品安排" dataDxfId="51"/>
    <tableColumn id="10" xr3:uid="{2DB8ACA4-6E27-435E-970C-39D0B1F0E2DE}" name="备注" dataDxfId="50"/>
    <tableColumn id="5" xr3:uid="{1F9FC282-E93B-4826-BD3C-0A96D83D16E7}" name="4月27日代理库存" dataDxfId="49"/>
    <tableColumn id="12" xr3:uid="{6342446D-87CD-43CF-B1B2-2C25881DF8A2}" name="4月27日工厂库存" dataDxfId="48"/>
    <tableColumn id="13" xr3:uid="{C84A3841-FDF9-4272-B0F6-CE74B59B6CD8}" name="库存合计" dataDxfId="47">
      <calculatedColumnFormula>表3_23[[#This Row],[4月27日工厂库存]]+表3_23[[#This Row],[4月27日代理库存]]</calculatedColumnFormula>
    </tableColumn>
    <tableColumn id="14" xr3:uid="{2FA03401-16F4-4DC6-920F-2037E4B3C1CC}" name="4月计划22日版" dataDxfId="46"/>
    <tableColumn id="17" xr3:uid="{83A598B2-A0B3-4707-BC47-C1258DC9E27F}" name="4月已交" dataDxfId="45"/>
    <tableColumn id="19" xr3:uid="{AB2A31F8-E0C6-4488-9FF2-F9E7E9F967E8}" name="4月未交" dataDxfId="44">
      <calculatedColumnFormula>表3_23[[#This Row],[4月计划22日版]]-表3_23[[#This Row],[4月已交]]</calculatedColumnFormula>
    </tableColumn>
    <tableColumn id="15" xr3:uid="{E5707445-1F10-4EFC-A5A8-8022084B3B32}" name="4月结余" dataDxfId="43">
      <calculatedColumnFormula>表3_23[[#This Row],[库存合计]]-表3_23[[#This Row],[4月未交]]</calculatedColumnFormula>
    </tableColumn>
    <tableColumn id="16" xr3:uid="{3B84F15D-48E8-4D28-81BD-DD9BAB3EA42C}" name="4.27在制" dataDxfId="42"/>
    <tableColumn id="20" xr3:uid="{37587C42-A744-4F5F-82A9-C337D4DE0A28}" name="4月26日总结余" dataDxfId="41">
      <calculatedColumnFormula>表3_23[[#This Row],[4.27在制]]+表3_23[[#This Row],[4月结余]]</calculatedColumnFormula>
    </tableColumn>
    <tableColumn id="21" xr3:uid="{48438E36-5341-4A78-9055-6CD1A4C0117B}" name="5月计划4月20日版" dataDxfId="40"/>
    <tableColumn id="9" xr3:uid="{7A8987A3-2615-4F6A-A7EA-BB348EB19D68}" name="5月计划4月25日" dataDxfId="39"/>
    <tableColumn id="18" xr3:uid="{14DF521C-D128-40E6-8352-183AD509752A}" name="5月计划4月27日" dataDxfId="38"/>
    <tableColumn id="27" xr3:uid="{48AB5109-A5EE-4CDD-BC33-B09934FAA0D8}" name="迷你图" dataDxfId="37"/>
    <tableColumn id="23" xr3:uid="{EED14AA1-AF4E-4C8B-8D0E-6B98E645544C}" name="5月已交" dataDxfId="36"/>
    <tableColumn id="22" xr3:uid="{DE78EDE3-4C01-44AF-9648-3B1935013662}" name="5月剩余" dataDxfId="35">
      <calculatedColumnFormula>表3_23[[#This Row],[5月计划4月27日]]-表3_23[[#This Row],[5月已交]]</calculatedColumnFormula>
    </tableColumn>
    <tableColumn id="24" xr3:uid="{0A66D45C-8C91-499C-9D12-D0256C0E7ECF}" name="5月差异" dataDxfId="34">
      <calculatedColumnFormula>表3_23[[#This Row],[4月26日总结余]]-表3_23[[#This Row],[5月剩余]]</calculatedColumnFormula>
    </tableColumn>
    <tableColumn id="25" xr3:uid="{580C30B8-5687-4A26-8BDE-486712877F3A}" name="6月预测" dataDxfId="33"/>
    <tableColumn id="26" xr3:uid="{149A0B52-3584-44BB-8A7F-B2865F91724A}" name="7月预测" dataDxfId="32"/>
    <tableColumn id="52" xr3:uid="{10E403DF-F3B4-46C1-A389-96DA92F378F4}" name="欠料日提示（包括明天发货的）" dataDxfId="31">
      <calculatedColumnFormula array="1">IFERROR(INDEX(AD$2:BD$2,MATCH(TRUE,R3-SUBTOTAL(9,OFFSET(AD3,0,0,1,COLUMN(AD2:BD2)-COLUMN(AD3)+1))&lt;0,0)),"暂不缺料")</calculatedColumnFormula>
    </tableColumn>
    <tableColumn id="53" xr3:uid="{9E9F5B32-1BB2-40DE-B6F6-46E627D36F90}" name="首天欠料数量" dataDxfId="30">
      <calculatedColumnFormula array="1">IFERROR(INDEX(AD3:BD3,MATCH(TRUE,R3-SUBTOTAL(9,OFFSET(AD3,0,0,1,COLUMN(AD3:BD3)-COLUMN(AD3)+1))&lt;0,0)) - (R3 - SUBTOTAL(9,OFFSET(AD3,0,0,1,MATCH(TRUE,R3-SUBTOTAL(9,OFFSET(AD3,0,0,1,COLUMN(AD3:BD3)-COLUMN(AD3)+1))&lt;0,0)-1))),0)</calculatedColumnFormula>
    </tableColumn>
    <tableColumn id="28" xr3:uid="{97CF6768-38CC-415E-9F91-00BFD9AE2A8F}" name="5月1日" dataDxfId="29"/>
    <tableColumn id="29" xr3:uid="{82F1324F-2475-428D-A568-606B08D0D5CE}" name="5月2日" dataDxfId="28"/>
    <tableColumn id="30" xr3:uid="{E9581B20-8529-4848-BDD0-896675605814}" name="5月3日" dataDxfId="27"/>
    <tableColumn id="31" xr3:uid="{CA7DE5AF-A469-4DE5-9382-7DF93E757E09}" name="5月4日" dataDxfId="26"/>
    <tableColumn id="32" xr3:uid="{A3EC9090-66DE-41A3-A613-E84ACD7762A7}" name="5月5日" dataDxfId="25"/>
    <tableColumn id="33" xr3:uid="{68D01DC6-065D-4ADF-B5BE-0B1C02458226}" name="5月6日" dataDxfId="24"/>
    <tableColumn id="34" xr3:uid="{CD6998B2-808B-4410-B4CD-29A76703C9D0}" name="5月7日" dataDxfId="23"/>
    <tableColumn id="35" xr3:uid="{6B8F86D8-54C2-4660-82F6-A98FE4F0F525}" name="5月8日" dataDxfId="22"/>
    <tableColumn id="36" xr3:uid="{46FA1D95-8049-4C11-8494-005A49E5E852}" name="5月9日" dataDxfId="21"/>
    <tableColumn id="37" xr3:uid="{6D345754-0929-427C-8890-F2064F1686F7}" name="5月10日" dataDxfId="20"/>
    <tableColumn id="38" xr3:uid="{9C39800A-199F-4F54-95F0-DD0C93AAF20B}" name="5月11日" dataDxfId="19"/>
    <tableColumn id="39" xr3:uid="{485F5587-41AF-4D56-958E-6E3F2720AC4E}" name="5月12日" dataDxfId="18"/>
    <tableColumn id="40" xr3:uid="{8E6D5756-E338-4266-8DBB-42DC497A5870}" name="5月13日" dataDxfId="17"/>
    <tableColumn id="41" xr3:uid="{C22C967D-F021-4724-A260-00CC542CB405}" name="5月14日" dataDxfId="16"/>
    <tableColumn id="42" xr3:uid="{C7855EFC-2B4D-40D7-93A6-1EE47AAE142E}" name="5月15日" dataDxfId="15"/>
    <tableColumn id="43" xr3:uid="{D0A9CEDF-E814-415E-839D-5B63EFBD147B}" name="5月16日" dataDxfId="14"/>
    <tableColumn id="44" xr3:uid="{DEABB6DC-97A0-48FF-8DBB-3FAF7ED9EBC0}" name="5月17日" dataDxfId="13"/>
    <tableColumn id="45" xr3:uid="{3E4953E8-50E1-41BE-8C45-F9871E8D8A76}" name="5月18日" dataDxfId="12"/>
    <tableColumn id="46" xr3:uid="{CFF07F3D-C4B0-4D4E-AED7-2C71C5EA3BE8}" name="5月19日" dataDxfId="11"/>
    <tableColumn id="47" xr3:uid="{33D54E11-148B-44FB-9F59-0AED2D2A9AAF}" name="5月20日" dataDxfId="10"/>
    <tableColumn id="48" xr3:uid="{B5157D11-92DE-4D78-80E1-E4CEB0F40155}" name="5月21日" dataDxfId="9"/>
    <tableColumn id="49" xr3:uid="{E717B940-D603-4CA2-8BB0-227F3A63547B}" name="5月22日" dataDxfId="8"/>
    <tableColumn id="50" xr3:uid="{BE9D99CB-8C76-43C0-B5A5-30D1D5C3D7F6}" name="5月23日" dataDxfId="7"/>
    <tableColumn id="54" xr3:uid="{F489BDCA-7B1E-453E-90A2-6558EC24F29C}" name="5月24日" dataDxfId="6"/>
    <tableColumn id="55" xr3:uid="{B0423337-F34E-482B-9959-D9DE4710F23C}" name="5月25日" dataDxfId="5"/>
    <tableColumn id="56" xr3:uid="{2F0C39F5-02E9-47DC-9DE6-E5F295C0909F}" name="5月26日" dataDxfId="4"/>
    <tableColumn id="57" xr3:uid="{AB2DFF15-653B-486E-99A9-C5993250E362}" name="5月27日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9"/>
  <sheetViews>
    <sheetView tabSelected="1" topLeftCell="B1" workbookViewId="0">
      <selection activeCell="F16" sqref="F16"/>
    </sheetView>
  </sheetViews>
  <sheetFormatPr defaultRowHeight="14" x14ac:dyDescent="0.3"/>
  <cols>
    <col min="1" max="1" width="13.08203125" hidden="1" customWidth="1"/>
    <col min="2" max="2" width="6.4140625" customWidth="1"/>
    <col min="3" max="3" width="8.08203125" style="1" customWidth="1"/>
    <col min="4" max="4" width="12.83203125" customWidth="1"/>
    <col min="5" max="5" width="33.33203125" customWidth="1"/>
    <col min="6" max="6" width="8.08203125" style="2" customWidth="1"/>
    <col min="7" max="7" width="6.9140625" style="2" customWidth="1"/>
    <col min="8" max="8" width="7.6640625" style="2" customWidth="1"/>
    <col min="9" max="9" width="6.08203125" customWidth="1"/>
    <col min="10" max="10" width="9.83203125" style="3" customWidth="1"/>
    <col min="11" max="11" width="8.6640625" style="4"/>
    <col min="12" max="12" width="5.58203125" style="5" customWidth="1"/>
    <col min="13" max="13" width="5.5" customWidth="1"/>
    <col min="14" max="14" width="4.83203125" style="6" customWidth="1"/>
    <col min="15" max="15" width="7.4140625" style="7" customWidth="1"/>
    <col min="16" max="16" width="9.08203125" customWidth="1"/>
    <col min="17" max="17" width="8.6640625" style="4"/>
    <col min="18" max="18" width="8.6640625" style="8"/>
    <col min="19" max="19" width="6.4140625" customWidth="1"/>
    <col min="22" max="22" width="3.9140625" customWidth="1"/>
    <col min="23" max="23" width="3.75" customWidth="1"/>
    <col min="24" max="24" width="5.83203125" style="9" customWidth="1"/>
    <col min="26" max="26" width="7.5" style="10" customWidth="1"/>
    <col min="27" max="27" width="6.75" style="10" customWidth="1"/>
    <col min="28" max="28" width="10" style="11" customWidth="1"/>
    <col min="29" max="29" width="8.6640625" style="11"/>
  </cols>
  <sheetData>
    <row r="1" spans="1:56" ht="13.5" customHeight="1" x14ac:dyDescent="0.3">
      <c r="AD1">
        <f>SUBTOTAL(9,AD3:AD9)</f>
        <v>901</v>
      </c>
      <c r="AE1">
        <f>SUBTOTAL(9,AE3:AE9)</f>
        <v>1413</v>
      </c>
      <c r="AF1">
        <f>SUBTOTAL(9,AF3:AF9)</f>
        <v>1058</v>
      </c>
      <c r="AG1">
        <f>SUBTOTAL(9,AG3:AG9)</f>
        <v>1344</v>
      </c>
      <c r="AH1">
        <f>SUBTOTAL(9,AH3:AH9)</f>
        <v>0</v>
      </c>
      <c r="AI1">
        <f>SUBTOTAL(9,AI3:AI9)</f>
        <v>0</v>
      </c>
      <c r="AJ1">
        <f>SUBTOTAL(9,AJ3:AJ9)</f>
        <v>424</v>
      </c>
      <c r="AK1">
        <f>SUBTOTAL(9,AK3:AK9)</f>
        <v>224</v>
      </c>
      <c r="AL1">
        <f>SUBTOTAL(9,AL3:AL9)</f>
        <v>504</v>
      </c>
      <c r="AM1">
        <f>SUBTOTAL(9,AM3:AM9)</f>
        <v>0</v>
      </c>
      <c r="AN1">
        <f>SUBTOTAL(9,AN3:AN9)</f>
        <v>0</v>
      </c>
      <c r="AO1">
        <f>SUBTOTAL(9,AO3:AO9)</f>
        <v>0</v>
      </c>
      <c r="AP1">
        <f>SUBTOTAL(9,AP3:AP9)</f>
        <v>0</v>
      </c>
      <c r="AQ1">
        <f>SUBTOTAL(9,AQ3:AQ9)</f>
        <v>0</v>
      </c>
      <c r="AR1">
        <f>SUBTOTAL(9,AR3:AR9)</f>
        <v>350</v>
      </c>
      <c r="AS1">
        <f>SUBTOTAL(9,AS3:AS9)</f>
        <v>0</v>
      </c>
      <c r="AT1">
        <f>SUBTOTAL(9,AT3:AT9)</f>
        <v>436</v>
      </c>
      <c r="AU1">
        <f>SUBTOTAL(9,AU3:AU9)</f>
        <v>168</v>
      </c>
      <c r="AV1">
        <f>SUBTOTAL(9,AV3:AV9)</f>
        <v>448</v>
      </c>
      <c r="AW1">
        <f>SUBTOTAL(9,AW3:AW9)</f>
        <v>249</v>
      </c>
      <c r="AX1">
        <f>SUBTOTAL(9,AX3:AX9)</f>
        <v>0</v>
      </c>
      <c r="AY1">
        <f>SUBTOTAL(9,AY3:AY9)</f>
        <v>336</v>
      </c>
      <c r="AZ1">
        <f>SUBTOTAL(9,AZ3:AZ9)</f>
        <v>1967</v>
      </c>
      <c r="BA1">
        <f>SUBTOTAL(9,BA3:BA9)</f>
        <v>0</v>
      </c>
      <c r="BB1">
        <f>SUBTOTAL(9,BB3:BB9)</f>
        <v>0</v>
      </c>
      <c r="BC1">
        <f>SUBTOTAL(9,BC3:BC9)</f>
        <v>0</v>
      </c>
      <c r="BD1">
        <f>SUBTOTAL(9,BD3:BD9)</f>
        <v>0</v>
      </c>
    </row>
    <row r="2" spans="1:56" s="12" customFormat="1" ht="29.5" customHeight="1" x14ac:dyDescent="0.3">
      <c r="A2" s="12" t="s">
        <v>0</v>
      </c>
      <c r="B2" s="12" t="s">
        <v>1</v>
      </c>
      <c r="C2" s="13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4" t="s">
        <v>9</v>
      </c>
      <c r="K2" s="14" t="s">
        <v>10</v>
      </c>
      <c r="L2" s="15" t="s">
        <v>11</v>
      </c>
      <c r="M2" s="12" t="s">
        <v>12</v>
      </c>
      <c r="N2" s="16" t="s">
        <v>13</v>
      </c>
      <c r="O2" s="17" t="s">
        <v>14</v>
      </c>
      <c r="P2" s="12" t="s">
        <v>15</v>
      </c>
      <c r="Q2" s="14" t="s">
        <v>16</v>
      </c>
      <c r="R2" s="18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9" t="s">
        <v>23</v>
      </c>
      <c r="Y2" s="12" t="s">
        <v>24</v>
      </c>
      <c r="Z2" s="20" t="s">
        <v>25</v>
      </c>
      <c r="AA2" s="20" t="s">
        <v>26</v>
      </c>
      <c r="AB2" s="21" t="s">
        <v>27</v>
      </c>
      <c r="AC2" s="21" t="s">
        <v>28</v>
      </c>
      <c r="AD2" s="22" t="s">
        <v>29</v>
      </c>
      <c r="AE2" s="22" t="s">
        <v>30</v>
      </c>
      <c r="AF2" s="22" t="s">
        <v>31</v>
      </c>
      <c r="AG2" s="22" t="s">
        <v>32</v>
      </c>
      <c r="AH2" s="22" t="s">
        <v>33</v>
      </c>
      <c r="AI2" s="22" t="s">
        <v>34</v>
      </c>
      <c r="AJ2" s="22" t="s">
        <v>35</v>
      </c>
      <c r="AK2" s="22" t="s">
        <v>36</v>
      </c>
      <c r="AL2" s="22" t="s">
        <v>37</v>
      </c>
      <c r="AM2" s="22" t="s">
        <v>38</v>
      </c>
      <c r="AN2" s="22" t="s">
        <v>39</v>
      </c>
      <c r="AO2" s="22" t="s">
        <v>40</v>
      </c>
      <c r="AP2" s="22" t="s">
        <v>41</v>
      </c>
      <c r="AQ2" s="22" t="s">
        <v>42</v>
      </c>
      <c r="AR2" s="22" t="s">
        <v>43</v>
      </c>
      <c r="AS2" s="22" t="s">
        <v>44</v>
      </c>
      <c r="AT2" s="22" t="s">
        <v>45</v>
      </c>
      <c r="AU2" s="22" t="s">
        <v>46</v>
      </c>
      <c r="AV2" s="22" t="s">
        <v>47</v>
      </c>
      <c r="AW2" s="22" t="s">
        <v>48</v>
      </c>
      <c r="AX2" s="22" t="s">
        <v>49</v>
      </c>
      <c r="AY2" s="22" t="s">
        <v>50</v>
      </c>
      <c r="AZ2" s="22" t="s">
        <v>51</v>
      </c>
      <c r="BA2" s="22" t="s">
        <v>52</v>
      </c>
      <c r="BB2" s="22" t="s">
        <v>53</v>
      </c>
      <c r="BC2" s="22" t="s">
        <v>54</v>
      </c>
      <c r="BD2" s="22" t="s">
        <v>55</v>
      </c>
    </row>
    <row r="3" spans="1:56" ht="13.5" customHeight="1" x14ac:dyDescent="0.3">
      <c r="A3" s="23">
        <v>10880037199</v>
      </c>
      <c r="B3" s="24" t="s">
        <v>56</v>
      </c>
      <c r="C3" s="25">
        <v>2417150</v>
      </c>
      <c r="D3" s="23">
        <v>10880037199</v>
      </c>
      <c r="E3" s="23" t="s">
        <v>57</v>
      </c>
      <c r="F3" s="26"/>
      <c r="G3" s="26"/>
      <c r="H3" s="27"/>
      <c r="I3" s="23"/>
      <c r="J3" s="28">
        <v>482</v>
      </c>
      <c r="K3" s="29">
        <v>0</v>
      </c>
      <c r="L3" s="30">
        <f>表3_23[[#This Row],[4月27日工厂库存]]+表3_23[[#This Row],[4月27日代理库存]]</f>
        <v>482</v>
      </c>
      <c r="M3" s="23">
        <v>0</v>
      </c>
      <c r="N3" s="31">
        <v>0</v>
      </c>
      <c r="O3" s="32">
        <f>表3_23[[#This Row],[4月计划22日版]]-表3_23[[#This Row],[4月已交]]</f>
        <v>0</v>
      </c>
      <c r="P3" s="23">
        <f>表3_23[[#This Row],[库存合计]]-表3_23[[#This Row],[4月未交]]</f>
        <v>482</v>
      </c>
      <c r="Q3" s="29">
        <v>0</v>
      </c>
      <c r="R3" s="33">
        <f>表3_23[[#This Row],[4.27在制]]+表3_23[[#This Row],[4月结余]]</f>
        <v>482</v>
      </c>
      <c r="S3" s="23">
        <v>0</v>
      </c>
      <c r="T3" s="23">
        <v>0</v>
      </c>
      <c r="U3" s="23">
        <v>0</v>
      </c>
      <c r="V3" s="23"/>
      <c r="W3" s="23">
        <v>0</v>
      </c>
      <c r="X3" s="34">
        <f>表3_23[[#This Row],[5月计划4月27日]]-表3_23[[#This Row],[5月已交]]</f>
        <v>0</v>
      </c>
      <c r="Y3" s="35">
        <f>表3_23[[#This Row],[4月26日总结余]]-表3_23[[#This Row],[5月剩余]]</f>
        <v>482</v>
      </c>
      <c r="Z3" s="36">
        <v>0</v>
      </c>
      <c r="AA3" s="36">
        <v>0</v>
      </c>
      <c r="AB3" s="37" t="str" cm="1">
        <f t="array" aca="1" ref="AB3" ca="1">IFERROR(INDEX(AD$2:BD$2,MATCH(TRUE,R3-SUBTOTAL(9,OFFSET(AD3,0,0,1,COLUMN(AD2:BD2)-COLUMN(AD3)+1))&lt;0,0)),"暂不缺料")</f>
        <v>暂不缺料</v>
      </c>
      <c r="AC3" s="37" cm="1">
        <f t="array" aca="1" ref="AC3" ca="1">IFERROR(INDEX(AD3:BD3,MATCH(TRUE,R3-SUBTOTAL(9,OFFSET(AD3,0,0,1,COLUMN(AD3:BD3)-COLUMN(AD3)+1))&lt;0,0)) - (R3 - SUBTOTAL(9,OFFSET(AD3,0,0,1,MATCH(TRUE,R3-SUBTOTAL(9,OFFSET(AD3,0,0,1,COLUMN(AD3:BD3)-COLUMN(AD3)+1))&lt;0,0)-1))),0)</f>
        <v>0</v>
      </c>
      <c r="AD3" s="23">
        <v>0</v>
      </c>
      <c r="AE3" s="23">
        <v>0</v>
      </c>
      <c r="AF3" s="23">
        <v>0</v>
      </c>
      <c r="AG3" s="23">
        <v>0</v>
      </c>
      <c r="AH3" s="23">
        <v>0</v>
      </c>
      <c r="AI3" s="23">
        <v>0</v>
      </c>
      <c r="AJ3" s="23">
        <v>0</v>
      </c>
      <c r="AK3" s="23">
        <v>0</v>
      </c>
      <c r="AL3" s="23">
        <v>0</v>
      </c>
      <c r="AM3" s="23">
        <v>0</v>
      </c>
      <c r="AN3" s="23">
        <v>0</v>
      </c>
      <c r="AO3" s="23">
        <v>0</v>
      </c>
      <c r="AP3" s="23">
        <v>0</v>
      </c>
      <c r="AQ3" s="23">
        <v>0</v>
      </c>
      <c r="AR3" s="23">
        <v>0</v>
      </c>
      <c r="AS3" s="23">
        <v>0</v>
      </c>
      <c r="AT3" s="23">
        <v>0</v>
      </c>
      <c r="AU3" s="23">
        <v>0</v>
      </c>
      <c r="AV3" s="23">
        <v>0</v>
      </c>
      <c r="AW3" s="23">
        <v>0</v>
      </c>
      <c r="AX3" s="23">
        <v>0</v>
      </c>
      <c r="AY3" s="23">
        <v>0</v>
      </c>
      <c r="AZ3" s="23">
        <v>0</v>
      </c>
      <c r="BA3" s="23"/>
      <c r="BB3" s="23"/>
      <c r="BC3" s="23"/>
      <c r="BD3" s="23"/>
    </row>
    <row r="4" spans="1:56" s="45" customFormat="1" ht="14" customHeight="1" x14ac:dyDescent="0.3">
      <c r="A4" s="38">
        <v>10880037204</v>
      </c>
      <c r="B4" s="39" t="s">
        <v>56</v>
      </c>
      <c r="C4" s="40">
        <v>2416141</v>
      </c>
      <c r="D4" s="23">
        <v>10880037204</v>
      </c>
      <c r="E4" s="38" t="s">
        <v>58</v>
      </c>
      <c r="F4" s="41"/>
      <c r="G4" s="41"/>
      <c r="H4" s="42"/>
      <c r="I4" s="38"/>
      <c r="J4" s="28">
        <v>2965</v>
      </c>
      <c r="K4" s="29">
        <v>0</v>
      </c>
      <c r="L4" s="30">
        <f>表3_23[[#This Row],[4月27日工厂库存]]+表3_23[[#This Row],[4月27日代理库存]]</f>
        <v>2965</v>
      </c>
      <c r="M4" s="38">
        <v>1500</v>
      </c>
      <c r="N4" s="31">
        <v>1</v>
      </c>
      <c r="O4" s="32">
        <f>表3_23[[#This Row],[4月计划22日版]]-表3_23[[#This Row],[4月已交]]</f>
        <v>1499</v>
      </c>
      <c r="P4" s="38">
        <f>表3_23[[#This Row],[库存合计]]-表3_23[[#This Row],[4月未交]]</f>
        <v>1466</v>
      </c>
      <c r="Q4" s="29">
        <v>0</v>
      </c>
      <c r="R4" s="33">
        <f>表3_23[[#This Row],[4.27在制]]+表3_23[[#This Row],[4月结余]]</f>
        <v>1466</v>
      </c>
      <c r="S4" s="38">
        <v>700</v>
      </c>
      <c r="T4" s="38">
        <v>1000</v>
      </c>
      <c r="U4" s="38">
        <v>1000</v>
      </c>
      <c r="V4" s="23"/>
      <c r="W4" s="38">
        <v>0</v>
      </c>
      <c r="X4" s="43">
        <f>表3_23[[#This Row],[5月计划4月27日]]-表3_23[[#This Row],[5月已交]]</f>
        <v>1000</v>
      </c>
      <c r="Y4" s="38">
        <f>表3_23[[#This Row],[4月26日总结余]]-表3_23[[#This Row],[5月剩余]]</f>
        <v>466</v>
      </c>
      <c r="Z4" s="44">
        <v>1848</v>
      </c>
      <c r="AA4" s="44">
        <v>2184</v>
      </c>
      <c r="AB4" s="37" t="str" cm="1">
        <f t="array" aca="1" ref="AB4" ca="1">IFERROR(INDEX(AD$2:BD$2,MATCH(TRUE,R4-SUBTOTAL(9,OFFSET(AD4,0,0,1,COLUMN(AD3:BD3)-COLUMN(AD4)+1))&lt;0,0)),"暂不缺料")</f>
        <v>5月23日</v>
      </c>
      <c r="AC4" s="37" cm="1">
        <f t="array" aca="1" ref="AC4" ca="1">IFERROR(INDEX(AD4:BD4,MATCH(TRUE,R4-SUBTOTAL(9,OFFSET(AD4,0,0,1,COLUMN(AD4:BD4)-COLUMN(AD4)+1))&lt;0,0)) - (R4 - SUBTOTAL(9,OFFSET(AD4,0,0,1,MATCH(TRUE,R4-SUBTOTAL(9,OFFSET(AD4,0,0,1,COLUMN(AD4:BD4)-COLUMN(AD4)+1))&lt;0,0)-1))),0)</f>
        <v>718</v>
      </c>
      <c r="AD4" s="23">
        <v>0</v>
      </c>
      <c r="AE4" s="23">
        <v>168</v>
      </c>
      <c r="AF4" s="23">
        <v>0</v>
      </c>
      <c r="AG4" s="23">
        <v>0</v>
      </c>
      <c r="AH4" s="23">
        <v>0</v>
      </c>
      <c r="AI4" s="23">
        <v>0</v>
      </c>
      <c r="AJ4" s="23">
        <v>0</v>
      </c>
      <c r="AK4" s="23">
        <v>0</v>
      </c>
      <c r="AL4" s="23">
        <v>504</v>
      </c>
      <c r="AM4" s="23">
        <v>0</v>
      </c>
      <c r="AN4" s="23">
        <v>0</v>
      </c>
      <c r="AO4" s="23">
        <v>0</v>
      </c>
      <c r="AP4" s="23">
        <v>0</v>
      </c>
      <c r="AQ4" s="23">
        <v>0</v>
      </c>
      <c r="AR4" s="23">
        <v>0</v>
      </c>
      <c r="AS4" s="23">
        <v>0</v>
      </c>
      <c r="AT4" s="23">
        <v>0</v>
      </c>
      <c r="AU4" s="23">
        <v>168</v>
      </c>
      <c r="AV4" s="23">
        <v>0</v>
      </c>
      <c r="AW4" s="23">
        <v>0</v>
      </c>
      <c r="AX4" s="23">
        <v>0</v>
      </c>
      <c r="AY4" s="23">
        <v>336</v>
      </c>
      <c r="AZ4" s="23">
        <v>1008</v>
      </c>
      <c r="BA4" s="38"/>
      <c r="BB4" s="38"/>
      <c r="BC4" s="38"/>
      <c r="BD4" s="38"/>
    </row>
    <row r="5" spans="1:56" ht="13.5" customHeight="1" x14ac:dyDescent="0.3">
      <c r="A5" s="23">
        <v>10880032683</v>
      </c>
      <c r="B5" s="24" t="s">
        <v>56</v>
      </c>
      <c r="C5" s="46">
        <v>2389091</v>
      </c>
      <c r="D5" s="23">
        <v>10880032683</v>
      </c>
      <c r="E5" s="47" t="s">
        <v>59</v>
      </c>
      <c r="F5" s="26"/>
      <c r="G5" s="26"/>
      <c r="H5" s="27"/>
      <c r="I5" s="23"/>
      <c r="J5" s="28">
        <v>1282</v>
      </c>
      <c r="K5" s="29">
        <v>4</v>
      </c>
      <c r="L5" s="30">
        <f>表3_23[[#This Row],[4月27日工厂库存]]+表3_23[[#This Row],[4月27日代理库存]]</f>
        <v>1286</v>
      </c>
      <c r="M5" s="23">
        <v>362</v>
      </c>
      <c r="N5" s="31">
        <v>362</v>
      </c>
      <c r="O5" s="32">
        <f>表3_23[[#This Row],[4月计划22日版]]-表3_23[[#This Row],[4月已交]]</f>
        <v>0</v>
      </c>
      <c r="P5" s="23">
        <f>表3_23[[#This Row],[库存合计]]-表3_23[[#This Row],[4月未交]]</f>
        <v>1286</v>
      </c>
      <c r="Q5" s="29">
        <v>0</v>
      </c>
      <c r="R5" s="33">
        <f>表3_23[[#This Row],[4.27在制]]+表3_23[[#This Row],[4月结余]]</f>
        <v>1286</v>
      </c>
      <c r="S5" s="23">
        <v>747</v>
      </c>
      <c r="T5" s="23">
        <v>747</v>
      </c>
      <c r="U5" s="23">
        <v>747</v>
      </c>
      <c r="V5" s="23"/>
      <c r="W5" s="23">
        <v>0</v>
      </c>
      <c r="X5" s="34">
        <f>表3_23[[#This Row],[5月计划4月27日]]-表3_23[[#This Row],[5月已交]]</f>
        <v>747</v>
      </c>
      <c r="Y5" s="35">
        <f>表3_23[[#This Row],[4月26日总结余]]-表3_23[[#This Row],[5月剩余]]</f>
        <v>539</v>
      </c>
      <c r="Z5" s="36">
        <v>0</v>
      </c>
      <c r="AA5" s="36">
        <v>0</v>
      </c>
      <c r="AB5" s="37" t="str" cm="1">
        <f t="array" aca="1" ref="AB5" ca="1">IFERROR(INDEX(AD$2:BD$2,MATCH(TRUE,R5-SUBTOTAL(9,OFFSET(AD5,0,0,1,COLUMN(AD4:BD4)-COLUMN(AD5)+1))&lt;0,0)),"暂不缺料")</f>
        <v>暂不缺料</v>
      </c>
      <c r="AC5" s="37" cm="1">
        <f t="array" aca="1" ref="AC5" ca="1">IFERROR(INDEX(AD5:BD5,MATCH(TRUE,R5-SUBTOTAL(9,OFFSET(AD5,0,0,1,COLUMN(AD5:BD5)-COLUMN(AD5)+1))&lt;0,0)) - (R5 - SUBTOTAL(9,OFFSET(AD5,0,0,1,MATCH(TRUE,R5-SUBTOTAL(9,OFFSET(AD5,0,0,1,COLUMN(AD5:BD5)-COLUMN(AD5)+1))&lt;0,0)-1))),0)</f>
        <v>0</v>
      </c>
      <c r="AD5" s="23">
        <v>0</v>
      </c>
      <c r="AE5" s="23">
        <v>498</v>
      </c>
      <c r="AF5" s="23">
        <v>0</v>
      </c>
      <c r="AG5" s="23">
        <v>0</v>
      </c>
      <c r="AH5" s="23">
        <v>0</v>
      </c>
      <c r="AI5" s="23">
        <v>0</v>
      </c>
      <c r="AJ5" s="23">
        <v>0</v>
      </c>
      <c r="AK5" s="23">
        <v>0</v>
      </c>
      <c r="AL5" s="23">
        <v>0</v>
      </c>
      <c r="AM5" s="23">
        <v>0</v>
      </c>
      <c r="AN5" s="23">
        <v>0</v>
      </c>
      <c r="AO5" s="23">
        <v>0</v>
      </c>
      <c r="AP5" s="23">
        <v>0</v>
      </c>
      <c r="AQ5" s="23">
        <v>0</v>
      </c>
      <c r="AR5" s="23">
        <v>0</v>
      </c>
      <c r="AS5" s="23">
        <v>0</v>
      </c>
      <c r="AT5" s="23">
        <v>0</v>
      </c>
      <c r="AU5" s="23">
        <v>0</v>
      </c>
      <c r="AV5" s="23">
        <v>0</v>
      </c>
      <c r="AW5" s="23">
        <v>249</v>
      </c>
      <c r="AX5" s="23">
        <v>0</v>
      </c>
      <c r="AY5" s="23">
        <v>0</v>
      </c>
      <c r="AZ5" s="23">
        <v>0</v>
      </c>
      <c r="BA5" s="23"/>
      <c r="BB5" s="23"/>
      <c r="BC5" s="23"/>
      <c r="BD5" s="23"/>
    </row>
    <row r="6" spans="1:56" ht="13.5" customHeight="1" x14ac:dyDescent="0.3">
      <c r="A6" s="23">
        <v>10880032933</v>
      </c>
      <c r="B6" s="24" t="s">
        <v>56</v>
      </c>
      <c r="C6" s="46">
        <v>2397243</v>
      </c>
      <c r="D6" s="23">
        <v>10880032933</v>
      </c>
      <c r="E6" s="47" t="s">
        <v>60</v>
      </c>
      <c r="F6" s="26"/>
      <c r="G6" s="26"/>
      <c r="H6" s="27"/>
      <c r="I6" s="23"/>
      <c r="J6" s="28">
        <v>759</v>
      </c>
      <c r="K6" s="29">
        <v>3</v>
      </c>
      <c r="L6" s="30">
        <f>表3_23[[#This Row],[4月27日工厂库存]]+表3_23[[#This Row],[4月27日代理库存]]</f>
        <v>762</v>
      </c>
      <c r="M6" s="23">
        <v>249</v>
      </c>
      <c r="N6" s="31">
        <v>6</v>
      </c>
      <c r="O6" s="32">
        <f>表3_23[[#This Row],[4月计划22日版]]-表3_23[[#This Row],[4月已交]]</f>
        <v>243</v>
      </c>
      <c r="P6" s="23">
        <f>表3_23[[#This Row],[库存合计]]-表3_23[[#This Row],[4月未交]]</f>
        <v>519</v>
      </c>
      <c r="Q6" s="29">
        <v>0</v>
      </c>
      <c r="R6" s="33">
        <f>表3_23[[#This Row],[4.27在制]]+表3_23[[#This Row],[4月结余]]</f>
        <v>519</v>
      </c>
      <c r="S6" s="23">
        <v>498</v>
      </c>
      <c r="T6" s="23">
        <v>498</v>
      </c>
      <c r="U6" s="23">
        <v>498</v>
      </c>
      <c r="V6" s="23"/>
      <c r="W6" s="23">
        <v>0</v>
      </c>
      <c r="X6" s="34">
        <f>表3_23[[#This Row],[5月计划4月27日]]-表3_23[[#This Row],[5月已交]]</f>
        <v>498</v>
      </c>
      <c r="Y6" s="35">
        <f>表3_23[[#This Row],[4月26日总结余]]-表3_23[[#This Row],[5月剩余]]</f>
        <v>21</v>
      </c>
      <c r="Z6" s="36">
        <v>0</v>
      </c>
      <c r="AA6" s="36">
        <v>0</v>
      </c>
      <c r="AB6" s="37" t="str" cm="1">
        <f t="array" aca="1" ref="AB6" ca="1">IFERROR(INDEX(AD$2:BD$2,MATCH(TRUE,R6-SUBTOTAL(9,OFFSET(AD6,0,0,1,COLUMN(AD5:BD5)-COLUMN(AD6)+1))&lt;0,0)),"暂不缺料")</f>
        <v>暂不缺料</v>
      </c>
      <c r="AC6" s="37" cm="1">
        <f t="array" aca="1" ref="AC6" ca="1">IFERROR(INDEX(AD6:BD6,MATCH(TRUE,R6-SUBTOTAL(9,OFFSET(AD6,0,0,1,COLUMN(AD6:BD6)-COLUMN(AD6)+1))&lt;0,0)) - (R6 - SUBTOTAL(9,OFFSET(AD6,0,0,1,MATCH(TRUE,R6-SUBTOTAL(9,OFFSET(AD6,0,0,1,COLUMN(AD6:BD6)-COLUMN(AD6)+1))&lt;0,0)-1))),0)</f>
        <v>0</v>
      </c>
      <c r="AD6" s="23">
        <v>0</v>
      </c>
      <c r="AE6" s="23">
        <v>498</v>
      </c>
      <c r="AF6" s="23">
        <v>0</v>
      </c>
      <c r="AG6" s="23">
        <v>0</v>
      </c>
      <c r="AH6" s="23">
        <v>0</v>
      </c>
      <c r="AI6" s="23">
        <v>0</v>
      </c>
      <c r="AJ6" s="23">
        <v>0</v>
      </c>
      <c r="AK6" s="23">
        <v>0</v>
      </c>
      <c r="AL6" s="23">
        <v>0</v>
      </c>
      <c r="AM6" s="23">
        <v>0</v>
      </c>
      <c r="AN6" s="23">
        <v>0</v>
      </c>
      <c r="AO6" s="23">
        <v>0</v>
      </c>
      <c r="AP6" s="23">
        <v>0</v>
      </c>
      <c r="AQ6" s="23">
        <v>0</v>
      </c>
      <c r="AR6" s="23">
        <v>0</v>
      </c>
      <c r="AS6" s="23">
        <v>0</v>
      </c>
      <c r="AT6" s="23">
        <v>0</v>
      </c>
      <c r="AU6" s="23">
        <v>0</v>
      </c>
      <c r="AV6" s="23">
        <v>0</v>
      </c>
      <c r="AW6" s="23">
        <v>0</v>
      </c>
      <c r="AX6" s="23">
        <v>0</v>
      </c>
      <c r="AY6" s="23">
        <v>0</v>
      </c>
      <c r="AZ6" s="23">
        <v>0</v>
      </c>
      <c r="BA6" s="23"/>
      <c r="BB6" s="23"/>
      <c r="BC6" s="23"/>
      <c r="BD6" s="23"/>
    </row>
    <row r="7" spans="1:56" ht="13.5" customHeight="1" x14ac:dyDescent="0.3">
      <c r="A7" s="23">
        <v>10880032945</v>
      </c>
      <c r="B7" s="24" t="s">
        <v>56</v>
      </c>
      <c r="C7" s="46">
        <v>2397168</v>
      </c>
      <c r="D7" s="23">
        <v>10880032945</v>
      </c>
      <c r="E7" s="47" t="s">
        <v>61</v>
      </c>
      <c r="F7" s="26"/>
      <c r="G7" s="26"/>
      <c r="H7" s="27"/>
      <c r="I7" s="23"/>
      <c r="J7" s="28">
        <v>7240</v>
      </c>
      <c r="K7" s="29">
        <v>1</v>
      </c>
      <c r="L7" s="30">
        <f>表3_23[[#This Row],[4月27日工厂库存]]+表3_23[[#This Row],[4月27日代理库存]]</f>
        <v>7241</v>
      </c>
      <c r="M7" s="23">
        <v>9111</v>
      </c>
      <c r="N7" s="31">
        <v>8749</v>
      </c>
      <c r="O7" s="32">
        <f>表3_23[[#This Row],[4月计划22日版]]-表3_23[[#This Row],[4月已交]]</f>
        <v>362</v>
      </c>
      <c r="P7" s="23">
        <f>表3_23[[#This Row],[库存合计]]-表3_23[[#This Row],[4月未交]]</f>
        <v>6879</v>
      </c>
      <c r="Q7" s="29">
        <v>0</v>
      </c>
      <c r="R7" s="33">
        <f>表3_23[[#This Row],[4.27在制]]+表3_23[[#This Row],[4月结余]]</f>
        <v>6879</v>
      </c>
      <c r="S7" s="23">
        <v>5392</v>
      </c>
      <c r="T7" s="23">
        <v>5392</v>
      </c>
      <c r="U7" s="23">
        <v>4544</v>
      </c>
      <c r="V7" s="23"/>
      <c r="W7" s="23">
        <v>0</v>
      </c>
      <c r="X7" s="34">
        <f>表3_23[[#This Row],[5月计划4月27日]]-表3_23[[#This Row],[5月已交]]</f>
        <v>4544</v>
      </c>
      <c r="Y7" s="23">
        <f>表3_23[[#This Row],[4月26日总结余]]-表3_23[[#This Row],[5月剩余]]</f>
        <v>2335</v>
      </c>
      <c r="Z7" s="44">
        <v>1332</v>
      </c>
      <c r="AA7" s="44">
        <v>1416</v>
      </c>
      <c r="AB7" s="37" t="str" cm="1">
        <f t="array" aca="1" ref="AB7" ca="1">IFERROR(INDEX(AD$2:BD$2,MATCH(TRUE,R7-SUBTOTAL(9,OFFSET(AD7,0,0,1,COLUMN(AD6:BD6)-COLUMN(AD7)+1))&lt;0,0)),"暂不缺料")</f>
        <v>暂不缺料</v>
      </c>
      <c r="AC7" s="37" cm="1">
        <f t="array" aca="1" ref="AC7" ca="1">IFERROR(INDEX(AD7:BD7,MATCH(TRUE,R7-SUBTOTAL(9,OFFSET(AD7,0,0,1,COLUMN(AD7:BD7)-COLUMN(AD7)+1))&lt;0,0)) - (R7 - SUBTOTAL(9,OFFSET(AD7,0,0,1,MATCH(TRUE,R7-SUBTOTAL(9,OFFSET(AD7,0,0,1,COLUMN(AD7:BD7)-COLUMN(AD7)+1))&lt;0,0)-1))),0)</f>
        <v>0</v>
      </c>
      <c r="AD7" s="23">
        <v>896</v>
      </c>
      <c r="AE7" s="23">
        <v>0</v>
      </c>
      <c r="AF7" s="23">
        <v>560</v>
      </c>
      <c r="AG7" s="23">
        <v>1344</v>
      </c>
      <c r="AH7" s="23">
        <v>0</v>
      </c>
      <c r="AI7" s="23">
        <v>0</v>
      </c>
      <c r="AJ7" s="23">
        <v>424</v>
      </c>
      <c r="AK7" s="23">
        <v>224</v>
      </c>
      <c r="AL7" s="23">
        <v>0</v>
      </c>
      <c r="AM7" s="23">
        <v>0</v>
      </c>
      <c r="AN7" s="23">
        <v>0</v>
      </c>
      <c r="AO7" s="23">
        <v>0</v>
      </c>
      <c r="AP7" s="23">
        <v>0</v>
      </c>
      <c r="AQ7" s="23">
        <v>0</v>
      </c>
      <c r="AR7" s="23">
        <v>0</v>
      </c>
      <c r="AS7" s="23">
        <v>0</v>
      </c>
      <c r="AT7" s="23">
        <v>436</v>
      </c>
      <c r="AU7" s="23">
        <v>0</v>
      </c>
      <c r="AV7" s="23">
        <v>448</v>
      </c>
      <c r="AW7" s="23">
        <v>0</v>
      </c>
      <c r="AX7" s="23">
        <v>0</v>
      </c>
      <c r="AY7" s="23">
        <v>0</v>
      </c>
      <c r="AZ7" s="23">
        <v>212</v>
      </c>
      <c r="BA7" s="23"/>
      <c r="BB7" s="23"/>
      <c r="BC7" s="23"/>
      <c r="BD7" s="23"/>
    </row>
    <row r="8" spans="1:56" ht="13.5" customHeight="1" x14ac:dyDescent="0.3">
      <c r="A8" s="23">
        <v>10880032943</v>
      </c>
      <c r="B8" s="24" t="s">
        <v>56</v>
      </c>
      <c r="C8" s="46">
        <v>2397172</v>
      </c>
      <c r="D8" s="23">
        <v>10880032943</v>
      </c>
      <c r="E8" s="47" t="s">
        <v>62</v>
      </c>
      <c r="F8" s="26"/>
      <c r="G8" s="26"/>
      <c r="H8" s="27"/>
      <c r="I8" s="23"/>
      <c r="J8" s="28">
        <v>1286</v>
      </c>
      <c r="K8" s="29">
        <v>51</v>
      </c>
      <c r="L8" s="30">
        <f>表3_23[[#This Row],[4月27日工厂库存]]+表3_23[[#This Row],[4月27日代理库存]]</f>
        <v>1337</v>
      </c>
      <c r="M8" s="23">
        <v>1712</v>
      </c>
      <c r="N8" s="31">
        <v>1712</v>
      </c>
      <c r="O8" s="32">
        <f>表3_23[[#This Row],[4月计划22日版]]-表3_23[[#This Row],[4月已交]]</f>
        <v>0</v>
      </c>
      <c r="P8" s="23">
        <f>表3_23[[#This Row],[库存合计]]-表3_23[[#This Row],[4月未交]]</f>
        <v>1337</v>
      </c>
      <c r="Q8" s="29">
        <v>0</v>
      </c>
      <c r="R8" s="33">
        <f>表3_23[[#This Row],[4.27在制]]+表3_23[[#This Row],[4月结余]]</f>
        <v>1337</v>
      </c>
      <c r="S8" s="23">
        <v>1494</v>
      </c>
      <c r="T8" s="23">
        <v>1494</v>
      </c>
      <c r="U8" s="23">
        <v>1494</v>
      </c>
      <c r="V8" s="23"/>
      <c r="W8" s="23">
        <v>0</v>
      </c>
      <c r="X8" s="34">
        <f>表3_23[[#This Row],[5月计划4月27日]]-表3_23[[#This Row],[5月已交]]</f>
        <v>1494</v>
      </c>
      <c r="Y8" s="23">
        <f>表3_23[[#This Row],[4月26日总结余]]-表3_23[[#This Row],[5月剩余]]</f>
        <v>-157</v>
      </c>
      <c r="Z8" s="44">
        <v>747</v>
      </c>
      <c r="AA8" s="44">
        <v>0</v>
      </c>
      <c r="AB8" s="37" t="str" cm="1">
        <f t="array" aca="1" ref="AB8" ca="1">IFERROR(INDEX(AD$2:BD$2,MATCH(TRUE,R8-SUBTOTAL(9,OFFSET(AD8,0,0,1,COLUMN(AD7:BD7)-COLUMN(AD8)+1))&lt;0,0)),"暂不缺料")</f>
        <v>5月23日</v>
      </c>
      <c r="AC8" s="37" cm="1">
        <f t="array" aca="1" ref="AC8" ca="1">IFERROR(INDEX(AD8:BD8,MATCH(TRUE,R8-SUBTOTAL(9,OFFSET(AD8,0,0,1,COLUMN(AD8:BD8)-COLUMN(AD8)+1))&lt;0,0)) - (R8 - SUBTOTAL(9,OFFSET(AD8,0,0,1,MATCH(TRUE,R8-SUBTOTAL(9,OFFSET(AD8,0,0,1,COLUMN(AD8:BD8)-COLUMN(AD8)+1))&lt;0,0)-1))),0)</f>
        <v>157</v>
      </c>
      <c r="AD8" s="23">
        <v>0</v>
      </c>
      <c r="AE8" s="23">
        <v>249</v>
      </c>
      <c r="AF8" s="23">
        <v>498</v>
      </c>
      <c r="AG8" s="23">
        <v>0</v>
      </c>
      <c r="AH8" s="23">
        <v>0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</v>
      </c>
      <c r="AS8" s="23">
        <v>0</v>
      </c>
      <c r="AT8" s="23">
        <v>0</v>
      </c>
      <c r="AU8" s="23">
        <v>0</v>
      </c>
      <c r="AV8" s="23">
        <v>0</v>
      </c>
      <c r="AW8" s="23">
        <v>0</v>
      </c>
      <c r="AX8" s="23">
        <v>0</v>
      </c>
      <c r="AY8" s="23">
        <v>0</v>
      </c>
      <c r="AZ8" s="23">
        <v>747</v>
      </c>
      <c r="BA8" s="23"/>
      <c r="BB8" s="23"/>
      <c r="BC8" s="23"/>
      <c r="BD8" s="23"/>
    </row>
    <row r="9" spans="1:56" ht="32" customHeight="1" x14ac:dyDescent="0.3">
      <c r="A9" s="23">
        <v>10880038610</v>
      </c>
      <c r="B9" s="24" t="s">
        <v>56</v>
      </c>
      <c r="C9" s="48">
        <v>20126173</v>
      </c>
      <c r="D9" s="23">
        <v>10880038610</v>
      </c>
      <c r="E9" s="23" t="s">
        <v>65</v>
      </c>
      <c r="F9" s="49" t="s">
        <v>66</v>
      </c>
      <c r="G9" s="49" t="s">
        <v>63</v>
      </c>
      <c r="H9" s="27" t="s">
        <v>64</v>
      </c>
      <c r="I9" s="23"/>
      <c r="J9" s="28">
        <v>0</v>
      </c>
      <c r="K9" s="29">
        <v>0</v>
      </c>
      <c r="L9" s="30">
        <f>表3_23[[#This Row],[4月27日工厂库存]]+表3_23[[#This Row],[4月27日代理库存]]</f>
        <v>0</v>
      </c>
      <c r="M9" s="23">
        <v>0</v>
      </c>
      <c r="N9" s="31">
        <v>0</v>
      </c>
      <c r="O9" s="32">
        <f>表3_23[[#This Row],[4月计划22日版]]-表3_23[[#This Row],[4月已交]]</f>
        <v>0</v>
      </c>
      <c r="P9" s="23">
        <f>表3_23[[#This Row],[库存合计]]-表3_23[[#This Row],[4月未交]]</f>
        <v>0</v>
      </c>
      <c r="Q9" s="29">
        <v>0</v>
      </c>
      <c r="R9" s="33">
        <f>表3_23[[#This Row],[4.27在制]]+表3_23[[#This Row],[4月结余]]</f>
        <v>0</v>
      </c>
      <c r="S9" s="23">
        <v>350</v>
      </c>
      <c r="T9" s="23">
        <v>355</v>
      </c>
      <c r="U9" s="23">
        <v>355</v>
      </c>
      <c r="V9" s="23"/>
      <c r="W9" s="23">
        <v>0</v>
      </c>
      <c r="X9" s="34">
        <f>表3_23[[#This Row],[5月计划4月27日]]-表3_23[[#This Row],[5月已交]]</f>
        <v>355</v>
      </c>
      <c r="Y9" s="23">
        <f>表3_23[[#This Row],[4月26日总结余]]-表3_23[[#This Row],[5月剩余]]</f>
        <v>-355</v>
      </c>
      <c r="Z9" s="44">
        <v>0</v>
      </c>
      <c r="AA9" s="44">
        <v>0</v>
      </c>
      <c r="AB9" s="37" t="str" cm="1">
        <f t="array" aca="1" ref="AB9" ca="1">IFERROR(INDEX(AD$2:BD$2,MATCH(TRUE,R9-SUBTOTAL(9,OFFSET(AD9,0,0,1,COLUMN(#REF!)-COLUMN(AD9)+1))&lt;0,0)),"暂不缺料")</f>
        <v>暂不缺料</v>
      </c>
      <c r="AC9" s="37" cm="1">
        <f t="array" aca="1" ref="AC9" ca="1">IFERROR(INDEX(AD9:BD9,MATCH(TRUE,R9-SUBTOTAL(9,OFFSET(AD9,0,0,1,COLUMN(AD9:BD9)-COLUMN(AD9)+1))&lt;0,0)) - (R9 - SUBTOTAL(9,OFFSET(AD9,0,0,1,MATCH(TRUE,R9-SUBTOTAL(9,OFFSET(AD9,0,0,1,COLUMN(AD9:BD9)-COLUMN(AD9)+1))&lt;0,0)-1))),0)</f>
        <v>0</v>
      </c>
      <c r="AD9" s="23">
        <v>5</v>
      </c>
      <c r="AE9" s="23">
        <v>0</v>
      </c>
      <c r="AF9" s="23">
        <v>0</v>
      </c>
      <c r="AG9" s="23">
        <v>0</v>
      </c>
      <c r="AH9" s="23">
        <v>0</v>
      </c>
      <c r="AI9" s="23">
        <v>0</v>
      </c>
      <c r="AJ9" s="23">
        <v>0</v>
      </c>
      <c r="AK9" s="23">
        <v>0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350</v>
      </c>
      <c r="AS9" s="23">
        <v>0</v>
      </c>
      <c r="AT9" s="23">
        <v>0</v>
      </c>
      <c r="AU9" s="23">
        <v>0</v>
      </c>
      <c r="AV9" s="23">
        <v>0</v>
      </c>
      <c r="AW9" s="23">
        <v>0</v>
      </c>
      <c r="AX9" s="23">
        <v>0</v>
      </c>
      <c r="AY9" s="23">
        <v>0</v>
      </c>
      <c r="AZ9" s="23">
        <v>0</v>
      </c>
      <c r="BA9" s="23"/>
      <c r="BB9" s="23"/>
      <c r="BC9" s="23"/>
      <c r="BD9" s="23"/>
    </row>
  </sheetData>
  <phoneticPr fontId="1" type="noConversion"/>
  <conditionalFormatting sqref="C1:C1048576">
    <cfRule type="duplicateValues" dxfId="2" priority="1"/>
    <cfRule type="duplicateValues" dxfId="1" priority="2"/>
  </conditionalFormatting>
  <conditionalFormatting sqref="D1:D1048576">
    <cfRule type="duplicateValues" dxfId="0" priority="4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45704109-41C3-43B9-9073-1AF5305AA9E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'4.27'!S3:U3</xm:f>
              <xm:sqref>V3</xm:sqref>
            </x14:sparkline>
            <x14:sparkline>
              <xm:f>'4.27'!S4:U4</xm:f>
              <xm:sqref>V4</xm:sqref>
            </x14:sparkline>
            <x14:sparkline>
              <xm:f>'4.27'!S5:U5</xm:f>
              <xm:sqref>V5</xm:sqref>
            </x14:sparkline>
            <x14:sparkline>
              <xm:f>'4.27'!S6:U6</xm:f>
              <xm:sqref>V6</xm:sqref>
            </x14:sparkline>
            <x14:sparkline>
              <xm:f>'4.27'!S7:U7</xm:f>
              <xm:sqref>V7</xm:sqref>
            </x14:sparkline>
            <x14:sparkline>
              <xm:f>'4.27'!S8:U8</xm:f>
              <xm:sqref>V8</xm:sqref>
            </x14:sparkline>
            <x14:sparkline>
              <xm:f>'4.27'!S9:U9</xm:f>
              <xm:sqref>V9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4.27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高睿</dc:creator>
  <cp:lastModifiedBy>高睿</cp:lastModifiedBy>
  <dcterms:created xsi:type="dcterms:W3CDTF">2015-06-05T18:19:34Z</dcterms:created>
  <dcterms:modified xsi:type="dcterms:W3CDTF">2026-04-30T08:29:13Z</dcterms:modified>
</cp:coreProperties>
</file>