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80025590\Desktop\AI表单\"/>
    </mc:Choice>
  </mc:AlternateContent>
  <xr:revisionPtr revIDLastSave="0" documentId="13_ncr:1_{A8C2B502-CC29-45DD-A547-CE9795C17E93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0429定稿格式日期未动，数量变化的统一涂红，插批注说明" sheetId="1" r:id="rId1"/>
  </sheets>
  <definedNames>
    <definedName name="_xlnm._FilterDatabase" localSheetId="0" hidden="1">'0429定稿格式日期未动，数量变化的统一涂红，插批注说明'!$A$3:$AR$15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15" i="1" l="1"/>
  <c r="AC15" i="1"/>
  <c r="AB15" i="1" s="1"/>
  <c r="AA15" i="1" s="1"/>
  <c r="N15" i="1"/>
  <c r="I15" i="1" s="1"/>
  <c r="J15" i="1"/>
  <c r="AK14" i="1"/>
  <c r="AC14" i="1"/>
  <c r="AB14" i="1" s="1"/>
  <c r="AA14" i="1" s="1"/>
  <c r="N14" i="1"/>
  <c r="J14" i="1"/>
  <c r="H14" i="1"/>
  <c r="AK13" i="1"/>
  <c r="AC13" i="1"/>
  <c r="AB13" i="1" s="1"/>
  <c r="AA13" i="1" s="1"/>
  <c r="N13" i="1"/>
  <c r="I13" i="1" s="1"/>
  <c r="J13" i="1"/>
  <c r="AK12" i="1"/>
  <c r="AC12" i="1"/>
  <c r="N12" i="1"/>
  <c r="I12" i="1" s="1"/>
  <c r="J12" i="1"/>
  <c r="AK11" i="1"/>
  <c r="AC11" i="1"/>
  <c r="N11" i="1"/>
  <c r="I11" i="1" s="1"/>
  <c r="J11" i="1"/>
  <c r="AK10" i="1"/>
  <c r="AC10" i="1"/>
  <c r="AB10" i="1" s="1"/>
  <c r="AA10" i="1" s="1"/>
  <c r="N10" i="1"/>
  <c r="I10" i="1" s="1"/>
  <c r="J10" i="1"/>
  <c r="AR9" i="1"/>
  <c r="AR2" i="1" s="1"/>
  <c r="AK9" i="1"/>
  <c r="AC9" i="1"/>
  <c r="N9" i="1"/>
  <c r="I9" i="1" s="1"/>
  <c r="J9" i="1"/>
  <c r="AK8" i="1"/>
  <c r="AC8" i="1"/>
  <c r="N8" i="1"/>
  <c r="I8" i="1" s="1"/>
  <c r="J8" i="1"/>
  <c r="AK7" i="1"/>
  <c r="AC7" i="1"/>
  <c r="AB7" i="1"/>
  <c r="AA7" i="1"/>
  <c r="N7" i="1"/>
  <c r="I7" i="1" s="1"/>
  <c r="J7" i="1"/>
  <c r="AK6" i="1"/>
  <c r="AK2" i="1" s="1"/>
  <c r="AC6" i="1"/>
  <c r="AB6" i="1" s="1"/>
  <c r="AA6" i="1" s="1"/>
  <c r="N6" i="1"/>
  <c r="I6" i="1" s="1"/>
  <c r="J6" i="1"/>
  <c r="AK5" i="1"/>
  <c r="AC5" i="1"/>
  <c r="N5" i="1"/>
  <c r="I5" i="1" s="1"/>
  <c r="J5" i="1"/>
  <c r="AK4" i="1"/>
  <c r="AC4" i="1"/>
  <c r="AB4" i="1"/>
  <c r="AA4" i="1" s="1"/>
  <c r="N4" i="1"/>
  <c r="I4" i="1" s="1"/>
  <c r="J4" i="1"/>
  <c r="AQ2" i="1"/>
  <c r="AP2" i="1"/>
  <c r="AO2" i="1"/>
  <c r="AN2" i="1"/>
  <c r="AM2" i="1"/>
  <c r="AL2" i="1"/>
  <c r="AJ2" i="1"/>
  <c r="AI2" i="1"/>
  <c r="AH2" i="1"/>
  <c r="AG2" i="1"/>
  <c r="AF2" i="1"/>
  <c r="AE2" i="1"/>
  <c r="AD2" i="1"/>
  <c r="V2" i="1"/>
  <c r="U2" i="1"/>
  <c r="T2" i="1"/>
  <c r="S2" i="1"/>
  <c r="R2" i="1"/>
  <c r="Q2" i="1"/>
  <c r="P2" i="1"/>
  <c r="O2" i="1"/>
  <c r="M2" i="1"/>
  <c r="L2" i="1"/>
  <c r="K2" i="1"/>
  <c r="AB9" i="1" l="1"/>
  <c r="AA9" i="1" s="1"/>
  <c r="AB5" i="1"/>
  <c r="AA5" i="1" s="1"/>
  <c r="AB12" i="1"/>
  <c r="AA12" i="1" s="1"/>
  <c r="I14" i="1"/>
  <c r="AB8" i="1"/>
  <c r="AA8" i="1" s="1"/>
  <c r="AB11" i="1"/>
  <c r="AA11" i="1" s="1"/>
  <c r="N2" i="1"/>
  <c r="J2" i="1"/>
  <c r="A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高睿</author>
  </authors>
  <commentList>
    <comment ref="P9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高睿:</t>
        </r>
        <r>
          <rPr>
            <sz val="9"/>
            <rFont val="宋体"/>
            <family val="3"/>
            <charset val="134"/>
          </rPr>
          <t xml:space="preserve">
删除1500
</t>
        </r>
      </text>
    </comment>
    <comment ref="P10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高睿:</t>
        </r>
        <r>
          <rPr>
            <sz val="9"/>
            <rFont val="宋体"/>
            <family val="3"/>
            <charset val="134"/>
          </rPr>
          <t xml:space="preserve">
原1000后延到节后</t>
        </r>
      </text>
    </comment>
    <comment ref="AD10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高睿:</t>
        </r>
        <r>
          <rPr>
            <sz val="9"/>
            <rFont val="宋体"/>
            <family val="3"/>
            <charset val="134"/>
          </rPr>
          <t xml:space="preserve">
因芯片后延</t>
        </r>
      </text>
    </comment>
    <comment ref="AE10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高睿:可延到5月6日</t>
        </r>
      </text>
    </comment>
    <comment ref="Q11" authorId="0" shapeId="0" xr:uid="{00000000-0006-0000-0000-00000A000000}">
      <text>
        <r>
          <rPr>
            <b/>
            <sz val="9"/>
            <rFont val="宋体"/>
            <family val="3"/>
            <charset val="134"/>
          </rPr>
          <t>高睿:</t>
        </r>
        <r>
          <rPr>
            <sz val="9"/>
            <rFont val="宋体"/>
            <family val="3"/>
            <charset val="134"/>
          </rPr>
          <t xml:space="preserve">
原1000后移到节后</t>
        </r>
      </text>
    </comment>
    <comment ref="AH11" authorId="0" shapeId="0" xr:uid="{00000000-0006-0000-0000-00000B000000}">
      <text>
        <r>
          <rPr>
            <b/>
            <sz val="9"/>
            <rFont val="宋体"/>
            <family val="3"/>
            <charset val="134"/>
          </rPr>
          <t>高睿:</t>
        </r>
        <r>
          <rPr>
            <sz val="9"/>
            <rFont val="宋体"/>
            <family val="3"/>
            <charset val="134"/>
          </rPr>
          <t xml:space="preserve">
增加100</t>
        </r>
      </text>
    </comment>
    <comment ref="M12" authorId="0" shapeId="0" xr:uid="{00000000-0006-0000-0000-00000C000000}">
      <text>
        <r>
          <rPr>
            <b/>
            <sz val="9"/>
            <rFont val="宋体"/>
            <family val="3"/>
            <charset val="134"/>
          </rPr>
          <t>高睿:</t>
        </r>
        <r>
          <rPr>
            <sz val="9"/>
            <rFont val="宋体"/>
            <family val="3"/>
            <charset val="134"/>
          </rPr>
          <t xml:space="preserve">
后调到28号</t>
        </r>
      </text>
    </comment>
  </commentList>
</comments>
</file>

<file path=xl/sharedStrings.xml><?xml version="1.0" encoding="utf-8"?>
<sst xmlns="http://schemas.openxmlformats.org/spreadsheetml/2006/main" count="73" uniqueCount="49">
  <si>
    <r>
      <rPr>
        <sz val="10"/>
        <color theme="1"/>
        <rFont val="Times New Roman"/>
        <family val="1"/>
      </rPr>
      <t>CS</t>
    </r>
    <r>
      <rPr>
        <sz val="10"/>
        <color theme="1"/>
        <rFont val="黑体"/>
        <family val="3"/>
        <charset val="134"/>
      </rPr>
      <t>综合考虑库存、在产（排了上线的算）、客户需求后及调整空间，计算出对应的日期，需要生产下线入仓库的成品数量。</t>
    </r>
  </si>
  <si>
    <t>合计</t>
  </si>
  <si>
    <t>序号</t>
  </si>
  <si>
    <t>生产工厂</t>
  </si>
  <si>
    <t>CS</t>
  </si>
  <si>
    <t>客户</t>
  </si>
  <si>
    <t>客户料号</t>
  </si>
  <si>
    <r>
      <rPr>
        <sz val="10"/>
        <color theme="1"/>
        <rFont val="Times New Roman"/>
        <family val="1"/>
      </rPr>
      <t>1088</t>
    </r>
    <r>
      <rPr>
        <sz val="10"/>
        <color theme="1"/>
        <rFont val="黑体"/>
        <family val="3"/>
        <charset val="134"/>
      </rPr>
      <t>号</t>
    </r>
  </si>
  <si>
    <t>规格型号</t>
  </si>
  <si>
    <t>4/25号已下达</t>
  </si>
  <si>
    <t>未下达</t>
  </si>
  <si>
    <t>W17</t>
  </si>
  <si>
    <t>W18</t>
  </si>
  <si>
    <r>
      <rPr>
        <sz val="10"/>
        <color theme="1"/>
        <rFont val="Times New Roman"/>
        <family val="1"/>
      </rPr>
      <t>2026/5/1</t>
    </r>
    <r>
      <rPr>
        <sz val="10"/>
        <color theme="1"/>
        <rFont val="黑体"/>
        <family val="3"/>
        <charset val="134"/>
      </rPr>
      <t>假</t>
    </r>
  </si>
  <si>
    <r>
      <rPr>
        <sz val="10"/>
        <color theme="1"/>
        <rFont val="Times New Roman"/>
        <family val="1"/>
      </rPr>
      <t>2026/5/2</t>
    </r>
    <r>
      <rPr>
        <sz val="10"/>
        <color theme="1"/>
        <rFont val="黑体"/>
        <family val="3"/>
        <charset val="134"/>
      </rPr>
      <t>假</t>
    </r>
  </si>
  <si>
    <r>
      <rPr>
        <sz val="10"/>
        <color theme="1"/>
        <rFont val="Times New Roman"/>
        <family val="1"/>
      </rPr>
      <t>2026/5/3</t>
    </r>
    <r>
      <rPr>
        <sz val="10"/>
        <color theme="1"/>
        <rFont val="黑体"/>
        <family val="3"/>
        <charset val="134"/>
      </rPr>
      <t>假</t>
    </r>
  </si>
  <si>
    <r>
      <rPr>
        <sz val="10"/>
        <color theme="1"/>
        <rFont val="Times New Roman"/>
        <family val="1"/>
      </rPr>
      <t>CS</t>
    </r>
    <r>
      <rPr>
        <sz val="10"/>
        <color theme="1"/>
        <rFont val="黑体"/>
        <family val="3"/>
        <charset val="134"/>
      </rPr>
      <t>备注</t>
    </r>
  </si>
  <si>
    <t>4/25号PC答复，欠料详见MC汇总表</t>
  </si>
  <si>
    <t>4/29号定稿排产</t>
  </si>
  <si>
    <t>拉料明细</t>
  </si>
  <si>
    <t>差异数量</t>
  </si>
  <si>
    <t>两周需求</t>
  </si>
  <si>
    <t>W19</t>
  </si>
  <si>
    <r>
      <rPr>
        <sz val="10"/>
        <color theme="1"/>
        <rFont val="Times New Roman"/>
        <family val="1"/>
      </rPr>
      <t>2026/5/4</t>
    </r>
    <r>
      <rPr>
        <sz val="10"/>
        <color theme="1"/>
        <rFont val="黑体"/>
        <family val="3"/>
        <charset val="134"/>
      </rPr>
      <t>假</t>
    </r>
  </si>
  <si>
    <r>
      <rPr>
        <sz val="10"/>
        <color theme="1"/>
        <rFont val="Times New Roman"/>
        <family val="1"/>
      </rPr>
      <t>2026/5/5</t>
    </r>
    <r>
      <rPr>
        <sz val="10"/>
        <color theme="1"/>
        <rFont val="黑体"/>
        <family val="3"/>
        <charset val="134"/>
      </rPr>
      <t>假</t>
    </r>
  </si>
  <si>
    <t>W20</t>
  </si>
  <si>
    <t>W21</t>
  </si>
  <si>
    <t>高睿</t>
  </si>
  <si>
    <t>平度海信</t>
  </si>
  <si>
    <t xml:space="preserve">2189-B2401O-PC G0020 2417151  </t>
  </si>
  <si>
    <t xml:space="preserve">2189-B2401P-PC G0020 2419357  </t>
  </si>
  <si>
    <t>2189-B2401Q-PC G0020 2421473</t>
  </si>
  <si>
    <t xml:space="preserve">2189-B2401R-PC G0020 2478109  </t>
  </si>
  <si>
    <t xml:space="preserve">2189-B2401S-PC G0020 2416141  </t>
  </si>
  <si>
    <t>2189-B2401T-PC G0020 2416216</t>
  </si>
  <si>
    <t>2189-B2505A G0020 2489739</t>
  </si>
  <si>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月5日入1600</t>
    </r>
  </si>
  <si>
    <t>10150014044  剩余5.5预计分货18K/剩余继续分货</t>
  </si>
  <si>
    <t>2189-B2505AH G0020 2504046</t>
  </si>
  <si>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号入800</t>
    </r>
  </si>
  <si>
    <t>2189-B2505AI G0020 2504047</t>
  </si>
  <si>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号入500</t>
    </r>
  </si>
  <si>
    <t>已排产</t>
  </si>
  <si>
    <t>2189-B2505AJ G0020 2504049</t>
  </si>
  <si>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号入</t>
    </r>
    <r>
      <rPr>
        <sz val="10"/>
        <color theme="1"/>
        <rFont val="Times New Roman"/>
        <family val="1"/>
      </rPr>
      <t>140</t>
    </r>
  </si>
  <si>
    <t>2189-B2505AK G0020 20246774</t>
  </si>
  <si>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号入2000</t>
    </r>
  </si>
  <si>
    <t>2189-B2505F G0020 20107993</t>
  </si>
  <si>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号入1500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</si>
</sst>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b/>
      <sz val="10"/>
      <color rgb="FF7030A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1"/>
      <color rgb="FF006100"/>
      <name val="等线"/>
      <family val="3"/>
      <charset val="134"/>
      <scheme val="minor"/>
    </font>
    <font>
      <b/>
      <sz val="10"/>
      <name val="黑体"/>
      <family val="3"/>
      <charset val="134"/>
    </font>
    <font>
      <sz val="10"/>
      <color theme="1"/>
      <name val="黑体"/>
      <family val="3"/>
      <charset val="134"/>
    </font>
    <font>
      <sz val="10"/>
      <name val="黑体"/>
      <family val="3"/>
      <charset val="134"/>
    </font>
    <font>
      <sz val="10"/>
      <color theme="1"/>
      <name val="宋体"/>
      <family val="3"/>
      <charset val="134"/>
    </font>
    <font>
      <sz val="11"/>
      <color rgb="FF9C6500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571214941862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5544297616504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0" fontId="5" fillId="5" borderId="0" xfId="1" applyAlignment="1">
      <alignment horizontal="left" vertical="center" wrapText="1"/>
    </xf>
    <xf numFmtId="0" fontId="5" fillId="0" borderId="0" xfId="1" applyFill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5" fillId="5" borderId="1" xfId="1" applyBorder="1" applyAlignment="1">
      <alignment horizontal="left" vertical="center" wrapText="1"/>
    </xf>
    <xf numFmtId="0" fontId="5" fillId="0" borderId="1" xfId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5" fillId="5" borderId="1" xfId="1" applyBorder="1" applyAlignment="1">
      <alignment horizontal="left" vertical="center"/>
    </xf>
    <xf numFmtId="0" fontId="5" fillId="0" borderId="1" xfId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58" fontId="2" fillId="0" borderId="1" xfId="0" applyNumberFormat="1" applyFont="1" applyBorder="1" applyAlignment="1">
      <alignment horizontal="left" vertical="center" wrapText="1"/>
    </xf>
    <xf numFmtId="58" fontId="2" fillId="6" borderId="1" xfId="0" applyNumberFormat="1" applyFont="1" applyFill="1" applyBorder="1" applyAlignment="1">
      <alignment horizontal="left" vertical="center" wrapText="1"/>
    </xf>
    <xf numFmtId="58" fontId="2" fillId="4" borderId="1" xfId="0" applyNumberFormat="1" applyFont="1" applyFill="1" applyBorder="1" applyAlignment="1">
      <alignment horizontal="left" vertical="center" wrapText="1"/>
    </xf>
    <xf numFmtId="58" fontId="5" fillId="5" borderId="1" xfId="1" applyNumberFormat="1" applyBorder="1" applyAlignment="1">
      <alignment horizontal="left" vertical="center" wrapText="1"/>
    </xf>
    <xf numFmtId="58" fontId="5" fillId="0" borderId="1" xfId="1" applyNumberForma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0" fillId="8" borderId="1" xfId="2" applyBorder="1" applyAlignment="1">
      <alignment horizontal="left" vertical="center" wrapText="1"/>
    </xf>
    <xf numFmtId="0" fontId="10" fillId="0" borderId="1" xfId="2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</cellXfs>
  <cellStyles count="3">
    <cellStyle name="常规" xfId="0" builtinId="0"/>
    <cellStyle name="好" xfId="1" builtinId="26"/>
    <cellStyle name="适中" xfId="2" builtinId="28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A78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5"/>
  <sheetViews>
    <sheetView tabSelected="1" workbookViewId="0">
      <pane xSplit="7" ySplit="3" topLeftCell="H4" activePane="bottomRight" state="frozen"/>
      <selection pane="topRight"/>
      <selection pane="bottomLeft"/>
      <selection pane="bottomRight" activeCell="AD19" sqref="AD19"/>
    </sheetView>
  </sheetViews>
  <sheetFormatPr defaultColWidth="5" defaultRowHeight="14" x14ac:dyDescent="0.3"/>
  <cols>
    <col min="1" max="1" width="3.33203125" style="3" customWidth="1"/>
    <col min="2" max="2" width="6.25" style="4" customWidth="1"/>
    <col min="3" max="3" width="4.75" style="4" customWidth="1"/>
    <col min="4" max="4" width="8.08203125" style="4" customWidth="1"/>
    <col min="5" max="5" width="14.25" style="5" customWidth="1"/>
    <col min="6" max="6" width="14.08203125" style="5" customWidth="1"/>
    <col min="7" max="7" width="26.25" style="6" hidden="1" customWidth="1"/>
    <col min="8" max="8" width="13.08203125" style="6" hidden="1" customWidth="1"/>
    <col min="9" max="9" width="9.33203125" style="6" hidden="1" customWidth="1"/>
    <col min="10" max="10" width="5.6640625" style="7" hidden="1" customWidth="1"/>
    <col min="11" max="11" width="8.25" style="5" hidden="1" customWidth="1"/>
    <col min="12" max="12" width="7.25" style="5" hidden="1" customWidth="1"/>
    <col min="13" max="13" width="8.6640625" style="5" hidden="1" customWidth="1"/>
    <col min="14" max="14" width="8.08203125" style="8" hidden="1" customWidth="1"/>
    <col min="15" max="15" width="7.33203125" style="4" hidden="1" customWidth="1"/>
    <col min="16" max="16" width="8.33203125" style="4" hidden="1" customWidth="1"/>
    <col min="17" max="17" width="7.75" style="4" hidden="1" customWidth="1"/>
    <col min="18" max="18" width="8" style="4" hidden="1" customWidth="1"/>
    <col min="19" max="19" width="9.33203125" style="4" hidden="1" customWidth="1"/>
    <col min="20" max="20" width="8.25" style="4" hidden="1" customWidth="1"/>
    <col min="21" max="21" width="6" style="4" hidden="1" customWidth="1"/>
    <col min="22" max="22" width="10" style="9" customWidth="1"/>
    <col min="23" max="23" width="36" style="10" hidden="1" customWidth="1"/>
    <col min="24" max="24" width="25.4140625" style="11" hidden="1" customWidth="1"/>
    <col min="25" max="25" width="17.08203125" style="11" hidden="1" customWidth="1"/>
    <col min="26" max="26" width="11" style="11" hidden="1" customWidth="1"/>
    <col min="27" max="27" width="10.6640625" style="12" hidden="1" customWidth="1"/>
    <col min="28" max="28" width="11.08203125" style="11" hidden="1" customWidth="1"/>
    <col min="29" max="29" width="8" style="8" customWidth="1"/>
    <col min="30" max="36" width="9.08203125" style="4" customWidth="1"/>
    <col min="37" max="37" width="8.08203125" style="8" customWidth="1"/>
    <col min="38" max="43" width="8.9140625" style="4" customWidth="1"/>
    <col min="44" max="44" width="6.6640625" style="13"/>
    <col min="45" max="16384" width="5" style="4"/>
  </cols>
  <sheetData>
    <row r="1" spans="1:44" x14ac:dyDescent="0.3">
      <c r="A1" s="14" t="s">
        <v>0</v>
      </c>
      <c r="B1" s="15"/>
      <c r="C1" s="15"/>
      <c r="D1" s="15"/>
      <c r="E1" s="16"/>
      <c r="F1" s="16"/>
      <c r="G1" s="17"/>
      <c r="H1" s="17"/>
      <c r="I1" s="17"/>
      <c r="J1" s="18"/>
      <c r="K1" s="50"/>
      <c r="L1" s="50"/>
      <c r="M1" s="50"/>
      <c r="N1" s="19"/>
      <c r="O1" s="51"/>
      <c r="P1" s="51"/>
      <c r="Q1" s="51"/>
      <c r="R1" s="51"/>
      <c r="S1" s="51"/>
      <c r="T1" s="51"/>
      <c r="U1" s="51"/>
      <c r="V1" s="20"/>
      <c r="W1" s="21"/>
      <c r="X1" s="22"/>
      <c r="Y1" s="22"/>
      <c r="Z1" s="22"/>
      <c r="AB1" s="22"/>
      <c r="AC1" s="19"/>
      <c r="AD1" s="15"/>
      <c r="AE1" s="15"/>
      <c r="AF1" s="15"/>
      <c r="AG1" s="15"/>
      <c r="AH1" s="15"/>
      <c r="AI1" s="15"/>
      <c r="AJ1" s="15"/>
      <c r="AK1" s="19"/>
      <c r="AL1" s="15"/>
      <c r="AM1" s="15"/>
      <c r="AN1" s="15"/>
      <c r="AO1" s="15"/>
      <c r="AP1" s="15"/>
      <c r="AQ1" s="15"/>
      <c r="AR1" s="23"/>
    </row>
    <row r="2" spans="1:44" s="1" customFormat="1" x14ac:dyDescent="0.3">
      <c r="A2" s="24"/>
      <c r="B2" s="25"/>
      <c r="C2" s="25"/>
      <c r="D2" s="25"/>
      <c r="E2" s="26"/>
      <c r="F2" s="26"/>
      <c r="G2" s="27" t="s">
        <v>1</v>
      </c>
      <c r="H2" s="27"/>
      <c r="I2" s="27"/>
      <c r="J2" s="26">
        <f>SUBTOTAL(9,J4:J15)</f>
        <v>0</v>
      </c>
      <c r="K2" s="26">
        <f>SUBTOTAL(9,K4:K15)</f>
        <v>0</v>
      </c>
      <c r="L2" s="26">
        <f>SUBTOTAL(9,L4:L15)</f>
        <v>0</v>
      </c>
      <c r="M2" s="26">
        <f>SUBTOTAL(9,M4:M15)</f>
        <v>0</v>
      </c>
      <c r="N2" s="26">
        <f>SUBTOTAL(9,N4:N15)</f>
        <v>7500</v>
      </c>
      <c r="O2" s="26">
        <f>SUBTOTAL(9,O4:O15)</f>
        <v>1000</v>
      </c>
      <c r="P2" s="26">
        <f>SUBTOTAL(9,P4:P15)</f>
        <v>3500</v>
      </c>
      <c r="Q2" s="26">
        <f>SUBTOTAL(9,Q4:Q15)</f>
        <v>2000</v>
      </c>
      <c r="R2" s="26">
        <f>SUBTOTAL(9,R4:R15)</f>
        <v>1000</v>
      </c>
      <c r="S2" s="26">
        <f>SUBTOTAL(9,S4:S15)</f>
        <v>0</v>
      </c>
      <c r="T2" s="26">
        <f>SUBTOTAL(9,T4:T15)</f>
        <v>0</v>
      </c>
      <c r="U2" s="26">
        <f>SUBTOTAL(9,U4:U15)</f>
        <v>0</v>
      </c>
      <c r="V2" s="26">
        <f>SUBTOTAL(9,V4:V15)</f>
        <v>0</v>
      </c>
      <c r="W2" s="28"/>
      <c r="X2" s="29"/>
      <c r="Y2" s="29"/>
      <c r="Z2" s="29"/>
      <c r="AA2" s="12"/>
      <c r="AB2" s="29"/>
      <c r="AC2" s="26">
        <f>SUBTOTAL(9,AC4:AC15)</f>
        <v>0</v>
      </c>
      <c r="AD2" s="26">
        <f>SUBTOTAL(9,AD4:AD15)</f>
        <v>4100</v>
      </c>
      <c r="AE2" s="26">
        <f>SUBTOTAL(9,AE4:AE15)</f>
        <v>1000</v>
      </c>
      <c r="AF2" s="26">
        <f>SUBTOTAL(9,AF4:AF15)</f>
        <v>0</v>
      </c>
      <c r="AG2" s="26">
        <f>SUBTOTAL(9,AG4:AG15)</f>
        <v>140</v>
      </c>
      <c r="AH2" s="26">
        <f>SUBTOTAL(9,AH4:AH15)</f>
        <v>1300</v>
      </c>
      <c r="AI2" s="26">
        <f>SUBTOTAL(9,AI4:AI15)</f>
        <v>0</v>
      </c>
      <c r="AJ2" s="26">
        <f>SUBTOTAL(9,AJ4:AJ15)</f>
        <v>4200</v>
      </c>
      <c r="AK2" s="26">
        <f>SUBTOTAL(9,AK4:AK15)</f>
        <v>14250</v>
      </c>
      <c r="AL2" s="26">
        <f>SUBTOTAL(9,AL4:AL15)</f>
        <v>0</v>
      </c>
      <c r="AM2" s="26">
        <f>SUBTOTAL(9,AM4:AM15)</f>
        <v>5600</v>
      </c>
      <c r="AN2" s="26">
        <f>SUBTOTAL(9,AN4:AN15)</f>
        <v>0</v>
      </c>
      <c r="AO2" s="26">
        <f>SUBTOTAL(9,AO4:AO15)</f>
        <v>1650</v>
      </c>
      <c r="AP2" s="26">
        <f>SUBTOTAL(9,AP4:AP15)</f>
        <v>1200</v>
      </c>
      <c r="AQ2" s="26">
        <f>SUBTOTAL(9,AQ4:AQ15)</f>
        <v>5800</v>
      </c>
      <c r="AR2" s="26">
        <f>SUBTOTAL(9,AR4:AR15)</f>
        <v>17980</v>
      </c>
    </row>
    <row r="3" spans="1:44" s="2" customFormat="1" ht="26.5" x14ac:dyDescent="0.3">
      <c r="A3" s="30" t="s">
        <v>2</v>
      </c>
      <c r="B3" s="30" t="s">
        <v>3</v>
      </c>
      <c r="C3" s="31" t="s">
        <v>4</v>
      </c>
      <c r="D3" s="30" t="s">
        <v>5</v>
      </c>
      <c r="E3" s="30" t="s">
        <v>6</v>
      </c>
      <c r="F3" s="31" t="s">
        <v>7</v>
      </c>
      <c r="G3" s="32" t="s">
        <v>8</v>
      </c>
      <c r="H3" s="32" t="s">
        <v>9</v>
      </c>
      <c r="I3" s="32" t="s">
        <v>10</v>
      </c>
      <c r="J3" s="33" t="s">
        <v>11</v>
      </c>
      <c r="K3" s="34">
        <v>46136</v>
      </c>
      <c r="L3" s="34">
        <v>46137</v>
      </c>
      <c r="M3" s="34">
        <v>46138</v>
      </c>
      <c r="N3" s="33" t="s">
        <v>12</v>
      </c>
      <c r="O3" s="34">
        <v>46139</v>
      </c>
      <c r="P3" s="34">
        <v>46140</v>
      </c>
      <c r="Q3" s="34">
        <v>46141</v>
      </c>
      <c r="R3" s="34">
        <v>46142</v>
      </c>
      <c r="S3" s="35" t="s">
        <v>13</v>
      </c>
      <c r="T3" s="35" t="s">
        <v>14</v>
      </c>
      <c r="U3" s="35" t="s">
        <v>15</v>
      </c>
      <c r="V3" s="36" t="s">
        <v>16</v>
      </c>
      <c r="W3" s="37" t="s">
        <v>17</v>
      </c>
      <c r="X3" s="38"/>
      <c r="Y3" s="38" t="s">
        <v>18</v>
      </c>
      <c r="Z3" s="38" t="s">
        <v>19</v>
      </c>
      <c r="AA3" s="39" t="s">
        <v>20</v>
      </c>
      <c r="AB3" s="38" t="s">
        <v>21</v>
      </c>
      <c r="AC3" s="33" t="s">
        <v>22</v>
      </c>
      <c r="AD3" s="35" t="s">
        <v>23</v>
      </c>
      <c r="AE3" s="35" t="s">
        <v>24</v>
      </c>
      <c r="AF3" s="34">
        <v>46148</v>
      </c>
      <c r="AG3" s="34">
        <v>46149</v>
      </c>
      <c r="AH3" s="34">
        <v>46150</v>
      </c>
      <c r="AI3" s="34">
        <v>46151</v>
      </c>
      <c r="AJ3" s="34">
        <v>46152</v>
      </c>
      <c r="AK3" s="33" t="s">
        <v>25</v>
      </c>
      <c r="AL3" s="34">
        <v>46153</v>
      </c>
      <c r="AM3" s="34">
        <v>46154</v>
      </c>
      <c r="AN3" s="34">
        <v>46155</v>
      </c>
      <c r="AO3" s="34">
        <v>46156</v>
      </c>
      <c r="AP3" s="34">
        <v>46157</v>
      </c>
      <c r="AQ3" s="34">
        <v>46158</v>
      </c>
      <c r="AR3" s="33" t="s">
        <v>26</v>
      </c>
    </row>
    <row r="4" spans="1:44" ht="13" x14ac:dyDescent="0.3">
      <c r="A4" s="16">
        <v>11</v>
      </c>
      <c r="B4" s="16">
        <v>1900</v>
      </c>
      <c r="C4" s="40" t="s">
        <v>27</v>
      </c>
      <c r="D4" s="40" t="s">
        <v>28</v>
      </c>
      <c r="E4" s="41">
        <v>2417151</v>
      </c>
      <c r="F4" s="42">
        <v>10880037200</v>
      </c>
      <c r="G4" s="43" t="s">
        <v>29</v>
      </c>
      <c r="H4" s="43">
        <v>0</v>
      </c>
      <c r="I4" s="43">
        <f t="shared" ref="I4:I15" si="0">+H4-N4</f>
        <v>0</v>
      </c>
      <c r="J4" s="18">
        <f t="shared" ref="J4:J15" si="1">SUM(K4:M4)</f>
        <v>0</v>
      </c>
      <c r="K4" s="41"/>
      <c r="L4" s="41"/>
      <c r="M4" s="41"/>
      <c r="N4" s="18">
        <f t="shared" ref="N4:N15" si="2">SUM(O4:U4)</f>
        <v>0</v>
      </c>
      <c r="O4" s="44"/>
      <c r="P4" s="44"/>
      <c r="Q4" s="44"/>
      <c r="R4" s="44"/>
      <c r="S4" s="44"/>
      <c r="T4" s="44"/>
      <c r="U4" s="44"/>
      <c r="V4" s="45"/>
      <c r="W4" s="45"/>
      <c r="X4" s="46"/>
      <c r="Y4" s="46"/>
      <c r="Z4" s="46"/>
      <c r="AA4" s="12">
        <f t="shared" ref="AA4:AA15" si="3">+Y4+Z4-AB4</f>
        <v>0</v>
      </c>
      <c r="AB4" s="46">
        <f t="shared" ref="AB4:AB15" si="4">+AC4+AK4</f>
        <v>0</v>
      </c>
      <c r="AC4" s="19">
        <f t="shared" ref="AC4:AC15" si="5">SUBTOTAL(9,AD4:AJ4)</f>
        <v>0</v>
      </c>
      <c r="AD4" s="44"/>
      <c r="AE4" s="44"/>
      <c r="AF4" s="44"/>
      <c r="AG4" s="44"/>
      <c r="AH4" s="44"/>
      <c r="AI4" s="44"/>
      <c r="AJ4" s="15"/>
      <c r="AK4" s="19">
        <f t="shared" ref="AK4:AK15" si="6">SUM(AL4:AQ4)</f>
        <v>0</v>
      </c>
      <c r="AL4" s="15"/>
      <c r="AM4" s="15"/>
      <c r="AN4" s="15"/>
      <c r="AO4" s="15"/>
      <c r="AP4" s="15"/>
      <c r="AQ4" s="15"/>
      <c r="AR4" s="23"/>
    </row>
    <row r="5" spans="1:44" ht="13" x14ac:dyDescent="0.3">
      <c r="A5" s="16">
        <v>12</v>
      </c>
      <c r="B5" s="16">
        <v>1900</v>
      </c>
      <c r="C5" s="40" t="s">
        <v>27</v>
      </c>
      <c r="D5" s="40" t="s">
        <v>28</v>
      </c>
      <c r="E5" s="41">
        <v>2419357</v>
      </c>
      <c r="F5" s="42">
        <v>10880037201</v>
      </c>
      <c r="G5" s="43" t="s">
        <v>30</v>
      </c>
      <c r="H5" s="43">
        <v>0</v>
      </c>
      <c r="I5" s="43">
        <f t="shared" si="0"/>
        <v>0</v>
      </c>
      <c r="J5" s="18">
        <f t="shared" si="1"/>
        <v>0</v>
      </c>
      <c r="K5" s="41"/>
      <c r="L5" s="41"/>
      <c r="M5" s="41"/>
      <c r="N5" s="18">
        <f t="shared" si="2"/>
        <v>0</v>
      </c>
      <c r="O5" s="44"/>
      <c r="P5" s="44"/>
      <c r="Q5" s="44"/>
      <c r="R5" s="44"/>
      <c r="S5" s="44"/>
      <c r="T5" s="44"/>
      <c r="U5" s="44"/>
      <c r="V5" s="45"/>
      <c r="W5" s="45"/>
      <c r="X5" s="46"/>
      <c r="Y5" s="46"/>
      <c r="Z5" s="46"/>
      <c r="AA5" s="12">
        <f t="shared" si="3"/>
        <v>0</v>
      </c>
      <c r="AB5" s="46">
        <f t="shared" si="4"/>
        <v>0</v>
      </c>
      <c r="AC5" s="19">
        <f t="shared" si="5"/>
        <v>0</v>
      </c>
      <c r="AD5" s="44"/>
      <c r="AE5" s="44"/>
      <c r="AF5" s="44"/>
      <c r="AG5" s="44"/>
      <c r="AH5" s="44"/>
      <c r="AI5" s="44"/>
      <c r="AJ5" s="15"/>
      <c r="AK5" s="19">
        <f t="shared" si="6"/>
        <v>0</v>
      </c>
      <c r="AL5" s="15"/>
      <c r="AM5" s="15"/>
      <c r="AN5" s="15"/>
      <c r="AO5" s="15"/>
      <c r="AP5" s="15"/>
      <c r="AQ5" s="15"/>
      <c r="AR5" s="23">
        <v>130</v>
      </c>
    </row>
    <row r="6" spans="1:44" ht="13" x14ac:dyDescent="0.3">
      <c r="A6" s="16">
        <v>13</v>
      </c>
      <c r="B6" s="16">
        <v>1900</v>
      </c>
      <c r="C6" s="40" t="s">
        <v>27</v>
      </c>
      <c r="D6" s="40" t="s">
        <v>28</v>
      </c>
      <c r="E6" s="16">
        <v>2421473</v>
      </c>
      <c r="F6" s="42">
        <v>10880037202</v>
      </c>
      <c r="G6" s="43" t="s">
        <v>31</v>
      </c>
      <c r="H6" s="43">
        <v>0</v>
      </c>
      <c r="I6" s="43">
        <f t="shared" si="0"/>
        <v>0</v>
      </c>
      <c r="J6" s="18">
        <f t="shared" si="1"/>
        <v>0</v>
      </c>
      <c r="K6" s="41"/>
      <c r="L6" s="41"/>
      <c r="M6" s="41"/>
      <c r="N6" s="18">
        <f t="shared" si="2"/>
        <v>0</v>
      </c>
      <c r="O6" s="44"/>
      <c r="P6" s="44"/>
      <c r="Q6" s="44"/>
      <c r="R6" s="44"/>
      <c r="S6" s="44"/>
      <c r="T6" s="44"/>
      <c r="U6" s="44"/>
      <c r="V6" s="45"/>
      <c r="W6" s="45"/>
      <c r="X6" s="46"/>
      <c r="Y6" s="46"/>
      <c r="Z6" s="46"/>
      <c r="AA6" s="12">
        <f t="shared" si="3"/>
        <v>0</v>
      </c>
      <c r="AB6" s="46">
        <f t="shared" si="4"/>
        <v>0</v>
      </c>
      <c r="AC6" s="19">
        <f t="shared" si="5"/>
        <v>0</v>
      </c>
      <c r="AD6" s="44"/>
      <c r="AE6" s="44"/>
      <c r="AF6" s="44"/>
      <c r="AG6" s="44"/>
      <c r="AH6" s="44"/>
      <c r="AI6" s="44"/>
      <c r="AJ6" s="15"/>
      <c r="AK6" s="19">
        <f t="shared" si="6"/>
        <v>0</v>
      </c>
      <c r="AL6" s="15"/>
      <c r="AM6" s="15"/>
      <c r="AN6" s="15"/>
      <c r="AO6" s="15"/>
      <c r="AP6" s="15"/>
      <c r="AQ6" s="15"/>
      <c r="AR6" s="23"/>
    </row>
    <row r="7" spans="1:44" ht="13" x14ac:dyDescent="0.3">
      <c r="A7" s="16">
        <v>14</v>
      </c>
      <c r="B7" s="16">
        <v>1900</v>
      </c>
      <c r="C7" s="40" t="s">
        <v>27</v>
      </c>
      <c r="D7" s="40" t="s">
        <v>28</v>
      </c>
      <c r="E7" s="16">
        <v>2478109</v>
      </c>
      <c r="F7" s="42">
        <v>10880037203</v>
      </c>
      <c r="G7" s="43" t="s">
        <v>32</v>
      </c>
      <c r="H7" s="43">
        <v>0</v>
      </c>
      <c r="I7" s="43">
        <f t="shared" si="0"/>
        <v>0</v>
      </c>
      <c r="J7" s="18">
        <f t="shared" si="1"/>
        <v>0</v>
      </c>
      <c r="K7" s="41"/>
      <c r="L7" s="41"/>
      <c r="M7" s="41"/>
      <c r="N7" s="18">
        <f t="shared" si="2"/>
        <v>0</v>
      </c>
      <c r="O7" s="44"/>
      <c r="P7" s="44"/>
      <c r="Q7" s="44"/>
      <c r="R7" s="44"/>
      <c r="S7" s="44"/>
      <c r="T7" s="44"/>
      <c r="U7" s="44"/>
      <c r="V7" s="45"/>
      <c r="W7" s="45"/>
      <c r="X7" s="46"/>
      <c r="Y7" s="46"/>
      <c r="Z7" s="46"/>
      <c r="AA7" s="12">
        <f t="shared" si="3"/>
        <v>0</v>
      </c>
      <c r="AB7" s="46">
        <f t="shared" si="4"/>
        <v>0</v>
      </c>
      <c r="AC7" s="19">
        <f t="shared" si="5"/>
        <v>0</v>
      </c>
      <c r="AD7" s="44"/>
      <c r="AE7" s="44"/>
      <c r="AF7" s="44"/>
      <c r="AG7" s="44"/>
      <c r="AH7" s="44"/>
      <c r="AI7" s="44"/>
      <c r="AJ7" s="15"/>
      <c r="AK7" s="19">
        <f t="shared" si="6"/>
        <v>0</v>
      </c>
      <c r="AL7" s="15"/>
      <c r="AM7" s="15"/>
      <c r="AN7" s="15"/>
      <c r="AO7" s="15"/>
      <c r="AP7" s="15"/>
      <c r="AQ7" s="15"/>
      <c r="AR7" s="23"/>
    </row>
    <row r="8" spans="1:44" ht="13" x14ac:dyDescent="0.3">
      <c r="A8" s="16">
        <v>15</v>
      </c>
      <c r="B8" s="16">
        <v>1900</v>
      </c>
      <c r="C8" s="40" t="s">
        <v>27</v>
      </c>
      <c r="D8" s="40" t="s">
        <v>28</v>
      </c>
      <c r="E8" s="41">
        <v>2416141</v>
      </c>
      <c r="F8" s="42">
        <v>10880037204</v>
      </c>
      <c r="G8" s="43" t="s">
        <v>33</v>
      </c>
      <c r="H8" s="43">
        <v>0</v>
      </c>
      <c r="I8" s="43">
        <f t="shared" si="0"/>
        <v>0</v>
      </c>
      <c r="J8" s="18">
        <f t="shared" si="1"/>
        <v>0</v>
      </c>
      <c r="K8" s="41"/>
      <c r="L8" s="41"/>
      <c r="M8" s="41"/>
      <c r="N8" s="18">
        <f t="shared" si="2"/>
        <v>0</v>
      </c>
      <c r="O8" s="44"/>
      <c r="P8" s="44"/>
      <c r="Q8" s="44"/>
      <c r="R8" s="44"/>
      <c r="S8" s="44"/>
      <c r="T8" s="44"/>
      <c r="U8" s="44"/>
      <c r="V8" s="45"/>
      <c r="W8" s="45"/>
      <c r="X8" s="46"/>
      <c r="Y8" s="46"/>
      <c r="Z8" s="46"/>
      <c r="AA8" s="12">
        <f t="shared" si="3"/>
        <v>0</v>
      </c>
      <c r="AB8" s="46">
        <f t="shared" si="4"/>
        <v>0</v>
      </c>
      <c r="AC8" s="19">
        <f t="shared" si="5"/>
        <v>0</v>
      </c>
      <c r="AD8" s="44"/>
      <c r="AE8" s="44"/>
      <c r="AF8" s="44"/>
      <c r="AG8" s="44"/>
      <c r="AH8" s="44"/>
      <c r="AI8" s="44"/>
      <c r="AJ8" s="15"/>
      <c r="AK8" s="19">
        <f t="shared" si="6"/>
        <v>0</v>
      </c>
      <c r="AL8" s="15"/>
      <c r="AM8" s="15"/>
      <c r="AN8" s="15"/>
      <c r="AO8" s="15"/>
      <c r="AP8" s="15"/>
      <c r="AQ8" s="15"/>
      <c r="AR8" s="23">
        <v>700</v>
      </c>
    </row>
    <row r="9" spans="1:44" ht="13" x14ac:dyDescent="0.3">
      <c r="A9" s="16">
        <v>16</v>
      </c>
      <c r="B9" s="16">
        <v>1900</v>
      </c>
      <c r="C9" s="40" t="s">
        <v>27</v>
      </c>
      <c r="D9" s="40" t="s">
        <v>28</v>
      </c>
      <c r="E9" s="41">
        <v>2416216</v>
      </c>
      <c r="F9" s="42">
        <v>10880037205</v>
      </c>
      <c r="G9" s="43" t="s">
        <v>34</v>
      </c>
      <c r="H9" s="43">
        <v>0</v>
      </c>
      <c r="I9" s="43">
        <f t="shared" si="0"/>
        <v>0</v>
      </c>
      <c r="J9" s="18">
        <f t="shared" si="1"/>
        <v>0</v>
      </c>
      <c r="K9" s="12"/>
      <c r="L9" s="12"/>
      <c r="M9" s="12"/>
      <c r="N9" s="18">
        <f t="shared" si="2"/>
        <v>0</v>
      </c>
      <c r="O9" s="44"/>
      <c r="P9" s="44">
        <v>0</v>
      </c>
      <c r="Q9" s="44"/>
      <c r="R9" s="44"/>
      <c r="S9" s="44"/>
      <c r="T9" s="44"/>
      <c r="U9" s="44"/>
      <c r="V9" s="20"/>
      <c r="W9" s="20"/>
      <c r="X9" s="12"/>
      <c r="Y9" s="12"/>
      <c r="Z9" s="46">
        <v>1200</v>
      </c>
      <c r="AA9" s="12">
        <f t="shared" si="3"/>
        <v>0</v>
      </c>
      <c r="AB9" s="46">
        <f t="shared" si="4"/>
        <v>1200</v>
      </c>
      <c r="AC9" s="19">
        <f t="shared" si="5"/>
        <v>0</v>
      </c>
      <c r="AD9" s="44"/>
      <c r="AE9" s="44"/>
      <c r="AF9" s="44"/>
      <c r="AG9" s="44"/>
      <c r="AH9" s="44"/>
      <c r="AI9" s="44"/>
      <c r="AJ9" s="15"/>
      <c r="AK9" s="19">
        <f t="shared" si="6"/>
        <v>1200</v>
      </c>
      <c r="AL9" s="15"/>
      <c r="AM9" s="15"/>
      <c r="AN9" s="15"/>
      <c r="AO9" s="15"/>
      <c r="AP9" s="15">
        <v>1200</v>
      </c>
      <c r="AQ9" s="15"/>
      <c r="AR9" s="23">
        <f>1000+2000</f>
        <v>3000</v>
      </c>
    </row>
    <row r="10" spans="1:44" ht="24.9" customHeight="1" x14ac:dyDescent="0.3">
      <c r="A10" s="16">
        <v>17</v>
      </c>
      <c r="B10" s="16">
        <v>1900</v>
      </c>
      <c r="C10" s="40" t="s">
        <v>27</v>
      </c>
      <c r="D10" s="40" t="s">
        <v>28</v>
      </c>
      <c r="E10" s="41">
        <v>2489739</v>
      </c>
      <c r="F10" s="42">
        <v>10880036058</v>
      </c>
      <c r="G10" s="43" t="s">
        <v>35</v>
      </c>
      <c r="H10" s="43">
        <v>0</v>
      </c>
      <c r="I10" s="43">
        <f t="shared" si="0"/>
        <v>0</v>
      </c>
      <c r="J10" s="18">
        <f t="shared" si="1"/>
        <v>0</v>
      </c>
      <c r="K10" s="41"/>
      <c r="L10" s="41"/>
      <c r="M10" s="41"/>
      <c r="N10" s="18">
        <f t="shared" si="2"/>
        <v>0</v>
      </c>
      <c r="O10" s="44"/>
      <c r="P10" s="44">
        <v>0</v>
      </c>
      <c r="Q10" s="44"/>
      <c r="S10" s="44"/>
      <c r="T10" s="44"/>
      <c r="U10" s="44"/>
      <c r="V10" s="20" t="s">
        <v>36</v>
      </c>
      <c r="W10" s="47" t="s">
        <v>37</v>
      </c>
      <c r="X10" s="48"/>
      <c r="Y10" s="12">
        <v>1600</v>
      </c>
      <c r="Z10" s="46">
        <v>6600</v>
      </c>
      <c r="AA10" s="12">
        <f t="shared" si="3"/>
        <v>0</v>
      </c>
      <c r="AB10" s="46">
        <f t="shared" si="4"/>
        <v>8200</v>
      </c>
      <c r="AC10" s="19">
        <f t="shared" si="5"/>
        <v>3700</v>
      </c>
      <c r="AD10" s="49">
        <v>600</v>
      </c>
      <c r="AE10" s="44">
        <v>1000</v>
      </c>
      <c r="AF10" s="44"/>
      <c r="AG10" s="44"/>
      <c r="AH10" s="44"/>
      <c r="AI10" s="44"/>
      <c r="AJ10" s="15">
        <v>2100</v>
      </c>
      <c r="AK10" s="19">
        <f t="shared" si="6"/>
        <v>4500</v>
      </c>
      <c r="AL10" s="15"/>
      <c r="AM10" s="15">
        <v>2100</v>
      </c>
      <c r="AN10" s="15"/>
      <c r="AO10" s="15"/>
      <c r="AP10" s="15"/>
      <c r="AQ10" s="15">
        <v>2400</v>
      </c>
      <c r="AR10" s="23">
        <v>6000</v>
      </c>
    </row>
    <row r="11" spans="1:44" ht="13.5" x14ac:dyDescent="0.3">
      <c r="A11" s="16">
        <v>18</v>
      </c>
      <c r="B11" s="16">
        <v>1900</v>
      </c>
      <c r="C11" s="40" t="s">
        <v>27</v>
      </c>
      <c r="D11" s="40" t="s">
        <v>28</v>
      </c>
      <c r="E11" s="41">
        <v>2504046</v>
      </c>
      <c r="F11" s="42">
        <v>10880038598</v>
      </c>
      <c r="G11" s="43" t="s">
        <v>38</v>
      </c>
      <c r="H11" s="43">
        <v>0</v>
      </c>
      <c r="I11" s="43">
        <f t="shared" si="0"/>
        <v>0</v>
      </c>
      <c r="J11" s="18">
        <f t="shared" si="1"/>
        <v>0</v>
      </c>
      <c r="K11" s="41"/>
      <c r="L11" s="41"/>
      <c r="M11" s="41"/>
      <c r="N11" s="18">
        <f t="shared" si="2"/>
        <v>0</v>
      </c>
      <c r="O11" s="44"/>
      <c r="P11" s="44"/>
      <c r="Q11" s="44"/>
      <c r="R11" s="44"/>
      <c r="S11" s="44"/>
      <c r="T11" s="44"/>
      <c r="U11" s="44"/>
      <c r="V11" s="20" t="s">
        <v>39</v>
      </c>
      <c r="W11" s="20"/>
      <c r="X11" s="12"/>
      <c r="Y11" s="12">
        <v>800</v>
      </c>
      <c r="Z11" s="46"/>
      <c r="AA11" s="12">
        <f t="shared" si="3"/>
        <v>0</v>
      </c>
      <c r="AB11" s="46">
        <f t="shared" si="4"/>
        <v>800</v>
      </c>
      <c r="AC11" s="19">
        <f t="shared" si="5"/>
        <v>800</v>
      </c>
      <c r="AD11" s="44"/>
      <c r="AE11" s="44"/>
      <c r="AF11" s="44"/>
      <c r="AG11" s="44"/>
      <c r="AH11" s="49">
        <v>800</v>
      </c>
      <c r="AI11" s="44"/>
      <c r="AJ11" s="15"/>
      <c r="AK11" s="19">
        <f t="shared" si="6"/>
        <v>0</v>
      </c>
      <c r="AL11" s="15"/>
      <c r="AM11" s="15"/>
      <c r="AN11" s="15"/>
      <c r="AO11" s="15"/>
      <c r="AP11" s="15"/>
      <c r="AQ11" s="15"/>
      <c r="AR11" s="23"/>
    </row>
    <row r="12" spans="1:44" x14ac:dyDescent="0.3">
      <c r="A12" s="16">
        <v>19</v>
      </c>
      <c r="B12" s="16">
        <v>1900</v>
      </c>
      <c r="C12" s="40" t="s">
        <v>27</v>
      </c>
      <c r="D12" s="40" t="s">
        <v>28</v>
      </c>
      <c r="E12" s="41">
        <v>2504047</v>
      </c>
      <c r="F12" s="42">
        <v>10880038600</v>
      </c>
      <c r="G12" s="43" t="s">
        <v>40</v>
      </c>
      <c r="H12" s="43">
        <v>1500</v>
      </c>
      <c r="I12" s="43">
        <f t="shared" si="0"/>
        <v>0</v>
      </c>
      <c r="J12" s="18">
        <f t="shared" si="1"/>
        <v>0</v>
      </c>
      <c r="K12" s="41"/>
      <c r="L12" s="41"/>
      <c r="M12" s="41"/>
      <c r="N12" s="18">
        <f t="shared" si="2"/>
        <v>1500</v>
      </c>
      <c r="O12" s="44"/>
      <c r="P12" s="41">
        <v>1500</v>
      </c>
      <c r="Q12" s="44"/>
      <c r="R12" s="44"/>
      <c r="S12" s="44"/>
      <c r="T12" s="44"/>
      <c r="U12" s="44"/>
      <c r="V12" s="20" t="s">
        <v>41</v>
      </c>
      <c r="W12" s="21" t="s">
        <v>42</v>
      </c>
      <c r="X12" s="22"/>
      <c r="Y12" s="12">
        <v>500</v>
      </c>
      <c r="Z12" s="46">
        <v>1650</v>
      </c>
      <c r="AA12" s="12">
        <f t="shared" si="3"/>
        <v>0</v>
      </c>
      <c r="AB12" s="46">
        <f t="shared" si="4"/>
        <v>2150</v>
      </c>
      <c r="AC12" s="19">
        <f t="shared" si="5"/>
        <v>500</v>
      </c>
      <c r="AD12" s="44"/>
      <c r="AE12" s="44"/>
      <c r="AF12" s="44"/>
      <c r="AG12" s="44"/>
      <c r="AH12" s="44">
        <v>500</v>
      </c>
      <c r="AI12" s="44"/>
      <c r="AJ12" s="15"/>
      <c r="AK12" s="19">
        <f t="shared" si="6"/>
        <v>1650</v>
      </c>
      <c r="AL12" s="15"/>
      <c r="AM12" s="15"/>
      <c r="AN12" s="15"/>
      <c r="AO12" s="15">
        <v>1650</v>
      </c>
      <c r="AP12" s="15"/>
      <c r="AQ12" s="15"/>
      <c r="AR12" s="23"/>
    </row>
    <row r="13" spans="1:44" ht="13.5" x14ac:dyDescent="0.3">
      <c r="A13" s="16">
        <v>20</v>
      </c>
      <c r="B13" s="16">
        <v>1900</v>
      </c>
      <c r="C13" s="40" t="s">
        <v>27</v>
      </c>
      <c r="D13" s="40" t="s">
        <v>28</v>
      </c>
      <c r="E13" s="41">
        <v>2504049</v>
      </c>
      <c r="F13" s="42">
        <v>10880038601</v>
      </c>
      <c r="G13" s="43" t="s">
        <v>43</v>
      </c>
      <c r="H13" s="43">
        <v>0</v>
      </c>
      <c r="I13" s="43">
        <f t="shared" si="0"/>
        <v>0</v>
      </c>
      <c r="J13" s="18">
        <f t="shared" si="1"/>
        <v>0</v>
      </c>
      <c r="K13" s="41"/>
      <c r="L13" s="41"/>
      <c r="M13" s="41"/>
      <c r="N13" s="18">
        <f t="shared" si="2"/>
        <v>0</v>
      </c>
      <c r="O13" s="44"/>
      <c r="P13" s="44"/>
      <c r="Q13" s="44"/>
      <c r="R13" s="44"/>
      <c r="S13" s="44"/>
      <c r="T13" s="44"/>
      <c r="U13" s="44"/>
      <c r="V13" s="20" t="s">
        <v>44</v>
      </c>
      <c r="W13" s="20"/>
      <c r="X13" s="12"/>
      <c r="Y13" s="12"/>
      <c r="Z13" s="46">
        <v>140</v>
      </c>
      <c r="AA13" s="12">
        <f t="shared" si="3"/>
        <v>0</v>
      </c>
      <c r="AB13" s="46">
        <f t="shared" si="4"/>
        <v>140</v>
      </c>
      <c r="AC13" s="19">
        <f t="shared" si="5"/>
        <v>140</v>
      </c>
      <c r="AD13" s="44"/>
      <c r="AE13" s="44"/>
      <c r="AF13" s="44"/>
      <c r="AG13" s="44">
        <v>140</v>
      </c>
      <c r="AH13" s="44"/>
      <c r="AI13" s="44"/>
      <c r="AJ13" s="15"/>
      <c r="AK13" s="19">
        <f t="shared" si="6"/>
        <v>0</v>
      </c>
      <c r="AL13" s="15"/>
      <c r="AM13" s="15"/>
      <c r="AN13" s="15"/>
      <c r="AO13" s="15"/>
      <c r="AP13" s="15"/>
      <c r="AQ13" s="15"/>
      <c r="AR13" s="23">
        <v>1150</v>
      </c>
    </row>
    <row r="14" spans="1:44" x14ac:dyDescent="0.3">
      <c r="A14" s="16">
        <v>21</v>
      </c>
      <c r="B14" s="16">
        <v>1900</v>
      </c>
      <c r="C14" s="40" t="s">
        <v>27</v>
      </c>
      <c r="D14" s="40" t="s">
        <v>28</v>
      </c>
      <c r="E14" s="41">
        <v>20246774</v>
      </c>
      <c r="F14" s="42">
        <v>10880038602</v>
      </c>
      <c r="G14" s="43" t="s">
        <v>45</v>
      </c>
      <c r="H14" s="43">
        <f>2000+2001</f>
        <v>4001</v>
      </c>
      <c r="I14" s="43">
        <f t="shared" si="0"/>
        <v>1</v>
      </c>
      <c r="J14" s="18">
        <f t="shared" si="1"/>
        <v>0</v>
      </c>
      <c r="K14" s="41"/>
      <c r="L14" s="41"/>
      <c r="M14" s="41"/>
      <c r="N14" s="18">
        <f t="shared" si="2"/>
        <v>4000</v>
      </c>
      <c r="O14" s="41">
        <v>1000</v>
      </c>
      <c r="P14" s="44">
        <v>1000</v>
      </c>
      <c r="Q14" s="44">
        <v>1000</v>
      </c>
      <c r="R14" s="44">
        <v>1000</v>
      </c>
      <c r="S14" s="44"/>
      <c r="T14" s="44"/>
      <c r="U14" s="44"/>
      <c r="V14" s="20" t="s">
        <v>46</v>
      </c>
      <c r="W14" s="21" t="s">
        <v>42</v>
      </c>
      <c r="X14" s="22"/>
      <c r="Y14" s="12">
        <v>2000</v>
      </c>
      <c r="Z14" s="46">
        <v>6200</v>
      </c>
      <c r="AA14" s="12">
        <f t="shared" si="3"/>
        <v>0</v>
      </c>
      <c r="AB14" s="46">
        <f t="shared" si="4"/>
        <v>8200</v>
      </c>
      <c r="AC14" s="19">
        <f t="shared" si="5"/>
        <v>4100</v>
      </c>
      <c r="AD14" s="44">
        <v>2000</v>
      </c>
      <c r="AE14" s="44"/>
      <c r="AF14" s="41"/>
      <c r="AG14" s="44"/>
      <c r="AH14" s="44"/>
      <c r="AI14" s="41"/>
      <c r="AJ14" s="15">
        <v>2100</v>
      </c>
      <c r="AK14" s="19">
        <f t="shared" si="6"/>
        <v>4100</v>
      </c>
      <c r="AL14" s="15"/>
      <c r="AM14" s="15">
        <v>2000</v>
      </c>
      <c r="AN14" s="15"/>
      <c r="AO14" s="15"/>
      <c r="AP14" s="15"/>
      <c r="AQ14" s="15">
        <v>2100</v>
      </c>
      <c r="AR14" s="23">
        <v>4000</v>
      </c>
    </row>
    <row r="15" spans="1:44" x14ac:dyDescent="0.3">
      <c r="A15" s="16">
        <v>22</v>
      </c>
      <c r="B15" s="16">
        <v>1900</v>
      </c>
      <c r="C15" s="40" t="s">
        <v>27</v>
      </c>
      <c r="D15" s="40" t="s">
        <v>28</v>
      </c>
      <c r="E15" s="41">
        <v>20107993</v>
      </c>
      <c r="F15" s="42">
        <v>10880037022</v>
      </c>
      <c r="G15" s="43" t="s">
        <v>47</v>
      </c>
      <c r="H15" s="43">
        <v>2001</v>
      </c>
      <c r="I15" s="43">
        <f t="shared" si="0"/>
        <v>1</v>
      </c>
      <c r="J15" s="18">
        <f t="shared" si="1"/>
        <v>0</v>
      </c>
      <c r="K15" s="41"/>
      <c r="L15" s="41"/>
      <c r="M15" s="41"/>
      <c r="N15" s="18">
        <f t="shared" si="2"/>
        <v>2000</v>
      </c>
      <c r="O15" s="44"/>
      <c r="P15" s="41">
        <v>1000</v>
      </c>
      <c r="Q15" s="44">
        <v>1000</v>
      </c>
      <c r="R15" s="44"/>
      <c r="S15" s="44"/>
      <c r="T15" s="44"/>
      <c r="U15" s="44"/>
      <c r="V15" s="20" t="s">
        <v>48</v>
      </c>
      <c r="W15" s="21" t="s">
        <v>42</v>
      </c>
      <c r="X15" s="22"/>
      <c r="Y15" s="12">
        <v>1500</v>
      </c>
      <c r="Z15" s="46">
        <v>2800</v>
      </c>
      <c r="AA15" s="12">
        <f t="shared" si="3"/>
        <v>0</v>
      </c>
      <c r="AB15" s="46">
        <f t="shared" si="4"/>
        <v>4300</v>
      </c>
      <c r="AC15" s="19">
        <f t="shared" si="5"/>
        <v>1500</v>
      </c>
      <c r="AD15" s="44">
        <v>1500</v>
      </c>
      <c r="AE15" s="44"/>
      <c r="AF15" s="44"/>
      <c r="AG15" s="44"/>
      <c r="AH15" s="44"/>
      <c r="AI15" s="44"/>
      <c r="AJ15" s="15"/>
      <c r="AK15" s="19">
        <f t="shared" si="6"/>
        <v>2800</v>
      </c>
      <c r="AL15" s="15"/>
      <c r="AM15" s="15">
        <v>1500</v>
      </c>
      <c r="AN15" s="15"/>
      <c r="AO15" s="15"/>
      <c r="AP15" s="15"/>
      <c r="AQ15" s="15">
        <v>1300</v>
      </c>
      <c r="AR15" s="23">
        <v>3000</v>
      </c>
    </row>
  </sheetData>
  <autoFilter ref="A3:AR15" xr:uid="{00000000-0009-0000-0000-000000000000}"/>
  <mergeCells count="2">
    <mergeCell ref="K1:M1"/>
    <mergeCell ref="O1:U1"/>
  </mergeCells>
  <phoneticPr fontId="13" type="noConversion"/>
  <conditionalFormatting sqref="F1:F1048576">
    <cfRule type="duplicateValues" dxfId="2" priority="1447"/>
  </conditionalFormatting>
  <conditionalFormatting sqref="F4:F15">
    <cfRule type="duplicateValues" dxfId="1" priority="1488"/>
  </conditionalFormatting>
  <conditionalFormatting sqref="G4:G15">
    <cfRule type="duplicateValues" dxfId="0" priority="1489"/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0429定稿格式日期未动，数量变化的统一涂红，插批注说明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高睿</dc:creator>
  <cp:lastModifiedBy>高睿</cp:lastModifiedBy>
  <dcterms:created xsi:type="dcterms:W3CDTF">2015-06-05T18:19:00Z</dcterms:created>
  <dcterms:modified xsi:type="dcterms:W3CDTF">2026-04-30T08:48:24Z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8A25878BB3544FFD9C922C1BF22C575E_12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